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31"/>
  <workbookPr codeName="ThisWorkbook"/>
  <xr:revisionPtr revIDLastSave="1" documentId="11_0157505EE87F1255750B7E6F6BC0510A701FD29A" xr6:coauthVersionLast="47" xr6:coauthVersionMax="47" xr10:uidLastSave="{C2C2F0F4-5CE0-4EA8-84F3-BB08039CD4AD}"/>
  <bookViews>
    <workbookView xWindow="0" yWindow="0" windowWidth="0" windowHeight="0" activeTab="2" xr2:uid="{00000000-000D-0000-FFFF-FFFF00000000}"/>
  </bookViews>
  <sheets>
    <sheet name="README" sheetId="1" r:id="rId1"/>
    <sheet name="Trial_Requirements" sheetId="2" r:id="rId2"/>
    <sheet name="Region_Data" sheetId="3" r:id="rId3"/>
    <sheet name="Candidate_Sites" sheetId="4" r:id="rId4"/>
    <sheet name="Site_Evaluation" sheetId="5" r:id="rId5"/>
    <sheet name="Risk_Matrix" sheetId="6" r:id="rId6"/>
    <sheet name="Risk_Register" sheetId="7" r:id="rId7"/>
    <sheet name="Site_Ranking" sheetId="8" r:id="rId8"/>
    <sheet name="Scoring_Weights" sheetId="9" r:id="rId9"/>
  </sheets>
  <calcPr calcId="191028" refMode="R1C1" iterateCount="0" calcOnSave="0"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81" i="8" l="1"/>
  <c r="H481" i="8"/>
  <c r="F481" i="8"/>
  <c r="I480" i="8"/>
  <c r="H480" i="8"/>
  <c r="F480" i="8"/>
  <c r="I479" i="8"/>
  <c r="H479" i="8"/>
  <c r="F479" i="8"/>
  <c r="I478" i="8"/>
  <c r="H478" i="8"/>
  <c r="F478" i="8"/>
  <c r="I477" i="8"/>
  <c r="H477" i="8"/>
  <c r="F477" i="8"/>
  <c r="I476" i="8"/>
  <c r="H476" i="8"/>
  <c r="F476" i="8"/>
  <c r="I475" i="8"/>
  <c r="H475" i="8"/>
  <c r="F475" i="8"/>
  <c r="I474" i="8"/>
  <c r="H474" i="8"/>
  <c r="F474" i="8"/>
  <c r="I473" i="8"/>
  <c r="H473" i="8"/>
  <c r="F473" i="8"/>
  <c r="I472" i="8"/>
  <c r="H472" i="8"/>
  <c r="F472" i="8"/>
  <c r="I471" i="8"/>
  <c r="H471" i="8"/>
  <c r="F471" i="8"/>
  <c r="I470" i="8"/>
  <c r="H470" i="8"/>
  <c r="F470" i="8"/>
  <c r="I469" i="8"/>
  <c r="H469" i="8"/>
  <c r="F469" i="8"/>
  <c r="I468" i="8"/>
  <c r="H468" i="8"/>
  <c r="F468" i="8"/>
  <c r="I467" i="8"/>
  <c r="H467" i="8"/>
  <c r="F467" i="8"/>
  <c r="I466" i="8"/>
  <c r="H466" i="8"/>
  <c r="F466" i="8"/>
  <c r="I465" i="8"/>
  <c r="H465" i="8"/>
  <c r="F465" i="8"/>
  <c r="I464" i="8"/>
  <c r="H464" i="8"/>
  <c r="F464" i="8"/>
  <c r="I463" i="8"/>
  <c r="H463" i="8"/>
  <c r="F463" i="8"/>
  <c r="I462" i="8"/>
  <c r="H462" i="8"/>
  <c r="F462" i="8"/>
  <c r="I461" i="8"/>
  <c r="H461" i="8"/>
  <c r="F461" i="8"/>
  <c r="I460" i="8"/>
  <c r="H460" i="8"/>
  <c r="F460" i="8"/>
  <c r="I459" i="8"/>
  <c r="H459" i="8"/>
  <c r="F459" i="8"/>
  <c r="I458" i="8"/>
  <c r="H458" i="8"/>
  <c r="F458" i="8"/>
  <c r="I457" i="8"/>
  <c r="H457" i="8"/>
  <c r="F457" i="8"/>
  <c r="I456" i="8"/>
  <c r="H456" i="8"/>
  <c r="F456" i="8"/>
  <c r="I455" i="8"/>
  <c r="H455" i="8"/>
  <c r="F455" i="8"/>
  <c r="I454" i="8"/>
  <c r="H454" i="8"/>
  <c r="F454" i="8"/>
  <c r="I453" i="8"/>
  <c r="H453" i="8"/>
  <c r="F453" i="8"/>
  <c r="I452" i="8"/>
  <c r="H452" i="8"/>
  <c r="F452" i="8"/>
  <c r="I451" i="8"/>
  <c r="H451" i="8"/>
  <c r="F451" i="8"/>
  <c r="I450" i="8"/>
  <c r="H450" i="8"/>
  <c r="F450" i="8"/>
  <c r="I449" i="8"/>
  <c r="H449" i="8"/>
  <c r="F449" i="8"/>
  <c r="I448" i="8"/>
  <c r="H448" i="8"/>
  <c r="F448" i="8"/>
  <c r="I447" i="8"/>
  <c r="H447" i="8"/>
  <c r="F447" i="8"/>
  <c r="I446" i="8"/>
  <c r="H446" i="8"/>
  <c r="F446" i="8"/>
  <c r="I445" i="8"/>
  <c r="H445" i="8"/>
  <c r="F445" i="8"/>
  <c r="I444" i="8"/>
  <c r="H444" i="8"/>
  <c r="F444" i="8"/>
  <c r="I443" i="8"/>
  <c r="H443" i="8"/>
  <c r="F443" i="8"/>
  <c r="I442" i="8"/>
  <c r="H442" i="8"/>
  <c r="F442" i="8"/>
  <c r="I441" i="8"/>
  <c r="H441" i="8"/>
  <c r="F441" i="8"/>
  <c r="I440" i="8"/>
  <c r="H440" i="8"/>
  <c r="F440" i="8"/>
  <c r="I439" i="8"/>
  <c r="H439" i="8"/>
  <c r="F439" i="8"/>
  <c r="I438" i="8"/>
  <c r="H438" i="8"/>
  <c r="F438" i="8"/>
  <c r="I437" i="8"/>
  <c r="H437" i="8"/>
  <c r="F437" i="8"/>
  <c r="I436" i="8"/>
  <c r="H436" i="8"/>
  <c r="F436" i="8"/>
  <c r="I435" i="8"/>
  <c r="H435" i="8"/>
  <c r="F435" i="8"/>
  <c r="I434" i="8"/>
  <c r="H434" i="8"/>
  <c r="F434" i="8"/>
  <c r="I433" i="8"/>
  <c r="H433" i="8"/>
  <c r="F433" i="8"/>
  <c r="I432" i="8"/>
  <c r="H432" i="8"/>
  <c r="F432" i="8"/>
  <c r="I431" i="8"/>
  <c r="H431" i="8"/>
  <c r="F431" i="8"/>
  <c r="I430" i="8"/>
  <c r="H430" i="8"/>
  <c r="F430" i="8"/>
  <c r="I429" i="8"/>
  <c r="H429" i="8"/>
  <c r="F429" i="8"/>
  <c r="I428" i="8"/>
  <c r="H428" i="8"/>
  <c r="F428" i="8"/>
  <c r="I427" i="8"/>
  <c r="H427" i="8"/>
  <c r="F427" i="8"/>
  <c r="I426" i="8"/>
  <c r="H426" i="8"/>
  <c r="F426" i="8"/>
  <c r="I425" i="8"/>
  <c r="H425" i="8"/>
  <c r="F425" i="8"/>
  <c r="I424" i="8"/>
  <c r="H424" i="8"/>
  <c r="F424" i="8"/>
  <c r="I423" i="8"/>
  <c r="H423" i="8"/>
  <c r="F423" i="8"/>
  <c r="I422" i="8"/>
  <c r="H422" i="8"/>
  <c r="F422" i="8"/>
  <c r="I421" i="8"/>
  <c r="H421" i="8"/>
  <c r="F421" i="8"/>
  <c r="I420" i="8"/>
  <c r="H420" i="8"/>
  <c r="F420" i="8"/>
  <c r="I419" i="8"/>
  <c r="H419" i="8"/>
  <c r="F419" i="8"/>
  <c r="I418" i="8"/>
  <c r="H418" i="8"/>
  <c r="F418" i="8"/>
  <c r="I417" i="8"/>
  <c r="H417" i="8"/>
  <c r="F417" i="8"/>
  <c r="I416" i="8"/>
  <c r="H416" i="8"/>
  <c r="F416" i="8"/>
  <c r="I415" i="8"/>
  <c r="H415" i="8"/>
  <c r="F415" i="8"/>
  <c r="I414" i="8"/>
  <c r="H414" i="8"/>
  <c r="F414" i="8"/>
  <c r="I413" i="8"/>
  <c r="H413" i="8"/>
  <c r="F413" i="8"/>
  <c r="I412" i="8"/>
  <c r="H412" i="8"/>
  <c r="F412" i="8"/>
  <c r="I411" i="8"/>
  <c r="H411" i="8"/>
  <c r="F411" i="8"/>
  <c r="I410" i="8"/>
  <c r="H410" i="8"/>
  <c r="F410" i="8"/>
  <c r="I409" i="8"/>
  <c r="H409" i="8"/>
  <c r="F409" i="8"/>
  <c r="I408" i="8"/>
  <c r="H408" i="8"/>
  <c r="F408" i="8"/>
  <c r="I407" i="8"/>
  <c r="H407" i="8"/>
  <c r="F407" i="8"/>
  <c r="I406" i="8"/>
  <c r="H406" i="8"/>
  <c r="F406" i="8"/>
  <c r="I405" i="8"/>
  <c r="H405" i="8"/>
  <c r="F405" i="8"/>
  <c r="I404" i="8"/>
  <c r="H404" i="8"/>
  <c r="F404" i="8"/>
  <c r="I403" i="8"/>
  <c r="H403" i="8"/>
  <c r="F403" i="8"/>
  <c r="I402" i="8"/>
  <c r="H402" i="8"/>
  <c r="F402" i="8"/>
  <c r="I401" i="8"/>
  <c r="H401" i="8"/>
  <c r="F401" i="8"/>
  <c r="I400" i="8"/>
  <c r="H400" i="8"/>
  <c r="F400" i="8"/>
  <c r="I399" i="8"/>
  <c r="H399" i="8"/>
  <c r="F399" i="8"/>
  <c r="I398" i="8"/>
  <c r="H398" i="8"/>
  <c r="F398" i="8"/>
  <c r="I397" i="8"/>
  <c r="H397" i="8"/>
  <c r="F397" i="8"/>
  <c r="I396" i="8"/>
  <c r="H396" i="8"/>
  <c r="F396" i="8"/>
  <c r="I395" i="8"/>
  <c r="H395" i="8"/>
  <c r="F395" i="8"/>
  <c r="I394" i="8"/>
  <c r="H394" i="8"/>
  <c r="F394" i="8"/>
  <c r="I393" i="8"/>
  <c r="H393" i="8"/>
  <c r="F393" i="8"/>
  <c r="I392" i="8"/>
  <c r="H392" i="8"/>
  <c r="F392" i="8"/>
  <c r="I391" i="8"/>
  <c r="H391" i="8"/>
  <c r="F391" i="8"/>
  <c r="I390" i="8"/>
  <c r="H390" i="8"/>
  <c r="F390" i="8"/>
  <c r="I389" i="8"/>
  <c r="H389" i="8"/>
  <c r="F389" i="8"/>
  <c r="I388" i="8"/>
  <c r="H388" i="8"/>
  <c r="F388" i="8"/>
  <c r="I387" i="8"/>
  <c r="H387" i="8"/>
  <c r="F387" i="8"/>
  <c r="I386" i="8"/>
  <c r="H386" i="8"/>
  <c r="F386" i="8"/>
  <c r="I385" i="8"/>
  <c r="H385" i="8"/>
  <c r="F385" i="8"/>
  <c r="I384" i="8"/>
  <c r="H384" i="8"/>
  <c r="F384" i="8"/>
  <c r="I383" i="8"/>
  <c r="H383" i="8"/>
  <c r="F383" i="8"/>
  <c r="I382" i="8"/>
  <c r="H382" i="8"/>
  <c r="F382" i="8"/>
  <c r="I381" i="8"/>
  <c r="H381" i="8"/>
  <c r="F381" i="8"/>
  <c r="I380" i="8"/>
  <c r="H380" i="8"/>
  <c r="F380" i="8"/>
  <c r="I379" i="8"/>
  <c r="H379" i="8"/>
  <c r="F379" i="8"/>
  <c r="I378" i="8"/>
  <c r="H378" i="8"/>
  <c r="F378" i="8"/>
  <c r="I377" i="8"/>
  <c r="H377" i="8"/>
  <c r="F377" i="8"/>
  <c r="I376" i="8"/>
  <c r="H376" i="8"/>
  <c r="F376" i="8"/>
  <c r="I375" i="8"/>
  <c r="H375" i="8"/>
  <c r="F375" i="8"/>
  <c r="I374" i="8"/>
  <c r="H374" i="8"/>
  <c r="F374" i="8"/>
  <c r="I373" i="8"/>
  <c r="H373" i="8"/>
  <c r="F373" i="8"/>
  <c r="I372" i="8"/>
  <c r="H372" i="8"/>
  <c r="F372" i="8"/>
  <c r="I371" i="8"/>
  <c r="H371" i="8"/>
  <c r="F371" i="8"/>
  <c r="I370" i="8"/>
  <c r="H370" i="8"/>
  <c r="F370" i="8"/>
  <c r="I369" i="8"/>
  <c r="H369" i="8"/>
  <c r="F369" i="8"/>
  <c r="I368" i="8"/>
  <c r="H368" i="8"/>
  <c r="F368" i="8"/>
  <c r="I367" i="8"/>
  <c r="H367" i="8"/>
  <c r="F367" i="8"/>
  <c r="I366" i="8"/>
  <c r="H366" i="8"/>
  <c r="F366" i="8"/>
  <c r="I365" i="8"/>
  <c r="H365" i="8"/>
  <c r="F365" i="8"/>
  <c r="I364" i="8"/>
  <c r="H364" i="8"/>
  <c r="F364" i="8"/>
  <c r="I363" i="8"/>
  <c r="H363" i="8"/>
  <c r="F363" i="8"/>
  <c r="I362" i="8"/>
  <c r="H362" i="8"/>
  <c r="F362" i="8"/>
  <c r="I361" i="8"/>
  <c r="H361" i="8"/>
  <c r="F361" i="8"/>
  <c r="I360" i="8"/>
  <c r="H360" i="8"/>
  <c r="F360" i="8"/>
  <c r="I359" i="8"/>
  <c r="H359" i="8"/>
  <c r="F359" i="8"/>
  <c r="I358" i="8"/>
  <c r="H358" i="8"/>
  <c r="F358" i="8"/>
  <c r="I357" i="8"/>
  <c r="H357" i="8"/>
  <c r="F357" i="8"/>
  <c r="I356" i="8"/>
  <c r="H356" i="8"/>
  <c r="F356" i="8"/>
  <c r="I355" i="8"/>
  <c r="H355" i="8"/>
  <c r="F355" i="8"/>
  <c r="I354" i="8"/>
  <c r="H354" i="8"/>
  <c r="F354" i="8"/>
  <c r="I353" i="8"/>
  <c r="H353" i="8"/>
  <c r="F353" i="8"/>
  <c r="I352" i="8"/>
  <c r="H352" i="8"/>
  <c r="F352" i="8"/>
  <c r="I351" i="8"/>
  <c r="H351" i="8"/>
  <c r="F351" i="8"/>
  <c r="I350" i="8"/>
  <c r="H350" i="8"/>
  <c r="F350" i="8"/>
  <c r="I349" i="8"/>
  <c r="H349" i="8"/>
  <c r="F349" i="8"/>
  <c r="I348" i="8"/>
  <c r="H348" i="8"/>
  <c r="F348" i="8"/>
  <c r="I347" i="8"/>
  <c r="H347" i="8"/>
  <c r="F347" i="8"/>
  <c r="I346" i="8"/>
  <c r="H346" i="8"/>
  <c r="F346" i="8"/>
  <c r="I345" i="8"/>
  <c r="H345" i="8"/>
  <c r="F345" i="8"/>
  <c r="I344" i="8"/>
  <c r="H344" i="8"/>
  <c r="F344" i="8"/>
  <c r="I343" i="8"/>
  <c r="H343" i="8"/>
  <c r="F343" i="8"/>
  <c r="I342" i="8"/>
  <c r="H342" i="8"/>
  <c r="F342" i="8"/>
  <c r="I341" i="8"/>
  <c r="H341" i="8"/>
  <c r="F341" i="8"/>
  <c r="I340" i="8"/>
  <c r="H340" i="8"/>
  <c r="F340" i="8"/>
  <c r="I339" i="8"/>
  <c r="H339" i="8"/>
  <c r="F339" i="8"/>
  <c r="I338" i="8"/>
  <c r="H338" i="8"/>
  <c r="F338" i="8"/>
  <c r="I337" i="8"/>
  <c r="H337" i="8"/>
  <c r="F337" i="8"/>
  <c r="I336" i="8"/>
  <c r="H336" i="8"/>
  <c r="F336" i="8"/>
  <c r="I335" i="8"/>
  <c r="H335" i="8"/>
  <c r="F335" i="8"/>
  <c r="I334" i="8"/>
  <c r="H334" i="8"/>
  <c r="F334" i="8"/>
  <c r="I333" i="8"/>
  <c r="H333" i="8"/>
  <c r="F333" i="8"/>
  <c r="I332" i="8"/>
  <c r="H332" i="8"/>
  <c r="F332" i="8"/>
  <c r="I331" i="8"/>
  <c r="H331" i="8"/>
  <c r="F331" i="8"/>
  <c r="I330" i="8"/>
  <c r="H330" i="8"/>
  <c r="F330" i="8"/>
  <c r="I329" i="8"/>
  <c r="H329" i="8"/>
  <c r="F329" i="8"/>
  <c r="I328" i="8"/>
  <c r="H328" i="8"/>
  <c r="F328" i="8"/>
  <c r="I327" i="8"/>
  <c r="H327" i="8"/>
  <c r="F327" i="8"/>
  <c r="I326" i="8"/>
  <c r="H326" i="8"/>
  <c r="F326" i="8"/>
  <c r="I325" i="8"/>
  <c r="H325" i="8"/>
  <c r="F325" i="8"/>
  <c r="I324" i="8"/>
  <c r="H324" i="8"/>
  <c r="F324" i="8"/>
  <c r="I323" i="8"/>
  <c r="H323" i="8"/>
  <c r="F323" i="8"/>
  <c r="I322" i="8"/>
  <c r="H322" i="8"/>
  <c r="F322" i="8"/>
  <c r="I321" i="8"/>
  <c r="H321" i="8"/>
  <c r="F321" i="8"/>
  <c r="I320" i="8"/>
  <c r="H320" i="8"/>
  <c r="F320" i="8"/>
  <c r="I319" i="8"/>
  <c r="H319" i="8"/>
  <c r="F319" i="8"/>
  <c r="I318" i="8"/>
  <c r="H318" i="8"/>
  <c r="F318" i="8"/>
  <c r="I317" i="8"/>
  <c r="H317" i="8"/>
  <c r="F317" i="8"/>
  <c r="I316" i="8"/>
  <c r="H316" i="8"/>
  <c r="F316" i="8"/>
  <c r="I315" i="8"/>
  <c r="H315" i="8"/>
  <c r="F315" i="8"/>
  <c r="I314" i="8"/>
  <c r="H314" i="8"/>
  <c r="F314" i="8"/>
  <c r="I313" i="8"/>
  <c r="H313" i="8"/>
  <c r="F313" i="8"/>
  <c r="I312" i="8"/>
  <c r="H312" i="8"/>
  <c r="F312" i="8"/>
  <c r="I311" i="8"/>
  <c r="H311" i="8"/>
  <c r="F311" i="8"/>
  <c r="I310" i="8"/>
  <c r="H310" i="8"/>
  <c r="F310" i="8"/>
  <c r="I309" i="8"/>
  <c r="H309" i="8"/>
  <c r="F309" i="8"/>
  <c r="I308" i="8"/>
  <c r="H308" i="8"/>
  <c r="F308" i="8"/>
  <c r="I307" i="8"/>
  <c r="H307" i="8"/>
  <c r="F307" i="8"/>
  <c r="I306" i="8"/>
  <c r="H306" i="8"/>
  <c r="F306" i="8"/>
  <c r="I305" i="8"/>
  <c r="H305" i="8"/>
  <c r="F305" i="8"/>
  <c r="I304" i="8"/>
  <c r="H304" i="8"/>
  <c r="F304" i="8"/>
  <c r="I303" i="8"/>
  <c r="H303" i="8"/>
  <c r="F303" i="8"/>
  <c r="I302" i="8"/>
  <c r="H302" i="8"/>
  <c r="F302" i="8"/>
  <c r="I301" i="8"/>
  <c r="H301" i="8"/>
  <c r="F301" i="8"/>
  <c r="I300" i="8"/>
  <c r="H300" i="8"/>
  <c r="F300" i="8"/>
  <c r="I299" i="8"/>
  <c r="H299" i="8"/>
  <c r="F299" i="8"/>
  <c r="I298" i="8"/>
  <c r="H298" i="8"/>
  <c r="F298" i="8"/>
  <c r="I297" i="8"/>
  <c r="H297" i="8"/>
  <c r="F297" i="8"/>
  <c r="I296" i="8"/>
  <c r="H296" i="8"/>
  <c r="F296" i="8"/>
  <c r="I295" i="8"/>
  <c r="H295" i="8"/>
  <c r="F295" i="8"/>
  <c r="I294" i="8"/>
  <c r="H294" i="8"/>
  <c r="F294" i="8"/>
  <c r="I293" i="8"/>
  <c r="H293" i="8"/>
  <c r="F293" i="8"/>
  <c r="I292" i="8"/>
  <c r="H292" i="8"/>
  <c r="F292" i="8"/>
  <c r="I291" i="8"/>
  <c r="H291" i="8"/>
  <c r="F291" i="8"/>
  <c r="I290" i="8"/>
  <c r="H290" i="8"/>
  <c r="F290" i="8"/>
  <c r="I289" i="8"/>
  <c r="H289" i="8"/>
  <c r="F289" i="8"/>
  <c r="I288" i="8"/>
  <c r="H288" i="8"/>
  <c r="F288" i="8"/>
  <c r="I287" i="8"/>
  <c r="H287" i="8"/>
  <c r="F287" i="8"/>
  <c r="I286" i="8"/>
  <c r="H286" i="8"/>
  <c r="F286" i="8"/>
  <c r="I285" i="8"/>
  <c r="H285" i="8"/>
  <c r="F285" i="8"/>
  <c r="I284" i="8"/>
  <c r="H284" i="8"/>
  <c r="F284" i="8"/>
  <c r="I283" i="8"/>
  <c r="H283" i="8"/>
  <c r="F283" i="8"/>
  <c r="I282" i="8"/>
  <c r="H282" i="8"/>
  <c r="F282" i="8"/>
  <c r="I281" i="8"/>
  <c r="H281" i="8"/>
  <c r="F281" i="8"/>
  <c r="I280" i="8"/>
  <c r="H280" i="8"/>
  <c r="F280" i="8"/>
  <c r="I279" i="8"/>
  <c r="H279" i="8"/>
  <c r="F279" i="8"/>
  <c r="I278" i="8"/>
  <c r="H278" i="8"/>
  <c r="F278" i="8"/>
  <c r="I277" i="8"/>
  <c r="H277" i="8"/>
  <c r="F277" i="8"/>
  <c r="I276" i="8"/>
  <c r="H276" i="8"/>
  <c r="F276" i="8"/>
  <c r="I275" i="8"/>
  <c r="H275" i="8"/>
  <c r="F275" i="8"/>
  <c r="I274" i="8"/>
  <c r="H274" i="8"/>
  <c r="F274" i="8"/>
  <c r="I273" i="8"/>
  <c r="H273" i="8"/>
  <c r="F273" i="8"/>
  <c r="I272" i="8"/>
  <c r="H272" i="8"/>
  <c r="F272" i="8"/>
  <c r="I271" i="8"/>
  <c r="H271" i="8"/>
  <c r="F271" i="8"/>
  <c r="I270" i="8"/>
  <c r="H270" i="8"/>
  <c r="F270" i="8"/>
  <c r="I269" i="8"/>
  <c r="H269" i="8"/>
  <c r="F269" i="8"/>
  <c r="I268" i="8"/>
  <c r="H268" i="8"/>
  <c r="F268" i="8"/>
  <c r="I267" i="8"/>
  <c r="H267" i="8"/>
  <c r="F267" i="8"/>
  <c r="I266" i="8"/>
  <c r="H266" i="8"/>
  <c r="F266" i="8"/>
  <c r="I265" i="8"/>
  <c r="H265" i="8"/>
  <c r="F265" i="8"/>
  <c r="I264" i="8"/>
  <c r="H264" i="8"/>
  <c r="F264" i="8"/>
  <c r="I263" i="8"/>
  <c r="H263" i="8"/>
  <c r="F263" i="8"/>
  <c r="I262" i="8"/>
  <c r="H262" i="8"/>
  <c r="F262" i="8"/>
  <c r="I261" i="8"/>
  <c r="H261" i="8"/>
  <c r="F261" i="8"/>
  <c r="I260" i="8"/>
  <c r="H260" i="8"/>
  <c r="F260" i="8"/>
  <c r="I259" i="8"/>
  <c r="H259" i="8"/>
  <c r="F259" i="8"/>
  <c r="I258" i="8"/>
  <c r="H258" i="8"/>
  <c r="F258" i="8"/>
  <c r="I257" i="8"/>
  <c r="H257" i="8"/>
  <c r="F257" i="8"/>
  <c r="I256" i="8"/>
  <c r="H256" i="8"/>
  <c r="F256" i="8"/>
  <c r="I255" i="8"/>
  <c r="H255" i="8"/>
  <c r="F255" i="8"/>
  <c r="I254" i="8"/>
  <c r="H254" i="8"/>
  <c r="F254" i="8"/>
  <c r="I253" i="8"/>
  <c r="H253" i="8"/>
  <c r="F253" i="8"/>
  <c r="I252" i="8"/>
  <c r="H252" i="8"/>
  <c r="F252" i="8"/>
  <c r="I251" i="8"/>
  <c r="H251" i="8"/>
  <c r="F251" i="8"/>
  <c r="I250" i="8"/>
  <c r="H250" i="8"/>
  <c r="F250" i="8"/>
  <c r="I249" i="8"/>
  <c r="H249" i="8"/>
  <c r="F249" i="8"/>
  <c r="I248" i="8"/>
  <c r="H248" i="8"/>
  <c r="F248" i="8"/>
  <c r="I247" i="8"/>
  <c r="H247" i="8"/>
  <c r="F247" i="8"/>
  <c r="I246" i="8"/>
  <c r="H246" i="8"/>
  <c r="F246" i="8"/>
  <c r="I245" i="8"/>
  <c r="H245" i="8"/>
  <c r="F245" i="8"/>
  <c r="I244" i="8"/>
  <c r="H244" i="8"/>
  <c r="F244" i="8"/>
  <c r="I243" i="8"/>
  <c r="H243" i="8"/>
  <c r="F243" i="8"/>
  <c r="I242" i="8"/>
  <c r="H242" i="8"/>
  <c r="F242" i="8"/>
  <c r="I241" i="8"/>
  <c r="H241" i="8"/>
  <c r="F241" i="8"/>
  <c r="I240" i="8"/>
  <c r="H240" i="8"/>
  <c r="F240" i="8"/>
  <c r="I239" i="8"/>
  <c r="H239" i="8"/>
  <c r="F239" i="8"/>
  <c r="I238" i="8"/>
  <c r="H238" i="8"/>
  <c r="F238" i="8"/>
  <c r="I237" i="8"/>
  <c r="H237" i="8"/>
  <c r="F237" i="8"/>
  <c r="I236" i="8"/>
  <c r="H236" i="8"/>
  <c r="F236" i="8"/>
  <c r="I235" i="8"/>
  <c r="H235" i="8"/>
  <c r="F235" i="8"/>
  <c r="I234" i="8"/>
  <c r="H234" i="8"/>
  <c r="F234" i="8"/>
  <c r="I233" i="8"/>
  <c r="H233" i="8"/>
  <c r="F233" i="8"/>
  <c r="I232" i="8"/>
  <c r="H232" i="8"/>
  <c r="F232" i="8"/>
  <c r="I231" i="8"/>
  <c r="H231" i="8"/>
  <c r="F231" i="8"/>
  <c r="I230" i="8"/>
  <c r="H230" i="8"/>
  <c r="F230" i="8"/>
  <c r="I229" i="8"/>
  <c r="H229" i="8"/>
  <c r="F229" i="8"/>
  <c r="I228" i="8"/>
  <c r="H228" i="8"/>
  <c r="F228" i="8"/>
  <c r="I227" i="8"/>
  <c r="H227" i="8"/>
  <c r="F227" i="8"/>
  <c r="I226" i="8"/>
  <c r="H226" i="8"/>
  <c r="F226" i="8"/>
  <c r="I225" i="8"/>
  <c r="H225" i="8"/>
  <c r="F225" i="8"/>
  <c r="I224" i="8"/>
  <c r="H224" i="8"/>
  <c r="F224" i="8"/>
  <c r="I223" i="8"/>
  <c r="H223" i="8"/>
  <c r="F223" i="8"/>
  <c r="I222" i="8"/>
  <c r="H222" i="8"/>
  <c r="F222" i="8"/>
  <c r="I221" i="8"/>
  <c r="H221" i="8"/>
  <c r="F221" i="8"/>
  <c r="I220" i="8"/>
  <c r="H220" i="8"/>
  <c r="F220" i="8"/>
  <c r="I219" i="8"/>
  <c r="H219" i="8"/>
  <c r="F219" i="8"/>
  <c r="I218" i="8"/>
  <c r="H218" i="8"/>
  <c r="F218" i="8"/>
  <c r="I217" i="8"/>
  <c r="H217" i="8"/>
  <c r="F217" i="8"/>
  <c r="I216" i="8"/>
  <c r="H216" i="8"/>
  <c r="F216" i="8"/>
  <c r="I215" i="8"/>
  <c r="H215" i="8"/>
  <c r="F215" i="8"/>
  <c r="I214" i="8"/>
  <c r="H214" i="8"/>
  <c r="F214" i="8"/>
  <c r="I213" i="8"/>
  <c r="H213" i="8"/>
  <c r="F213" i="8"/>
  <c r="I212" i="8"/>
  <c r="H212" i="8"/>
  <c r="F212" i="8"/>
  <c r="I211" i="8"/>
  <c r="H211" i="8"/>
  <c r="F211" i="8"/>
  <c r="I210" i="8"/>
  <c r="H210" i="8"/>
  <c r="F210" i="8"/>
  <c r="I209" i="8"/>
  <c r="H209" i="8"/>
  <c r="F209" i="8"/>
  <c r="I208" i="8"/>
  <c r="H208" i="8"/>
  <c r="F208" i="8"/>
  <c r="I207" i="8"/>
  <c r="H207" i="8"/>
  <c r="F207" i="8"/>
  <c r="I206" i="8"/>
  <c r="H206" i="8"/>
  <c r="F206" i="8"/>
  <c r="I205" i="8"/>
  <c r="H205" i="8"/>
  <c r="F205" i="8"/>
  <c r="I204" i="8"/>
  <c r="H204" i="8"/>
  <c r="F204" i="8"/>
  <c r="I203" i="8"/>
  <c r="H203" i="8"/>
  <c r="F203" i="8"/>
  <c r="I202" i="8"/>
  <c r="H202" i="8"/>
  <c r="F202" i="8"/>
  <c r="I201" i="8"/>
  <c r="H201" i="8"/>
  <c r="F201" i="8"/>
  <c r="I200" i="8"/>
  <c r="H200" i="8"/>
  <c r="F200" i="8"/>
  <c r="I199" i="8"/>
  <c r="H199" i="8"/>
  <c r="F199" i="8"/>
  <c r="I198" i="8"/>
  <c r="H198" i="8"/>
  <c r="F198" i="8"/>
  <c r="I197" i="8"/>
  <c r="H197" i="8"/>
  <c r="F197" i="8"/>
  <c r="I196" i="8"/>
  <c r="H196" i="8"/>
  <c r="F196" i="8"/>
  <c r="I195" i="8"/>
  <c r="H195" i="8"/>
  <c r="F195" i="8"/>
  <c r="I194" i="8"/>
  <c r="H194" i="8"/>
  <c r="F194" i="8"/>
  <c r="I193" i="8"/>
  <c r="H193" i="8"/>
  <c r="F193" i="8"/>
  <c r="I192" i="8"/>
  <c r="H192" i="8"/>
  <c r="F192" i="8"/>
  <c r="I191" i="8"/>
  <c r="H191" i="8"/>
  <c r="F191" i="8"/>
  <c r="I190" i="8"/>
  <c r="H190" i="8"/>
  <c r="F190" i="8"/>
  <c r="I189" i="8"/>
  <c r="H189" i="8"/>
  <c r="F189" i="8"/>
  <c r="I188" i="8"/>
  <c r="H188" i="8"/>
  <c r="F188" i="8"/>
  <c r="I187" i="8"/>
  <c r="H187" i="8"/>
  <c r="F187" i="8"/>
  <c r="I186" i="8"/>
  <c r="H186" i="8"/>
  <c r="F186" i="8"/>
  <c r="I185" i="8"/>
  <c r="H185" i="8"/>
  <c r="F185" i="8"/>
  <c r="I184" i="8"/>
  <c r="H184" i="8"/>
  <c r="F184" i="8"/>
  <c r="I183" i="8"/>
  <c r="H183" i="8"/>
  <c r="F183" i="8"/>
  <c r="I182" i="8"/>
  <c r="H182" i="8"/>
  <c r="F182" i="8"/>
  <c r="I181" i="8"/>
  <c r="H181" i="8"/>
  <c r="F181" i="8"/>
  <c r="I180" i="8"/>
  <c r="H180" i="8"/>
  <c r="F180" i="8"/>
  <c r="I179" i="8"/>
  <c r="H179" i="8"/>
  <c r="F179" i="8"/>
  <c r="I178" i="8"/>
  <c r="H178" i="8"/>
  <c r="F178" i="8"/>
  <c r="I177" i="8"/>
  <c r="H177" i="8"/>
  <c r="F177" i="8"/>
  <c r="I176" i="8"/>
  <c r="H176" i="8"/>
  <c r="F176" i="8"/>
  <c r="I175" i="8"/>
  <c r="H175" i="8"/>
  <c r="F175" i="8"/>
  <c r="I174" i="8"/>
  <c r="H174" i="8"/>
  <c r="F174" i="8"/>
  <c r="I173" i="8"/>
  <c r="H173" i="8"/>
  <c r="F173" i="8"/>
  <c r="I172" i="8"/>
  <c r="H172" i="8"/>
  <c r="F172" i="8"/>
  <c r="I171" i="8"/>
  <c r="H171" i="8"/>
  <c r="F171" i="8"/>
  <c r="I170" i="8"/>
  <c r="H170" i="8"/>
  <c r="F170" i="8"/>
  <c r="I169" i="8"/>
  <c r="H169" i="8"/>
  <c r="F169" i="8"/>
  <c r="I168" i="8"/>
  <c r="H168" i="8"/>
  <c r="F168" i="8"/>
  <c r="I167" i="8"/>
  <c r="H167" i="8"/>
  <c r="F167" i="8"/>
  <c r="I166" i="8"/>
  <c r="H166" i="8"/>
  <c r="F166" i="8"/>
  <c r="I165" i="8"/>
  <c r="H165" i="8"/>
  <c r="F165" i="8"/>
  <c r="I164" i="8"/>
  <c r="H164" i="8"/>
  <c r="F164" i="8"/>
  <c r="I163" i="8"/>
  <c r="H163" i="8"/>
  <c r="F163" i="8"/>
  <c r="I162" i="8"/>
  <c r="H162" i="8"/>
  <c r="F162" i="8"/>
  <c r="I161" i="8"/>
  <c r="H161" i="8"/>
  <c r="F161" i="8"/>
  <c r="I160" i="8"/>
  <c r="H160" i="8"/>
  <c r="F160" i="8"/>
  <c r="I159" i="8"/>
  <c r="H159" i="8"/>
  <c r="F159" i="8"/>
  <c r="I158" i="8"/>
  <c r="H158" i="8"/>
  <c r="F158" i="8"/>
  <c r="I157" i="8"/>
  <c r="H157" i="8"/>
  <c r="F157" i="8"/>
  <c r="I156" i="8"/>
  <c r="H156" i="8"/>
  <c r="F156" i="8"/>
  <c r="I155" i="8"/>
  <c r="H155" i="8"/>
  <c r="F155" i="8"/>
  <c r="I154" i="8"/>
  <c r="H154" i="8"/>
  <c r="F154" i="8"/>
  <c r="I153" i="8"/>
  <c r="H153" i="8"/>
  <c r="F153" i="8"/>
  <c r="I152" i="8"/>
  <c r="H152" i="8"/>
  <c r="F152" i="8"/>
  <c r="I151" i="8"/>
  <c r="H151" i="8"/>
  <c r="F151" i="8"/>
  <c r="I150" i="8"/>
  <c r="H150" i="8"/>
  <c r="F150" i="8"/>
  <c r="I149" i="8"/>
  <c r="H149" i="8"/>
  <c r="F149" i="8"/>
  <c r="I148" i="8"/>
  <c r="H148" i="8"/>
  <c r="F148" i="8"/>
  <c r="I147" i="8"/>
  <c r="H147" i="8"/>
  <c r="F147" i="8"/>
  <c r="I146" i="8"/>
  <c r="H146" i="8"/>
  <c r="F146" i="8"/>
  <c r="I145" i="8"/>
  <c r="H145" i="8"/>
  <c r="F145" i="8"/>
  <c r="I144" i="8"/>
  <c r="H144" i="8"/>
  <c r="F144" i="8"/>
  <c r="I143" i="8"/>
  <c r="H143" i="8"/>
  <c r="F143" i="8"/>
  <c r="I142" i="8"/>
  <c r="H142" i="8"/>
  <c r="F142" i="8"/>
  <c r="I141" i="8"/>
  <c r="H141" i="8"/>
  <c r="F141" i="8"/>
  <c r="I140" i="8"/>
  <c r="H140" i="8"/>
  <c r="F140" i="8"/>
  <c r="I139" i="8"/>
  <c r="H139" i="8"/>
  <c r="F139" i="8"/>
  <c r="I138" i="8"/>
  <c r="H138" i="8"/>
  <c r="F138" i="8"/>
  <c r="I137" i="8"/>
  <c r="H137" i="8"/>
  <c r="F137" i="8"/>
  <c r="I136" i="8"/>
  <c r="H136" i="8"/>
  <c r="F136" i="8"/>
  <c r="I135" i="8"/>
  <c r="H135" i="8"/>
  <c r="F135" i="8"/>
  <c r="I134" i="8"/>
  <c r="H134" i="8"/>
  <c r="F134" i="8"/>
  <c r="I133" i="8"/>
  <c r="H133" i="8"/>
  <c r="F133" i="8"/>
  <c r="I132" i="8"/>
  <c r="H132" i="8"/>
  <c r="F132" i="8"/>
  <c r="I131" i="8"/>
  <c r="H131" i="8"/>
  <c r="F131" i="8"/>
  <c r="I130" i="8"/>
  <c r="H130" i="8"/>
  <c r="F130" i="8"/>
  <c r="I129" i="8"/>
  <c r="H129" i="8"/>
  <c r="F129" i="8"/>
  <c r="I128" i="8"/>
  <c r="H128" i="8"/>
  <c r="F128" i="8"/>
  <c r="I127" i="8"/>
  <c r="H127" i="8"/>
  <c r="F127" i="8"/>
  <c r="I126" i="8"/>
  <c r="H126" i="8"/>
  <c r="F126" i="8"/>
  <c r="I125" i="8"/>
  <c r="H125" i="8"/>
  <c r="F125" i="8"/>
  <c r="I124" i="8"/>
  <c r="H124" i="8"/>
  <c r="F124" i="8"/>
  <c r="I123" i="8"/>
  <c r="H123" i="8"/>
  <c r="F123" i="8"/>
  <c r="I122" i="8"/>
  <c r="H122" i="8"/>
  <c r="F122" i="8"/>
  <c r="I121" i="8"/>
  <c r="H121" i="8"/>
  <c r="F121" i="8"/>
  <c r="I120" i="8"/>
  <c r="H120" i="8"/>
  <c r="F120" i="8"/>
  <c r="I119" i="8"/>
  <c r="H119" i="8"/>
  <c r="F119" i="8"/>
  <c r="I118" i="8"/>
  <c r="H118" i="8"/>
  <c r="F118" i="8"/>
  <c r="I117" i="8"/>
  <c r="H117" i="8"/>
  <c r="F117" i="8"/>
  <c r="I116" i="8"/>
  <c r="H116" i="8"/>
  <c r="F116" i="8"/>
  <c r="I115" i="8"/>
  <c r="H115" i="8"/>
  <c r="F115" i="8"/>
  <c r="I114" i="8"/>
  <c r="H114" i="8"/>
  <c r="F114" i="8"/>
  <c r="I113" i="8"/>
  <c r="H113" i="8"/>
  <c r="F113" i="8"/>
  <c r="I112" i="8"/>
  <c r="H112" i="8"/>
  <c r="F112" i="8"/>
  <c r="I111" i="8"/>
  <c r="H111" i="8"/>
  <c r="F111" i="8"/>
  <c r="I110" i="8"/>
  <c r="H110" i="8"/>
  <c r="F110" i="8"/>
  <c r="I109" i="8"/>
  <c r="H109" i="8"/>
  <c r="F109" i="8"/>
  <c r="I108" i="8"/>
  <c r="H108" i="8"/>
  <c r="F108" i="8"/>
  <c r="I107" i="8"/>
  <c r="H107" i="8"/>
  <c r="F107" i="8"/>
  <c r="I106" i="8"/>
  <c r="H106" i="8"/>
  <c r="F106" i="8"/>
  <c r="I105" i="8"/>
  <c r="H105" i="8"/>
  <c r="F105" i="8"/>
  <c r="I104" i="8"/>
  <c r="H104" i="8"/>
  <c r="F104" i="8"/>
  <c r="I103" i="8"/>
  <c r="H103" i="8"/>
  <c r="F103" i="8"/>
  <c r="I102" i="8"/>
  <c r="H102" i="8"/>
  <c r="F102" i="8"/>
  <c r="I101" i="8"/>
  <c r="H101" i="8"/>
  <c r="F101" i="8"/>
  <c r="I100" i="8"/>
  <c r="H100" i="8"/>
  <c r="F100" i="8"/>
  <c r="I99" i="8"/>
  <c r="H99" i="8"/>
  <c r="F99" i="8"/>
  <c r="I98" i="8"/>
  <c r="H98" i="8"/>
  <c r="F98" i="8"/>
  <c r="I97" i="8"/>
  <c r="H97" i="8"/>
  <c r="F97" i="8"/>
  <c r="I96" i="8"/>
  <c r="H96" i="8"/>
  <c r="F96" i="8"/>
  <c r="I95" i="8"/>
  <c r="H95" i="8"/>
  <c r="F95" i="8"/>
  <c r="I94" i="8"/>
  <c r="H94" i="8"/>
  <c r="F94" i="8"/>
  <c r="I93" i="8"/>
  <c r="H93" i="8"/>
  <c r="F93" i="8"/>
  <c r="I92" i="8"/>
  <c r="H92" i="8"/>
  <c r="F92" i="8"/>
  <c r="I91" i="8"/>
  <c r="H91" i="8"/>
  <c r="F91" i="8"/>
  <c r="I90" i="8"/>
  <c r="H90" i="8"/>
  <c r="F90" i="8"/>
  <c r="I89" i="8"/>
  <c r="H89" i="8"/>
  <c r="F89" i="8"/>
  <c r="I88" i="8"/>
  <c r="H88" i="8"/>
  <c r="F88" i="8"/>
  <c r="I87" i="8"/>
  <c r="H87" i="8"/>
  <c r="F87" i="8"/>
  <c r="I86" i="8"/>
  <c r="H86" i="8"/>
  <c r="F86" i="8"/>
  <c r="I85" i="8"/>
  <c r="H85" i="8"/>
  <c r="F85" i="8"/>
  <c r="I84" i="8"/>
  <c r="H84" i="8"/>
  <c r="F84" i="8"/>
  <c r="I83" i="8"/>
  <c r="H83" i="8"/>
  <c r="F83" i="8"/>
  <c r="I82" i="8"/>
  <c r="H82" i="8"/>
  <c r="F82" i="8"/>
  <c r="I81" i="8"/>
  <c r="H81" i="8"/>
  <c r="F81" i="8"/>
  <c r="I80" i="8"/>
  <c r="H80" i="8"/>
  <c r="F80" i="8"/>
  <c r="I79" i="8"/>
  <c r="H79" i="8"/>
  <c r="F79" i="8"/>
  <c r="I78" i="8"/>
  <c r="H78" i="8"/>
  <c r="F78" i="8"/>
  <c r="I77" i="8"/>
  <c r="H77" i="8"/>
  <c r="F77" i="8"/>
  <c r="I76" i="8"/>
  <c r="H76" i="8"/>
  <c r="F76" i="8"/>
  <c r="I75" i="8"/>
  <c r="H75" i="8"/>
  <c r="F75" i="8"/>
  <c r="I74" i="8"/>
  <c r="H74" i="8"/>
  <c r="F74" i="8"/>
  <c r="I73" i="8"/>
  <c r="H73" i="8"/>
  <c r="F73" i="8"/>
  <c r="I72" i="8"/>
  <c r="H72" i="8"/>
  <c r="F72" i="8"/>
  <c r="I71" i="8"/>
  <c r="H71" i="8"/>
  <c r="F71" i="8"/>
  <c r="I70" i="8"/>
  <c r="H70" i="8"/>
  <c r="F70" i="8"/>
  <c r="I69" i="8"/>
  <c r="H69" i="8"/>
  <c r="F69" i="8"/>
  <c r="I68" i="8"/>
  <c r="H68" i="8"/>
  <c r="F68" i="8"/>
  <c r="I67" i="8"/>
  <c r="H67" i="8"/>
  <c r="F67" i="8"/>
  <c r="I66" i="8"/>
  <c r="H66" i="8"/>
  <c r="F66" i="8"/>
  <c r="I65" i="8"/>
  <c r="H65" i="8"/>
  <c r="F65" i="8"/>
  <c r="I64" i="8"/>
  <c r="H64" i="8"/>
  <c r="F64" i="8"/>
  <c r="I63" i="8"/>
  <c r="H63" i="8"/>
  <c r="F63" i="8"/>
  <c r="I62" i="8"/>
  <c r="H62" i="8"/>
  <c r="F62" i="8"/>
  <c r="I61" i="8"/>
  <c r="H61" i="8"/>
  <c r="F61" i="8"/>
  <c r="I60" i="8"/>
  <c r="H60" i="8"/>
  <c r="F60" i="8"/>
  <c r="I59" i="8"/>
  <c r="H59" i="8"/>
  <c r="F59" i="8"/>
  <c r="I58" i="8"/>
  <c r="H58" i="8"/>
  <c r="F58" i="8"/>
  <c r="I57" i="8"/>
  <c r="H57" i="8"/>
  <c r="F57" i="8"/>
  <c r="I56" i="8"/>
  <c r="H56" i="8"/>
  <c r="F56" i="8"/>
  <c r="I55" i="8"/>
  <c r="H55" i="8"/>
  <c r="F55" i="8"/>
  <c r="I54" i="8"/>
  <c r="H54" i="8"/>
  <c r="F54" i="8"/>
  <c r="I53" i="8"/>
  <c r="H53" i="8"/>
  <c r="F53" i="8"/>
  <c r="I52" i="8"/>
  <c r="H52" i="8"/>
  <c r="F52" i="8"/>
  <c r="I51" i="8"/>
  <c r="H51" i="8"/>
  <c r="F51" i="8"/>
  <c r="I50" i="8"/>
  <c r="H50" i="8"/>
  <c r="F50" i="8"/>
  <c r="I49" i="8"/>
  <c r="H49" i="8"/>
  <c r="F49" i="8"/>
  <c r="I48" i="8"/>
  <c r="H48" i="8"/>
  <c r="F48" i="8"/>
  <c r="I47" i="8"/>
  <c r="H47" i="8"/>
  <c r="F47" i="8"/>
  <c r="I46" i="8"/>
  <c r="H46" i="8"/>
  <c r="F46" i="8"/>
  <c r="I45" i="8"/>
  <c r="H45" i="8"/>
  <c r="F45" i="8"/>
  <c r="I44" i="8"/>
  <c r="H44" i="8"/>
  <c r="F44" i="8"/>
  <c r="I43" i="8"/>
  <c r="H43" i="8"/>
  <c r="F43" i="8"/>
  <c r="I42" i="8"/>
  <c r="H42" i="8"/>
  <c r="F42" i="8"/>
  <c r="I41" i="8"/>
  <c r="H41" i="8"/>
  <c r="F41" i="8"/>
  <c r="I40" i="8"/>
  <c r="H40" i="8"/>
  <c r="F40" i="8"/>
  <c r="I39" i="8"/>
  <c r="H39" i="8"/>
  <c r="F39" i="8"/>
  <c r="I38" i="8"/>
  <c r="H38" i="8"/>
  <c r="F38" i="8"/>
  <c r="I37" i="8"/>
  <c r="H37" i="8"/>
  <c r="F37" i="8"/>
  <c r="I36" i="8"/>
  <c r="H36" i="8"/>
  <c r="F36" i="8"/>
  <c r="I35" i="8"/>
  <c r="H35" i="8"/>
  <c r="F35" i="8"/>
  <c r="I34" i="8"/>
  <c r="H34" i="8"/>
  <c r="F34" i="8"/>
  <c r="I33" i="8"/>
  <c r="H33" i="8"/>
  <c r="F33" i="8"/>
  <c r="I32" i="8"/>
  <c r="H32" i="8"/>
  <c r="F32" i="8"/>
  <c r="I31" i="8"/>
  <c r="H31" i="8"/>
  <c r="F31" i="8"/>
  <c r="I30" i="8"/>
  <c r="H30" i="8"/>
  <c r="F30" i="8"/>
  <c r="I29" i="8"/>
  <c r="H29" i="8"/>
  <c r="F29" i="8"/>
  <c r="I28" i="8"/>
  <c r="H28" i="8"/>
  <c r="F28" i="8"/>
  <c r="I27" i="8"/>
  <c r="H27" i="8"/>
  <c r="F27" i="8"/>
  <c r="I26" i="8"/>
  <c r="H26" i="8"/>
  <c r="F26" i="8"/>
  <c r="I25" i="8"/>
  <c r="H25" i="8"/>
  <c r="F25" i="8"/>
  <c r="I24" i="8"/>
  <c r="H24" i="8"/>
  <c r="F24" i="8"/>
  <c r="I23" i="8"/>
  <c r="H23" i="8"/>
  <c r="F23" i="8"/>
  <c r="I22" i="8"/>
  <c r="H22" i="8"/>
  <c r="F22" i="8"/>
  <c r="I21" i="8"/>
  <c r="H21" i="8"/>
  <c r="F21" i="8"/>
  <c r="I20" i="8"/>
  <c r="H20" i="8"/>
  <c r="F20" i="8"/>
  <c r="I19" i="8"/>
  <c r="H19" i="8"/>
  <c r="F19" i="8"/>
  <c r="I18" i="8"/>
  <c r="H18" i="8"/>
  <c r="F18" i="8"/>
  <c r="I17" i="8"/>
  <c r="H17" i="8"/>
  <c r="F17" i="8"/>
  <c r="I16" i="8"/>
  <c r="H16" i="8"/>
  <c r="F16" i="8"/>
  <c r="I15" i="8"/>
  <c r="H15" i="8"/>
  <c r="F15" i="8"/>
  <c r="I14" i="8"/>
  <c r="H14" i="8"/>
  <c r="F14" i="8"/>
  <c r="I13" i="8"/>
  <c r="H13" i="8"/>
  <c r="F13" i="8"/>
  <c r="I12" i="8"/>
  <c r="H12" i="8"/>
  <c r="F12" i="8"/>
  <c r="I11" i="8"/>
  <c r="H11" i="8"/>
  <c r="F11" i="8"/>
  <c r="I10" i="8"/>
  <c r="H10" i="8"/>
  <c r="F10" i="8"/>
  <c r="I9" i="8"/>
  <c r="H9" i="8"/>
  <c r="F9" i="8"/>
  <c r="I8" i="8"/>
  <c r="H8" i="8"/>
  <c r="F8" i="8"/>
  <c r="I7" i="8"/>
  <c r="H7" i="8"/>
  <c r="F7" i="8"/>
  <c r="I6" i="8"/>
  <c r="H6" i="8"/>
  <c r="F6" i="8"/>
  <c r="I5" i="8"/>
  <c r="H5" i="8"/>
  <c r="F5" i="8"/>
  <c r="I4" i="8"/>
  <c r="H4" i="8"/>
  <c r="F4" i="8"/>
  <c r="I3" i="8"/>
  <c r="H3" i="8"/>
  <c r="F3" i="8"/>
  <c r="I2" i="8"/>
  <c r="H2" i="8"/>
  <c r="F2" i="8"/>
  <c r="G3601" i="7"/>
  <c r="L3601" i="7" s="1"/>
  <c r="G3600" i="7"/>
  <c r="L3600" i="7" s="1"/>
  <c r="G3599" i="7"/>
  <c r="L3599" i="7" s="1"/>
  <c r="G3598" i="7"/>
  <c r="L3598" i="7" s="1"/>
  <c r="G3597" i="7"/>
  <c r="L3597" i="7" s="1"/>
  <c r="G3596" i="7"/>
  <c r="L3596" i="7" s="1"/>
  <c r="G3595" i="7"/>
  <c r="L3595" i="7" s="1"/>
  <c r="G3594" i="7"/>
  <c r="L3594" i="7" s="1"/>
  <c r="G3593" i="7"/>
  <c r="L3593" i="7" s="1"/>
  <c r="G3592" i="7"/>
  <c r="L3592" i="7" s="1"/>
  <c r="G3591" i="7"/>
  <c r="L3591" i="7" s="1"/>
  <c r="G3590" i="7"/>
  <c r="L3590" i="7" s="1"/>
  <c r="G3589" i="7"/>
  <c r="L3589" i="7" s="1"/>
  <c r="G3588" i="7"/>
  <c r="L3588" i="7" s="1"/>
  <c r="G3587" i="7"/>
  <c r="L3587" i="7" s="1"/>
  <c r="G3586" i="7"/>
  <c r="L3586" i="7" s="1"/>
  <c r="G3585" i="7"/>
  <c r="L3585" i="7" s="1"/>
  <c r="G3584" i="7"/>
  <c r="L3584" i="7" s="1"/>
  <c r="G3583" i="7"/>
  <c r="L3583" i="7" s="1"/>
  <c r="G3582" i="7"/>
  <c r="L3582" i="7" s="1"/>
  <c r="G3581" i="7"/>
  <c r="L3581" i="7" s="1"/>
  <c r="G3580" i="7"/>
  <c r="L3580" i="7" s="1"/>
  <c r="G3579" i="7"/>
  <c r="L3579" i="7" s="1"/>
  <c r="G3578" i="7"/>
  <c r="G3577" i="7"/>
  <c r="L3577" i="7" s="1"/>
  <c r="G3576" i="7"/>
  <c r="L3576" i="7" s="1"/>
  <c r="G3575" i="7"/>
  <c r="L3575" i="7" s="1"/>
  <c r="G3574" i="7"/>
  <c r="L3574" i="7" s="1"/>
  <c r="G3573" i="7"/>
  <c r="L3573" i="7" s="1"/>
  <c r="G3572" i="7"/>
  <c r="G3571" i="7"/>
  <c r="L3571" i="7" s="1"/>
  <c r="G3570" i="7"/>
  <c r="L3570" i="7" s="1"/>
  <c r="G3569" i="7"/>
  <c r="L3569" i="7" s="1"/>
  <c r="G3568" i="7"/>
  <c r="L3568" i="7" s="1"/>
  <c r="G3567" i="7"/>
  <c r="L3567" i="7" s="1"/>
  <c r="G3566" i="7"/>
  <c r="G3565" i="7"/>
  <c r="L3565" i="7" s="1"/>
  <c r="G3564" i="7"/>
  <c r="L3564" i="7" s="1"/>
  <c r="G3563" i="7"/>
  <c r="L3563" i="7" s="1"/>
  <c r="G3562" i="7"/>
  <c r="L3562" i="7" s="1"/>
  <c r="G3561" i="7"/>
  <c r="L3561" i="7" s="1"/>
  <c r="G3560" i="7"/>
  <c r="L3560" i="7" s="1"/>
  <c r="G3559" i="7"/>
  <c r="L3559" i="7" s="1"/>
  <c r="G3558" i="7"/>
  <c r="L3558" i="7" s="1"/>
  <c r="G3557" i="7"/>
  <c r="L3557" i="7" s="1"/>
  <c r="G3556" i="7"/>
  <c r="L3556" i="7" s="1"/>
  <c r="G3555" i="7"/>
  <c r="L3555" i="7" s="1"/>
  <c r="G3554" i="7"/>
  <c r="G3553" i="7"/>
  <c r="L3553" i="7" s="1"/>
  <c r="G3552" i="7"/>
  <c r="L3552" i="7" s="1"/>
  <c r="G3551" i="7"/>
  <c r="L3551" i="7" s="1"/>
  <c r="G3550" i="7"/>
  <c r="L3550" i="7" s="1"/>
  <c r="G3549" i="7"/>
  <c r="L3549" i="7" s="1"/>
  <c r="G3548" i="7"/>
  <c r="L3548" i="7" s="1"/>
  <c r="G3547" i="7"/>
  <c r="L3547" i="7" s="1"/>
  <c r="G3546" i="7"/>
  <c r="L3546" i="7" s="1"/>
  <c r="G3545" i="7"/>
  <c r="L3545" i="7" s="1"/>
  <c r="G3544" i="7"/>
  <c r="L3544" i="7" s="1"/>
  <c r="G3543" i="7"/>
  <c r="L3543" i="7" s="1"/>
  <c r="G3542" i="7"/>
  <c r="L3542" i="7" s="1"/>
  <c r="G3541" i="7"/>
  <c r="L3541" i="7" s="1"/>
  <c r="G3540" i="7"/>
  <c r="L3540" i="7" s="1"/>
  <c r="G3539" i="7"/>
  <c r="L3539" i="7" s="1"/>
  <c r="G3538" i="7"/>
  <c r="L3538" i="7" s="1"/>
  <c r="G3537" i="7"/>
  <c r="L3537" i="7" s="1"/>
  <c r="G3536" i="7"/>
  <c r="G3535" i="7"/>
  <c r="L3535" i="7" s="1"/>
  <c r="G3534" i="7"/>
  <c r="L3534" i="7" s="1"/>
  <c r="G3533" i="7"/>
  <c r="L3533" i="7" s="1"/>
  <c r="G3532" i="7"/>
  <c r="L3532" i="7" s="1"/>
  <c r="G3531" i="7"/>
  <c r="L3531" i="7" s="1"/>
  <c r="G3530" i="7"/>
  <c r="G3529" i="7"/>
  <c r="L3529" i="7" s="1"/>
  <c r="G3528" i="7"/>
  <c r="L3528" i="7" s="1"/>
  <c r="G3527" i="7"/>
  <c r="L3527" i="7" s="1"/>
  <c r="G3526" i="7"/>
  <c r="L3526" i="7" s="1"/>
  <c r="G3525" i="7"/>
  <c r="L3525" i="7" s="1"/>
  <c r="G3524" i="7"/>
  <c r="L3524" i="7" s="1"/>
  <c r="G3523" i="7"/>
  <c r="L3523" i="7" s="1"/>
  <c r="G3522" i="7"/>
  <c r="L3522" i="7" s="1"/>
  <c r="G3521" i="7"/>
  <c r="L3521" i="7" s="1"/>
  <c r="G3520" i="7"/>
  <c r="L3520" i="7" s="1"/>
  <c r="G3519" i="7"/>
  <c r="L3519" i="7" s="1"/>
  <c r="G3518" i="7"/>
  <c r="G3517" i="7"/>
  <c r="L3517" i="7" s="1"/>
  <c r="G3516" i="7"/>
  <c r="L3516" i="7" s="1"/>
  <c r="G3515" i="7"/>
  <c r="L3515" i="7" s="1"/>
  <c r="G3514" i="7"/>
  <c r="L3514" i="7" s="1"/>
  <c r="G3513" i="7"/>
  <c r="L3513" i="7" s="1"/>
  <c r="G3512" i="7"/>
  <c r="G3511" i="7"/>
  <c r="L3511" i="7" s="1"/>
  <c r="G3510" i="7"/>
  <c r="L3510" i="7" s="1"/>
  <c r="G3509" i="7"/>
  <c r="L3509" i="7" s="1"/>
  <c r="G3508" i="7"/>
  <c r="L3508" i="7" s="1"/>
  <c r="G3507" i="7"/>
  <c r="L3507" i="7" s="1"/>
  <c r="G3506" i="7"/>
  <c r="L3506" i="7" s="1"/>
  <c r="G3505" i="7"/>
  <c r="L3505" i="7" s="1"/>
  <c r="G3504" i="7"/>
  <c r="L3504" i="7" s="1"/>
  <c r="G3503" i="7"/>
  <c r="L3503" i="7" s="1"/>
  <c r="G3502" i="7"/>
  <c r="L3502" i="7" s="1"/>
  <c r="G3501" i="7"/>
  <c r="L3501" i="7" s="1"/>
  <c r="G3500" i="7"/>
  <c r="G3499" i="7"/>
  <c r="L3499" i="7" s="1"/>
  <c r="G3498" i="7"/>
  <c r="L3498" i="7" s="1"/>
  <c r="G3497" i="7"/>
  <c r="L3497" i="7" s="1"/>
  <c r="G3496" i="7"/>
  <c r="L3496" i="7" s="1"/>
  <c r="G3495" i="7"/>
  <c r="L3495" i="7" s="1"/>
  <c r="G3494" i="7"/>
  <c r="L3494" i="7" s="1"/>
  <c r="G3493" i="7"/>
  <c r="L3493" i="7" s="1"/>
  <c r="G3492" i="7"/>
  <c r="L3492" i="7" s="1"/>
  <c r="G3491" i="7"/>
  <c r="L3491" i="7" s="1"/>
  <c r="G3490" i="7"/>
  <c r="L3490" i="7" s="1"/>
  <c r="G3489" i="7"/>
  <c r="L3489" i="7" s="1"/>
  <c r="G3488" i="7"/>
  <c r="L3488" i="7" s="1"/>
  <c r="G3487" i="7"/>
  <c r="L3487" i="7" s="1"/>
  <c r="G3486" i="7"/>
  <c r="L3486" i="7" s="1"/>
  <c r="G3485" i="7"/>
  <c r="L3485" i="7" s="1"/>
  <c r="G3484" i="7"/>
  <c r="L3484" i="7" s="1"/>
  <c r="G3483" i="7"/>
  <c r="L3483" i="7" s="1"/>
  <c r="G3482" i="7"/>
  <c r="L3482" i="7" s="1"/>
  <c r="G3481" i="7"/>
  <c r="L3481" i="7" s="1"/>
  <c r="G3480" i="7"/>
  <c r="L3480" i="7" s="1"/>
  <c r="G3479" i="7"/>
  <c r="L3479" i="7" s="1"/>
  <c r="G3478" i="7"/>
  <c r="L3478" i="7" s="1"/>
  <c r="G3477" i="7"/>
  <c r="L3477" i="7" s="1"/>
  <c r="G3476" i="7"/>
  <c r="L3476" i="7" s="1"/>
  <c r="G3475" i="7"/>
  <c r="L3475" i="7" s="1"/>
  <c r="G3474" i="7"/>
  <c r="L3474" i="7" s="1"/>
  <c r="G3473" i="7"/>
  <c r="L3473" i="7" s="1"/>
  <c r="G3472" i="7"/>
  <c r="L3472" i="7" s="1"/>
  <c r="G3471" i="7"/>
  <c r="L3471" i="7" s="1"/>
  <c r="G3470" i="7"/>
  <c r="G3469" i="7"/>
  <c r="L3469" i="7" s="1"/>
  <c r="G3468" i="7"/>
  <c r="L3468" i="7" s="1"/>
  <c r="G3467" i="7"/>
  <c r="L3467" i="7" s="1"/>
  <c r="G3466" i="7"/>
  <c r="L3466" i="7" s="1"/>
  <c r="G3465" i="7"/>
  <c r="L3465" i="7" s="1"/>
  <c r="G3464" i="7"/>
  <c r="L3464" i="7" s="1"/>
  <c r="G3463" i="7"/>
  <c r="L3463" i="7" s="1"/>
  <c r="G3462" i="7"/>
  <c r="L3462" i="7" s="1"/>
  <c r="G3461" i="7"/>
  <c r="L3461" i="7" s="1"/>
  <c r="G3460" i="7"/>
  <c r="L3460" i="7" s="1"/>
  <c r="G3459" i="7"/>
  <c r="L3459" i="7" s="1"/>
  <c r="G3458" i="7"/>
  <c r="G3457" i="7"/>
  <c r="L3457" i="7" s="1"/>
  <c r="G3456" i="7"/>
  <c r="L3456" i="7" s="1"/>
  <c r="G3455" i="7"/>
  <c r="L3455" i="7" s="1"/>
  <c r="G3454" i="7"/>
  <c r="L3454" i="7" s="1"/>
  <c r="G3453" i="7"/>
  <c r="L3453" i="7" s="1"/>
  <c r="G3452" i="7"/>
  <c r="L3452" i="7" s="1"/>
  <c r="G3451" i="7"/>
  <c r="L3451" i="7" s="1"/>
  <c r="G3450" i="7"/>
  <c r="L3450" i="7" s="1"/>
  <c r="G3449" i="7"/>
  <c r="L3449" i="7" s="1"/>
  <c r="G3448" i="7"/>
  <c r="L3448" i="7" s="1"/>
  <c r="G3447" i="7"/>
  <c r="L3447" i="7" s="1"/>
  <c r="G3446" i="7"/>
  <c r="L3446" i="7" s="1"/>
  <c r="G3445" i="7"/>
  <c r="L3445" i="7" s="1"/>
  <c r="G3444" i="7"/>
  <c r="L3444" i="7" s="1"/>
  <c r="G3443" i="7"/>
  <c r="L3443" i="7" s="1"/>
  <c r="G3442" i="7"/>
  <c r="L3442" i="7" s="1"/>
  <c r="G3441" i="7"/>
  <c r="L3441" i="7" s="1"/>
  <c r="G3440" i="7"/>
  <c r="L3440" i="7" s="1"/>
  <c r="G3439" i="7"/>
  <c r="L3439" i="7" s="1"/>
  <c r="G3438" i="7"/>
  <c r="L3438" i="7" s="1"/>
  <c r="G3437" i="7"/>
  <c r="L3437" i="7" s="1"/>
  <c r="G3436" i="7"/>
  <c r="L3436" i="7" s="1"/>
  <c r="G3435" i="7"/>
  <c r="L3435" i="7" s="1"/>
  <c r="G3434" i="7"/>
  <c r="L3434" i="7" s="1"/>
  <c r="G3433" i="7"/>
  <c r="L3433" i="7" s="1"/>
  <c r="G3432" i="7"/>
  <c r="L3432" i="7" s="1"/>
  <c r="G3431" i="7"/>
  <c r="L3431" i="7" s="1"/>
  <c r="G3430" i="7"/>
  <c r="L3430" i="7" s="1"/>
  <c r="G3429" i="7"/>
  <c r="L3429" i="7" s="1"/>
  <c r="G3428" i="7"/>
  <c r="L3428" i="7" s="1"/>
  <c r="G3427" i="7"/>
  <c r="L3427" i="7" s="1"/>
  <c r="G3426" i="7"/>
  <c r="L3426" i="7" s="1"/>
  <c r="G3425" i="7"/>
  <c r="L3425" i="7" s="1"/>
  <c r="G3424" i="7"/>
  <c r="L3424" i="7" s="1"/>
  <c r="G3423" i="7"/>
  <c r="L3423" i="7" s="1"/>
  <c r="G3422" i="7"/>
  <c r="L3422" i="7" s="1"/>
  <c r="G3421" i="7"/>
  <c r="L3421" i="7" s="1"/>
  <c r="G3420" i="7"/>
  <c r="L3420" i="7" s="1"/>
  <c r="G3419" i="7"/>
  <c r="L3419" i="7" s="1"/>
  <c r="G3418" i="7"/>
  <c r="L3418" i="7" s="1"/>
  <c r="G3417" i="7"/>
  <c r="L3417" i="7" s="1"/>
  <c r="G3416" i="7"/>
  <c r="G3415" i="7"/>
  <c r="L3415" i="7" s="1"/>
  <c r="G3414" i="7"/>
  <c r="L3414" i="7" s="1"/>
  <c r="G3413" i="7"/>
  <c r="L3413" i="7" s="1"/>
  <c r="G3412" i="7"/>
  <c r="L3412" i="7" s="1"/>
  <c r="G3411" i="7"/>
  <c r="L3411" i="7" s="1"/>
  <c r="G3410" i="7"/>
  <c r="L3410" i="7" s="1"/>
  <c r="G3409" i="7"/>
  <c r="L3409" i="7" s="1"/>
  <c r="G3408" i="7"/>
  <c r="L3408" i="7" s="1"/>
  <c r="G3407" i="7"/>
  <c r="L3407" i="7" s="1"/>
  <c r="G3406" i="7"/>
  <c r="L3406" i="7" s="1"/>
  <c r="G3405" i="7"/>
  <c r="L3405" i="7" s="1"/>
  <c r="G3404" i="7"/>
  <c r="L3404" i="7" s="1"/>
  <c r="G3403" i="7"/>
  <c r="L3403" i="7" s="1"/>
  <c r="G3402" i="7"/>
  <c r="L3402" i="7" s="1"/>
  <c r="G3401" i="7"/>
  <c r="L3401" i="7" s="1"/>
  <c r="G3400" i="7"/>
  <c r="L3400" i="7" s="1"/>
  <c r="G3399" i="7"/>
  <c r="L3399" i="7" s="1"/>
  <c r="G3398" i="7"/>
  <c r="L3398" i="7" s="1"/>
  <c r="G3397" i="7"/>
  <c r="L3397" i="7" s="1"/>
  <c r="G3396" i="7"/>
  <c r="L3396" i="7" s="1"/>
  <c r="G3395" i="7"/>
  <c r="L3395" i="7" s="1"/>
  <c r="G3394" i="7"/>
  <c r="L3394" i="7" s="1"/>
  <c r="G3393" i="7"/>
  <c r="L3393" i="7" s="1"/>
  <c r="G3392" i="7"/>
  <c r="L3392" i="7" s="1"/>
  <c r="G3391" i="7"/>
  <c r="L3391" i="7" s="1"/>
  <c r="G3390" i="7"/>
  <c r="L3390" i="7" s="1"/>
  <c r="G3389" i="7"/>
  <c r="L3389" i="7" s="1"/>
  <c r="G3388" i="7"/>
  <c r="L3388" i="7" s="1"/>
  <c r="G3387" i="7"/>
  <c r="L3387" i="7" s="1"/>
  <c r="G3386" i="7"/>
  <c r="L3386" i="7" s="1"/>
  <c r="G3385" i="7"/>
  <c r="L3385" i="7" s="1"/>
  <c r="G3384" i="7"/>
  <c r="L3384" i="7" s="1"/>
  <c r="G3383" i="7"/>
  <c r="L3383" i="7" s="1"/>
  <c r="G3382" i="7"/>
  <c r="L3382" i="7" s="1"/>
  <c r="G3381" i="7"/>
  <c r="L3381" i="7" s="1"/>
  <c r="G3380" i="7"/>
  <c r="L3380" i="7" s="1"/>
  <c r="G3379" i="7"/>
  <c r="L3379" i="7" s="1"/>
  <c r="G3378" i="7"/>
  <c r="L3378" i="7" s="1"/>
  <c r="G3377" i="7"/>
  <c r="L3377" i="7" s="1"/>
  <c r="G3376" i="7"/>
  <c r="L3376" i="7" s="1"/>
  <c r="G3375" i="7"/>
  <c r="L3375" i="7" s="1"/>
  <c r="G3374" i="7"/>
  <c r="G3373" i="7"/>
  <c r="L3373" i="7" s="1"/>
  <c r="G3372" i="7"/>
  <c r="L3372" i="7" s="1"/>
  <c r="G3371" i="7"/>
  <c r="L3371" i="7" s="1"/>
  <c r="G3370" i="7"/>
  <c r="L3370" i="7" s="1"/>
  <c r="G3369" i="7"/>
  <c r="L3369" i="7" s="1"/>
  <c r="G3368" i="7"/>
  <c r="G3367" i="7"/>
  <c r="L3367" i="7" s="1"/>
  <c r="G3366" i="7"/>
  <c r="L3366" i="7" s="1"/>
  <c r="G3365" i="7"/>
  <c r="L3365" i="7" s="1"/>
  <c r="G3364" i="7"/>
  <c r="L3364" i="7" s="1"/>
  <c r="G3363" i="7"/>
  <c r="L3363" i="7" s="1"/>
  <c r="G3362" i="7"/>
  <c r="G3361" i="7"/>
  <c r="L3361" i="7" s="1"/>
  <c r="G3360" i="7"/>
  <c r="L3360" i="7" s="1"/>
  <c r="G3359" i="7"/>
  <c r="L3359" i="7" s="1"/>
  <c r="G3358" i="7"/>
  <c r="L3358" i="7" s="1"/>
  <c r="G3357" i="7"/>
  <c r="L3357" i="7" s="1"/>
  <c r="G3356" i="7"/>
  <c r="L3356" i="7" s="1"/>
  <c r="G3355" i="7"/>
  <c r="L3355" i="7" s="1"/>
  <c r="G3354" i="7"/>
  <c r="L3354" i="7" s="1"/>
  <c r="G3353" i="7"/>
  <c r="L3353" i="7" s="1"/>
  <c r="G3352" i="7"/>
  <c r="L3352" i="7" s="1"/>
  <c r="G3351" i="7"/>
  <c r="L3351" i="7" s="1"/>
  <c r="G3350" i="7"/>
  <c r="L3350" i="7" s="1"/>
  <c r="G3349" i="7"/>
  <c r="L3349" i="7" s="1"/>
  <c r="G3348" i="7"/>
  <c r="L3348" i="7" s="1"/>
  <c r="G3347" i="7"/>
  <c r="L3347" i="7" s="1"/>
  <c r="G3346" i="7"/>
  <c r="L3346" i="7" s="1"/>
  <c r="G3345" i="7"/>
  <c r="L3345" i="7" s="1"/>
  <c r="G3344" i="7"/>
  <c r="L3344" i="7" s="1"/>
  <c r="G3343" i="7"/>
  <c r="L3343" i="7" s="1"/>
  <c r="G3342" i="7"/>
  <c r="L3342" i="7" s="1"/>
  <c r="G3341" i="7"/>
  <c r="L3341" i="7" s="1"/>
  <c r="G3340" i="7"/>
  <c r="L3340" i="7" s="1"/>
  <c r="G3339" i="7"/>
  <c r="L3339" i="7" s="1"/>
  <c r="G3338" i="7"/>
  <c r="G3337" i="7"/>
  <c r="L3337" i="7" s="1"/>
  <c r="G3336" i="7"/>
  <c r="L3336" i="7" s="1"/>
  <c r="G3335" i="7"/>
  <c r="L3335" i="7" s="1"/>
  <c r="G3334" i="7"/>
  <c r="L3334" i="7" s="1"/>
  <c r="G3333" i="7"/>
  <c r="L3333" i="7" s="1"/>
  <c r="G3332" i="7"/>
  <c r="G3331" i="7"/>
  <c r="L3331" i="7" s="1"/>
  <c r="G3330" i="7"/>
  <c r="L3330" i="7" s="1"/>
  <c r="G3329" i="7"/>
  <c r="L3329" i="7" s="1"/>
  <c r="G3328" i="7"/>
  <c r="L3328" i="7" s="1"/>
  <c r="G3327" i="7"/>
  <c r="L3327" i="7" s="1"/>
  <c r="G3326" i="7"/>
  <c r="L3326" i="7" s="1"/>
  <c r="G3325" i="7"/>
  <c r="L3325" i="7" s="1"/>
  <c r="G3324" i="7"/>
  <c r="L3324" i="7" s="1"/>
  <c r="G3323" i="7"/>
  <c r="L3323" i="7" s="1"/>
  <c r="G3322" i="7"/>
  <c r="L3322" i="7" s="1"/>
  <c r="G3321" i="7"/>
  <c r="L3321" i="7" s="1"/>
  <c r="G3320" i="7"/>
  <c r="L3320" i="7" s="1"/>
  <c r="G3319" i="7"/>
  <c r="L3319" i="7" s="1"/>
  <c r="G3318" i="7"/>
  <c r="L3318" i="7" s="1"/>
  <c r="G3317" i="7"/>
  <c r="L3317" i="7" s="1"/>
  <c r="G3316" i="7"/>
  <c r="L3316" i="7" s="1"/>
  <c r="G3315" i="7"/>
  <c r="L3315" i="7" s="1"/>
  <c r="G3314" i="7"/>
  <c r="L3314" i="7" s="1"/>
  <c r="G3313" i="7"/>
  <c r="L3313" i="7" s="1"/>
  <c r="G3312" i="7"/>
  <c r="L3312" i="7" s="1"/>
  <c r="G3311" i="7"/>
  <c r="L3311" i="7" s="1"/>
  <c r="G3310" i="7"/>
  <c r="L3310" i="7" s="1"/>
  <c r="G3309" i="7"/>
  <c r="L3309" i="7" s="1"/>
  <c r="G3308" i="7"/>
  <c r="L3308" i="7" s="1"/>
  <c r="G3307" i="7"/>
  <c r="L3307" i="7" s="1"/>
  <c r="G3306" i="7"/>
  <c r="L3306" i="7" s="1"/>
  <c r="G3305" i="7"/>
  <c r="L3305" i="7" s="1"/>
  <c r="G3304" i="7"/>
  <c r="L3304" i="7" s="1"/>
  <c r="G3303" i="7"/>
  <c r="L3303" i="7" s="1"/>
  <c r="G3302" i="7"/>
  <c r="L3302" i="7" s="1"/>
  <c r="G3301" i="7"/>
  <c r="L3301" i="7" s="1"/>
  <c r="G3300" i="7"/>
  <c r="L3300" i="7" s="1"/>
  <c r="G3299" i="7"/>
  <c r="L3299" i="7" s="1"/>
  <c r="G3298" i="7"/>
  <c r="L3298" i="7" s="1"/>
  <c r="G3297" i="7"/>
  <c r="L3297" i="7" s="1"/>
  <c r="G3296" i="7"/>
  <c r="L3296" i="7" s="1"/>
  <c r="G3295" i="7"/>
  <c r="L3295" i="7" s="1"/>
  <c r="G3294" i="7"/>
  <c r="L3294" i="7" s="1"/>
  <c r="G3293" i="7"/>
  <c r="L3293" i="7" s="1"/>
  <c r="G3292" i="7"/>
  <c r="L3292" i="7" s="1"/>
  <c r="G3291" i="7"/>
  <c r="L3291" i="7" s="1"/>
  <c r="G3290" i="7"/>
  <c r="G3289" i="7"/>
  <c r="L3289" i="7" s="1"/>
  <c r="G3288" i="7"/>
  <c r="L3288" i="7" s="1"/>
  <c r="G3287" i="7"/>
  <c r="L3287" i="7" s="1"/>
  <c r="G3286" i="7"/>
  <c r="L3286" i="7" s="1"/>
  <c r="G3285" i="7"/>
  <c r="L3285" i="7" s="1"/>
  <c r="G3284" i="7"/>
  <c r="L3284" i="7" s="1"/>
  <c r="G3283" i="7"/>
  <c r="L3283" i="7" s="1"/>
  <c r="G3282" i="7"/>
  <c r="L3282" i="7" s="1"/>
  <c r="G3281" i="7"/>
  <c r="L3281" i="7" s="1"/>
  <c r="G3280" i="7"/>
  <c r="L3280" i="7" s="1"/>
  <c r="G3279" i="7"/>
  <c r="L3279" i="7" s="1"/>
  <c r="G3278" i="7"/>
  <c r="L3278" i="7" s="1"/>
  <c r="G3277" i="7"/>
  <c r="L3277" i="7" s="1"/>
  <c r="G3276" i="7"/>
  <c r="L3276" i="7" s="1"/>
  <c r="G3275" i="7"/>
  <c r="L3275" i="7" s="1"/>
  <c r="G3274" i="7"/>
  <c r="L3274" i="7" s="1"/>
  <c r="G3273" i="7"/>
  <c r="L3273" i="7" s="1"/>
  <c r="G3272" i="7"/>
  <c r="L3272" i="7" s="1"/>
  <c r="G3271" i="7"/>
  <c r="L3271" i="7" s="1"/>
  <c r="G3270" i="7"/>
  <c r="L3270" i="7" s="1"/>
  <c r="G3269" i="7"/>
  <c r="L3269" i="7" s="1"/>
  <c r="G3268" i="7"/>
  <c r="L3268" i="7" s="1"/>
  <c r="G3267" i="7"/>
  <c r="L3267" i="7" s="1"/>
  <c r="G3266" i="7"/>
  <c r="L3266" i="7" s="1"/>
  <c r="G3265" i="7"/>
  <c r="L3265" i="7" s="1"/>
  <c r="G3264" i="7"/>
  <c r="L3264" i="7" s="1"/>
  <c r="G3263" i="7"/>
  <c r="L3263" i="7" s="1"/>
  <c r="G3262" i="7"/>
  <c r="L3262" i="7" s="1"/>
  <c r="G3261" i="7"/>
  <c r="L3261" i="7" s="1"/>
  <c r="G3260" i="7"/>
  <c r="G3259" i="7"/>
  <c r="L3259" i="7" s="1"/>
  <c r="G3258" i="7"/>
  <c r="L3258" i="7" s="1"/>
  <c r="G3257" i="7"/>
  <c r="L3257" i="7" s="1"/>
  <c r="G3256" i="7"/>
  <c r="L3256" i="7" s="1"/>
  <c r="G3255" i="7"/>
  <c r="L3255" i="7" s="1"/>
  <c r="G3254" i="7"/>
  <c r="L3254" i="7" s="1"/>
  <c r="G3253" i="7"/>
  <c r="L3253" i="7" s="1"/>
  <c r="G3252" i="7"/>
  <c r="L3252" i="7" s="1"/>
  <c r="G3251" i="7"/>
  <c r="L3251" i="7" s="1"/>
  <c r="G3250" i="7"/>
  <c r="L3250" i="7" s="1"/>
  <c r="G3249" i="7"/>
  <c r="L3249" i="7" s="1"/>
  <c r="G3248" i="7"/>
  <c r="L3248" i="7" s="1"/>
  <c r="G3247" i="7"/>
  <c r="L3247" i="7" s="1"/>
  <c r="G3246" i="7"/>
  <c r="L3246" i="7" s="1"/>
  <c r="G3245" i="7"/>
  <c r="L3245" i="7" s="1"/>
  <c r="G3244" i="7"/>
  <c r="L3244" i="7" s="1"/>
  <c r="G3243" i="7"/>
  <c r="L3243" i="7" s="1"/>
  <c r="G3242" i="7"/>
  <c r="G3241" i="7"/>
  <c r="L3241" i="7" s="1"/>
  <c r="G3240" i="7"/>
  <c r="L3240" i="7" s="1"/>
  <c r="G3239" i="7"/>
  <c r="L3239" i="7" s="1"/>
  <c r="G3238" i="7"/>
  <c r="L3238" i="7" s="1"/>
  <c r="G3237" i="7"/>
  <c r="L3237" i="7" s="1"/>
  <c r="G3236" i="7"/>
  <c r="L3236" i="7" s="1"/>
  <c r="G3235" i="7"/>
  <c r="L3235" i="7" s="1"/>
  <c r="G3234" i="7"/>
  <c r="L3234" i="7" s="1"/>
  <c r="G3233" i="7"/>
  <c r="L3233" i="7" s="1"/>
  <c r="G3232" i="7"/>
  <c r="L3232" i="7" s="1"/>
  <c r="G3231" i="7"/>
  <c r="L3231" i="7" s="1"/>
  <c r="G3230" i="7"/>
  <c r="L3230" i="7" s="1"/>
  <c r="G3229" i="7"/>
  <c r="L3229" i="7" s="1"/>
  <c r="G3228" i="7"/>
  <c r="L3228" i="7" s="1"/>
  <c r="G3227" i="7"/>
  <c r="L3227" i="7" s="1"/>
  <c r="G3226" i="7"/>
  <c r="L3226" i="7" s="1"/>
  <c r="G3225" i="7"/>
  <c r="L3225" i="7" s="1"/>
  <c r="G3224" i="7"/>
  <c r="L3224" i="7" s="1"/>
  <c r="G3223" i="7"/>
  <c r="L3223" i="7" s="1"/>
  <c r="G3222" i="7"/>
  <c r="L3222" i="7" s="1"/>
  <c r="G3221" i="7"/>
  <c r="L3221" i="7" s="1"/>
  <c r="G3220" i="7"/>
  <c r="L3220" i="7" s="1"/>
  <c r="G3219" i="7"/>
  <c r="L3219" i="7" s="1"/>
  <c r="G3218" i="7"/>
  <c r="L3218" i="7" s="1"/>
  <c r="G3217" i="7"/>
  <c r="L3217" i="7" s="1"/>
  <c r="G3216" i="7"/>
  <c r="L3216" i="7" s="1"/>
  <c r="G3215" i="7"/>
  <c r="L3215" i="7" s="1"/>
  <c r="G3214" i="7"/>
  <c r="L3214" i="7" s="1"/>
  <c r="G3213" i="7"/>
  <c r="L3213" i="7" s="1"/>
  <c r="G3212" i="7"/>
  <c r="G3211" i="7"/>
  <c r="L3211" i="7" s="1"/>
  <c r="G3210" i="7"/>
  <c r="L3210" i="7" s="1"/>
  <c r="G3209" i="7"/>
  <c r="L3209" i="7" s="1"/>
  <c r="G3208" i="7"/>
  <c r="L3208" i="7" s="1"/>
  <c r="G3207" i="7"/>
  <c r="L3207" i="7" s="1"/>
  <c r="G3206" i="7"/>
  <c r="G3205" i="7"/>
  <c r="L3205" i="7" s="1"/>
  <c r="G3204" i="7"/>
  <c r="L3204" i="7" s="1"/>
  <c r="G3203" i="7"/>
  <c r="L3203" i="7" s="1"/>
  <c r="G3202" i="7"/>
  <c r="L3202" i="7" s="1"/>
  <c r="G3201" i="7"/>
  <c r="L3201" i="7" s="1"/>
  <c r="G3200" i="7"/>
  <c r="L3200" i="7" s="1"/>
  <c r="G3199" i="7"/>
  <c r="L3199" i="7" s="1"/>
  <c r="G3198" i="7"/>
  <c r="L3198" i="7" s="1"/>
  <c r="G3197" i="7"/>
  <c r="L3197" i="7" s="1"/>
  <c r="G3196" i="7"/>
  <c r="L3196" i="7" s="1"/>
  <c r="G3195" i="7"/>
  <c r="L3195" i="7" s="1"/>
  <c r="G3194" i="7"/>
  <c r="L3194" i="7" s="1"/>
  <c r="G3193" i="7"/>
  <c r="L3193" i="7" s="1"/>
  <c r="G3192" i="7"/>
  <c r="L3192" i="7" s="1"/>
  <c r="G3191" i="7"/>
  <c r="L3191" i="7" s="1"/>
  <c r="G3190" i="7"/>
  <c r="L3190" i="7" s="1"/>
  <c r="G3189" i="7"/>
  <c r="L3189" i="7" s="1"/>
  <c r="G3188" i="7"/>
  <c r="L3188" i="7" s="1"/>
  <c r="G3187" i="7"/>
  <c r="L3187" i="7" s="1"/>
  <c r="G3186" i="7"/>
  <c r="L3186" i="7" s="1"/>
  <c r="G3185" i="7"/>
  <c r="L3185" i="7" s="1"/>
  <c r="G3184" i="7"/>
  <c r="L3184" i="7" s="1"/>
  <c r="G3183" i="7"/>
  <c r="L3183" i="7" s="1"/>
  <c r="G3182" i="7"/>
  <c r="L3182" i="7" s="1"/>
  <c r="G3181" i="7"/>
  <c r="L3181" i="7" s="1"/>
  <c r="G3180" i="7"/>
  <c r="L3180" i="7" s="1"/>
  <c r="G3179" i="7"/>
  <c r="L3179" i="7" s="1"/>
  <c r="G3178" i="7"/>
  <c r="L3178" i="7" s="1"/>
  <c r="G3177" i="7"/>
  <c r="L3177" i="7" s="1"/>
  <c r="G3176" i="7"/>
  <c r="G3175" i="7"/>
  <c r="L3175" i="7" s="1"/>
  <c r="G3174" i="7"/>
  <c r="L3174" i="7" s="1"/>
  <c r="G3173" i="7"/>
  <c r="L3173" i="7" s="1"/>
  <c r="G3172" i="7"/>
  <c r="L3172" i="7" s="1"/>
  <c r="G3171" i="7"/>
  <c r="L3171" i="7" s="1"/>
  <c r="G3170" i="7"/>
  <c r="L3170" i="7" s="1"/>
  <c r="G3169" i="7"/>
  <c r="L3169" i="7" s="1"/>
  <c r="G3168" i="7"/>
  <c r="L3168" i="7" s="1"/>
  <c r="G3167" i="7"/>
  <c r="L3167" i="7" s="1"/>
  <c r="G3166" i="7"/>
  <c r="L3166" i="7" s="1"/>
  <c r="G3165" i="7"/>
  <c r="L3165" i="7" s="1"/>
  <c r="G3164" i="7"/>
  <c r="L3164" i="7" s="1"/>
  <c r="G3163" i="7"/>
  <c r="L3163" i="7" s="1"/>
  <c r="G3162" i="7"/>
  <c r="L3162" i="7" s="1"/>
  <c r="G3161" i="7"/>
  <c r="L3161" i="7" s="1"/>
  <c r="G3160" i="7"/>
  <c r="L3160" i="7" s="1"/>
  <c r="G3159" i="7"/>
  <c r="L3159" i="7" s="1"/>
  <c r="G3158" i="7"/>
  <c r="L3158" i="7" s="1"/>
  <c r="G3157" i="7"/>
  <c r="L3157" i="7" s="1"/>
  <c r="G3156" i="7"/>
  <c r="L3156" i="7" s="1"/>
  <c r="G3155" i="7"/>
  <c r="L3155" i="7" s="1"/>
  <c r="G3154" i="7"/>
  <c r="L3154" i="7" s="1"/>
  <c r="G3153" i="7"/>
  <c r="L3153" i="7" s="1"/>
  <c r="G3152" i="7"/>
  <c r="L3152" i="7" s="1"/>
  <c r="G3151" i="7"/>
  <c r="L3151" i="7" s="1"/>
  <c r="G3150" i="7"/>
  <c r="L3150" i="7" s="1"/>
  <c r="G3149" i="7"/>
  <c r="L3149" i="7" s="1"/>
  <c r="G3148" i="7"/>
  <c r="L3148" i="7" s="1"/>
  <c r="G3147" i="7"/>
  <c r="L3147" i="7" s="1"/>
  <c r="G3146" i="7"/>
  <c r="G3145" i="7"/>
  <c r="L3145" i="7" s="1"/>
  <c r="G3144" i="7"/>
  <c r="L3144" i="7" s="1"/>
  <c r="G3143" i="7"/>
  <c r="L3143" i="7" s="1"/>
  <c r="G3142" i="7"/>
  <c r="L3142" i="7" s="1"/>
  <c r="G3141" i="7"/>
  <c r="L3141" i="7" s="1"/>
  <c r="G3140" i="7"/>
  <c r="L3140" i="7" s="1"/>
  <c r="G3139" i="7"/>
  <c r="L3139" i="7" s="1"/>
  <c r="G3138" i="7"/>
  <c r="L3138" i="7" s="1"/>
  <c r="G3137" i="7"/>
  <c r="L3137" i="7" s="1"/>
  <c r="G3136" i="7"/>
  <c r="L3136" i="7" s="1"/>
  <c r="G3135" i="7"/>
  <c r="L3135" i="7" s="1"/>
  <c r="G3134" i="7"/>
  <c r="L3134" i="7" s="1"/>
  <c r="G3133" i="7"/>
  <c r="L3133" i="7" s="1"/>
  <c r="G3132" i="7"/>
  <c r="L3132" i="7" s="1"/>
  <c r="G3131" i="7"/>
  <c r="L3131" i="7" s="1"/>
  <c r="G3130" i="7"/>
  <c r="L3130" i="7" s="1"/>
  <c r="G3129" i="7"/>
  <c r="L3129" i="7" s="1"/>
  <c r="G3128" i="7"/>
  <c r="G3127" i="7"/>
  <c r="L3127" i="7" s="1"/>
  <c r="G3126" i="7"/>
  <c r="L3126" i="7" s="1"/>
  <c r="G3125" i="7"/>
  <c r="L3125" i="7" s="1"/>
  <c r="G3124" i="7"/>
  <c r="L3124" i="7" s="1"/>
  <c r="G3123" i="7"/>
  <c r="L3123" i="7" s="1"/>
  <c r="G3122" i="7"/>
  <c r="L3122" i="7" s="1"/>
  <c r="G3121" i="7"/>
  <c r="L3121" i="7" s="1"/>
  <c r="G3120" i="7"/>
  <c r="L3120" i="7" s="1"/>
  <c r="G3119" i="7"/>
  <c r="L3119" i="7" s="1"/>
  <c r="G3118" i="7"/>
  <c r="L3118" i="7" s="1"/>
  <c r="G3117" i="7"/>
  <c r="L3117" i="7" s="1"/>
  <c r="G3116" i="7"/>
  <c r="L3116" i="7" s="1"/>
  <c r="G3115" i="7"/>
  <c r="L3115" i="7" s="1"/>
  <c r="G3114" i="7"/>
  <c r="L3114" i="7" s="1"/>
  <c r="G3113" i="7"/>
  <c r="L3113" i="7" s="1"/>
  <c r="G3112" i="7"/>
  <c r="L3112" i="7" s="1"/>
  <c r="G3111" i="7"/>
  <c r="L3111" i="7" s="1"/>
  <c r="G3110" i="7"/>
  <c r="L3110" i="7" s="1"/>
  <c r="G3109" i="7"/>
  <c r="L3109" i="7" s="1"/>
  <c r="G3108" i="7"/>
  <c r="L3108" i="7" s="1"/>
  <c r="G3107" i="7"/>
  <c r="L3107" i="7" s="1"/>
  <c r="G3106" i="7"/>
  <c r="L3106" i="7" s="1"/>
  <c r="G3105" i="7"/>
  <c r="L3105" i="7" s="1"/>
  <c r="G3104" i="7"/>
  <c r="L3104" i="7" s="1"/>
  <c r="G3103" i="7"/>
  <c r="L3103" i="7" s="1"/>
  <c r="G3102" i="7"/>
  <c r="L3102" i="7" s="1"/>
  <c r="G3101" i="7"/>
  <c r="L3101" i="7" s="1"/>
  <c r="G3100" i="7"/>
  <c r="L3100" i="7" s="1"/>
  <c r="G3099" i="7"/>
  <c r="L3099" i="7" s="1"/>
  <c r="G3098" i="7"/>
  <c r="L3098" i="7" s="1"/>
  <c r="G3097" i="7"/>
  <c r="L3097" i="7" s="1"/>
  <c r="G3096" i="7"/>
  <c r="L3096" i="7" s="1"/>
  <c r="G3095" i="7"/>
  <c r="L3095" i="7" s="1"/>
  <c r="G3094" i="7"/>
  <c r="L3094" i="7" s="1"/>
  <c r="G3093" i="7"/>
  <c r="L3093" i="7" s="1"/>
  <c r="G3092" i="7"/>
  <c r="G3091" i="7"/>
  <c r="L3091" i="7" s="1"/>
  <c r="G3090" i="7"/>
  <c r="L3090" i="7" s="1"/>
  <c r="G3089" i="7"/>
  <c r="L3089" i="7" s="1"/>
  <c r="G3088" i="7"/>
  <c r="L3088" i="7" s="1"/>
  <c r="G3087" i="7"/>
  <c r="L3087" i="7" s="1"/>
  <c r="G3086" i="7"/>
  <c r="L3086" i="7" s="1"/>
  <c r="G3085" i="7"/>
  <c r="L3085" i="7" s="1"/>
  <c r="G3084" i="7"/>
  <c r="L3084" i="7" s="1"/>
  <c r="G3083" i="7"/>
  <c r="L3083" i="7" s="1"/>
  <c r="G3082" i="7"/>
  <c r="L3082" i="7" s="1"/>
  <c r="G3081" i="7"/>
  <c r="L3081" i="7" s="1"/>
  <c r="G3080" i="7"/>
  <c r="L3080" i="7" s="1"/>
  <c r="G3079" i="7"/>
  <c r="L3079" i="7" s="1"/>
  <c r="G3078" i="7"/>
  <c r="L3078" i="7" s="1"/>
  <c r="G3077" i="7"/>
  <c r="L3077" i="7" s="1"/>
  <c r="G3076" i="7"/>
  <c r="L3076" i="7" s="1"/>
  <c r="G3075" i="7"/>
  <c r="L3075" i="7" s="1"/>
  <c r="G3074" i="7"/>
  <c r="G3073" i="7"/>
  <c r="L3073" i="7" s="1"/>
  <c r="G3072" i="7"/>
  <c r="L3072" i="7" s="1"/>
  <c r="G3071" i="7"/>
  <c r="L3071" i="7" s="1"/>
  <c r="G3070" i="7"/>
  <c r="L3070" i="7" s="1"/>
  <c r="G3069" i="7"/>
  <c r="L3069" i="7" s="1"/>
  <c r="G3068" i="7"/>
  <c r="G3067" i="7"/>
  <c r="L3067" i="7" s="1"/>
  <c r="G3066" i="7"/>
  <c r="L3066" i="7" s="1"/>
  <c r="G3065" i="7"/>
  <c r="L3065" i="7" s="1"/>
  <c r="G3064" i="7"/>
  <c r="L3064" i="7" s="1"/>
  <c r="G3063" i="7"/>
  <c r="L3063" i="7" s="1"/>
  <c r="G3062" i="7"/>
  <c r="L3062" i="7" s="1"/>
  <c r="G3061" i="7"/>
  <c r="L3061" i="7" s="1"/>
  <c r="G3060" i="7"/>
  <c r="L3060" i="7" s="1"/>
  <c r="G3059" i="7"/>
  <c r="L3059" i="7" s="1"/>
  <c r="G3058" i="7"/>
  <c r="L3058" i="7" s="1"/>
  <c r="G3057" i="7"/>
  <c r="L3057" i="7" s="1"/>
  <c r="G3056" i="7"/>
  <c r="L3056" i="7" s="1"/>
  <c r="G3055" i="7"/>
  <c r="L3055" i="7" s="1"/>
  <c r="G3054" i="7"/>
  <c r="L3054" i="7" s="1"/>
  <c r="G3053" i="7"/>
  <c r="L3053" i="7" s="1"/>
  <c r="G3052" i="7"/>
  <c r="L3052" i="7" s="1"/>
  <c r="G3051" i="7"/>
  <c r="L3051" i="7" s="1"/>
  <c r="G3050" i="7"/>
  <c r="G3049" i="7"/>
  <c r="L3049" i="7" s="1"/>
  <c r="G3048" i="7"/>
  <c r="L3048" i="7" s="1"/>
  <c r="G3047" i="7"/>
  <c r="L3047" i="7" s="1"/>
  <c r="G3046" i="7"/>
  <c r="L3046" i="7" s="1"/>
  <c r="G3045" i="7"/>
  <c r="L3045" i="7" s="1"/>
  <c r="G3044" i="7"/>
  <c r="G3043" i="7"/>
  <c r="L3043" i="7" s="1"/>
  <c r="G3042" i="7"/>
  <c r="L3042" i="7" s="1"/>
  <c r="G3041" i="7"/>
  <c r="L3041" i="7" s="1"/>
  <c r="G3040" i="7"/>
  <c r="L3040" i="7" s="1"/>
  <c r="G3039" i="7"/>
  <c r="L3039" i="7" s="1"/>
  <c r="G3038" i="7"/>
  <c r="L3038" i="7" s="1"/>
  <c r="G3037" i="7"/>
  <c r="L3037" i="7" s="1"/>
  <c r="G3036" i="7"/>
  <c r="L3036" i="7" s="1"/>
  <c r="G3035" i="7"/>
  <c r="L3035" i="7" s="1"/>
  <c r="G3034" i="7"/>
  <c r="L3034" i="7" s="1"/>
  <c r="G3033" i="7"/>
  <c r="L3033" i="7" s="1"/>
  <c r="G3032" i="7"/>
  <c r="L3032" i="7" s="1"/>
  <c r="G3031" i="7"/>
  <c r="L3031" i="7" s="1"/>
  <c r="G3030" i="7"/>
  <c r="L3030" i="7" s="1"/>
  <c r="G3029" i="7"/>
  <c r="L3029" i="7" s="1"/>
  <c r="G3028" i="7"/>
  <c r="L3028" i="7" s="1"/>
  <c r="G3027" i="7"/>
  <c r="L3027" i="7" s="1"/>
  <c r="G3026" i="7"/>
  <c r="L3026" i="7" s="1"/>
  <c r="G3025" i="7"/>
  <c r="L3025" i="7" s="1"/>
  <c r="G3024" i="7"/>
  <c r="L3024" i="7" s="1"/>
  <c r="G3023" i="7"/>
  <c r="L3023" i="7" s="1"/>
  <c r="G3022" i="7"/>
  <c r="L3022" i="7" s="1"/>
  <c r="G3021" i="7"/>
  <c r="L3021" i="7" s="1"/>
  <c r="G3020" i="7"/>
  <c r="G3019" i="7"/>
  <c r="L3019" i="7" s="1"/>
  <c r="G3018" i="7"/>
  <c r="L3018" i="7" s="1"/>
  <c r="G3017" i="7"/>
  <c r="L3017" i="7" s="1"/>
  <c r="G3016" i="7"/>
  <c r="L3016" i="7" s="1"/>
  <c r="G3015" i="7"/>
  <c r="L3015" i="7" s="1"/>
  <c r="G3014" i="7"/>
  <c r="L3014" i="7" s="1"/>
  <c r="G3013" i="7"/>
  <c r="L3013" i="7" s="1"/>
  <c r="G3012" i="7"/>
  <c r="L3012" i="7" s="1"/>
  <c r="G3011" i="7"/>
  <c r="L3011" i="7" s="1"/>
  <c r="G3010" i="7"/>
  <c r="L3010" i="7" s="1"/>
  <c r="G3009" i="7"/>
  <c r="L3009" i="7" s="1"/>
  <c r="G3008" i="7"/>
  <c r="G3007" i="7"/>
  <c r="L3007" i="7" s="1"/>
  <c r="G3006" i="7"/>
  <c r="L3006" i="7" s="1"/>
  <c r="G3005" i="7"/>
  <c r="L3005" i="7" s="1"/>
  <c r="G3004" i="7"/>
  <c r="L3004" i="7" s="1"/>
  <c r="G3003" i="7"/>
  <c r="L3003" i="7" s="1"/>
  <c r="G3002" i="7"/>
  <c r="L3002" i="7" s="1"/>
  <c r="G3001" i="7"/>
  <c r="L3001" i="7" s="1"/>
  <c r="G3000" i="7"/>
  <c r="L3000" i="7" s="1"/>
  <c r="G2999" i="7"/>
  <c r="L2999" i="7" s="1"/>
  <c r="G2998" i="7"/>
  <c r="L2998" i="7" s="1"/>
  <c r="G2997" i="7"/>
  <c r="L2997" i="7" s="1"/>
  <c r="G2996" i="7"/>
  <c r="L2996" i="7" s="1"/>
  <c r="G2995" i="7"/>
  <c r="L2995" i="7" s="1"/>
  <c r="G2994" i="7"/>
  <c r="L2994" i="7" s="1"/>
  <c r="G2993" i="7"/>
  <c r="L2993" i="7" s="1"/>
  <c r="G2992" i="7"/>
  <c r="L2992" i="7" s="1"/>
  <c r="G2991" i="7"/>
  <c r="L2991" i="7" s="1"/>
  <c r="G2990" i="7"/>
  <c r="G2989" i="7"/>
  <c r="L2989" i="7" s="1"/>
  <c r="G2988" i="7"/>
  <c r="L2988" i="7" s="1"/>
  <c r="G2987" i="7"/>
  <c r="L2987" i="7" s="1"/>
  <c r="G2986" i="7"/>
  <c r="L2986" i="7" s="1"/>
  <c r="G2985" i="7"/>
  <c r="L2985" i="7" s="1"/>
  <c r="G2984" i="7"/>
  <c r="L2984" i="7" s="1"/>
  <c r="G2983" i="7"/>
  <c r="L2983" i="7" s="1"/>
  <c r="G2982" i="7"/>
  <c r="L2982" i="7" s="1"/>
  <c r="G2981" i="7"/>
  <c r="L2981" i="7" s="1"/>
  <c r="G2980" i="7"/>
  <c r="L2980" i="7" s="1"/>
  <c r="G2979" i="7"/>
  <c r="L2979" i="7" s="1"/>
  <c r="G2978" i="7"/>
  <c r="L2978" i="7" s="1"/>
  <c r="G2977" i="7"/>
  <c r="L2977" i="7" s="1"/>
  <c r="G2976" i="7"/>
  <c r="L2976" i="7" s="1"/>
  <c r="G2975" i="7"/>
  <c r="L2975" i="7" s="1"/>
  <c r="G2974" i="7"/>
  <c r="L2974" i="7" s="1"/>
  <c r="G2973" i="7"/>
  <c r="L2973" i="7" s="1"/>
  <c r="G2972" i="7"/>
  <c r="G2971" i="7"/>
  <c r="L2971" i="7" s="1"/>
  <c r="G2970" i="7"/>
  <c r="L2970" i="7" s="1"/>
  <c r="G2969" i="7"/>
  <c r="L2969" i="7" s="1"/>
  <c r="G2968" i="7"/>
  <c r="L2968" i="7" s="1"/>
  <c r="G2967" i="7"/>
  <c r="L2967" i="7" s="1"/>
  <c r="G2966" i="7"/>
  <c r="G2965" i="7"/>
  <c r="L2965" i="7" s="1"/>
  <c r="G2964" i="7"/>
  <c r="L2964" i="7" s="1"/>
  <c r="G2963" i="7"/>
  <c r="L2963" i="7" s="1"/>
  <c r="G2962" i="7"/>
  <c r="L2962" i="7" s="1"/>
  <c r="G2961" i="7"/>
  <c r="L2961" i="7" s="1"/>
  <c r="G2960" i="7"/>
  <c r="L2960" i="7" s="1"/>
  <c r="G2959" i="7"/>
  <c r="L2959" i="7" s="1"/>
  <c r="G2958" i="7"/>
  <c r="L2958" i="7" s="1"/>
  <c r="G2957" i="7"/>
  <c r="L2957" i="7" s="1"/>
  <c r="G2956" i="7"/>
  <c r="L2956" i="7" s="1"/>
  <c r="G2955" i="7"/>
  <c r="L2955" i="7" s="1"/>
  <c r="G2954" i="7"/>
  <c r="G2953" i="7"/>
  <c r="L2953" i="7" s="1"/>
  <c r="G2952" i="7"/>
  <c r="L2952" i="7" s="1"/>
  <c r="G2951" i="7"/>
  <c r="L2951" i="7" s="1"/>
  <c r="G2950" i="7"/>
  <c r="L2950" i="7" s="1"/>
  <c r="G2949" i="7"/>
  <c r="L2949" i="7" s="1"/>
  <c r="G2948" i="7"/>
  <c r="L2948" i="7" s="1"/>
  <c r="G2947" i="7"/>
  <c r="L2947" i="7" s="1"/>
  <c r="G2946" i="7"/>
  <c r="L2946" i="7" s="1"/>
  <c r="G2945" i="7"/>
  <c r="L2945" i="7" s="1"/>
  <c r="G2944" i="7"/>
  <c r="L2944" i="7" s="1"/>
  <c r="G2943" i="7"/>
  <c r="L2943" i="7" s="1"/>
  <c r="G2942" i="7"/>
  <c r="G2941" i="7"/>
  <c r="L2941" i="7" s="1"/>
  <c r="G2940" i="7"/>
  <c r="L2940" i="7" s="1"/>
  <c r="G2939" i="7"/>
  <c r="L2939" i="7" s="1"/>
  <c r="G2938" i="7"/>
  <c r="L2938" i="7" s="1"/>
  <c r="G2937" i="7"/>
  <c r="L2937" i="7" s="1"/>
  <c r="G2936" i="7"/>
  <c r="L2936" i="7" s="1"/>
  <c r="G2935" i="7"/>
  <c r="L2935" i="7" s="1"/>
  <c r="G2934" i="7"/>
  <c r="L2934" i="7" s="1"/>
  <c r="G2933" i="7"/>
  <c r="L2933" i="7" s="1"/>
  <c r="G2932" i="7"/>
  <c r="L2932" i="7" s="1"/>
  <c r="G2931" i="7"/>
  <c r="L2931" i="7" s="1"/>
  <c r="G2930" i="7"/>
  <c r="L2930" i="7" s="1"/>
  <c r="G2929" i="7"/>
  <c r="L2929" i="7" s="1"/>
  <c r="G2928" i="7"/>
  <c r="L2928" i="7" s="1"/>
  <c r="G2927" i="7"/>
  <c r="L2927" i="7" s="1"/>
  <c r="G2926" i="7"/>
  <c r="L2926" i="7" s="1"/>
  <c r="G2925" i="7"/>
  <c r="L2925" i="7" s="1"/>
  <c r="G2924" i="7"/>
  <c r="L2924" i="7" s="1"/>
  <c r="G2923" i="7"/>
  <c r="L2923" i="7" s="1"/>
  <c r="G2922" i="7"/>
  <c r="L2922" i="7" s="1"/>
  <c r="G2921" i="7"/>
  <c r="L2921" i="7" s="1"/>
  <c r="G2920" i="7"/>
  <c r="L2920" i="7" s="1"/>
  <c r="G2919" i="7"/>
  <c r="L2919" i="7" s="1"/>
  <c r="G2918" i="7"/>
  <c r="G2917" i="7"/>
  <c r="L2917" i="7" s="1"/>
  <c r="G2916" i="7"/>
  <c r="L2916" i="7" s="1"/>
  <c r="G2915" i="7"/>
  <c r="L2915" i="7" s="1"/>
  <c r="G2914" i="7"/>
  <c r="L2914" i="7" s="1"/>
  <c r="G2913" i="7"/>
  <c r="L2913" i="7" s="1"/>
  <c r="G2912" i="7"/>
  <c r="G2911" i="7"/>
  <c r="L2911" i="7" s="1"/>
  <c r="G2910" i="7"/>
  <c r="L2910" i="7" s="1"/>
  <c r="G2909" i="7"/>
  <c r="L2909" i="7" s="1"/>
  <c r="G2908" i="7"/>
  <c r="L2908" i="7" s="1"/>
  <c r="G2907" i="7"/>
  <c r="L2907" i="7" s="1"/>
  <c r="G2906" i="7"/>
  <c r="L2906" i="7" s="1"/>
  <c r="G2905" i="7"/>
  <c r="L2905" i="7" s="1"/>
  <c r="G2904" i="7"/>
  <c r="L2904" i="7" s="1"/>
  <c r="G2903" i="7"/>
  <c r="L2903" i="7" s="1"/>
  <c r="G2902" i="7"/>
  <c r="L2902" i="7" s="1"/>
  <c r="G2901" i="7"/>
  <c r="L2901" i="7" s="1"/>
  <c r="G2900" i="7"/>
  <c r="G2899" i="7"/>
  <c r="L2899" i="7" s="1"/>
  <c r="G2898" i="7"/>
  <c r="L2898" i="7" s="1"/>
  <c r="G2897" i="7"/>
  <c r="L2897" i="7" s="1"/>
  <c r="G2896" i="7"/>
  <c r="L2896" i="7" s="1"/>
  <c r="G2895" i="7"/>
  <c r="L2895" i="7" s="1"/>
  <c r="G2894" i="7"/>
  <c r="G2893" i="7"/>
  <c r="L2893" i="7" s="1"/>
  <c r="G2892" i="7"/>
  <c r="L2892" i="7" s="1"/>
  <c r="G2891" i="7"/>
  <c r="L2891" i="7" s="1"/>
  <c r="G2890" i="7"/>
  <c r="L2890" i="7" s="1"/>
  <c r="G2889" i="7"/>
  <c r="L2889" i="7" s="1"/>
  <c r="G2888" i="7"/>
  <c r="L2888" i="7" s="1"/>
  <c r="G2887" i="7"/>
  <c r="L2887" i="7" s="1"/>
  <c r="G2886" i="7"/>
  <c r="L2886" i="7" s="1"/>
  <c r="G2885" i="7"/>
  <c r="L2885" i="7" s="1"/>
  <c r="G2884" i="7"/>
  <c r="L2884" i="7" s="1"/>
  <c r="G2883" i="7"/>
  <c r="L2883" i="7" s="1"/>
  <c r="G2882" i="7"/>
  <c r="G2881" i="7"/>
  <c r="L2881" i="7" s="1"/>
  <c r="G2880" i="7"/>
  <c r="L2880" i="7" s="1"/>
  <c r="G2879" i="7"/>
  <c r="L2879" i="7" s="1"/>
  <c r="G2878" i="7"/>
  <c r="L2878" i="7" s="1"/>
  <c r="G2877" i="7"/>
  <c r="L2877" i="7" s="1"/>
  <c r="G2876" i="7"/>
  <c r="L2876" i="7" s="1"/>
  <c r="G2875" i="7"/>
  <c r="L2875" i="7" s="1"/>
  <c r="G2874" i="7"/>
  <c r="L2874" i="7" s="1"/>
  <c r="G2873" i="7"/>
  <c r="L2873" i="7" s="1"/>
  <c r="G2872" i="7"/>
  <c r="L2872" i="7" s="1"/>
  <c r="G2871" i="7"/>
  <c r="L2871" i="7" s="1"/>
  <c r="G2870" i="7"/>
  <c r="G2869" i="7"/>
  <c r="L2869" i="7" s="1"/>
  <c r="G2868" i="7"/>
  <c r="L2868" i="7" s="1"/>
  <c r="G2867" i="7"/>
  <c r="L2867" i="7" s="1"/>
  <c r="G2866" i="7"/>
  <c r="L2866" i="7" s="1"/>
  <c r="G2865" i="7"/>
  <c r="L2865" i="7" s="1"/>
  <c r="G2864" i="7"/>
  <c r="L2864" i="7" s="1"/>
  <c r="G2863" i="7"/>
  <c r="L2863" i="7" s="1"/>
  <c r="G2862" i="7"/>
  <c r="L2862" i="7" s="1"/>
  <c r="G2861" i="7"/>
  <c r="L2861" i="7" s="1"/>
  <c r="G2860" i="7"/>
  <c r="L2860" i="7" s="1"/>
  <c r="G2859" i="7"/>
  <c r="L2859" i="7" s="1"/>
  <c r="G2858" i="7"/>
  <c r="L2858" i="7" s="1"/>
  <c r="G2857" i="7"/>
  <c r="L2857" i="7" s="1"/>
  <c r="G2856" i="7"/>
  <c r="L2856" i="7" s="1"/>
  <c r="G2855" i="7"/>
  <c r="L2855" i="7" s="1"/>
  <c r="G2854" i="7"/>
  <c r="L2854" i="7" s="1"/>
  <c r="G2853" i="7"/>
  <c r="L2853" i="7" s="1"/>
  <c r="G2852" i="7"/>
  <c r="L2852" i="7" s="1"/>
  <c r="G2851" i="7"/>
  <c r="L2851" i="7" s="1"/>
  <c r="G2850" i="7"/>
  <c r="L2850" i="7" s="1"/>
  <c r="G2849" i="7"/>
  <c r="L2849" i="7" s="1"/>
  <c r="G2848" i="7"/>
  <c r="L2848" i="7" s="1"/>
  <c r="G2847" i="7"/>
  <c r="L2847" i="7" s="1"/>
  <c r="G2846" i="7"/>
  <c r="L2846" i="7" s="1"/>
  <c r="G2845" i="7"/>
  <c r="L2845" i="7" s="1"/>
  <c r="G2844" i="7"/>
  <c r="L2844" i="7" s="1"/>
  <c r="G2843" i="7"/>
  <c r="L2843" i="7" s="1"/>
  <c r="G2842" i="7"/>
  <c r="L2842" i="7" s="1"/>
  <c r="G2841" i="7"/>
  <c r="L2841" i="7" s="1"/>
  <c r="G2840" i="7"/>
  <c r="L2840" i="7" s="1"/>
  <c r="G2839" i="7"/>
  <c r="L2839" i="7" s="1"/>
  <c r="G2838" i="7"/>
  <c r="L2838" i="7" s="1"/>
  <c r="G2837" i="7"/>
  <c r="L2837" i="7" s="1"/>
  <c r="G2836" i="7"/>
  <c r="L2836" i="7" s="1"/>
  <c r="G2835" i="7"/>
  <c r="L2835" i="7" s="1"/>
  <c r="G2834" i="7"/>
  <c r="G2833" i="7"/>
  <c r="L2833" i="7" s="1"/>
  <c r="G2832" i="7"/>
  <c r="L2832" i="7" s="1"/>
  <c r="G2831" i="7"/>
  <c r="L2831" i="7" s="1"/>
  <c r="G2830" i="7"/>
  <c r="L2830" i="7" s="1"/>
  <c r="G2829" i="7"/>
  <c r="L2829" i="7" s="1"/>
  <c r="G2828" i="7"/>
  <c r="L2828" i="7" s="1"/>
  <c r="G2827" i="7"/>
  <c r="L2827" i="7" s="1"/>
  <c r="G2826" i="7"/>
  <c r="L2826" i="7" s="1"/>
  <c r="G2825" i="7"/>
  <c r="L2825" i="7" s="1"/>
  <c r="G2824" i="7"/>
  <c r="L2824" i="7" s="1"/>
  <c r="G2823" i="7"/>
  <c r="L2823" i="7" s="1"/>
  <c r="G2822" i="7"/>
  <c r="L2822" i="7" s="1"/>
  <c r="G2821" i="7"/>
  <c r="L2821" i="7" s="1"/>
  <c r="G2820" i="7"/>
  <c r="L2820" i="7" s="1"/>
  <c r="G2819" i="7"/>
  <c r="L2819" i="7" s="1"/>
  <c r="G2818" i="7"/>
  <c r="L2818" i="7" s="1"/>
  <c r="G2817" i="7"/>
  <c r="L2817" i="7" s="1"/>
  <c r="G2816" i="7"/>
  <c r="L2816" i="7" s="1"/>
  <c r="G2815" i="7"/>
  <c r="L2815" i="7" s="1"/>
  <c r="G2814" i="7"/>
  <c r="L2814" i="7" s="1"/>
  <c r="G2813" i="7"/>
  <c r="L2813" i="7" s="1"/>
  <c r="G2812" i="7"/>
  <c r="L2812" i="7" s="1"/>
  <c r="G2811" i="7"/>
  <c r="L2811" i="7" s="1"/>
  <c r="G2810" i="7"/>
  <c r="G2809" i="7"/>
  <c r="L2809" i="7" s="1"/>
  <c r="G2808" i="7"/>
  <c r="L2808" i="7" s="1"/>
  <c r="G2807" i="7"/>
  <c r="L2807" i="7" s="1"/>
  <c r="G2806" i="7"/>
  <c r="L2806" i="7" s="1"/>
  <c r="G2805" i="7"/>
  <c r="L2805" i="7" s="1"/>
  <c r="G2804" i="7"/>
  <c r="L2804" i="7" s="1"/>
  <c r="G2803" i="7"/>
  <c r="L2803" i="7" s="1"/>
  <c r="G2802" i="7"/>
  <c r="L2802" i="7" s="1"/>
  <c r="G2801" i="7"/>
  <c r="L2801" i="7" s="1"/>
  <c r="G2800" i="7"/>
  <c r="L2800" i="7" s="1"/>
  <c r="G2799" i="7"/>
  <c r="L2799" i="7" s="1"/>
  <c r="G2798" i="7"/>
  <c r="L2798" i="7" s="1"/>
  <c r="G2797" i="7"/>
  <c r="L2797" i="7" s="1"/>
  <c r="G2796" i="7"/>
  <c r="L2796" i="7" s="1"/>
  <c r="G2795" i="7"/>
  <c r="L2795" i="7" s="1"/>
  <c r="G2794" i="7"/>
  <c r="L2794" i="7" s="1"/>
  <c r="G2793" i="7"/>
  <c r="L2793" i="7" s="1"/>
  <c r="G2792" i="7"/>
  <c r="L2792" i="7" s="1"/>
  <c r="G2791" i="7"/>
  <c r="L2791" i="7" s="1"/>
  <c r="G2790" i="7"/>
  <c r="L2790" i="7" s="1"/>
  <c r="G2789" i="7"/>
  <c r="L2789" i="7" s="1"/>
  <c r="G2788" i="7"/>
  <c r="L2788" i="7" s="1"/>
  <c r="G2787" i="7"/>
  <c r="L2787" i="7" s="1"/>
  <c r="G2786" i="7"/>
  <c r="G2785" i="7"/>
  <c r="L2785" i="7" s="1"/>
  <c r="G2784" i="7"/>
  <c r="L2784" i="7" s="1"/>
  <c r="G2783" i="7"/>
  <c r="L2783" i="7" s="1"/>
  <c r="G2782" i="7"/>
  <c r="L2782" i="7" s="1"/>
  <c r="G2781" i="7"/>
  <c r="L2781" i="7" s="1"/>
  <c r="G2780" i="7"/>
  <c r="L2780" i="7" s="1"/>
  <c r="G2779" i="7"/>
  <c r="L2779" i="7" s="1"/>
  <c r="G2778" i="7"/>
  <c r="L2778" i="7" s="1"/>
  <c r="G2777" i="7"/>
  <c r="L2777" i="7" s="1"/>
  <c r="G2776" i="7"/>
  <c r="L2776" i="7" s="1"/>
  <c r="G2775" i="7"/>
  <c r="L2775" i="7" s="1"/>
  <c r="G2774" i="7"/>
  <c r="L2774" i="7" s="1"/>
  <c r="G2773" i="7"/>
  <c r="L2773" i="7" s="1"/>
  <c r="G2772" i="7"/>
  <c r="L2772" i="7" s="1"/>
  <c r="G2771" i="7"/>
  <c r="L2771" i="7" s="1"/>
  <c r="G2770" i="7"/>
  <c r="L2770" i="7" s="1"/>
  <c r="G2769" i="7"/>
  <c r="L2769" i="7" s="1"/>
  <c r="G2768" i="7"/>
  <c r="L2768" i="7" s="1"/>
  <c r="G2767" i="7"/>
  <c r="L2767" i="7" s="1"/>
  <c r="G2766" i="7"/>
  <c r="L2766" i="7" s="1"/>
  <c r="G2765" i="7"/>
  <c r="L2765" i="7" s="1"/>
  <c r="G2764" i="7"/>
  <c r="L2764" i="7" s="1"/>
  <c r="G2763" i="7"/>
  <c r="L2763" i="7" s="1"/>
  <c r="G2762" i="7"/>
  <c r="G2761" i="7"/>
  <c r="L2761" i="7" s="1"/>
  <c r="G2760" i="7"/>
  <c r="L2760" i="7" s="1"/>
  <c r="G2759" i="7"/>
  <c r="L2759" i="7" s="1"/>
  <c r="G2758" i="7"/>
  <c r="L2758" i="7" s="1"/>
  <c r="G2757" i="7"/>
  <c r="L2757" i="7" s="1"/>
  <c r="G2756" i="7"/>
  <c r="G2755" i="7"/>
  <c r="L2755" i="7" s="1"/>
  <c r="G2754" i="7"/>
  <c r="L2754" i="7" s="1"/>
  <c r="G2753" i="7"/>
  <c r="L2753" i="7" s="1"/>
  <c r="G2752" i="7"/>
  <c r="L2752" i="7" s="1"/>
  <c r="G2751" i="7"/>
  <c r="L2751" i="7" s="1"/>
  <c r="G2750" i="7"/>
  <c r="L2750" i="7" s="1"/>
  <c r="G2749" i="7"/>
  <c r="L2749" i="7" s="1"/>
  <c r="G2748" i="7"/>
  <c r="L2748" i="7" s="1"/>
  <c r="G2747" i="7"/>
  <c r="L2747" i="7" s="1"/>
  <c r="G2746" i="7"/>
  <c r="L2746" i="7" s="1"/>
  <c r="G2745" i="7"/>
  <c r="L2745" i="7" s="1"/>
  <c r="G2744" i="7"/>
  <c r="G2743" i="7"/>
  <c r="L2743" i="7" s="1"/>
  <c r="G2742" i="7"/>
  <c r="L2742" i="7" s="1"/>
  <c r="G2741" i="7"/>
  <c r="L2741" i="7" s="1"/>
  <c r="G2740" i="7"/>
  <c r="L2740" i="7" s="1"/>
  <c r="G2739" i="7"/>
  <c r="L2739" i="7" s="1"/>
  <c r="G2738" i="7"/>
  <c r="G2737" i="7"/>
  <c r="L2737" i="7" s="1"/>
  <c r="G2736" i="7"/>
  <c r="L2736" i="7" s="1"/>
  <c r="G2735" i="7"/>
  <c r="L2735" i="7" s="1"/>
  <c r="G2734" i="7"/>
  <c r="L2734" i="7" s="1"/>
  <c r="G2733" i="7"/>
  <c r="L2733" i="7" s="1"/>
  <c r="G2732" i="7"/>
  <c r="G2731" i="7"/>
  <c r="L2731" i="7" s="1"/>
  <c r="G2730" i="7"/>
  <c r="L2730" i="7" s="1"/>
  <c r="G2729" i="7"/>
  <c r="L2729" i="7" s="1"/>
  <c r="G2728" i="7"/>
  <c r="L2728" i="7" s="1"/>
  <c r="G2727" i="7"/>
  <c r="L2727" i="7" s="1"/>
  <c r="G2726" i="7"/>
  <c r="G2725" i="7"/>
  <c r="L2725" i="7" s="1"/>
  <c r="G2724" i="7"/>
  <c r="L2724" i="7" s="1"/>
  <c r="G2723" i="7"/>
  <c r="L2723" i="7" s="1"/>
  <c r="G2722" i="7"/>
  <c r="L2722" i="7" s="1"/>
  <c r="G2721" i="7"/>
  <c r="L2721" i="7" s="1"/>
  <c r="G2720" i="7"/>
  <c r="G2719" i="7"/>
  <c r="L2719" i="7" s="1"/>
  <c r="G2718" i="7"/>
  <c r="L2718" i="7" s="1"/>
  <c r="G2717" i="7"/>
  <c r="L2717" i="7" s="1"/>
  <c r="G2716" i="7"/>
  <c r="L2716" i="7" s="1"/>
  <c r="G2715" i="7"/>
  <c r="L2715" i="7" s="1"/>
  <c r="G2714" i="7"/>
  <c r="G2713" i="7"/>
  <c r="L2713" i="7" s="1"/>
  <c r="G2712" i="7"/>
  <c r="L2712" i="7" s="1"/>
  <c r="G2711" i="7"/>
  <c r="L2711" i="7" s="1"/>
  <c r="G2710" i="7"/>
  <c r="L2710" i="7" s="1"/>
  <c r="G2709" i="7"/>
  <c r="L2709" i="7" s="1"/>
  <c r="G2708" i="7"/>
  <c r="G2707" i="7"/>
  <c r="L2707" i="7" s="1"/>
  <c r="G2706" i="7"/>
  <c r="L2706" i="7" s="1"/>
  <c r="G2705" i="7"/>
  <c r="L2705" i="7" s="1"/>
  <c r="G2704" i="7"/>
  <c r="L2704" i="7" s="1"/>
  <c r="G2703" i="7"/>
  <c r="L2703" i="7" s="1"/>
  <c r="G2702" i="7"/>
  <c r="L2702" i="7" s="1"/>
  <c r="G2701" i="7"/>
  <c r="L2701" i="7" s="1"/>
  <c r="G2700" i="7"/>
  <c r="L2700" i="7" s="1"/>
  <c r="G2699" i="7"/>
  <c r="L2699" i="7" s="1"/>
  <c r="G2698" i="7"/>
  <c r="L2698" i="7" s="1"/>
  <c r="G2697" i="7"/>
  <c r="L2697" i="7" s="1"/>
  <c r="G2696" i="7"/>
  <c r="L2696" i="7" s="1"/>
  <c r="G2695" i="7"/>
  <c r="L2695" i="7" s="1"/>
  <c r="G2694" i="7"/>
  <c r="L2694" i="7" s="1"/>
  <c r="G2693" i="7"/>
  <c r="L2693" i="7" s="1"/>
  <c r="G2692" i="7"/>
  <c r="L2692" i="7" s="1"/>
  <c r="G2691" i="7"/>
  <c r="L2691" i="7" s="1"/>
  <c r="G2690" i="7"/>
  <c r="L2690" i="7" s="1"/>
  <c r="G2689" i="7"/>
  <c r="L2689" i="7" s="1"/>
  <c r="G2688" i="7"/>
  <c r="L2688" i="7" s="1"/>
  <c r="G2687" i="7"/>
  <c r="L2687" i="7" s="1"/>
  <c r="G2686" i="7"/>
  <c r="L2686" i="7" s="1"/>
  <c r="G2685" i="7"/>
  <c r="L2685" i="7" s="1"/>
  <c r="G2684" i="7"/>
  <c r="L2684" i="7" s="1"/>
  <c r="G2683" i="7"/>
  <c r="L2683" i="7" s="1"/>
  <c r="G2682" i="7"/>
  <c r="L2682" i="7" s="1"/>
  <c r="G2681" i="7"/>
  <c r="L2681" i="7" s="1"/>
  <c r="G2680" i="7"/>
  <c r="L2680" i="7" s="1"/>
  <c r="G2679" i="7"/>
  <c r="L2679" i="7" s="1"/>
  <c r="G2678" i="7"/>
  <c r="G2677" i="7"/>
  <c r="L2677" i="7" s="1"/>
  <c r="G2676" i="7"/>
  <c r="L2676" i="7" s="1"/>
  <c r="G2675" i="7"/>
  <c r="L2675" i="7" s="1"/>
  <c r="G2674" i="7"/>
  <c r="L2674" i="7" s="1"/>
  <c r="G2673" i="7"/>
  <c r="L2673" i="7" s="1"/>
  <c r="G2672" i="7"/>
  <c r="G2671" i="7"/>
  <c r="L2671" i="7" s="1"/>
  <c r="G2670" i="7"/>
  <c r="L2670" i="7" s="1"/>
  <c r="G2669" i="7"/>
  <c r="L2669" i="7" s="1"/>
  <c r="G2668" i="7"/>
  <c r="L2668" i="7" s="1"/>
  <c r="G2667" i="7"/>
  <c r="L2667" i="7" s="1"/>
  <c r="G2666" i="7"/>
  <c r="G2665" i="7"/>
  <c r="L2665" i="7" s="1"/>
  <c r="G2664" i="7"/>
  <c r="L2664" i="7" s="1"/>
  <c r="G2663" i="7"/>
  <c r="L2663" i="7" s="1"/>
  <c r="G2662" i="7"/>
  <c r="L2662" i="7" s="1"/>
  <c r="G2661" i="7"/>
  <c r="L2661" i="7" s="1"/>
  <c r="G2660" i="7"/>
  <c r="G2659" i="7"/>
  <c r="L2659" i="7" s="1"/>
  <c r="G2658" i="7"/>
  <c r="L2658" i="7" s="1"/>
  <c r="G2657" i="7"/>
  <c r="L2657" i="7" s="1"/>
  <c r="G2656" i="7"/>
  <c r="L2656" i="7" s="1"/>
  <c r="G2655" i="7"/>
  <c r="L2655" i="7" s="1"/>
  <c r="G2654" i="7"/>
  <c r="L2654" i="7" s="1"/>
  <c r="G2653" i="7"/>
  <c r="L2653" i="7" s="1"/>
  <c r="G2652" i="7"/>
  <c r="L2652" i="7" s="1"/>
  <c r="G2651" i="7"/>
  <c r="L2651" i="7" s="1"/>
  <c r="G2650" i="7"/>
  <c r="L2650" i="7" s="1"/>
  <c r="G2649" i="7"/>
  <c r="L2649" i="7" s="1"/>
  <c r="G2648" i="7"/>
  <c r="G2647" i="7"/>
  <c r="L2647" i="7" s="1"/>
  <c r="G2646" i="7"/>
  <c r="L2646" i="7" s="1"/>
  <c r="G2645" i="7"/>
  <c r="L2645" i="7" s="1"/>
  <c r="G2644" i="7"/>
  <c r="L2644" i="7" s="1"/>
  <c r="G2643" i="7"/>
  <c r="L2643" i="7" s="1"/>
  <c r="G2642" i="7"/>
  <c r="G2641" i="7"/>
  <c r="L2641" i="7" s="1"/>
  <c r="G2640" i="7"/>
  <c r="L2640" i="7" s="1"/>
  <c r="G2639" i="7"/>
  <c r="L2639" i="7" s="1"/>
  <c r="G2638" i="7"/>
  <c r="L2638" i="7" s="1"/>
  <c r="G2637" i="7"/>
  <c r="L2637" i="7" s="1"/>
  <c r="G2636" i="7"/>
  <c r="G2635" i="7"/>
  <c r="L2635" i="7" s="1"/>
  <c r="G2634" i="7"/>
  <c r="L2634" i="7" s="1"/>
  <c r="G2633" i="7"/>
  <c r="L2633" i="7" s="1"/>
  <c r="G2632" i="7"/>
  <c r="L2632" i="7" s="1"/>
  <c r="G2631" i="7"/>
  <c r="L2631" i="7" s="1"/>
  <c r="G2630" i="7"/>
  <c r="L2630" i="7" s="1"/>
  <c r="G2629" i="7"/>
  <c r="L2629" i="7" s="1"/>
  <c r="G2628" i="7"/>
  <c r="L2628" i="7" s="1"/>
  <c r="G2627" i="7"/>
  <c r="L2627" i="7" s="1"/>
  <c r="G2626" i="7"/>
  <c r="L2626" i="7" s="1"/>
  <c r="G2625" i="7"/>
  <c r="L2625" i="7" s="1"/>
  <c r="G2624" i="7"/>
  <c r="G2623" i="7"/>
  <c r="L2623" i="7" s="1"/>
  <c r="G2622" i="7"/>
  <c r="L2622" i="7" s="1"/>
  <c r="G2621" i="7"/>
  <c r="L2621" i="7" s="1"/>
  <c r="G2620" i="7"/>
  <c r="L2620" i="7" s="1"/>
  <c r="G2619" i="7"/>
  <c r="L2619" i="7" s="1"/>
  <c r="G2618" i="7"/>
  <c r="L2618" i="7" s="1"/>
  <c r="G2617" i="7"/>
  <c r="L2617" i="7" s="1"/>
  <c r="G2616" i="7"/>
  <c r="L2616" i="7" s="1"/>
  <c r="G2615" i="7"/>
  <c r="L2615" i="7" s="1"/>
  <c r="G2614" i="7"/>
  <c r="L2614" i="7" s="1"/>
  <c r="G2613" i="7"/>
  <c r="L2613" i="7" s="1"/>
  <c r="G2612" i="7"/>
  <c r="G2611" i="7"/>
  <c r="L2611" i="7" s="1"/>
  <c r="G2610" i="7"/>
  <c r="L2610" i="7" s="1"/>
  <c r="G2609" i="7"/>
  <c r="L2609" i="7" s="1"/>
  <c r="G2608" i="7"/>
  <c r="L2608" i="7" s="1"/>
  <c r="G2607" i="7"/>
  <c r="L2607" i="7" s="1"/>
  <c r="G2606" i="7"/>
  <c r="G2605" i="7"/>
  <c r="L2605" i="7" s="1"/>
  <c r="G2604" i="7"/>
  <c r="L2604" i="7" s="1"/>
  <c r="G2603" i="7"/>
  <c r="L2603" i="7" s="1"/>
  <c r="G2602" i="7"/>
  <c r="L2602" i="7" s="1"/>
  <c r="G2601" i="7"/>
  <c r="L2601" i="7" s="1"/>
  <c r="G2600" i="7"/>
  <c r="L2600" i="7" s="1"/>
  <c r="G2599" i="7"/>
  <c r="L2599" i="7" s="1"/>
  <c r="G2598" i="7"/>
  <c r="L2598" i="7" s="1"/>
  <c r="G2597" i="7"/>
  <c r="L2597" i="7" s="1"/>
  <c r="G2596" i="7"/>
  <c r="L2596" i="7" s="1"/>
  <c r="G2595" i="7"/>
  <c r="L2595" i="7" s="1"/>
  <c r="G2594" i="7"/>
  <c r="G2593" i="7"/>
  <c r="L2593" i="7" s="1"/>
  <c r="G2592" i="7"/>
  <c r="L2592" i="7" s="1"/>
  <c r="G2591" i="7"/>
  <c r="L2591" i="7" s="1"/>
  <c r="G2590" i="7"/>
  <c r="L2590" i="7" s="1"/>
  <c r="G2589" i="7"/>
  <c r="L2589" i="7" s="1"/>
  <c r="G2588" i="7"/>
  <c r="L2588" i="7" s="1"/>
  <c r="G2587" i="7"/>
  <c r="L2587" i="7" s="1"/>
  <c r="G2586" i="7"/>
  <c r="L2586" i="7" s="1"/>
  <c r="G2585" i="7"/>
  <c r="L2585" i="7" s="1"/>
  <c r="G2584" i="7"/>
  <c r="L2584" i="7" s="1"/>
  <c r="G2583" i="7"/>
  <c r="L2583" i="7" s="1"/>
  <c r="G2582" i="7"/>
  <c r="L2582" i="7" s="1"/>
  <c r="G2581" i="7"/>
  <c r="L2581" i="7" s="1"/>
  <c r="G2580" i="7"/>
  <c r="L2580" i="7" s="1"/>
  <c r="G2579" i="7"/>
  <c r="L2579" i="7" s="1"/>
  <c r="G2578" i="7"/>
  <c r="L2578" i="7" s="1"/>
  <c r="G2577" i="7"/>
  <c r="L2577" i="7" s="1"/>
  <c r="G2576" i="7"/>
  <c r="L2576" i="7" s="1"/>
  <c r="G2575" i="7"/>
  <c r="L2575" i="7" s="1"/>
  <c r="G2574" i="7"/>
  <c r="L2574" i="7" s="1"/>
  <c r="G2573" i="7"/>
  <c r="L2573" i="7" s="1"/>
  <c r="G2572" i="7"/>
  <c r="L2572" i="7" s="1"/>
  <c r="G2571" i="7"/>
  <c r="L2571" i="7" s="1"/>
  <c r="G2570" i="7"/>
  <c r="G2569" i="7"/>
  <c r="L2569" i="7" s="1"/>
  <c r="G2568" i="7"/>
  <c r="L2568" i="7" s="1"/>
  <c r="G2567" i="7"/>
  <c r="L2567" i="7" s="1"/>
  <c r="G2566" i="7"/>
  <c r="L2566" i="7" s="1"/>
  <c r="G2565" i="7"/>
  <c r="L2565" i="7" s="1"/>
  <c r="G2564" i="7"/>
  <c r="G2563" i="7"/>
  <c r="L2563" i="7" s="1"/>
  <c r="G2562" i="7"/>
  <c r="L2562" i="7" s="1"/>
  <c r="G2561" i="7"/>
  <c r="L2561" i="7" s="1"/>
  <c r="G2560" i="7"/>
  <c r="L2560" i="7" s="1"/>
  <c r="G2559" i="7"/>
  <c r="L2559" i="7" s="1"/>
  <c r="G2558" i="7"/>
  <c r="L2558" i="7" s="1"/>
  <c r="G2557" i="7"/>
  <c r="L2557" i="7" s="1"/>
  <c r="G2556" i="7"/>
  <c r="L2556" i="7" s="1"/>
  <c r="G2555" i="7"/>
  <c r="L2555" i="7" s="1"/>
  <c r="G2554" i="7"/>
  <c r="L2554" i="7" s="1"/>
  <c r="G2553" i="7"/>
  <c r="L2553" i="7" s="1"/>
  <c r="G2552" i="7"/>
  <c r="L2552" i="7" s="1"/>
  <c r="G2551" i="7"/>
  <c r="L2551" i="7" s="1"/>
  <c r="G2550" i="7"/>
  <c r="L2550" i="7" s="1"/>
  <c r="G2549" i="7"/>
  <c r="L2549" i="7" s="1"/>
  <c r="G2548" i="7"/>
  <c r="L2548" i="7" s="1"/>
  <c r="G2547" i="7"/>
  <c r="L2547" i="7" s="1"/>
  <c r="G2546" i="7"/>
  <c r="L2546" i="7" s="1"/>
  <c r="G2545" i="7"/>
  <c r="L2545" i="7" s="1"/>
  <c r="G2544" i="7"/>
  <c r="L2544" i="7" s="1"/>
  <c r="G2543" i="7"/>
  <c r="L2543" i="7" s="1"/>
  <c r="G2542" i="7"/>
  <c r="L2542" i="7" s="1"/>
  <c r="G2541" i="7"/>
  <c r="L2541" i="7" s="1"/>
  <c r="G2540" i="7"/>
  <c r="G2539" i="7"/>
  <c r="L2539" i="7" s="1"/>
  <c r="G2538" i="7"/>
  <c r="L2538" i="7" s="1"/>
  <c r="G2537" i="7"/>
  <c r="L2537" i="7" s="1"/>
  <c r="G2536" i="7"/>
  <c r="L2536" i="7" s="1"/>
  <c r="G2535" i="7"/>
  <c r="L2535" i="7" s="1"/>
  <c r="G2534" i="7"/>
  <c r="L2534" i="7" s="1"/>
  <c r="G2533" i="7"/>
  <c r="L2533" i="7" s="1"/>
  <c r="G2532" i="7"/>
  <c r="L2532" i="7" s="1"/>
  <c r="G2531" i="7"/>
  <c r="L2531" i="7" s="1"/>
  <c r="G2530" i="7"/>
  <c r="L2530" i="7" s="1"/>
  <c r="G2529" i="7"/>
  <c r="L2529" i="7" s="1"/>
  <c r="G2528" i="7"/>
  <c r="L2528" i="7" s="1"/>
  <c r="G2527" i="7"/>
  <c r="L2527" i="7" s="1"/>
  <c r="G2526" i="7"/>
  <c r="L2526" i="7" s="1"/>
  <c r="G2525" i="7"/>
  <c r="L2525" i="7" s="1"/>
  <c r="G2524" i="7"/>
  <c r="L2524" i="7" s="1"/>
  <c r="G2523" i="7"/>
  <c r="L2523" i="7" s="1"/>
  <c r="G2522" i="7"/>
  <c r="G2521" i="7"/>
  <c r="L2521" i="7" s="1"/>
  <c r="G2520" i="7"/>
  <c r="L2520" i="7" s="1"/>
  <c r="G2519" i="7"/>
  <c r="L2519" i="7" s="1"/>
  <c r="G2518" i="7"/>
  <c r="L2518" i="7" s="1"/>
  <c r="G2517" i="7"/>
  <c r="L2517" i="7" s="1"/>
  <c r="G2516" i="7"/>
  <c r="L2516" i="7" s="1"/>
  <c r="G2515" i="7"/>
  <c r="L2515" i="7" s="1"/>
  <c r="G2514" i="7"/>
  <c r="L2514" i="7" s="1"/>
  <c r="G2513" i="7"/>
  <c r="L2513" i="7" s="1"/>
  <c r="G2512" i="7"/>
  <c r="L2512" i="7" s="1"/>
  <c r="G2511" i="7"/>
  <c r="L2511" i="7" s="1"/>
  <c r="G2510" i="7"/>
  <c r="L2510" i="7" s="1"/>
  <c r="G2509" i="7"/>
  <c r="L2509" i="7" s="1"/>
  <c r="G2508" i="7"/>
  <c r="L2508" i="7" s="1"/>
  <c r="G2507" i="7"/>
  <c r="L2507" i="7" s="1"/>
  <c r="G2506" i="7"/>
  <c r="L2506" i="7" s="1"/>
  <c r="G2505" i="7"/>
  <c r="L2505" i="7" s="1"/>
  <c r="G2504" i="7"/>
  <c r="G2503" i="7"/>
  <c r="L2503" i="7" s="1"/>
  <c r="G2502" i="7"/>
  <c r="L2502" i="7" s="1"/>
  <c r="G2501" i="7"/>
  <c r="L2501" i="7" s="1"/>
  <c r="G2500" i="7"/>
  <c r="L2500" i="7" s="1"/>
  <c r="G2499" i="7"/>
  <c r="L2499" i="7" s="1"/>
  <c r="G2498" i="7"/>
  <c r="L2498" i="7" s="1"/>
  <c r="G2497" i="7"/>
  <c r="L2497" i="7" s="1"/>
  <c r="G2496" i="7"/>
  <c r="L2496" i="7" s="1"/>
  <c r="G2495" i="7"/>
  <c r="L2495" i="7" s="1"/>
  <c r="G2494" i="7"/>
  <c r="L2494" i="7" s="1"/>
  <c r="G2493" i="7"/>
  <c r="L2493" i="7" s="1"/>
  <c r="G2492" i="7"/>
  <c r="L2492" i="7" s="1"/>
  <c r="G2491" i="7"/>
  <c r="L2491" i="7" s="1"/>
  <c r="G2490" i="7"/>
  <c r="L2490" i="7" s="1"/>
  <c r="G2489" i="7"/>
  <c r="L2489" i="7" s="1"/>
  <c r="G2488" i="7"/>
  <c r="L2488" i="7" s="1"/>
  <c r="G2487" i="7"/>
  <c r="L2487" i="7" s="1"/>
  <c r="G2486" i="7"/>
  <c r="G2485" i="7"/>
  <c r="L2485" i="7" s="1"/>
  <c r="G2484" i="7"/>
  <c r="L2484" i="7" s="1"/>
  <c r="G2483" i="7"/>
  <c r="L2483" i="7" s="1"/>
  <c r="G2482" i="7"/>
  <c r="L2482" i="7" s="1"/>
  <c r="G2481" i="7"/>
  <c r="L2481" i="7" s="1"/>
  <c r="G2480" i="7"/>
  <c r="L2480" i="7" s="1"/>
  <c r="G2479" i="7"/>
  <c r="L2479" i="7" s="1"/>
  <c r="G2478" i="7"/>
  <c r="L2478" i="7" s="1"/>
  <c r="G2477" i="7"/>
  <c r="L2477" i="7" s="1"/>
  <c r="G2476" i="7"/>
  <c r="L2476" i="7" s="1"/>
  <c r="G2475" i="7"/>
  <c r="L2475" i="7" s="1"/>
  <c r="G2474" i="7"/>
  <c r="L2474" i="7" s="1"/>
  <c r="G2473" i="7"/>
  <c r="L2473" i="7" s="1"/>
  <c r="G2472" i="7"/>
  <c r="L2472" i="7" s="1"/>
  <c r="G2471" i="7"/>
  <c r="L2471" i="7" s="1"/>
  <c r="G2470" i="7"/>
  <c r="L2470" i="7" s="1"/>
  <c r="G2469" i="7"/>
  <c r="L2469" i="7" s="1"/>
  <c r="G2468" i="7"/>
  <c r="G2467" i="7"/>
  <c r="L2467" i="7" s="1"/>
  <c r="G2466" i="7"/>
  <c r="L2466" i="7" s="1"/>
  <c r="G2465" i="7"/>
  <c r="L2465" i="7" s="1"/>
  <c r="G2464" i="7"/>
  <c r="L2464" i="7" s="1"/>
  <c r="G2463" i="7"/>
  <c r="L2463" i="7" s="1"/>
  <c r="G2462" i="7"/>
  <c r="G2461" i="7"/>
  <c r="L2461" i="7" s="1"/>
  <c r="G2460" i="7"/>
  <c r="L2460" i="7" s="1"/>
  <c r="G2459" i="7"/>
  <c r="L2459" i="7" s="1"/>
  <c r="G2458" i="7"/>
  <c r="L2458" i="7" s="1"/>
  <c r="G2457" i="7"/>
  <c r="L2457" i="7" s="1"/>
  <c r="G2456" i="7"/>
  <c r="L2456" i="7" s="1"/>
  <c r="G2455" i="7"/>
  <c r="L2455" i="7" s="1"/>
  <c r="G2454" i="7"/>
  <c r="L2454" i="7" s="1"/>
  <c r="G2453" i="7"/>
  <c r="L2453" i="7" s="1"/>
  <c r="G2452" i="7"/>
  <c r="L2452" i="7" s="1"/>
  <c r="G2451" i="7"/>
  <c r="L2451" i="7" s="1"/>
  <c r="G2450" i="7"/>
  <c r="G2449" i="7"/>
  <c r="L2449" i="7" s="1"/>
  <c r="G2448" i="7"/>
  <c r="L2448" i="7" s="1"/>
  <c r="G2447" i="7"/>
  <c r="L2447" i="7" s="1"/>
  <c r="G2446" i="7"/>
  <c r="L2446" i="7" s="1"/>
  <c r="G2445" i="7"/>
  <c r="L2445" i="7" s="1"/>
  <c r="G2444" i="7"/>
  <c r="L2444" i="7" s="1"/>
  <c r="G2443" i="7"/>
  <c r="L2443" i="7" s="1"/>
  <c r="G2442" i="7"/>
  <c r="L2442" i="7" s="1"/>
  <c r="G2441" i="7"/>
  <c r="L2441" i="7" s="1"/>
  <c r="G2440" i="7"/>
  <c r="L2440" i="7" s="1"/>
  <c r="G2439" i="7"/>
  <c r="L2439" i="7" s="1"/>
  <c r="G2438" i="7"/>
  <c r="G2437" i="7"/>
  <c r="L2437" i="7" s="1"/>
  <c r="G2436" i="7"/>
  <c r="L2436" i="7" s="1"/>
  <c r="G2435" i="7"/>
  <c r="L2435" i="7" s="1"/>
  <c r="G2434" i="7"/>
  <c r="L2434" i="7" s="1"/>
  <c r="G2433" i="7"/>
  <c r="L2433" i="7" s="1"/>
  <c r="G2432" i="7"/>
  <c r="L2432" i="7" s="1"/>
  <c r="G2431" i="7"/>
  <c r="L2431" i="7" s="1"/>
  <c r="G2430" i="7"/>
  <c r="L2430" i="7" s="1"/>
  <c r="G2429" i="7"/>
  <c r="L2429" i="7" s="1"/>
  <c r="G2428" i="7"/>
  <c r="L2428" i="7" s="1"/>
  <c r="G2427" i="7"/>
  <c r="L2427" i="7" s="1"/>
  <c r="G2426" i="7"/>
  <c r="G2425" i="7"/>
  <c r="L2425" i="7" s="1"/>
  <c r="G2424" i="7"/>
  <c r="L2424" i="7" s="1"/>
  <c r="G2423" i="7"/>
  <c r="L2423" i="7" s="1"/>
  <c r="G2422" i="7"/>
  <c r="L2422" i="7" s="1"/>
  <c r="G2421" i="7"/>
  <c r="L2421" i="7" s="1"/>
  <c r="G2420" i="7"/>
  <c r="G2419" i="7"/>
  <c r="L2419" i="7" s="1"/>
  <c r="G2418" i="7"/>
  <c r="L2418" i="7" s="1"/>
  <c r="G2417" i="7"/>
  <c r="L2417" i="7" s="1"/>
  <c r="G2416" i="7"/>
  <c r="L2416" i="7" s="1"/>
  <c r="G2415" i="7"/>
  <c r="L2415" i="7" s="1"/>
  <c r="G2414" i="7"/>
  <c r="G2413" i="7"/>
  <c r="L2413" i="7" s="1"/>
  <c r="G2412" i="7"/>
  <c r="L2412" i="7" s="1"/>
  <c r="G2411" i="7"/>
  <c r="L2411" i="7" s="1"/>
  <c r="G2410" i="7"/>
  <c r="L2410" i="7" s="1"/>
  <c r="G2409" i="7"/>
  <c r="L2409" i="7" s="1"/>
  <c r="G2408" i="7"/>
  <c r="L2408" i="7" s="1"/>
  <c r="G2407" i="7"/>
  <c r="L2407" i="7" s="1"/>
  <c r="G2406" i="7"/>
  <c r="L2406" i="7" s="1"/>
  <c r="G2405" i="7"/>
  <c r="L2405" i="7" s="1"/>
  <c r="G2404" i="7"/>
  <c r="L2404" i="7" s="1"/>
  <c r="G2403" i="7"/>
  <c r="L2403" i="7" s="1"/>
  <c r="G2402" i="7"/>
  <c r="G2401" i="7"/>
  <c r="L2401" i="7" s="1"/>
  <c r="G2400" i="7"/>
  <c r="L2400" i="7" s="1"/>
  <c r="G2399" i="7"/>
  <c r="L2399" i="7" s="1"/>
  <c r="G2398" i="7"/>
  <c r="L2398" i="7" s="1"/>
  <c r="G2397" i="7"/>
  <c r="L2397" i="7" s="1"/>
  <c r="G2396" i="7"/>
  <c r="L2396" i="7" s="1"/>
  <c r="G2395" i="7"/>
  <c r="L2395" i="7" s="1"/>
  <c r="G2394" i="7"/>
  <c r="L2394" i="7" s="1"/>
  <c r="G2393" i="7"/>
  <c r="L2393" i="7" s="1"/>
  <c r="G2392" i="7"/>
  <c r="L2392" i="7" s="1"/>
  <c r="G2391" i="7"/>
  <c r="L2391" i="7" s="1"/>
  <c r="G2390" i="7"/>
  <c r="L2390" i="7" s="1"/>
  <c r="G2389" i="7"/>
  <c r="L2389" i="7" s="1"/>
  <c r="G2388" i="7"/>
  <c r="L2388" i="7" s="1"/>
  <c r="G2387" i="7"/>
  <c r="L2387" i="7" s="1"/>
  <c r="G2386" i="7"/>
  <c r="L2386" i="7" s="1"/>
  <c r="G2385" i="7"/>
  <c r="L2385" i="7" s="1"/>
  <c r="G2384" i="7"/>
  <c r="G2383" i="7"/>
  <c r="L2383" i="7" s="1"/>
  <c r="G2382" i="7"/>
  <c r="L2382" i="7" s="1"/>
  <c r="G2381" i="7"/>
  <c r="L2381" i="7" s="1"/>
  <c r="G2380" i="7"/>
  <c r="L2380" i="7" s="1"/>
  <c r="G2379" i="7"/>
  <c r="L2379" i="7" s="1"/>
  <c r="G2378" i="7"/>
  <c r="L2378" i="7" s="1"/>
  <c r="G2377" i="7"/>
  <c r="L2377" i="7" s="1"/>
  <c r="G2376" i="7"/>
  <c r="L2376" i="7" s="1"/>
  <c r="G2375" i="7"/>
  <c r="L2375" i="7" s="1"/>
  <c r="G2374" i="7"/>
  <c r="L2374" i="7" s="1"/>
  <c r="G2373" i="7"/>
  <c r="L2373" i="7" s="1"/>
  <c r="G2372" i="7"/>
  <c r="G2371" i="7"/>
  <c r="L2371" i="7" s="1"/>
  <c r="G2370" i="7"/>
  <c r="L2370" i="7" s="1"/>
  <c r="G2369" i="7"/>
  <c r="L2369" i="7" s="1"/>
  <c r="G2368" i="7"/>
  <c r="L2368" i="7" s="1"/>
  <c r="G2367" i="7"/>
  <c r="L2367" i="7" s="1"/>
  <c r="G2366" i="7"/>
  <c r="G2365" i="7"/>
  <c r="L2365" i="7" s="1"/>
  <c r="G2364" i="7"/>
  <c r="L2364" i="7" s="1"/>
  <c r="G2363" i="7"/>
  <c r="L2363" i="7" s="1"/>
  <c r="G2362" i="7"/>
  <c r="L2362" i="7" s="1"/>
  <c r="G2361" i="7"/>
  <c r="L2361" i="7" s="1"/>
  <c r="G2360" i="7"/>
  <c r="L2360" i="7" s="1"/>
  <c r="G2359" i="7"/>
  <c r="L2359" i="7" s="1"/>
  <c r="G2358" i="7"/>
  <c r="L2358" i="7" s="1"/>
  <c r="G2357" i="7"/>
  <c r="L2357" i="7" s="1"/>
  <c r="G2356" i="7"/>
  <c r="L2356" i="7" s="1"/>
  <c r="G2355" i="7"/>
  <c r="L2355" i="7" s="1"/>
  <c r="G2354" i="7"/>
  <c r="G2353" i="7"/>
  <c r="L2353" i="7" s="1"/>
  <c r="G2352" i="7"/>
  <c r="L2352" i="7" s="1"/>
  <c r="G2351" i="7"/>
  <c r="L2351" i="7" s="1"/>
  <c r="G2350" i="7"/>
  <c r="L2350" i="7" s="1"/>
  <c r="G2349" i="7"/>
  <c r="L2349" i="7" s="1"/>
  <c r="G2348" i="7"/>
  <c r="G2347" i="7"/>
  <c r="L2347" i="7" s="1"/>
  <c r="G2346" i="7"/>
  <c r="L2346" i="7" s="1"/>
  <c r="G2345" i="7"/>
  <c r="L2345" i="7" s="1"/>
  <c r="G2344" i="7"/>
  <c r="L2344" i="7" s="1"/>
  <c r="G2343" i="7"/>
  <c r="L2343" i="7" s="1"/>
  <c r="G2342" i="7"/>
  <c r="G2341" i="7"/>
  <c r="L2341" i="7" s="1"/>
  <c r="G2340" i="7"/>
  <c r="L2340" i="7" s="1"/>
  <c r="G2339" i="7"/>
  <c r="L2339" i="7" s="1"/>
  <c r="G2338" i="7"/>
  <c r="L2338" i="7" s="1"/>
  <c r="G2337" i="7"/>
  <c r="L2337" i="7" s="1"/>
  <c r="G2336" i="7"/>
  <c r="G2335" i="7"/>
  <c r="L2335" i="7" s="1"/>
  <c r="G2334" i="7"/>
  <c r="L2334" i="7" s="1"/>
  <c r="G2333" i="7"/>
  <c r="L2333" i="7" s="1"/>
  <c r="G2332" i="7"/>
  <c r="L2332" i="7" s="1"/>
  <c r="G2331" i="7"/>
  <c r="L2331" i="7" s="1"/>
  <c r="G2330" i="7"/>
  <c r="G2329" i="7"/>
  <c r="L2329" i="7" s="1"/>
  <c r="G2328" i="7"/>
  <c r="L2328" i="7" s="1"/>
  <c r="G2327" i="7"/>
  <c r="L2327" i="7" s="1"/>
  <c r="G2326" i="7"/>
  <c r="L2326" i="7" s="1"/>
  <c r="G2325" i="7"/>
  <c r="L2325" i="7" s="1"/>
  <c r="G2324" i="7"/>
  <c r="G2323" i="7"/>
  <c r="L2323" i="7" s="1"/>
  <c r="G2322" i="7"/>
  <c r="L2322" i="7" s="1"/>
  <c r="G2321" i="7"/>
  <c r="L2321" i="7" s="1"/>
  <c r="G2320" i="7"/>
  <c r="L2320" i="7" s="1"/>
  <c r="G2319" i="7"/>
  <c r="L2319" i="7" s="1"/>
  <c r="G2318" i="7"/>
  <c r="G2317" i="7"/>
  <c r="L2317" i="7" s="1"/>
  <c r="G2316" i="7"/>
  <c r="L2316" i="7" s="1"/>
  <c r="G2315" i="7"/>
  <c r="L2315" i="7" s="1"/>
  <c r="G2314" i="7"/>
  <c r="L2314" i="7" s="1"/>
  <c r="G2313" i="7"/>
  <c r="L2313" i="7" s="1"/>
  <c r="G2312" i="7"/>
  <c r="G2311" i="7"/>
  <c r="L2311" i="7" s="1"/>
  <c r="G2310" i="7"/>
  <c r="L2310" i="7" s="1"/>
  <c r="G2309" i="7"/>
  <c r="L2309" i="7" s="1"/>
  <c r="G2308" i="7"/>
  <c r="L2308" i="7" s="1"/>
  <c r="G2307" i="7"/>
  <c r="L2307" i="7" s="1"/>
  <c r="G2306" i="7"/>
  <c r="G2305" i="7"/>
  <c r="L2305" i="7" s="1"/>
  <c r="G2304" i="7"/>
  <c r="L2304" i="7" s="1"/>
  <c r="G2303" i="7"/>
  <c r="L2303" i="7" s="1"/>
  <c r="G2302" i="7"/>
  <c r="L2302" i="7" s="1"/>
  <c r="G2301" i="7"/>
  <c r="L2301" i="7" s="1"/>
  <c r="G2300" i="7"/>
  <c r="L2300" i="7" s="1"/>
  <c r="G2299" i="7"/>
  <c r="L2299" i="7" s="1"/>
  <c r="G2298" i="7"/>
  <c r="L2298" i="7" s="1"/>
  <c r="G2297" i="7"/>
  <c r="L2297" i="7" s="1"/>
  <c r="G2296" i="7"/>
  <c r="L2296" i="7" s="1"/>
  <c r="G2295" i="7"/>
  <c r="L2295" i="7" s="1"/>
  <c r="G2294" i="7"/>
  <c r="G2293" i="7"/>
  <c r="L2293" i="7" s="1"/>
  <c r="G2292" i="7"/>
  <c r="L2292" i="7" s="1"/>
  <c r="G2291" i="7"/>
  <c r="L2291" i="7" s="1"/>
  <c r="G2290" i="7"/>
  <c r="L2290" i="7" s="1"/>
  <c r="G2289" i="7"/>
  <c r="L2289" i="7" s="1"/>
  <c r="G2288" i="7"/>
  <c r="L2288" i="7" s="1"/>
  <c r="G2287" i="7"/>
  <c r="L2287" i="7" s="1"/>
  <c r="G2286" i="7"/>
  <c r="L2286" i="7" s="1"/>
  <c r="G2285" i="7"/>
  <c r="L2285" i="7" s="1"/>
  <c r="G2284" i="7"/>
  <c r="L2284" i="7" s="1"/>
  <c r="G2283" i="7"/>
  <c r="L2283" i="7" s="1"/>
  <c r="G2282" i="7"/>
  <c r="G2281" i="7"/>
  <c r="L2281" i="7" s="1"/>
  <c r="G2280" i="7"/>
  <c r="L2280" i="7" s="1"/>
  <c r="G2279" i="7"/>
  <c r="L2279" i="7" s="1"/>
  <c r="G2278" i="7"/>
  <c r="L2278" i="7" s="1"/>
  <c r="G2277" i="7"/>
  <c r="L2277" i="7" s="1"/>
  <c r="G2276" i="7"/>
  <c r="G2275" i="7"/>
  <c r="L2275" i="7" s="1"/>
  <c r="G2274" i="7"/>
  <c r="L2274" i="7" s="1"/>
  <c r="G2273" i="7"/>
  <c r="L2273" i="7" s="1"/>
  <c r="G2272" i="7"/>
  <c r="L2272" i="7" s="1"/>
  <c r="G2271" i="7"/>
  <c r="L2271" i="7" s="1"/>
  <c r="G2270" i="7"/>
  <c r="L2270" i="7" s="1"/>
  <c r="G2269" i="7"/>
  <c r="L2269" i="7" s="1"/>
  <c r="G2268" i="7"/>
  <c r="L2268" i="7" s="1"/>
  <c r="G2267" i="7"/>
  <c r="L2267" i="7" s="1"/>
  <c r="G2266" i="7"/>
  <c r="L2266" i="7" s="1"/>
  <c r="G2265" i="7"/>
  <c r="L2265" i="7" s="1"/>
  <c r="G2264" i="7"/>
  <c r="L2264" i="7" s="1"/>
  <c r="G2263" i="7"/>
  <c r="L2263" i="7" s="1"/>
  <c r="G2262" i="7"/>
  <c r="L2262" i="7" s="1"/>
  <c r="G2261" i="7"/>
  <c r="L2261" i="7" s="1"/>
  <c r="G2260" i="7"/>
  <c r="L2260" i="7" s="1"/>
  <c r="G2259" i="7"/>
  <c r="L2259" i="7" s="1"/>
  <c r="G2258" i="7"/>
  <c r="L2258" i="7" s="1"/>
  <c r="G2257" i="7"/>
  <c r="L2257" i="7" s="1"/>
  <c r="G2256" i="7"/>
  <c r="L2256" i="7" s="1"/>
  <c r="G2255" i="7"/>
  <c r="L2255" i="7" s="1"/>
  <c r="G2254" i="7"/>
  <c r="L2254" i="7" s="1"/>
  <c r="G2253" i="7"/>
  <c r="L2253" i="7" s="1"/>
  <c r="G2252" i="7"/>
  <c r="G2251" i="7"/>
  <c r="L2251" i="7" s="1"/>
  <c r="G2250" i="7"/>
  <c r="L2250" i="7" s="1"/>
  <c r="G2249" i="7"/>
  <c r="L2249" i="7" s="1"/>
  <c r="G2248" i="7"/>
  <c r="L2248" i="7" s="1"/>
  <c r="G2247" i="7"/>
  <c r="L2247" i="7" s="1"/>
  <c r="G2246" i="7"/>
  <c r="L2246" i="7" s="1"/>
  <c r="G2245" i="7"/>
  <c r="L2245" i="7" s="1"/>
  <c r="G2244" i="7"/>
  <c r="L2244" i="7" s="1"/>
  <c r="G2243" i="7"/>
  <c r="L2243" i="7" s="1"/>
  <c r="G2242" i="7"/>
  <c r="L2242" i="7" s="1"/>
  <c r="G2241" i="7"/>
  <c r="L2241" i="7" s="1"/>
  <c r="G2240" i="7"/>
  <c r="G2239" i="7"/>
  <c r="L2239" i="7" s="1"/>
  <c r="G2238" i="7"/>
  <c r="L2238" i="7" s="1"/>
  <c r="G2237" i="7"/>
  <c r="L2237" i="7" s="1"/>
  <c r="G2236" i="7"/>
  <c r="L2236" i="7" s="1"/>
  <c r="G2235" i="7"/>
  <c r="L2235" i="7" s="1"/>
  <c r="G2234" i="7"/>
  <c r="G2233" i="7"/>
  <c r="L2233" i="7" s="1"/>
  <c r="G2232" i="7"/>
  <c r="L2232" i="7" s="1"/>
  <c r="G2231" i="7"/>
  <c r="L2231" i="7" s="1"/>
  <c r="G2230" i="7"/>
  <c r="L2230" i="7" s="1"/>
  <c r="G2229" i="7"/>
  <c r="L2229" i="7" s="1"/>
  <c r="G2228" i="7"/>
  <c r="G2227" i="7"/>
  <c r="L2227" i="7" s="1"/>
  <c r="G2226" i="7"/>
  <c r="L2226" i="7" s="1"/>
  <c r="G2225" i="7"/>
  <c r="L2225" i="7" s="1"/>
  <c r="G2224" i="7"/>
  <c r="L2224" i="7" s="1"/>
  <c r="G2223" i="7"/>
  <c r="L2223" i="7" s="1"/>
  <c r="G2222" i="7"/>
  <c r="L2222" i="7" s="1"/>
  <c r="G2221" i="7"/>
  <c r="L2221" i="7" s="1"/>
  <c r="G2220" i="7"/>
  <c r="L2220" i="7" s="1"/>
  <c r="G2219" i="7"/>
  <c r="L2219" i="7" s="1"/>
  <c r="G2218" i="7"/>
  <c r="L2218" i="7" s="1"/>
  <c r="G2217" i="7"/>
  <c r="L2217" i="7" s="1"/>
  <c r="G2216" i="7"/>
  <c r="L2216" i="7" s="1"/>
  <c r="G2215" i="7"/>
  <c r="L2215" i="7" s="1"/>
  <c r="G2214" i="7"/>
  <c r="L2214" i="7" s="1"/>
  <c r="G2213" i="7"/>
  <c r="L2213" i="7" s="1"/>
  <c r="G2212" i="7"/>
  <c r="L2212" i="7" s="1"/>
  <c r="G2211" i="7"/>
  <c r="L2211" i="7" s="1"/>
  <c r="G2210" i="7"/>
  <c r="L2210" i="7" s="1"/>
  <c r="G2209" i="7"/>
  <c r="L2209" i="7" s="1"/>
  <c r="G2208" i="7"/>
  <c r="L2208" i="7" s="1"/>
  <c r="G2207" i="7"/>
  <c r="L2207" i="7" s="1"/>
  <c r="G2206" i="7"/>
  <c r="L2206" i="7" s="1"/>
  <c r="G2205" i="7"/>
  <c r="L2205" i="7" s="1"/>
  <c r="G2204" i="7"/>
  <c r="L2204" i="7" s="1"/>
  <c r="G2203" i="7"/>
  <c r="L2203" i="7" s="1"/>
  <c r="G2202" i="7"/>
  <c r="L2202" i="7" s="1"/>
  <c r="G2201" i="7"/>
  <c r="L2201" i="7" s="1"/>
  <c r="G2200" i="7"/>
  <c r="L2200" i="7" s="1"/>
  <c r="G2199" i="7"/>
  <c r="L2199" i="7" s="1"/>
  <c r="G2198" i="7"/>
  <c r="L2198" i="7" s="1"/>
  <c r="G2197" i="7"/>
  <c r="L2197" i="7" s="1"/>
  <c r="G2196" i="7"/>
  <c r="L2196" i="7" s="1"/>
  <c r="G2195" i="7"/>
  <c r="L2195" i="7" s="1"/>
  <c r="G2194" i="7"/>
  <c r="L2194" i="7" s="1"/>
  <c r="G2193" i="7"/>
  <c r="L2193" i="7" s="1"/>
  <c r="G2192" i="7"/>
  <c r="G2191" i="7"/>
  <c r="L2191" i="7" s="1"/>
  <c r="G2190" i="7"/>
  <c r="L2190" i="7" s="1"/>
  <c r="G2189" i="7"/>
  <c r="L2189" i="7" s="1"/>
  <c r="G2188" i="7"/>
  <c r="L2188" i="7" s="1"/>
  <c r="G2187" i="7"/>
  <c r="L2187" i="7" s="1"/>
  <c r="G2186" i="7"/>
  <c r="G2185" i="7"/>
  <c r="L2185" i="7" s="1"/>
  <c r="G2184" i="7"/>
  <c r="L2184" i="7" s="1"/>
  <c r="G2183" i="7"/>
  <c r="L2183" i="7" s="1"/>
  <c r="G2182" i="7"/>
  <c r="L2182" i="7" s="1"/>
  <c r="G2181" i="7"/>
  <c r="L2181" i="7" s="1"/>
  <c r="G2180" i="7"/>
  <c r="L2180" i="7" s="1"/>
  <c r="G2179" i="7"/>
  <c r="L2179" i="7" s="1"/>
  <c r="G2178" i="7"/>
  <c r="L2178" i="7" s="1"/>
  <c r="G2177" i="7"/>
  <c r="L2177" i="7" s="1"/>
  <c r="G2176" i="7"/>
  <c r="L2176" i="7" s="1"/>
  <c r="G2175" i="7"/>
  <c r="L2175" i="7" s="1"/>
  <c r="G2174" i="7"/>
  <c r="L2174" i="7" s="1"/>
  <c r="G2173" i="7"/>
  <c r="L2173" i="7" s="1"/>
  <c r="G2172" i="7"/>
  <c r="L2172" i="7" s="1"/>
  <c r="G2171" i="7"/>
  <c r="L2171" i="7" s="1"/>
  <c r="G2170" i="7"/>
  <c r="L2170" i="7" s="1"/>
  <c r="G2169" i="7"/>
  <c r="L2169" i="7" s="1"/>
  <c r="G2168" i="7"/>
  <c r="L2168" i="7" s="1"/>
  <c r="G2167" i="7"/>
  <c r="L2167" i="7" s="1"/>
  <c r="G2166" i="7"/>
  <c r="L2166" i="7" s="1"/>
  <c r="G2165" i="7"/>
  <c r="L2165" i="7" s="1"/>
  <c r="G2164" i="7"/>
  <c r="L2164" i="7" s="1"/>
  <c r="G2163" i="7"/>
  <c r="L2163" i="7" s="1"/>
  <c r="G2162" i="7"/>
  <c r="G2161" i="7"/>
  <c r="L2161" i="7" s="1"/>
  <c r="G2160" i="7"/>
  <c r="L2160" i="7" s="1"/>
  <c r="G2159" i="7"/>
  <c r="L2159" i="7" s="1"/>
  <c r="G2158" i="7"/>
  <c r="L2158" i="7" s="1"/>
  <c r="G2157" i="7"/>
  <c r="L2157" i="7" s="1"/>
  <c r="G2156" i="7"/>
  <c r="G2155" i="7"/>
  <c r="L2155" i="7" s="1"/>
  <c r="G2154" i="7"/>
  <c r="L2154" i="7" s="1"/>
  <c r="G2153" i="7"/>
  <c r="L2153" i="7" s="1"/>
  <c r="G2152" i="7"/>
  <c r="L2152" i="7" s="1"/>
  <c r="G2151" i="7"/>
  <c r="L2151" i="7" s="1"/>
  <c r="G2150" i="7"/>
  <c r="L2150" i="7" s="1"/>
  <c r="G2149" i="7"/>
  <c r="L2149" i="7" s="1"/>
  <c r="G2148" i="7"/>
  <c r="L2148" i="7" s="1"/>
  <c r="G2147" i="7"/>
  <c r="L2147" i="7" s="1"/>
  <c r="G2146" i="7"/>
  <c r="L2146" i="7" s="1"/>
  <c r="G2145" i="7"/>
  <c r="L2145" i="7" s="1"/>
  <c r="G2144" i="7"/>
  <c r="L2144" i="7" s="1"/>
  <c r="G2143" i="7"/>
  <c r="L2143" i="7" s="1"/>
  <c r="G2142" i="7"/>
  <c r="L2142" i="7" s="1"/>
  <c r="G2141" i="7"/>
  <c r="L2141" i="7" s="1"/>
  <c r="G2140" i="7"/>
  <c r="L2140" i="7" s="1"/>
  <c r="G2139" i="7"/>
  <c r="L2139" i="7" s="1"/>
  <c r="G2138" i="7"/>
  <c r="G2137" i="7"/>
  <c r="L2137" i="7" s="1"/>
  <c r="G2136" i="7"/>
  <c r="L2136" i="7" s="1"/>
  <c r="G2135" i="7"/>
  <c r="L2135" i="7" s="1"/>
  <c r="G2134" i="7"/>
  <c r="L2134" i="7" s="1"/>
  <c r="G2133" i="7"/>
  <c r="L2133" i="7" s="1"/>
  <c r="G2132" i="7"/>
  <c r="G2131" i="7"/>
  <c r="L2131" i="7" s="1"/>
  <c r="G2130" i="7"/>
  <c r="L2130" i="7" s="1"/>
  <c r="G2129" i="7"/>
  <c r="L2129" i="7" s="1"/>
  <c r="G2128" i="7"/>
  <c r="L2128" i="7" s="1"/>
  <c r="G2127" i="7"/>
  <c r="L2127" i="7" s="1"/>
  <c r="G2126" i="7"/>
  <c r="G2125" i="7"/>
  <c r="L2125" i="7" s="1"/>
  <c r="G2124" i="7"/>
  <c r="L2124" i="7" s="1"/>
  <c r="G2123" i="7"/>
  <c r="L2123" i="7" s="1"/>
  <c r="G2122" i="7"/>
  <c r="L2122" i="7" s="1"/>
  <c r="G2121" i="7"/>
  <c r="L2121" i="7" s="1"/>
  <c r="G2120" i="7"/>
  <c r="L2120" i="7" s="1"/>
  <c r="G2119" i="7"/>
  <c r="L2119" i="7" s="1"/>
  <c r="G2118" i="7"/>
  <c r="L2118" i="7" s="1"/>
  <c r="G2117" i="7"/>
  <c r="L2117" i="7" s="1"/>
  <c r="G2116" i="7"/>
  <c r="L2116" i="7" s="1"/>
  <c r="G2115" i="7"/>
  <c r="L2115" i="7" s="1"/>
  <c r="G2114" i="7"/>
  <c r="L2114" i="7" s="1"/>
  <c r="G2113" i="7"/>
  <c r="L2113" i="7" s="1"/>
  <c r="G2112" i="7"/>
  <c r="L2112" i="7" s="1"/>
  <c r="G2111" i="7"/>
  <c r="L2111" i="7" s="1"/>
  <c r="G2110" i="7"/>
  <c r="L2110" i="7" s="1"/>
  <c r="G2109" i="7"/>
  <c r="L2109" i="7" s="1"/>
  <c r="G2108" i="7"/>
  <c r="L2108" i="7" s="1"/>
  <c r="G2107" i="7"/>
  <c r="L2107" i="7" s="1"/>
  <c r="G2106" i="7"/>
  <c r="L2106" i="7" s="1"/>
  <c r="G2105" i="7"/>
  <c r="L2105" i="7" s="1"/>
  <c r="G2104" i="7"/>
  <c r="L2104" i="7" s="1"/>
  <c r="G2103" i="7"/>
  <c r="L2103" i="7" s="1"/>
  <c r="G2102" i="7"/>
  <c r="L2102" i="7" s="1"/>
  <c r="G2101" i="7"/>
  <c r="L2101" i="7" s="1"/>
  <c r="G2100" i="7"/>
  <c r="L2100" i="7" s="1"/>
  <c r="G2099" i="7"/>
  <c r="L2099" i="7" s="1"/>
  <c r="G2098" i="7"/>
  <c r="L2098" i="7" s="1"/>
  <c r="G2097" i="7"/>
  <c r="L2097" i="7" s="1"/>
  <c r="G2096" i="7"/>
  <c r="G2095" i="7"/>
  <c r="L2095" i="7" s="1"/>
  <c r="G2094" i="7"/>
  <c r="L2094" i="7" s="1"/>
  <c r="G2093" i="7"/>
  <c r="L2093" i="7" s="1"/>
  <c r="G2092" i="7"/>
  <c r="L2092" i="7" s="1"/>
  <c r="G2091" i="7"/>
  <c r="L2091" i="7" s="1"/>
  <c r="G2090" i="7"/>
  <c r="L2090" i="7" s="1"/>
  <c r="G2089" i="7"/>
  <c r="L2089" i="7" s="1"/>
  <c r="G2088" i="7"/>
  <c r="L2088" i="7" s="1"/>
  <c r="G2087" i="7"/>
  <c r="L2087" i="7" s="1"/>
  <c r="G2086" i="7"/>
  <c r="L2086" i="7" s="1"/>
  <c r="G2085" i="7"/>
  <c r="L2085" i="7" s="1"/>
  <c r="G2084" i="7"/>
  <c r="L2084" i="7" s="1"/>
  <c r="G2083" i="7"/>
  <c r="L2083" i="7" s="1"/>
  <c r="G2082" i="7"/>
  <c r="L2082" i="7" s="1"/>
  <c r="G2081" i="7"/>
  <c r="L2081" i="7" s="1"/>
  <c r="G2080" i="7"/>
  <c r="L2080" i="7" s="1"/>
  <c r="G2079" i="7"/>
  <c r="L2079" i="7" s="1"/>
  <c r="G2078" i="7"/>
  <c r="L2078" i="7" s="1"/>
  <c r="G2077" i="7"/>
  <c r="L2077" i="7" s="1"/>
  <c r="G2076" i="7"/>
  <c r="L2076" i="7" s="1"/>
  <c r="G2075" i="7"/>
  <c r="L2075" i="7" s="1"/>
  <c r="G2074" i="7"/>
  <c r="L2074" i="7" s="1"/>
  <c r="G2073" i="7"/>
  <c r="L2073" i="7" s="1"/>
  <c r="G2072" i="7"/>
  <c r="L2072" i="7" s="1"/>
  <c r="G2071" i="7"/>
  <c r="L2071" i="7" s="1"/>
  <c r="G2070" i="7"/>
  <c r="L2070" i="7" s="1"/>
  <c r="G2069" i="7"/>
  <c r="L2069" i="7" s="1"/>
  <c r="G2068" i="7"/>
  <c r="L2068" i="7" s="1"/>
  <c r="G2067" i="7"/>
  <c r="L2067" i="7" s="1"/>
  <c r="G2066" i="7"/>
  <c r="L2066" i="7" s="1"/>
  <c r="G2065" i="7"/>
  <c r="L2065" i="7" s="1"/>
  <c r="G2064" i="7"/>
  <c r="L2064" i="7" s="1"/>
  <c r="G2063" i="7"/>
  <c r="L2063" i="7" s="1"/>
  <c r="G2062" i="7"/>
  <c r="L2062" i="7" s="1"/>
  <c r="G2061" i="7"/>
  <c r="L2061" i="7" s="1"/>
  <c r="G2060" i="7"/>
  <c r="L2060" i="7" s="1"/>
  <c r="G2059" i="7"/>
  <c r="L2059" i="7" s="1"/>
  <c r="G2058" i="7"/>
  <c r="L2058" i="7" s="1"/>
  <c r="G2057" i="7"/>
  <c r="L2057" i="7" s="1"/>
  <c r="G2056" i="7"/>
  <c r="L2056" i="7" s="1"/>
  <c r="G2055" i="7"/>
  <c r="L2055" i="7" s="1"/>
  <c r="G2054" i="7"/>
  <c r="G2053" i="7"/>
  <c r="L2053" i="7" s="1"/>
  <c r="G2052" i="7"/>
  <c r="L2052" i="7" s="1"/>
  <c r="G2051" i="7"/>
  <c r="L2051" i="7" s="1"/>
  <c r="G2050" i="7"/>
  <c r="L2050" i="7" s="1"/>
  <c r="G2049" i="7"/>
  <c r="L2049" i="7" s="1"/>
  <c r="G2048" i="7"/>
  <c r="L2048" i="7" s="1"/>
  <c r="G2047" i="7"/>
  <c r="L2047" i="7" s="1"/>
  <c r="G2046" i="7"/>
  <c r="L2046" i="7" s="1"/>
  <c r="G2045" i="7"/>
  <c r="L2045" i="7" s="1"/>
  <c r="G2044" i="7"/>
  <c r="L2044" i="7" s="1"/>
  <c r="G2043" i="7"/>
  <c r="L2043" i="7" s="1"/>
  <c r="G2042" i="7"/>
  <c r="L2042" i="7" s="1"/>
  <c r="G2041" i="7"/>
  <c r="L2041" i="7" s="1"/>
  <c r="G2040" i="7"/>
  <c r="L2040" i="7" s="1"/>
  <c r="G2039" i="7"/>
  <c r="L2039" i="7" s="1"/>
  <c r="G2038" i="7"/>
  <c r="L2038" i="7" s="1"/>
  <c r="G2037" i="7"/>
  <c r="L2037" i="7" s="1"/>
  <c r="G2036" i="7"/>
  <c r="G2035" i="7"/>
  <c r="L2035" i="7" s="1"/>
  <c r="G2034" i="7"/>
  <c r="L2034" i="7" s="1"/>
  <c r="G2033" i="7"/>
  <c r="L2033" i="7" s="1"/>
  <c r="G2032" i="7"/>
  <c r="L2032" i="7" s="1"/>
  <c r="G2031" i="7"/>
  <c r="L2031" i="7" s="1"/>
  <c r="G2030" i="7"/>
  <c r="L2030" i="7" s="1"/>
  <c r="G2029" i="7"/>
  <c r="L2029" i="7" s="1"/>
  <c r="G2028" i="7"/>
  <c r="L2028" i="7" s="1"/>
  <c r="G2027" i="7"/>
  <c r="L2027" i="7" s="1"/>
  <c r="G2026" i="7"/>
  <c r="L2026" i="7" s="1"/>
  <c r="G2025" i="7"/>
  <c r="L2025" i="7" s="1"/>
  <c r="G2024" i="7"/>
  <c r="G2023" i="7"/>
  <c r="L2023" i="7" s="1"/>
  <c r="G2022" i="7"/>
  <c r="L2022" i="7" s="1"/>
  <c r="G2021" i="7"/>
  <c r="L2021" i="7" s="1"/>
  <c r="G2020" i="7"/>
  <c r="L2020" i="7" s="1"/>
  <c r="G2019" i="7"/>
  <c r="L2019" i="7" s="1"/>
  <c r="G2018" i="7"/>
  <c r="G2017" i="7"/>
  <c r="L2017" i="7" s="1"/>
  <c r="G2016" i="7"/>
  <c r="L2016" i="7" s="1"/>
  <c r="G2015" i="7"/>
  <c r="L2015" i="7" s="1"/>
  <c r="G2014" i="7"/>
  <c r="L2014" i="7" s="1"/>
  <c r="G2013" i="7"/>
  <c r="L2013" i="7" s="1"/>
  <c r="G2012" i="7"/>
  <c r="L2012" i="7" s="1"/>
  <c r="G2011" i="7"/>
  <c r="L2011" i="7" s="1"/>
  <c r="G2010" i="7"/>
  <c r="L2010" i="7" s="1"/>
  <c r="G2009" i="7"/>
  <c r="L2009" i="7" s="1"/>
  <c r="G2008" i="7"/>
  <c r="L2008" i="7" s="1"/>
  <c r="G2007" i="7"/>
  <c r="L2007" i="7" s="1"/>
  <c r="G2006" i="7"/>
  <c r="G2005" i="7"/>
  <c r="L2005" i="7" s="1"/>
  <c r="G2004" i="7"/>
  <c r="L2004" i="7" s="1"/>
  <c r="G2003" i="7"/>
  <c r="L2003" i="7" s="1"/>
  <c r="G2002" i="7"/>
  <c r="L2002" i="7" s="1"/>
  <c r="G2001" i="7"/>
  <c r="L2001" i="7" s="1"/>
  <c r="G2000" i="7"/>
  <c r="G1999" i="7"/>
  <c r="L1999" i="7" s="1"/>
  <c r="G1998" i="7"/>
  <c r="L1998" i="7" s="1"/>
  <c r="G1997" i="7"/>
  <c r="L1997" i="7" s="1"/>
  <c r="G1996" i="7"/>
  <c r="L1996" i="7" s="1"/>
  <c r="G1995" i="7"/>
  <c r="L1995" i="7" s="1"/>
  <c r="G1994" i="7"/>
  <c r="L1994" i="7" s="1"/>
  <c r="G1993" i="7"/>
  <c r="L1993" i="7" s="1"/>
  <c r="G1992" i="7"/>
  <c r="L1992" i="7" s="1"/>
  <c r="G1991" i="7"/>
  <c r="L1991" i="7" s="1"/>
  <c r="G1990" i="7"/>
  <c r="L1990" i="7" s="1"/>
  <c r="G1989" i="7"/>
  <c r="L1989" i="7" s="1"/>
  <c r="G1988" i="7"/>
  <c r="L1988" i="7" s="1"/>
  <c r="G1987" i="7"/>
  <c r="L1987" i="7" s="1"/>
  <c r="G1986" i="7"/>
  <c r="L1986" i="7" s="1"/>
  <c r="G1985" i="7"/>
  <c r="L1985" i="7" s="1"/>
  <c r="G1984" i="7"/>
  <c r="L1984" i="7" s="1"/>
  <c r="G1983" i="7"/>
  <c r="L1983" i="7" s="1"/>
  <c r="G1982" i="7"/>
  <c r="L1982" i="7" s="1"/>
  <c r="G1981" i="7"/>
  <c r="L1981" i="7" s="1"/>
  <c r="G1980" i="7"/>
  <c r="L1980" i="7" s="1"/>
  <c r="G1979" i="7"/>
  <c r="L1979" i="7" s="1"/>
  <c r="G1978" i="7"/>
  <c r="L1978" i="7" s="1"/>
  <c r="G1977" i="7"/>
  <c r="L1977" i="7" s="1"/>
  <c r="G1976" i="7"/>
  <c r="L1976" i="7" s="1"/>
  <c r="G1975" i="7"/>
  <c r="L1975" i="7" s="1"/>
  <c r="G1974" i="7"/>
  <c r="L1974" i="7" s="1"/>
  <c r="G1973" i="7"/>
  <c r="L1973" i="7" s="1"/>
  <c r="G1972" i="7"/>
  <c r="L1972" i="7" s="1"/>
  <c r="G1971" i="7"/>
  <c r="L1971" i="7" s="1"/>
  <c r="G1970" i="7"/>
  <c r="L1970" i="7" s="1"/>
  <c r="G1969" i="7"/>
  <c r="L1969" i="7" s="1"/>
  <c r="G1968" i="7"/>
  <c r="L1968" i="7" s="1"/>
  <c r="G1967" i="7"/>
  <c r="L1967" i="7" s="1"/>
  <c r="G1966" i="7"/>
  <c r="L1966" i="7" s="1"/>
  <c r="G1965" i="7"/>
  <c r="L1965" i="7" s="1"/>
  <c r="G1964" i="7"/>
  <c r="L1964" i="7" s="1"/>
  <c r="G1963" i="7"/>
  <c r="L1963" i="7" s="1"/>
  <c r="G1962" i="7"/>
  <c r="L1962" i="7" s="1"/>
  <c r="G1961" i="7"/>
  <c r="L1961" i="7" s="1"/>
  <c r="G1960" i="7"/>
  <c r="L1960" i="7" s="1"/>
  <c r="G1959" i="7"/>
  <c r="L1959" i="7" s="1"/>
  <c r="G1958" i="7"/>
  <c r="L1958" i="7" s="1"/>
  <c r="G1957" i="7"/>
  <c r="L1957" i="7" s="1"/>
  <c r="G1956" i="7"/>
  <c r="L1956" i="7" s="1"/>
  <c r="G1955" i="7"/>
  <c r="L1955" i="7" s="1"/>
  <c r="G1954" i="7"/>
  <c r="L1954" i="7" s="1"/>
  <c r="G1953" i="7"/>
  <c r="L1953" i="7" s="1"/>
  <c r="G1952" i="7"/>
  <c r="L1952" i="7" s="1"/>
  <c r="G1951" i="7"/>
  <c r="L1951" i="7" s="1"/>
  <c r="G1950" i="7"/>
  <c r="L1950" i="7" s="1"/>
  <c r="G1949" i="7"/>
  <c r="L1949" i="7" s="1"/>
  <c r="G1948" i="7"/>
  <c r="L1948" i="7" s="1"/>
  <c r="G1947" i="7"/>
  <c r="L1947" i="7" s="1"/>
  <c r="G1946" i="7"/>
  <c r="L1946" i="7" s="1"/>
  <c r="G1945" i="7"/>
  <c r="L1945" i="7" s="1"/>
  <c r="G1944" i="7"/>
  <c r="L1944" i="7" s="1"/>
  <c r="G1943" i="7"/>
  <c r="L1943" i="7" s="1"/>
  <c r="G1942" i="7"/>
  <c r="L1942" i="7" s="1"/>
  <c r="G1941" i="7"/>
  <c r="L1941" i="7" s="1"/>
  <c r="G1940" i="7"/>
  <c r="L1940" i="7" s="1"/>
  <c r="G1939" i="7"/>
  <c r="L1939" i="7" s="1"/>
  <c r="G1938" i="7"/>
  <c r="L1938" i="7" s="1"/>
  <c r="G1937" i="7"/>
  <c r="L1937" i="7" s="1"/>
  <c r="G1936" i="7"/>
  <c r="L1936" i="7" s="1"/>
  <c r="G1935" i="7"/>
  <c r="L1935" i="7" s="1"/>
  <c r="G1934" i="7"/>
  <c r="G1933" i="7"/>
  <c r="L1933" i="7" s="1"/>
  <c r="G1932" i="7"/>
  <c r="L1932" i="7" s="1"/>
  <c r="G1931" i="7"/>
  <c r="L1931" i="7" s="1"/>
  <c r="G1930" i="7"/>
  <c r="L1930" i="7" s="1"/>
  <c r="G1929" i="7"/>
  <c r="L1929" i="7" s="1"/>
  <c r="G1928" i="7"/>
  <c r="L1928" i="7" s="1"/>
  <c r="G1927" i="7"/>
  <c r="L1927" i="7" s="1"/>
  <c r="G1926" i="7"/>
  <c r="L1926" i="7" s="1"/>
  <c r="G1925" i="7"/>
  <c r="L1925" i="7" s="1"/>
  <c r="G1924" i="7"/>
  <c r="L1924" i="7" s="1"/>
  <c r="G1923" i="7"/>
  <c r="L1923" i="7" s="1"/>
  <c r="G1922" i="7"/>
  <c r="L1922" i="7" s="1"/>
  <c r="G1921" i="7"/>
  <c r="L1921" i="7" s="1"/>
  <c r="G1920" i="7"/>
  <c r="L1920" i="7" s="1"/>
  <c r="G1919" i="7"/>
  <c r="L1919" i="7" s="1"/>
  <c r="G1918" i="7"/>
  <c r="L1918" i="7" s="1"/>
  <c r="G1917" i="7"/>
  <c r="L1917" i="7" s="1"/>
  <c r="G1916" i="7"/>
  <c r="L1916" i="7" s="1"/>
  <c r="G1915" i="7"/>
  <c r="L1915" i="7" s="1"/>
  <c r="G1914" i="7"/>
  <c r="L1914" i="7" s="1"/>
  <c r="G1913" i="7"/>
  <c r="L1913" i="7" s="1"/>
  <c r="G1912" i="7"/>
  <c r="L1912" i="7" s="1"/>
  <c r="G1911" i="7"/>
  <c r="L1911" i="7" s="1"/>
  <c r="G1910" i="7"/>
  <c r="L1910" i="7" s="1"/>
  <c r="G1909" i="7"/>
  <c r="L1909" i="7" s="1"/>
  <c r="G1908" i="7"/>
  <c r="L1908" i="7" s="1"/>
  <c r="G1907" i="7"/>
  <c r="L1907" i="7" s="1"/>
  <c r="G1906" i="7"/>
  <c r="L1906" i="7" s="1"/>
  <c r="G1905" i="7"/>
  <c r="L1905" i="7" s="1"/>
  <c r="G1904" i="7"/>
  <c r="L1904" i="7" s="1"/>
  <c r="G1903" i="7"/>
  <c r="L1903" i="7" s="1"/>
  <c r="G1902" i="7"/>
  <c r="L1902" i="7" s="1"/>
  <c r="G1901" i="7"/>
  <c r="L1901" i="7" s="1"/>
  <c r="G1900" i="7"/>
  <c r="L1900" i="7" s="1"/>
  <c r="G1899" i="7"/>
  <c r="L1899" i="7" s="1"/>
  <c r="G1898" i="7"/>
  <c r="L1898" i="7" s="1"/>
  <c r="G1897" i="7"/>
  <c r="L1897" i="7" s="1"/>
  <c r="G1896" i="7"/>
  <c r="L1896" i="7" s="1"/>
  <c r="G1895" i="7"/>
  <c r="L1895" i="7" s="1"/>
  <c r="G1894" i="7"/>
  <c r="L1894" i="7" s="1"/>
  <c r="G1893" i="7"/>
  <c r="L1893" i="7" s="1"/>
  <c r="G1892" i="7"/>
  <c r="L1892" i="7" s="1"/>
  <c r="G1891" i="7"/>
  <c r="L1891" i="7" s="1"/>
  <c r="G1890" i="7"/>
  <c r="L1890" i="7" s="1"/>
  <c r="G1889" i="7"/>
  <c r="L1889" i="7" s="1"/>
  <c r="G1888" i="7"/>
  <c r="L1888" i="7" s="1"/>
  <c r="G1887" i="7"/>
  <c r="L1887" i="7" s="1"/>
  <c r="G1886" i="7"/>
  <c r="L1886" i="7" s="1"/>
  <c r="G1885" i="7"/>
  <c r="L1885" i="7" s="1"/>
  <c r="G1884" i="7"/>
  <c r="L1884" i="7" s="1"/>
  <c r="G1883" i="7"/>
  <c r="L1883" i="7" s="1"/>
  <c r="G1882" i="7"/>
  <c r="L1882" i="7" s="1"/>
  <c r="G1881" i="7"/>
  <c r="L1881" i="7" s="1"/>
  <c r="G1880" i="7"/>
  <c r="L1880" i="7" s="1"/>
  <c r="G1879" i="7"/>
  <c r="L1879" i="7" s="1"/>
  <c r="G1878" i="7"/>
  <c r="L1878" i="7" s="1"/>
  <c r="G1877" i="7"/>
  <c r="L1877" i="7" s="1"/>
  <c r="G1876" i="7"/>
  <c r="L1876" i="7" s="1"/>
  <c r="G1875" i="7"/>
  <c r="L1875" i="7" s="1"/>
  <c r="G1874" i="7"/>
  <c r="L1874" i="7" s="1"/>
  <c r="G1873" i="7"/>
  <c r="L1873" i="7" s="1"/>
  <c r="G1872" i="7"/>
  <c r="L1872" i="7" s="1"/>
  <c r="G1871" i="7"/>
  <c r="L1871" i="7" s="1"/>
  <c r="G1870" i="7"/>
  <c r="L1870" i="7" s="1"/>
  <c r="G1869" i="7"/>
  <c r="L1869" i="7" s="1"/>
  <c r="G1868" i="7"/>
  <c r="G1867" i="7"/>
  <c r="L1867" i="7" s="1"/>
  <c r="G1866" i="7"/>
  <c r="L1866" i="7" s="1"/>
  <c r="G1865" i="7"/>
  <c r="L1865" i="7" s="1"/>
  <c r="G1864" i="7"/>
  <c r="L1864" i="7" s="1"/>
  <c r="G1863" i="7"/>
  <c r="L1863" i="7" s="1"/>
  <c r="G1862" i="7"/>
  <c r="L1862" i="7" s="1"/>
  <c r="G1861" i="7"/>
  <c r="L1861" i="7" s="1"/>
  <c r="G1860" i="7"/>
  <c r="L1860" i="7" s="1"/>
  <c r="G1859" i="7"/>
  <c r="L1859" i="7" s="1"/>
  <c r="G1858" i="7"/>
  <c r="L1858" i="7" s="1"/>
  <c r="G1857" i="7"/>
  <c r="L1857" i="7" s="1"/>
  <c r="G1856" i="7"/>
  <c r="G1855" i="7"/>
  <c r="L1855" i="7" s="1"/>
  <c r="G1854" i="7"/>
  <c r="L1854" i="7" s="1"/>
  <c r="G1853" i="7"/>
  <c r="L1853" i="7" s="1"/>
  <c r="G1852" i="7"/>
  <c r="L1852" i="7" s="1"/>
  <c r="G1851" i="7"/>
  <c r="L1851" i="7" s="1"/>
  <c r="G1850" i="7"/>
  <c r="G1849" i="7"/>
  <c r="L1849" i="7" s="1"/>
  <c r="G1848" i="7"/>
  <c r="L1848" i="7" s="1"/>
  <c r="G1847" i="7"/>
  <c r="L1847" i="7" s="1"/>
  <c r="G1846" i="7"/>
  <c r="L1846" i="7" s="1"/>
  <c r="G1845" i="7"/>
  <c r="L1845" i="7" s="1"/>
  <c r="G1844" i="7"/>
  <c r="L1844" i="7" s="1"/>
  <c r="G1843" i="7"/>
  <c r="L1843" i="7" s="1"/>
  <c r="G1842" i="7"/>
  <c r="L1842" i="7" s="1"/>
  <c r="G1841" i="7"/>
  <c r="L1841" i="7" s="1"/>
  <c r="G1840" i="7"/>
  <c r="L1840" i="7" s="1"/>
  <c r="G1839" i="7"/>
  <c r="L1839" i="7" s="1"/>
  <c r="G1838" i="7"/>
  <c r="G1837" i="7"/>
  <c r="L1837" i="7" s="1"/>
  <c r="G1836" i="7"/>
  <c r="L1836" i="7" s="1"/>
  <c r="G1835" i="7"/>
  <c r="L1835" i="7" s="1"/>
  <c r="G1834" i="7"/>
  <c r="L1834" i="7" s="1"/>
  <c r="G1833" i="7"/>
  <c r="L1833" i="7" s="1"/>
  <c r="G1832" i="7"/>
  <c r="L1832" i="7" s="1"/>
  <c r="G1831" i="7"/>
  <c r="L1831" i="7" s="1"/>
  <c r="G1830" i="7"/>
  <c r="L1830" i="7" s="1"/>
  <c r="G1829" i="7"/>
  <c r="L1829" i="7" s="1"/>
  <c r="G1828" i="7"/>
  <c r="L1828" i="7" s="1"/>
  <c r="G1827" i="7"/>
  <c r="L1827" i="7" s="1"/>
  <c r="G1826" i="7"/>
  <c r="G1825" i="7"/>
  <c r="L1825" i="7" s="1"/>
  <c r="G1824" i="7"/>
  <c r="L1824" i="7" s="1"/>
  <c r="G1823" i="7"/>
  <c r="L1823" i="7" s="1"/>
  <c r="G1822" i="7"/>
  <c r="L1822" i="7" s="1"/>
  <c r="G1821" i="7"/>
  <c r="L1821" i="7" s="1"/>
  <c r="G1820" i="7"/>
  <c r="G1819" i="7"/>
  <c r="L1819" i="7" s="1"/>
  <c r="G1818" i="7"/>
  <c r="L1818" i="7" s="1"/>
  <c r="G1817" i="7"/>
  <c r="L1817" i="7" s="1"/>
  <c r="G1816" i="7"/>
  <c r="L1816" i="7" s="1"/>
  <c r="G1815" i="7"/>
  <c r="L1815" i="7" s="1"/>
  <c r="G1814" i="7"/>
  <c r="G1813" i="7"/>
  <c r="L1813" i="7" s="1"/>
  <c r="G1812" i="7"/>
  <c r="L1812" i="7" s="1"/>
  <c r="G1811" i="7"/>
  <c r="L1811" i="7" s="1"/>
  <c r="G1810" i="7"/>
  <c r="L1810" i="7" s="1"/>
  <c r="G1809" i="7"/>
  <c r="L1809" i="7" s="1"/>
  <c r="G1808" i="7"/>
  <c r="G1807" i="7"/>
  <c r="L1807" i="7" s="1"/>
  <c r="G1806" i="7"/>
  <c r="L1806" i="7" s="1"/>
  <c r="G1805" i="7"/>
  <c r="L1805" i="7" s="1"/>
  <c r="G1804" i="7"/>
  <c r="L1804" i="7" s="1"/>
  <c r="G1803" i="7"/>
  <c r="L1803" i="7" s="1"/>
  <c r="G1802" i="7"/>
  <c r="G1801" i="7"/>
  <c r="L1801" i="7" s="1"/>
  <c r="G1800" i="7"/>
  <c r="L1800" i="7" s="1"/>
  <c r="G1799" i="7"/>
  <c r="L1799" i="7" s="1"/>
  <c r="G1798" i="7"/>
  <c r="L1798" i="7" s="1"/>
  <c r="G1797" i="7"/>
  <c r="L1797" i="7" s="1"/>
  <c r="G1796" i="7"/>
  <c r="L1796" i="7" s="1"/>
  <c r="G1795" i="7"/>
  <c r="L1795" i="7" s="1"/>
  <c r="G1794" i="7"/>
  <c r="L1794" i="7" s="1"/>
  <c r="G1793" i="7"/>
  <c r="L1793" i="7" s="1"/>
  <c r="G1792" i="7"/>
  <c r="L1792" i="7" s="1"/>
  <c r="G1791" i="7"/>
  <c r="L1791" i="7" s="1"/>
  <c r="G1790" i="7"/>
  <c r="L1790" i="7" s="1"/>
  <c r="G1789" i="7"/>
  <c r="L1789" i="7" s="1"/>
  <c r="G1788" i="7"/>
  <c r="L1788" i="7" s="1"/>
  <c r="G1787" i="7"/>
  <c r="L1787" i="7" s="1"/>
  <c r="G1786" i="7"/>
  <c r="L1786" i="7" s="1"/>
  <c r="G1785" i="7"/>
  <c r="L1785" i="7" s="1"/>
  <c r="G1784" i="7"/>
  <c r="L1784" i="7" s="1"/>
  <c r="G1783" i="7"/>
  <c r="L1783" i="7" s="1"/>
  <c r="G1782" i="7"/>
  <c r="L1782" i="7" s="1"/>
  <c r="G1781" i="7"/>
  <c r="L1781" i="7" s="1"/>
  <c r="G1780" i="7"/>
  <c r="L1780" i="7" s="1"/>
  <c r="G1779" i="7"/>
  <c r="L1779" i="7" s="1"/>
  <c r="G1778" i="7"/>
  <c r="G1777" i="7"/>
  <c r="L1777" i="7" s="1"/>
  <c r="G1776" i="7"/>
  <c r="L1776" i="7" s="1"/>
  <c r="G1775" i="7"/>
  <c r="L1775" i="7" s="1"/>
  <c r="G1774" i="7"/>
  <c r="L1774" i="7" s="1"/>
  <c r="G1773" i="7"/>
  <c r="L1773" i="7" s="1"/>
  <c r="G1772" i="7"/>
  <c r="G1771" i="7"/>
  <c r="L1771" i="7" s="1"/>
  <c r="G1770" i="7"/>
  <c r="L1770" i="7" s="1"/>
  <c r="G1769" i="7"/>
  <c r="L1769" i="7" s="1"/>
  <c r="G1768" i="7"/>
  <c r="L1768" i="7" s="1"/>
  <c r="G1767" i="7"/>
  <c r="L1767" i="7" s="1"/>
  <c r="G1766" i="7"/>
  <c r="G1765" i="7"/>
  <c r="L1765" i="7" s="1"/>
  <c r="G1764" i="7"/>
  <c r="L1764" i="7" s="1"/>
  <c r="G1763" i="7"/>
  <c r="L1763" i="7" s="1"/>
  <c r="G1762" i="7"/>
  <c r="L1762" i="7" s="1"/>
  <c r="G1761" i="7"/>
  <c r="L1761" i="7" s="1"/>
  <c r="G1760" i="7"/>
  <c r="G1759" i="7"/>
  <c r="L1759" i="7" s="1"/>
  <c r="G1758" i="7"/>
  <c r="L1758" i="7" s="1"/>
  <c r="G1757" i="7"/>
  <c r="L1757" i="7" s="1"/>
  <c r="G1756" i="7"/>
  <c r="L1756" i="7" s="1"/>
  <c r="G1755" i="7"/>
  <c r="L1755" i="7" s="1"/>
  <c r="G1754" i="7"/>
  <c r="L1754" i="7" s="1"/>
  <c r="G1753" i="7"/>
  <c r="L1753" i="7" s="1"/>
  <c r="G1752" i="7"/>
  <c r="L1752" i="7" s="1"/>
  <c r="G1751" i="7"/>
  <c r="L1751" i="7" s="1"/>
  <c r="G1750" i="7"/>
  <c r="L1750" i="7" s="1"/>
  <c r="G1749" i="7"/>
  <c r="L1749" i="7" s="1"/>
  <c r="G1748" i="7"/>
  <c r="G1747" i="7"/>
  <c r="L1747" i="7" s="1"/>
  <c r="G1746" i="7"/>
  <c r="L1746" i="7" s="1"/>
  <c r="G1745" i="7"/>
  <c r="L1745" i="7" s="1"/>
  <c r="G1744" i="7"/>
  <c r="L1744" i="7" s="1"/>
  <c r="G1743" i="7"/>
  <c r="L1743" i="7" s="1"/>
  <c r="G1742" i="7"/>
  <c r="G1741" i="7"/>
  <c r="L1741" i="7" s="1"/>
  <c r="G1740" i="7"/>
  <c r="L1740" i="7" s="1"/>
  <c r="G1739" i="7"/>
  <c r="L1739" i="7" s="1"/>
  <c r="G1738" i="7"/>
  <c r="L1738" i="7" s="1"/>
  <c r="G1737" i="7"/>
  <c r="L1737" i="7" s="1"/>
  <c r="G1736" i="7"/>
  <c r="L1736" i="7" s="1"/>
  <c r="G1735" i="7"/>
  <c r="L1735" i="7" s="1"/>
  <c r="G1734" i="7"/>
  <c r="L1734" i="7" s="1"/>
  <c r="G1733" i="7"/>
  <c r="L1733" i="7" s="1"/>
  <c r="G1732" i="7"/>
  <c r="L1732" i="7" s="1"/>
  <c r="G1731" i="7"/>
  <c r="L1731" i="7" s="1"/>
  <c r="G1730" i="7"/>
  <c r="L1730" i="7" s="1"/>
  <c r="G1729" i="7"/>
  <c r="L1729" i="7" s="1"/>
  <c r="G1728" i="7"/>
  <c r="L1728" i="7" s="1"/>
  <c r="G1727" i="7"/>
  <c r="L1727" i="7" s="1"/>
  <c r="G1726" i="7"/>
  <c r="L1726" i="7" s="1"/>
  <c r="G1725" i="7"/>
  <c r="L1725" i="7" s="1"/>
  <c r="G1724" i="7"/>
  <c r="L1724" i="7" s="1"/>
  <c r="G1723" i="7"/>
  <c r="L1723" i="7" s="1"/>
  <c r="G1722" i="7"/>
  <c r="L1722" i="7" s="1"/>
  <c r="G1721" i="7"/>
  <c r="L1721" i="7" s="1"/>
  <c r="G1720" i="7"/>
  <c r="L1720" i="7" s="1"/>
  <c r="G1719" i="7"/>
  <c r="L1719" i="7" s="1"/>
  <c r="G1718" i="7"/>
  <c r="L1718" i="7" s="1"/>
  <c r="G1717" i="7"/>
  <c r="L1717" i="7" s="1"/>
  <c r="G1716" i="7"/>
  <c r="L1716" i="7" s="1"/>
  <c r="G1715" i="7"/>
  <c r="L1715" i="7" s="1"/>
  <c r="G1714" i="7"/>
  <c r="L1714" i="7" s="1"/>
  <c r="G1713" i="7"/>
  <c r="L1713" i="7" s="1"/>
  <c r="G1712" i="7"/>
  <c r="L1712" i="7" s="1"/>
  <c r="G1711" i="7"/>
  <c r="L1711" i="7" s="1"/>
  <c r="G1710" i="7"/>
  <c r="L1710" i="7" s="1"/>
  <c r="G1709" i="7"/>
  <c r="L1709" i="7" s="1"/>
  <c r="G1708" i="7"/>
  <c r="L1708" i="7" s="1"/>
  <c r="G1707" i="7"/>
  <c r="L1707" i="7" s="1"/>
  <c r="G1706" i="7"/>
  <c r="L1706" i="7" s="1"/>
  <c r="G1705" i="7"/>
  <c r="L1705" i="7" s="1"/>
  <c r="G1704" i="7"/>
  <c r="L1704" i="7" s="1"/>
  <c r="G1703" i="7"/>
  <c r="L1703" i="7" s="1"/>
  <c r="G1702" i="7"/>
  <c r="L1702" i="7" s="1"/>
  <c r="G1701" i="7"/>
  <c r="L1701" i="7" s="1"/>
  <c r="G1700" i="7"/>
  <c r="L1700" i="7" s="1"/>
  <c r="G1699" i="7"/>
  <c r="L1699" i="7" s="1"/>
  <c r="G1698" i="7"/>
  <c r="L1698" i="7" s="1"/>
  <c r="G1697" i="7"/>
  <c r="L1697" i="7" s="1"/>
  <c r="G1696" i="7"/>
  <c r="L1696" i="7" s="1"/>
  <c r="G1695" i="7"/>
  <c r="L1695" i="7" s="1"/>
  <c r="G1694" i="7"/>
  <c r="G1693" i="7"/>
  <c r="L1693" i="7" s="1"/>
  <c r="G1692" i="7"/>
  <c r="L1692" i="7" s="1"/>
  <c r="G1691" i="7"/>
  <c r="L1691" i="7" s="1"/>
  <c r="G1690" i="7"/>
  <c r="L1690" i="7" s="1"/>
  <c r="G1689" i="7"/>
  <c r="L1689" i="7" s="1"/>
  <c r="G1688" i="7"/>
  <c r="L1688" i="7" s="1"/>
  <c r="G1687" i="7"/>
  <c r="L1687" i="7" s="1"/>
  <c r="G1686" i="7"/>
  <c r="L1686" i="7" s="1"/>
  <c r="G1685" i="7"/>
  <c r="L1685" i="7" s="1"/>
  <c r="G1684" i="7"/>
  <c r="L1684" i="7" s="1"/>
  <c r="G1683" i="7"/>
  <c r="L1683" i="7" s="1"/>
  <c r="G1682" i="7"/>
  <c r="L1682" i="7" s="1"/>
  <c r="G1681" i="7"/>
  <c r="L1681" i="7" s="1"/>
  <c r="G1680" i="7"/>
  <c r="L1680" i="7" s="1"/>
  <c r="G1679" i="7"/>
  <c r="L1679" i="7" s="1"/>
  <c r="G1678" i="7"/>
  <c r="L1678" i="7" s="1"/>
  <c r="G1677" i="7"/>
  <c r="L1677" i="7" s="1"/>
  <c r="G1676" i="7"/>
  <c r="L1676" i="7" s="1"/>
  <c r="G1675" i="7"/>
  <c r="L1675" i="7" s="1"/>
  <c r="G1674" i="7"/>
  <c r="L1674" i="7" s="1"/>
  <c r="G1673" i="7"/>
  <c r="L1673" i="7" s="1"/>
  <c r="G1672" i="7"/>
  <c r="L1672" i="7" s="1"/>
  <c r="G1671" i="7"/>
  <c r="L1671" i="7" s="1"/>
  <c r="G1670" i="7"/>
  <c r="L1670" i="7" s="1"/>
  <c r="G1669" i="7"/>
  <c r="L1669" i="7" s="1"/>
  <c r="G1668" i="7"/>
  <c r="L1668" i="7" s="1"/>
  <c r="G1667" i="7"/>
  <c r="L1667" i="7" s="1"/>
  <c r="G1666" i="7"/>
  <c r="L1666" i="7" s="1"/>
  <c r="G1665" i="7"/>
  <c r="L1665" i="7" s="1"/>
  <c r="G1664" i="7"/>
  <c r="G1663" i="7"/>
  <c r="L1663" i="7" s="1"/>
  <c r="G1662" i="7"/>
  <c r="L1662" i="7" s="1"/>
  <c r="G1661" i="7"/>
  <c r="L1661" i="7" s="1"/>
  <c r="G1660" i="7"/>
  <c r="L1660" i="7" s="1"/>
  <c r="G1659" i="7"/>
  <c r="L1659" i="7" s="1"/>
  <c r="G1658" i="7"/>
  <c r="G1657" i="7"/>
  <c r="L1657" i="7" s="1"/>
  <c r="G1656" i="7"/>
  <c r="L1656" i="7" s="1"/>
  <c r="G1655" i="7"/>
  <c r="L1655" i="7" s="1"/>
  <c r="G1654" i="7"/>
  <c r="L1654" i="7" s="1"/>
  <c r="G1653" i="7"/>
  <c r="L1653" i="7" s="1"/>
  <c r="G1652" i="7"/>
  <c r="L1652" i="7" s="1"/>
  <c r="G1651" i="7"/>
  <c r="L1651" i="7" s="1"/>
  <c r="G1650" i="7"/>
  <c r="L1650" i="7" s="1"/>
  <c r="G1649" i="7"/>
  <c r="L1649" i="7" s="1"/>
  <c r="G1648" i="7"/>
  <c r="L1648" i="7" s="1"/>
  <c r="G1647" i="7"/>
  <c r="L1647" i="7" s="1"/>
  <c r="G1646" i="7"/>
  <c r="L1646" i="7" s="1"/>
  <c r="G1645" i="7"/>
  <c r="L1645" i="7" s="1"/>
  <c r="G1644" i="7"/>
  <c r="L1644" i="7" s="1"/>
  <c r="G1643" i="7"/>
  <c r="L1643" i="7" s="1"/>
  <c r="G1642" i="7"/>
  <c r="L1642" i="7" s="1"/>
  <c r="G1641" i="7"/>
  <c r="L1641" i="7" s="1"/>
  <c r="G1640" i="7"/>
  <c r="G1639" i="7"/>
  <c r="L1639" i="7" s="1"/>
  <c r="G1638" i="7"/>
  <c r="L1638" i="7" s="1"/>
  <c r="G1637" i="7"/>
  <c r="L1637" i="7" s="1"/>
  <c r="G1636" i="7"/>
  <c r="L1636" i="7" s="1"/>
  <c r="G1635" i="7"/>
  <c r="L1635" i="7" s="1"/>
  <c r="G1634" i="7"/>
  <c r="L1634" i="7" s="1"/>
  <c r="G1633" i="7"/>
  <c r="L1633" i="7" s="1"/>
  <c r="G1632" i="7"/>
  <c r="L1632" i="7" s="1"/>
  <c r="G1631" i="7"/>
  <c r="L1631" i="7" s="1"/>
  <c r="G1630" i="7"/>
  <c r="L1630" i="7" s="1"/>
  <c r="G1629" i="7"/>
  <c r="L1629" i="7" s="1"/>
  <c r="G1628" i="7"/>
  <c r="L1628" i="7" s="1"/>
  <c r="G1627" i="7"/>
  <c r="L1627" i="7" s="1"/>
  <c r="G1626" i="7"/>
  <c r="L1626" i="7" s="1"/>
  <c r="G1625" i="7"/>
  <c r="L1625" i="7" s="1"/>
  <c r="G1624" i="7"/>
  <c r="L1624" i="7" s="1"/>
  <c r="G1623" i="7"/>
  <c r="L1623" i="7" s="1"/>
  <c r="G1622" i="7"/>
  <c r="L1622" i="7" s="1"/>
  <c r="G1621" i="7"/>
  <c r="L1621" i="7" s="1"/>
  <c r="G1620" i="7"/>
  <c r="L1620" i="7" s="1"/>
  <c r="G1619" i="7"/>
  <c r="L1619" i="7" s="1"/>
  <c r="G1618" i="7"/>
  <c r="L1618" i="7" s="1"/>
  <c r="G1617" i="7"/>
  <c r="L1617" i="7" s="1"/>
  <c r="G1616" i="7"/>
  <c r="L1616" i="7" s="1"/>
  <c r="G1615" i="7"/>
  <c r="L1615" i="7" s="1"/>
  <c r="G1614" i="7"/>
  <c r="L1614" i="7" s="1"/>
  <c r="G1613" i="7"/>
  <c r="L1613" i="7" s="1"/>
  <c r="G1612" i="7"/>
  <c r="L1612" i="7" s="1"/>
  <c r="G1611" i="7"/>
  <c r="L1611" i="7" s="1"/>
  <c r="G1610" i="7"/>
  <c r="L1610" i="7" s="1"/>
  <c r="G1609" i="7"/>
  <c r="L1609" i="7" s="1"/>
  <c r="G1608" i="7"/>
  <c r="L1608" i="7" s="1"/>
  <c r="G1607" i="7"/>
  <c r="L1607" i="7" s="1"/>
  <c r="G1606" i="7"/>
  <c r="L1606" i="7" s="1"/>
  <c r="G1605" i="7"/>
  <c r="L1605" i="7" s="1"/>
  <c r="G1604" i="7"/>
  <c r="L1604" i="7" s="1"/>
  <c r="G1603" i="7"/>
  <c r="L1603" i="7" s="1"/>
  <c r="G1602" i="7"/>
  <c r="L1602" i="7" s="1"/>
  <c r="G1601" i="7"/>
  <c r="L1601" i="7" s="1"/>
  <c r="G1600" i="7"/>
  <c r="L1600" i="7" s="1"/>
  <c r="G1599" i="7"/>
  <c r="L1599" i="7" s="1"/>
  <c r="G1598" i="7"/>
  <c r="L1598" i="7" s="1"/>
  <c r="G1597" i="7"/>
  <c r="L1597" i="7" s="1"/>
  <c r="G1596" i="7"/>
  <c r="L1596" i="7" s="1"/>
  <c r="G1595" i="7"/>
  <c r="L1595" i="7" s="1"/>
  <c r="G1594" i="7"/>
  <c r="L1594" i="7" s="1"/>
  <c r="G1593" i="7"/>
  <c r="L1593" i="7" s="1"/>
  <c r="G1592" i="7"/>
  <c r="L1592" i="7" s="1"/>
  <c r="G1591" i="7"/>
  <c r="L1591" i="7" s="1"/>
  <c r="G1590" i="7"/>
  <c r="L1590" i="7" s="1"/>
  <c r="G1589" i="7"/>
  <c r="L1589" i="7" s="1"/>
  <c r="G1588" i="7"/>
  <c r="L1588" i="7" s="1"/>
  <c r="G1587" i="7"/>
  <c r="L1587" i="7" s="1"/>
  <c r="G1586" i="7"/>
  <c r="L1586" i="7" s="1"/>
  <c r="G1585" i="7"/>
  <c r="L1585" i="7" s="1"/>
  <c r="G1584" i="7"/>
  <c r="L1584" i="7" s="1"/>
  <c r="G1583" i="7"/>
  <c r="L1583" i="7" s="1"/>
  <c r="G1582" i="7"/>
  <c r="L1582" i="7" s="1"/>
  <c r="G1581" i="7"/>
  <c r="L1581" i="7" s="1"/>
  <c r="G1580" i="7"/>
  <c r="L1580" i="7" s="1"/>
  <c r="G1579" i="7"/>
  <c r="L1579" i="7" s="1"/>
  <c r="G1578" i="7"/>
  <c r="L1578" i="7" s="1"/>
  <c r="G1577" i="7"/>
  <c r="L1577" i="7" s="1"/>
  <c r="G1576" i="7"/>
  <c r="L1576" i="7" s="1"/>
  <c r="G1575" i="7"/>
  <c r="L1575" i="7" s="1"/>
  <c r="G1574" i="7"/>
  <c r="L1574" i="7" s="1"/>
  <c r="G1573" i="7"/>
  <c r="L1573" i="7" s="1"/>
  <c r="G1572" i="7"/>
  <c r="L1572" i="7" s="1"/>
  <c r="G1571" i="7"/>
  <c r="L1571" i="7" s="1"/>
  <c r="G1570" i="7"/>
  <c r="L1570" i="7" s="1"/>
  <c r="G1569" i="7"/>
  <c r="L1569" i="7" s="1"/>
  <c r="G1568" i="7"/>
  <c r="G1567" i="7"/>
  <c r="L1567" i="7" s="1"/>
  <c r="G1566" i="7"/>
  <c r="L1566" i="7" s="1"/>
  <c r="G1565" i="7"/>
  <c r="L1565" i="7" s="1"/>
  <c r="G1564" i="7"/>
  <c r="L1564" i="7" s="1"/>
  <c r="G1563" i="7"/>
  <c r="L1563" i="7" s="1"/>
  <c r="G1562" i="7"/>
  <c r="G1561" i="7"/>
  <c r="L1561" i="7" s="1"/>
  <c r="G1560" i="7"/>
  <c r="L1560" i="7" s="1"/>
  <c r="G1559" i="7"/>
  <c r="L1559" i="7" s="1"/>
  <c r="G1558" i="7"/>
  <c r="L1558" i="7" s="1"/>
  <c r="G1557" i="7"/>
  <c r="L1557" i="7" s="1"/>
  <c r="G1556" i="7"/>
  <c r="L1556" i="7" s="1"/>
  <c r="G1555" i="7"/>
  <c r="L1555" i="7" s="1"/>
  <c r="G1554" i="7"/>
  <c r="L1554" i="7" s="1"/>
  <c r="G1553" i="7"/>
  <c r="L1553" i="7" s="1"/>
  <c r="G1552" i="7"/>
  <c r="L1552" i="7" s="1"/>
  <c r="G1551" i="7"/>
  <c r="L1551" i="7" s="1"/>
  <c r="G1550" i="7"/>
  <c r="L1550" i="7" s="1"/>
  <c r="G1549" i="7"/>
  <c r="L1549" i="7" s="1"/>
  <c r="G1548" i="7"/>
  <c r="L1548" i="7" s="1"/>
  <c r="G1547" i="7"/>
  <c r="L1547" i="7" s="1"/>
  <c r="G1546" i="7"/>
  <c r="L1546" i="7" s="1"/>
  <c r="G1545" i="7"/>
  <c r="L1545" i="7" s="1"/>
  <c r="G1544" i="7"/>
  <c r="L1544" i="7" s="1"/>
  <c r="G1543" i="7"/>
  <c r="L1543" i="7" s="1"/>
  <c r="G1542" i="7"/>
  <c r="L1542" i="7" s="1"/>
  <c r="G1541" i="7"/>
  <c r="L1541" i="7" s="1"/>
  <c r="G1540" i="7"/>
  <c r="L1540" i="7" s="1"/>
  <c r="G1539" i="7"/>
  <c r="L1539" i="7" s="1"/>
  <c r="G1538" i="7"/>
  <c r="L1538" i="7" s="1"/>
  <c r="G1537" i="7"/>
  <c r="L1537" i="7" s="1"/>
  <c r="G1536" i="7"/>
  <c r="L1536" i="7" s="1"/>
  <c r="G1535" i="7"/>
  <c r="L1535" i="7" s="1"/>
  <c r="G1534" i="7"/>
  <c r="L1534" i="7" s="1"/>
  <c r="G1533" i="7"/>
  <c r="L1533" i="7" s="1"/>
  <c r="G1532" i="7"/>
  <c r="L1532" i="7" s="1"/>
  <c r="G1531" i="7"/>
  <c r="L1531" i="7" s="1"/>
  <c r="G1530" i="7"/>
  <c r="L1530" i="7" s="1"/>
  <c r="G1529" i="7"/>
  <c r="L1529" i="7" s="1"/>
  <c r="G1528" i="7"/>
  <c r="L1528" i="7" s="1"/>
  <c r="G1527" i="7"/>
  <c r="L1527" i="7" s="1"/>
  <c r="G1526" i="7"/>
  <c r="G1525" i="7"/>
  <c r="L1525" i="7" s="1"/>
  <c r="G1524" i="7"/>
  <c r="L1524" i="7" s="1"/>
  <c r="G1523" i="7"/>
  <c r="L1523" i="7" s="1"/>
  <c r="G1522" i="7"/>
  <c r="L1522" i="7" s="1"/>
  <c r="G1521" i="7"/>
  <c r="L1521" i="7" s="1"/>
  <c r="G1520" i="7"/>
  <c r="L1520" i="7" s="1"/>
  <c r="G1519" i="7"/>
  <c r="L1519" i="7" s="1"/>
  <c r="G1518" i="7"/>
  <c r="L1518" i="7" s="1"/>
  <c r="G1517" i="7"/>
  <c r="L1517" i="7" s="1"/>
  <c r="G1516" i="7"/>
  <c r="L1516" i="7" s="1"/>
  <c r="G1515" i="7"/>
  <c r="L1515" i="7" s="1"/>
  <c r="G1514" i="7"/>
  <c r="L1514" i="7" s="1"/>
  <c r="G1513" i="7"/>
  <c r="L1513" i="7" s="1"/>
  <c r="G1512" i="7"/>
  <c r="L1512" i="7" s="1"/>
  <c r="G1511" i="7"/>
  <c r="L1511" i="7" s="1"/>
  <c r="G1510" i="7"/>
  <c r="L1510" i="7" s="1"/>
  <c r="G1509" i="7"/>
  <c r="L1509" i="7" s="1"/>
  <c r="G1508" i="7"/>
  <c r="L1508" i="7" s="1"/>
  <c r="G1507" i="7"/>
  <c r="L1507" i="7" s="1"/>
  <c r="G1506" i="7"/>
  <c r="L1506" i="7" s="1"/>
  <c r="G1505" i="7"/>
  <c r="L1505" i="7" s="1"/>
  <c r="G1504" i="7"/>
  <c r="L1504" i="7" s="1"/>
  <c r="G1503" i="7"/>
  <c r="L1503" i="7" s="1"/>
  <c r="G1502" i="7"/>
  <c r="L1502" i="7" s="1"/>
  <c r="G1501" i="7"/>
  <c r="L1501" i="7" s="1"/>
  <c r="G1500" i="7"/>
  <c r="L1500" i="7" s="1"/>
  <c r="G1499" i="7"/>
  <c r="L1499" i="7" s="1"/>
  <c r="G1498" i="7"/>
  <c r="L1498" i="7" s="1"/>
  <c r="G1497" i="7"/>
  <c r="L1497" i="7" s="1"/>
  <c r="G1496" i="7"/>
  <c r="G1495" i="7"/>
  <c r="L1495" i="7" s="1"/>
  <c r="G1494" i="7"/>
  <c r="L1494" i="7" s="1"/>
  <c r="G1493" i="7"/>
  <c r="L1493" i="7" s="1"/>
  <c r="G1492" i="7"/>
  <c r="L1492" i="7" s="1"/>
  <c r="G1491" i="7"/>
  <c r="L1491" i="7" s="1"/>
  <c r="G1490" i="7"/>
  <c r="L1490" i="7" s="1"/>
  <c r="G1489" i="7"/>
  <c r="L1489" i="7" s="1"/>
  <c r="G1488" i="7"/>
  <c r="L1488" i="7" s="1"/>
  <c r="G1487" i="7"/>
  <c r="L1487" i="7" s="1"/>
  <c r="G1486" i="7"/>
  <c r="L1486" i="7" s="1"/>
  <c r="G1485" i="7"/>
  <c r="L1485" i="7" s="1"/>
  <c r="G1484" i="7"/>
  <c r="G1483" i="7"/>
  <c r="L1483" i="7" s="1"/>
  <c r="G1482" i="7"/>
  <c r="L1482" i="7" s="1"/>
  <c r="G1481" i="7"/>
  <c r="L1481" i="7" s="1"/>
  <c r="G1480" i="7"/>
  <c r="L1480" i="7" s="1"/>
  <c r="G1479" i="7"/>
  <c r="L1479" i="7" s="1"/>
  <c r="G1478" i="7"/>
  <c r="L1478" i="7" s="1"/>
  <c r="G1477" i="7"/>
  <c r="L1477" i="7" s="1"/>
  <c r="G1476" i="7"/>
  <c r="L1476" i="7" s="1"/>
  <c r="G1475" i="7"/>
  <c r="L1475" i="7" s="1"/>
  <c r="G1474" i="7"/>
  <c r="L1474" i="7" s="1"/>
  <c r="G1473" i="7"/>
  <c r="L1473" i="7" s="1"/>
  <c r="G1472" i="7"/>
  <c r="L1472" i="7" s="1"/>
  <c r="G1471" i="7"/>
  <c r="L1471" i="7" s="1"/>
  <c r="G1470" i="7"/>
  <c r="L1470" i="7" s="1"/>
  <c r="G1469" i="7"/>
  <c r="L1469" i="7" s="1"/>
  <c r="G1468" i="7"/>
  <c r="L1468" i="7" s="1"/>
  <c r="G1467" i="7"/>
  <c r="L1467" i="7" s="1"/>
  <c r="G1466" i="7"/>
  <c r="G1465" i="7"/>
  <c r="L1465" i="7" s="1"/>
  <c r="G1464" i="7"/>
  <c r="L1464" i="7" s="1"/>
  <c r="G1463" i="7"/>
  <c r="L1463" i="7" s="1"/>
  <c r="G1462" i="7"/>
  <c r="L1462" i="7" s="1"/>
  <c r="G1461" i="7"/>
  <c r="L1461" i="7" s="1"/>
  <c r="G1460" i="7"/>
  <c r="L1460" i="7" s="1"/>
  <c r="G1459" i="7"/>
  <c r="L1459" i="7" s="1"/>
  <c r="G1458" i="7"/>
  <c r="L1458" i="7" s="1"/>
  <c r="G1457" i="7"/>
  <c r="L1457" i="7" s="1"/>
  <c r="G1456" i="7"/>
  <c r="L1456" i="7" s="1"/>
  <c r="G1455" i="7"/>
  <c r="L1455" i="7" s="1"/>
  <c r="G1454" i="7"/>
  <c r="G1453" i="7"/>
  <c r="L1453" i="7" s="1"/>
  <c r="G1452" i="7"/>
  <c r="L1452" i="7" s="1"/>
  <c r="G1451" i="7"/>
  <c r="L1451" i="7" s="1"/>
  <c r="G1450" i="7"/>
  <c r="L1450" i="7" s="1"/>
  <c r="G1449" i="7"/>
  <c r="L1449" i="7" s="1"/>
  <c r="G1448" i="7"/>
  <c r="G1447" i="7"/>
  <c r="L1447" i="7" s="1"/>
  <c r="G1446" i="7"/>
  <c r="L1446" i="7" s="1"/>
  <c r="G1445" i="7"/>
  <c r="L1445" i="7" s="1"/>
  <c r="G1444" i="7"/>
  <c r="L1444" i="7" s="1"/>
  <c r="G1443" i="7"/>
  <c r="L1443" i="7" s="1"/>
  <c r="G1442" i="7"/>
  <c r="L1442" i="7" s="1"/>
  <c r="G1441" i="7"/>
  <c r="L1441" i="7" s="1"/>
  <c r="G1440" i="7"/>
  <c r="L1440" i="7" s="1"/>
  <c r="G1439" i="7"/>
  <c r="L1439" i="7" s="1"/>
  <c r="G1438" i="7"/>
  <c r="L1438" i="7" s="1"/>
  <c r="G1437" i="7"/>
  <c r="L1437" i="7" s="1"/>
  <c r="G1436" i="7"/>
  <c r="G1435" i="7"/>
  <c r="L1435" i="7" s="1"/>
  <c r="G1434" i="7"/>
  <c r="L1434" i="7" s="1"/>
  <c r="G1433" i="7"/>
  <c r="L1433" i="7" s="1"/>
  <c r="G1432" i="7"/>
  <c r="L1432" i="7" s="1"/>
  <c r="G1431" i="7"/>
  <c r="L1431" i="7" s="1"/>
  <c r="G1430" i="7"/>
  <c r="G1429" i="7"/>
  <c r="L1429" i="7" s="1"/>
  <c r="G1428" i="7"/>
  <c r="L1428" i="7" s="1"/>
  <c r="G1427" i="7"/>
  <c r="L1427" i="7" s="1"/>
  <c r="G1426" i="7"/>
  <c r="L1426" i="7" s="1"/>
  <c r="G1425" i="7"/>
  <c r="L1425" i="7" s="1"/>
  <c r="G1424" i="7"/>
  <c r="G1423" i="7"/>
  <c r="L1423" i="7" s="1"/>
  <c r="G1422" i="7"/>
  <c r="L1422" i="7" s="1"/>
  <c r="G1421" i="7"/>
  <c r="L1421" i="7" s="1"/>
  <c r="G1420" i="7"/>
  <c r="L1420" i="7" s="1"/>
  <c r="G1419" i="7"/>
  <c r="L1419" i="7" s="1"/>
  <c r="G1418" i="7"/>
  <c r="G1417" i="7"/>
  <c r="L1417" i="7" s="1"/>
  <c r="G1416" i="7"/>
  <c r="L1416" i="7" s="1"/>
  <c r="G1415" i="7"/>
  <c r="L1415" i="7" s="1"/>
  <c r="G1414" i="7"/>
  <c r="L1414" i="7" s="1"/>
  <c r="G1413" i="7"/>
  <c r="L1413" i="7" s="1"/>
  <c r="G1412" i="7"/>
  <c r="G1411" i="7"/>
  <c r="L1411" i="7" s="1"/>
  <c r="G1410" i="7"/>
  <c r="L1410" i="7" s="1"/>
  <c r="G1409" i="7"/>
  <c r="L1409" i="7" s="1"/>
  <c r="G1408" i="7"/>
  <c r="L1408" i="7" s="1"/>
  <c r="G1407" i="7"/>
  <c r="L1407" i="7" s="1"/>
  <c r="G1406" i="7"/>
  <c r="G1405" i="7"/>
  <c r="L1405" i="7" s="1"/>
  <c r="G1404" i="7"/>
  <c r="L1404" i="7" s="1"/>
  <c r="G1403" i="7"/>
  <c r="L1403" i="7" s="1"/>
  <c r="G1402" i="7"/>
  <c r="L1402" i="7" s="1"/>
  <c r="G1401" i="7"/>
  <c r="L1401" i="7" s="1"/>
  <c r="G1400" i="7"/>
  <c r="L1400" i="7" s="1"/>
  <c r="G1399" i="7"/>
  <c r="L1399" i="7" s="1"/>
  <c r="G1398" i="7"/>
  <c r="L1398" i="7" s="1"/>
  <c r="G1397" i="7"/>
  <c r="L1397" i="7" s="1"/>
  <c r="G1396" i="7"/>
  <c r="L1396" i="7" s="1"/>
  <c r="G1395" i="7"/>
  <c r="L1395" i="7" s="1"/>
  <c r="G1394" i="7"/>
  <c r="L1394" i="7" s="1"/>
  <c r="G1393" i="7"/>
  <c r="L1393" i="7" s="1"/>
  <c r="G1392" i="7"/>
  <c r="L1392" i="7" s="1"/>
  <c r="G1391" i="7"/>
  <c r="L1391" i="7" s="1"/>
  <c r="G1390" i="7"/>
  <c r="L1390" i="7" s="1"/>
  <c r="G1389" i="7"/>
  <c r="L1389" i="7" s="1"/>
  <c r="G1388" i="7"/>
  <c r="L1388" i="7" s="1"/>
  <c r="G1387" i="7"/>
  <c r="L1387" i="7" s="1"/>
  <c r="G1386" i="7"/>
  <c r="L1386" i="7" s="1"/>
  <c r="G1385" i="7"/>
  <c r="L1385" i="7" s="1"/>
  <c r="G1384" i="7"/>
  <c r="L1384" i="7" s="1"/>
  <c r="G1383" i="7"/>
  <c r="L1383" i="7" s="1"/>
  <c r="G1382" i="7"/>
  <c r="G1381" i="7"/>
  <c r="L1381" i="7" s="1"/>
  <c r="G1380" i="7"/>
  <c r="L1380" i="7" s="1"/>
  <c r="G1379" i="7"/>
  <c r="L1379" i="7" s="1"/>
  <c r="G1378" i="7"/>
  <c r="L1378" i="7" s="1"/>
  <c r="G1377" i="7"/>
  <c r="L1377" i="7" s="1"/>
  <c r="G1376" i="7"/>
  <c r="L1376" i="7" s="1"/>
  <c r="G1375" i="7"/>
  <c r="L1375" i="7" s="1"/>
  <c r="G1374" i="7"/>
  <c r="L1374" i="7" s="1"/>
  <c r="G1373" i="7"/>
  <c r="L1373" i="7" s="1"/>
  <c r="G1372" i="7"/>
  <c r="L1372" i="7" s="1"/>
  <c r="G1371" i="7"/>
  <c r="L1371" i="7" s="1"/>
  <c r="G1370" i="7"/>
  <c r="L1370" i="7" s="1"/>
  <c r="G1369" i="7"/>
  <c r="L1369" i="7" s="1"/>
  <c r="G1368" i="7"/>
  <c r="L1368" i="7" s="1"/>
  <c r="G1367" i="7"/>
  <c r="L1367" i="7" s="1"/>
  <c r="G1366" i="7"/>
  <c r="L1366" i="7" s="1"/>
  <c r="G1365" i="7"/>
  <c r="L1365" i="7" s="1"/>
  <c r="G1364" i="7"/>
  <c r="G1363" i="7"/>
  <c r="L1363" i="7" s="1"/>
  <c r="G1362" i="7"/>
  <c r="L1362" i="7" s="1"/>
  <c r="G1361" i="7"/>
  <c r="L1361" i="7" s="1"/>
  <c r="G1360" i="7"/>
  <c r="L1360" i="7" s="1"/>
  <c r="G1359" i="7"/>
  <c r="L1359" i="7" s="1"/>
  <c r="G1358" i="7"/>
  <c r="L1358" i="7" s="1"/>
  <c r="G1357" i="7"/>
  <c r="L1357" i="7" s="1"/>
  <c r="G1356" i="7"/>
  <c r="L1356" i="7" s="1"/>
  <c r="G1355" i="7"/>
  <c r="L1355" i="7" s="1"/>
  <c r="G1354" i="7"/>
  <c r="L1354" i="7" s="1"/>
  <c r="G1353" i="7"/>
  <c r="L1353" i="7" s="1"/>
  <c r="G1352" i="7"/>
  <c r="G1351" i="7"/>
  <c r="L1351" i="7" s="1"/>
  <c r="G1350" i="7"/>
  <c r="L1350" i="7" s="1"/>
  <c r="G1349" i="7"/>
  <c r="L1349" i="7" s="1"/>
  <c r="G1348" i="7"/>
  <c r="L1348" i="7" s="1"/>
  <c r="G1347" i="7"/>
  <c r="L1347" i="7" s="1"/>
  <c r="G1346" i="7"/>
  <c r="G1345" i="7"/>
  <c r="L1345" i="7" s="1"/>
  <c r="G1344" i="7"/>
  <c r="L1344" i="7" s="1"/>
  <c r="G1343" i="7"/>
  <c r="L1343" i="7" s="1"/>
  <c r="G1342" i="7"/>
  <c r="L1342" i="7" s="1"/>
  <c r="G1341" i="7"/>
  <c r="L1341" i="7" s="1"/>
  <c r="G1340" i="7"/>
  <c r="L1340" i="7" s="1"/>
  <c r="G1339" i="7"/>
  <c r="L1339" i="7" s="1"/>
  <c r="G1338" i="7"/>
  <c r="L1338" i="7" s="1"/>
  <c r="G1337" i="7"/>
  <c r="L1337" i="7" s="1"/>
  <c r="G1336" i="7"/>
  <c r="L1336" i="7" s="1"/>
  <c r="G1335" i="7"/>
  <c r="L1335" i="7" s="1"/>
  <c r="G1334" i="7"/>
  <c r="G1333" i="7"/>
  <c r="L1333" i="7" s="1"/>
  <c r="G1332" i="7"/>
  <c r="L1332" i="7" s="1"/>
  <c r="G1331" i="7"/>
  <c r="L1331" i="7" s="1"/>
  <c r="G1330" i="7"/>
  <c r="L1330" i="7" s="1"/>
  <c r="G1329" i="7"/>
  <c r="L1329" i="7" s="1"/>
  <c r="G1328" i="7"/>
  <c r="L1328" i="7" s="1"/>
  <c r="G1327" i="7"/>
  <c r="L1327" i="7" s="1"/>
  <c r="G1326" i="7"/>
  <c r="L1326" i="7" s="1"/>
  <c r="G1325" i="7"/>
  <c r="L1325" i="7" s="1"/>
  <c r="G1324" i="7"/>
  <c r="L1324" i="7" s="1"/>
  <c r="G1323" i="7"/>
  <c r="L1323" i="7" s="1"/>
  <c r="G1322" i="7"/>
  <c r="L1322" i="7" s="1"/>
  <c r="G1321" i="7"/>
  <c r="L1321" i="7" s="1"/>
  <c r="G1320" i="7"/>
  <c r="L1320" i="7" s="1"/>
  <c r="G1319" i="7"/>
  <c r="L1319" i="7" s="1"/>
  <c r="G1318" i="7"/>
  <c r="L1318" i="7" s="1"/>
  <c r="G1317" i="7"/>
  <c r="L1317" i="7" s="1"/>
  <c r="G1316" i="7"/>
  <c r="L1316" i="7" s="1"/>
  <c r="G1315" i="7"/>
  <c r="L1315" i="7" s="1"/>
  <c r="G1314" i="7"/>
  <c r="L1314" i="7" s="1"/>
  <c r="G1313" i="7"/>
  <c r="L1313" i="7" s="1"/>
  <c r="G1312" i="7"/>
  <c r="L1312" i="7" s="1"/>
  <c r="G1311" i="7"/>
  <c r="L1311" i="7" s="1"/>
  <c r="G1310" i="7"/>
  <c r="L1310" i="7" s="1"/>
  <c r="G1309" i="7"/>
  <c r="L1309" i="7" s="1"/>
  <c r="G1308" i="7"/>
  <c r="L1308" i="7" s="1"/>
  <c r="G1307" i="7"/>
  <c r="L1307" i="7" s="1"/>
  <c r="G1306" i="7"/>
  <c r="L1306" i="7" s="1"/>
  <c r="G1305" i="7"/>
  <c r="L1305" i="7" s="1"/>
  <c r="G1304" i="7"/>
  <c r="G1303" i="7"/>
  <c r="L1303" i="7" s="1"/>
  <c r="G1302" i="7"/>
  <c r="L1302" i="7" s="1"/>
  <c r="G1301" i="7"/>
  <c r="L1301" i="7" s="1"/>
  <c r="G1300" i="7"/>
  <c r="L1300" i="7" s="1"/>
  <c r="G1299" i="7"/>
  <c r="L1299" i="7" s="1"/>
  <c r="G1298" i="7"/>
  <c r="L1298" i="7" s="1"/>
  <c r="G1297" i="7"/>
  <c r="L1297" i="7" s="1"/>
  <c r="G1296" i="7"/>
  <c r="L1296" i="7" s="1"/>
  <c r="G1295" i="7"/>
  <c r="L1295" i="7" s="1"/>
  <c r="G1294" i="7"/>
  <c r="L1294" i="7" s="1"/>
  <c r="G1293" i="7"/>
  <c r="L1293" i="7" s="1"/>
  <c r="G1292" i="7"/>
  <c r="G1291" i="7"/>
  <c r="L1291" i="7" s="1"/>
  <c r="G1290" i="7"/>
  <c r="L1290" i="7" s="1"/>
  <c r="G1289" i="7"/>
  <c r="L1289" i="7" s="1"/>
  <c r="G1288" i="7"/>
  <c r="L1288" i="7" s="1"/>
  <c r="G1287" i="7"/>
  <c r="L1287" i="7" s="1"/>
  <c r="G1286" i="7"/>
  <c r="L1286" i="7" s="1"/>
  <c r="G1285" i="7"/>
  <c r="L1285" i="7" s="1"/>
  <c r="G1284" i="7"/>
  <c r="L1284" i="7" s="1"/>
  <c r="G1283" i="7"/>
  <c r="L1283" i="7" s="1"/>
  <c r="G1282" i="7"/>
  <c r="L1282" i="7" s="1"/>
  <c r="G1281" i="7"/>
  <c r="L1281" i="7" s="1"/>
  <c r="G1280" i="7"/>
  <c r="L1280" i="7" s="1"/>
  <c r="G1279" i="7"/>
  <c r="L1279" i="7" s="1"/>
  <c r="G1278" i="7"/>
  <c r="L1278" i="7" s="1"/>
  <c r="G1277" i="7"/>
  <c r="L1277" i="7" s="1"/>
  <c r="G1276" i="7"/>
  <c r="L1276" i="7" s="1"/>
  <c r="G1275" i="7"/>
  <c r="L1275" i="7" s="1"/>
  <c r="G1274" i="7"/>
  <c r="L1274" i="7" s="1"/>
  <c r="G1273" i="7"/>
  <c r="L1273" i="7" s="1"/>
  <c r="G1272" i="7"/>
  <c r="L1272" i="7" s="1"/>
  <c r="G1271" i="7"/>
  <c r="L1271" i="7" s="1"/>
  <c r="G1270" i="7"/>
  <c r="L1270" i="7" s="1"/>
  <c r="G1269" i="7"/>
  <c r="L1269" i="7" s="1"/>
  <c r="G1268" i="7"/>
  <c r="L1268" i="7" s="1"/>
  <c r="G1267" i="7"/>
  <c r="L1267" i="7" s="1"/>
  <c r="G1266" i="7"/>
  <c r="L1266" i="7" s="1"/>
  <c r="G1265" i="7"/>
  <c r="L1265" i="7" s="1"/>
  <c r="G1264" i="7"/>
  <c r="L1264" i="7" s="1"/>
  <c r="G1263" i="7"/>
  <c r="L1263" i="7" s="1"/>
  <c r="G1262" i="7"/>
  <c r="L1262" i="7" s="1"/>
  <c r="G1261" i="7"/>
  <c r="L1261" i="7" s="1"/>
  <c r="G1260" i="7"/>
  <c r="L1260" i="7" s="1"/>
  <c r="G1259" i="7"/>
  <c r="L1259" i="7" s="1"/>
  <c r="G1258" i="7"/>
  <c r="L1258" i="7" s="1"/>
  <c r="G1257" i="7"/>
  <c r="L1257" i="7" s="1"/>
  <c r="G1256" i="7"/>
  <c r="G1255" i="7"/>
  <c r="L1255" i="7" s="1"/>
  <c r="G1254" i="7"/>
  <c r="L1254" i="7" s="1"/>
  <c r="G1253" i="7"/>
  <c r="L1253" i="7" s="1"/>
  <c r="G1252" i="7"/>
  <c r="L1252" i="7" s="1"/>
  <c r="G1251" i="7"/>
  <c r="L1251" i="7" s="1"/>
  <c r="G1250" i="7"/>
  <c r="L1250" i="7" s="1"/>
  <c r="G1249" i="7"/>
  <c r="L1249" i="7" s="1"/>
  <c r="G1248" i="7"/>
  <c r="L1248" i="7" s="1"/>
  <c r="G1247" i="7"/>
  <c r="L1247" i="7" s="1"/>
  <c r="G1246" i="7"/>
  <c r="L1246" i="7" s="1"/>
  <c r="G1245" i="7"/>
  <c r="L1245" i="7" s="1"/>
  <c r="G1244" i="7"/>
  <c r="L1244" i="7" s="1"/>
  <c r="G1243" i="7"/>
  <c r="L1243" i="7" s="1"/>
  <c r="G1242" i="7"/>
  <c r="L1242" i="7" s="1"/>
  <c r="G1241" i="7"/>
  <c r="L1241" i="7" s="1"/>
  <c r="G1240" i="7"/>
  <c r="L1240" i="7" s="1"/>
  <c r="G1239" i="7"/>
  <c r="L1239" i="7" s="1"/>
  <c r="G1238" i="7"/>
  <c r="L1238" i="7" s="1"/>
  <c r="G1237" i="7"/>
  <c r="L1237" i="7" s="1"/>
  <c r="G1236" i="7"/>
  <c r="L1236" i="7" s="1"/>
  <c r="G1235" i="7"/>
  <c r="L1235" i="7" s="1"/>
  <c r="G1234" i="7"/>
  <c r="L1234" i="7" s="1"/>
  <c r="G1233" i="7"/>
  <c r="L1233" i="7" s="1"/>
  <c r="G1232" i="7"/>
  <c r="G1231" i="7"/>
  <c r="L1231" i="7" s="1"/>
  <c r="G1230" i="7"/>
  <c r="L1230" i="7" s="1"/>
  <c r="G1229" i="7"/>
  <c r="L1229" i="7" s="1"/>
  <c r="G1228" i="7"/>
  <c r="L1228" i="7" s="1"/>
  <c r="G1227" i="7"/>
  <c r="L1227" i="7" s="1"/>
  <c r="G1226" i="7"/>
  <c r="L1226" i="7" s="1"/>
  <c r="G1225" i="7"/>
  <c r="L1225" i="7" s="1"/>
  <c r="G1224" i="7"/>
  <c r="L1224" i="7" s="1"/>
  <c r="G1223" i="7"/>
  <c r="L1223" i="7" s="1"/>
  <c r="G1222" i="7"/>
  <c r="L1222" i="7" s="1"/>
  <c r="G1221" i="7"/>
  <c r="L1221" i="7" s="1"/>
  <c r="G1220" i="7"/>
  <c r="G1219" i="7"/>
  <c r="L1219" i="7" s="1"/>
  <c r="G1218" i="7"/>
  <c r="L1218" i="7" s="1"/>
  <c r="G1217" i="7"/>
  <c r="L1217" i="7" s="1"/>
  <c r="G1216" i="7"/>
  <c r="L1216" i="7" s="1"/>
  <c r="G1215" i="7"/>
  <c r="L1215" i="7" s="1"/>
  <c r="G1214" i="7"/>
  <c r="L1214" i="7" s="1"/>
  <c r="G1213" i="7"/>
  <c r="L1213" i="7" s="1"/>
  <c r="G1212" i="7"/>
  <c r="L1212" i="7" s="1"/>
  <c r="G1211" i="7"/>
  <c r="L1211" i="7" s="1"/>
  <c r="G1210" i="7"/>
  <c r="L1210" i="7" s="1"/>
  <c r="G1209" i="7"/>
  <c r="L1209" i="7" s="1"/>
  <c r="G1208" i="7"/>
  <c r="L1208" i="7" s="1"/>
  <c r="G1207" i="7"/>
  <c r="L1207" i="7" s="1"/>
  <c r="G1206" i="7"/>
  <c r="L1206" i="7" s="1"/>
  <c r="G1205" i="7"/>
  <c r="L1205" i="7" s="1"/>
  <c r="G1204" i="7"/>
  <c r="L1204" i="7" s="1"/>
  <c r="G1203" i="7"/>
  <c r="L1203" i="7" s="1"/>
  <c r="G1202" i="7"/>
  <c r="L1202" i="7" s="1"/>
  <c r="G1201" i="7"/>
  <c r="L1201" i="7" s="1"/>
  <c r="G1200" i="7"/>
  <c r="L1200" i="7" s="1"/>
  <c r="G1199" i="7"/>
  <c r="L1199" i="7" s="1"/>
  <c r="G1198" i="7"/>
  <c r="L1198" i="7" s="1"/>
  <c r="G1197" i="7"/>
  <c r="L1197" i="7" s="1"/>
  <c r="G1196" i="7"/>
  <c r="G1195" i="7"/>
  <c r="L1195" i="7" s="1"/>
  <c r="G1194" i="7"/>
  <c r="L1194" i="7" s="1"/>
  <c r="G1193" i="7"/>
  <c r="L1193" i="7" s="1"/>
  <c r="G1192" i="7"/>
  <c r="L1192" i="7" s="1"/>
  <c r="G1191" i="7"/>
  <c r="L1191" i="7" s="1"/>
  <c r="G1190" i="7"/>
  <c r="L1190" i="7" s="1"/>
  <c r="G1189" i="7"/>
  <c r="L1189" i="7" s="1"/>
  <c r="G1188" i="7"/>
  <c r="L1188" i="7" s="1"/>
  <c r="G1187" i="7"/>
  <c r="L1187" i="7" s="1"/>
  <c r="G1186" i="7"/>
  <c r="L1186" i="7" s="1"/>
  <c r="G1185" i="7"/>
  <c r="L1185" i="7" s="1"/>
  <c r="G1184" i="7"/>
  <c r="L1184" i="7" s="1"/>
  <c r="G1183" i="7"/>
  <c r="L1183" i="7" s="1"/>
  <c r="G1182" i="7"/>
  <c r="L1182" i="7" s="1"/>
  <c r="G1181" i="7"/>
  <c r="L1181" i="7" s="1"/>
  <c r="G1180" i="7"/>
  <c r="L1180" i="7" s="1"/>
  <c r="G1179" i="7"/>
  <c r="L1179" i="7" s="1"/>
  <c r="G1178" i="7"/>
  <c r="L1178" i="7" s="1"/>
  <c r="G1177" i="7"/>
  <c r="L1177" i="7" s="1"/>
  <c r="G1176" i="7"/>
  <c r="L1176" i="7" s="1"/>
  <c r="G1175" i="7"/>
  <c r="L1175" i="7" s="1"/>
  <c r="G1174" i="7"/>
  <c r="L1174" i="7" s="1"/>
  <c r="G1173" i="7"/>
  <c r="L1173" i="7" s="1"/>
  <c r="G1172" i="7"/>
  <c r="L1172" i="7" s="1"/>
  <c r="G1171" i="7"/>
  <c r="L1171" i="7" s="1"/>
  <c r="G1170" i="7"/>
  <c r="L1170" i="7" s="1"/>
  <c r="G1169" i="7"/>
  <c r="L1169" i="7" s="1"/>
  <c r="G1168" i="7"/>
  <c r="L1168" i="7" s="1"/>
  <c r="G1167" i="7"/>
  <c r="L1167" i="7" s="1"/>
  <c r="G1166" i="7"/>
  <c r="L1166" i="7" s="1"/>
  <c r="G1165" i="7"/>
  <c r="L1165" i="7" s="1"/>
  <c r="G1164" i="7"/>
  <c r="L1164" i="7" s="1"/>
  <c r="G1163" i="7"/>
  <c r="L1163" i="7" s="1"/>
  <c r="G1162" i="7"/>
  <c r="L1162" i="7" s="1"/>
  <c r="G1161" i="7"/>
  <c r="L1161" i="7" s="1"/>
  <c r="G1160" i="7"/>
  <c r="L1160" i="7" s="1"/>
  <c r="G1159" i="7"/>
  <c r="L1159" i="7" s="1"/>
  <c r="G1158" i="7"/>
  <c r="L1158" i="7" s="1"/>
  <c r="G1157" i="7"/>
  <c r="L1157" i="7" s="1"/>
  <c r="G1156" i="7"/>
  <c r="L1156" i="7" s="1"/>
  <c r="G1155" i="7"/>
  <c r="L1155" i="7" s="1"/>
  <c r="G1154" i="7"/>
  <c r="L1154" i="7" s="1"/>
  <c r="G1153" i="7"/>
  <c r="L1153" i="7" s="1"/>
  <c r="G1152" i="7"/>
  <c r="L1152" i="7" s="1"/>
  <c r="G1151" i="7"/>
  <c r="L1151" i="7" s="1"/>
  <c r="G1150" i="7"/>
  <c r="L1150" i="7" s="1"/>
  <c r="G1149" i="7"/>
  <c r="L1149" i="7" s="1"/>
  <c r="G1148" i="7"/>
  <c r="G1147" i="7"/>
  <c r="L1147" i="7" s="1"/>
  <c r="G1146" i="7"/>
  <c r="L1146" i="7" s="1"/>
  <c r="G1145" i="7"/>
  <c r="L1145" i="7" s="1"/>
  <c r="G1144" i="7"/>
  <c r="L1144" i="7" s="1"/>
  <c r="G1143" i="7"/>
  <c r="L1143" i="7" s="1"/>
  <c r="G1142" i="7"/>
  <c r="L1142" i="7" s="1"/>
  <c r="G1141" i="7"/>
  <c r="L1141" i="7" s="1"/>
  <c r="G1140" i="7"/>
  <c r="L1140" i="7" s="1"/>
  <c r="G1139" i="7"/>
  <c r="L1139" i="7" s="1"/>
  <c r="G1138" i="7"/>
  <c r="L1138" i="7" s="1"/>
  <c r="G1137" i="7"/>
  <c r="L1137" i="7" s="1"/>
  <c r="G1136" i="7"/>
  <c r="L1136" i="7" s="1"/>
  <c r="G1135" i="7"/>
  <c r="L1135" i="7" s="1"/>
  <c r="G1134" i="7"/>
  <c r="L1134" i="7" s="1"/>
  <c r="G1133" i="7"/>
  <c r="L1133" i="7" s="1"/>
  <c r="G1132" i="7"/>
  <c r="L1132" i="7" s="1"/>
  <c r="G1131" i="7"/>
  <c r="L1131" i="7" s="1"/>
  <c r="G1130" i="7"/>
  <c r="L1130" i="7" s="1"/>
  <c r="G1129" i="7"/>
  <c r="L1129" i="7" s="1"/>
  <c r="G1128" i="7"/>
  <c r="L1128" i="7" s="1"/>
  <c r="G1127" i="7"/>
  <c r="L1127" i="7" s="1"/>
  <c r="G1126" i="7"/>
  <c r="L1126" i="7" s="1"/>
  <c r="G1125" i="7"/>
  <c r="L1125" i="7" s="1"/>
  <c r="G1124" i="7"/>
  <c r="L1124" i="7" s="1"/>
  <c r="G1123" i="7"/>
  <c r="L1123" i="7" s="1"/>
  <c r="G1122" i="7"/>
  <c r="L1122" i="7" s="1"/>
  <c r="G1121" i="7"/>
  <c r="L1121" i="7" s="1"/>
  <c r="G1120" i="7"/>
  <c r="L1120" i="7" s="1"/>
  <c r="G1119" i="7"/>
  <c r="L1119" i="7" s="1"/>
  <c r="G1118" i="7"/>
  <c r="L1118" i="7" s="1"/>
  <c r="G1117" i="7"/>
  <c r="L1117" i="7" s="1"/>
  <c r="G1116" i="7"/>
  <c r="L1116" i="7" s="1"/>
  <c r="G1115" i="7"/>
  <c r="L1115" i="7" s="1"/>
  <c r="G1114" i="7"/>
  <c r="L1114" i="7" s="1"/>
  <c r="G1113" i="7"/>
  <c r="L1113" i="7" s="1"/>
  <c r="G1112" i="7"/>
  <c r="L1112" i="7" s="1"/>
  <c r="G1111" i="7"/>
  <c r="L1111" i="7" s="1"/>
  <c r="G1110" i="7"/>
  <c r="L1110" i="7" s="1"/>
  <c r="G1109" i="7"/>
  <c r="L1109" i="7" s="1"/>
  <c r="G1108" i="7"/>
  <c r="L1108" i="7" s="1"/>
  <c r="G1107" i="7"/>
  <c r="L1107" i="7" s="1"/>
  <c r="G1106" i="7"/>
  <c r="L1106" i="7" s="1"/>
  <c r="G1105" i="7"/>
  <c r="L1105" i="7" s="1"/>
  <c r="G1104" i="7"/>
  <c r="L1104" i="7" s="1"/>
  <c r="G1103" i="7"/>
  <c r="L1103" i="7" s="1"/>
  <c r="G1102" i="7"/>
  <c r="L1102" i="7" s="1"/>
  <c r="G1101" i="7"/>
  <c r="L1101" i="7" s="1"/>
  <c r="G1100" i="7"/>
  <c r="L1100" i="7" s="1"/>
  <c r="G1099" i="7"/>
  <c r="L1099" i="7" s="1"/>
  <c r="G1098" i="7"/>
  <c r="L1098" i="7" s="1"/>
  <c r="G1097" i="7"/>
  <c r="L1097" i="7" s="1"/>
  <c r="G1096" i="7"/>
  <c r="L1096" i="7" s="1"/>
  <c r="G1095" i="7"/>
  <c r="L1095" i="7" s="1"/>
  <c r="G1094" i="7"/>
  <c r="G1093" i="7"/>
  <c r="L1093" i="7" s="1"/>
  <c r="G1092" i="7"/>
  <c r="L1092" i="7" s="1"/>
  <c r="G1091" i="7"/>
  <c r="L1091" i="7" s="1"/>
  <c r="G1090" i="7"/>
  <c r="L1090" i="7" s="1"/>
  <c r="G1089" i="7"/>
  <c r="L1089" i="7" s="1"/>
  <c r="G1088" i="7"/>
  <c r="G1087" i="7"/>
  <c r="L1087" i="7" s="1"/>
  <c r="G1086" i="7"/>
  <c r="L1086" i="7" s="1"/>
  <c r="G1085" i="7"/>
  <c r="L1085" i="7" s="1"/>
  <c r="G1084" i="7"/>
  <c r="L1084" i="7" s="1"/>
  <c r="G1083" i="7"/>
  <c r="L1083" i="7" s="1"/>
  <c r="G1082" i="7"/>
  <c r="G1081" i="7"/>
  <c r="L1081" i="7" s="1"/>
  <c r="G1080" i="7"/>
  <c r="L1080" i="7" s="1"/>
  <c r="G1079" i="7"/>
  <c r="L1079" i="7" s="1"/>
  <c r="G1078" i="7"/>
  <c r="L1078" i="7" s="1"/>
  <c r="G1077" i="7"/>
  <c r="L1077" i="7" s="1"/>
  <c r="G1076" i="7"/>
  <c r="G1075" i="7"/>
  <c r="L1075" i="7" s="1"/>
  <c r="G1074" i="7"/>
  <c r="L1074" i="7" s="1"/>
  <c r="G1073" i="7"/>
  <c r="L1073" i="7" s="1"/>
  <c r="G1072" i="7"/>
  <c r="L1072" i="7" s="1"/>
  <c r="G1071" i="7"/>
  <c r="L1071" i="7" s="1"/>
  <c r="G1070" i="7"/>
  <c r="G1069" i="7"/>
  <c r="L1069" i="7" s="1"/>
  <c r="G1068" i="7"/>
  <c r="L1068" i="7" s="1"/>
  <c r="G1067" i="7"/>
  <c r="L1067" i="7" s="1"/>
  <c r="G1066" i="7"/>
  <c r="L1066" i="7" s="1"/>
  <c r="G1065" i="7"/>
  <c r="L1065" i="7" s="1"/>
  <c r="G1064" i="7"/>
  <c r="L1064" i="7" s="1"/>
  <c r="G1063" i="7"/>
  <c r="L1063" i="7" s="1"/>
  <c r="G1062" i="7"/>
  <c r="L1062" i="7" s="1"/>
  <c r="G1061" i="7"/>
  <c r="L1061" i="7" s="1"/>
  <c r="G1060" i="7"/>
  <c r="L1060" i="7" s="1"/>
  <c r="G1059" i="7"/>
  <c r="L1059" i="7" s="1"/>
  <c r="G1058" i="7"/>
  <c r="L1058" i="7" s="1"/>
  <c r="G1057" i="7"/>
  <c r="L1057" i="7" s="1"/>
  <c r="G1056" i="7"/>
  <c r="L1056" i="7" s="1"/>
  <c r="G1055" i="7"/>
  <c r="L1055" i="7" s="1"/>
  <c r="G1054" i="7"/>
  <c r="L1054" i="7" s="1"/>
  <c r="G1053" i="7"/>
  <c r="L1053" i="7" s="1"/>
  <c r="G1052" i="7"/>
  <c r="L1052" i="7" s="1"/>
  <c r="G1051" i="7"/>
  <c r="L1051" i="7" s="1"/>
  <c r="G1050" i="7"/>
  <c r="L1050" i="7" s="1"/>
  <c r="G1049" i="7"/>
  <c r="L1049" i="7" s="1"/>
  <c r="G1048" i="7"/>
  <c r="L1048" i="7" s="1"/>
  <c r="G1047" i="7"/>
  <c r="L1047" i="7" s="1"/>
  <c r="G1046" i="7"/>
  <c r="G1045" i="7"/>
  <c r="L1045" i="7" s="1"/>
  <c r="G1044" i="7"/>
  <c r="L1044" i="7" s="1"/>
  <c r="G1043" i="7"/>
  <c r="L1043" i="7" s="1"/>
  <c r="G1042" i="7"/>
  <c r="L1042" i="7" s="1"/>
  <c r="G1041" i="7"/>
  <c r="L1041" i="7" s="1"/>
  <c r="G1040" i="7"/>
  <c r="G1039" i="7"/>
  <c r="L1039" i="7" s="1"/>
  <c r="G1038" i="7"/>
  <c r="L1038" i="7" s="1"/>
  <c r="G1037" i="7"/>
  <c r="L1037" i="7" s="1"/>
  <c r="G1036" i="7"/>
  <c r="L1036" i="7" s="1"/>
  <c r="G1035" i="7"/>
  <c r="L1035" i="7" s="1"/>
  <c r="G1034" i="7"/>
  <c r="L1034" i="7" s="1"/>
  <c r="G1033" i="7"/>
  <c r="L1033" i="7" s="1"/>
  <c r="G1032" i="7"/>
  <c r="L1032" i="7" s="1"/>
  <c r="G1031" i="7"/>
  <c r="L1031" i="7" s="1"/>
  <c r="G1030" i="7"/>
  <c r="L1030" i="7" s="1"/>
  <c r="G1029" i="7"/>
  <c r="L1029" i="7" s="1"/>
  <c r="G1028" i="7"/>
  <c r="G1027" i="7"/>
  <c r="L1027" i="7" s="1"/>
  <c r="G1026" i="7"/>
  <c r="L1026" i="7" s="1"/>
  <c r="G1025" i="7"/>
  <c r="L1025" i="7" s="1"/>
  <c r="G1024" i="7"/>
  <c r="L1024" i="7" s="1"/>
  <c r="G1023" i="7"/>
  <c r="L1023" i="7" s="1"/>
  <c r="G1022" i="7"/>
  <c r="L1022" i="7" s="1"/>
  <c r="G1021" i="7"/>
  <c r="L1021" i="7" s="1"/>
  <c r="G1020" i="7"/>
  <c r="L1020" i="7" s="1"/>
  <c r="G1019" i="7"/>
  <c r="L1019" i="7" s="1"/>
  <c r="G1018" i="7"/>
  <c r="L1018" i="7" s="1"/>
  <c r="G1017" i="7"/>
  <c r="L1017" i="7" s="1"/>
  <c r="G1016" i="7"/>
  <c r="L1016" i="7" s="1"/>
  <c r="G1015" i="7"/>
  <c r="L1015" i="7" s="1"/>
  <c r="G1014" i="7"/>
  <c r="L1014" i="7" s="1"/>
  <c r="G1013" i="7"/>
  <c r="L1013" i="7" s="1"/>
  <c r="G1012" i="7"/>
  <c r="L1012" i="7" s="1"/>
  <c r="G1011" i="7"/>
  <c r="L1011" i="7" s="1"/>
  <c r="G1010" i="7"/>
  <c r="G1009" i="7"/>
  <c r="L1009" i="7" s="1"/>
  <c r="G1008" i="7"/>
  <c r="L1008" i="7" s="1"/>
  <c r="G1007" i="7"/>
  <c r="L1007" i="7" s="1"/>
  <c r="G1006" i="7"/>
  <c r="L1006" i="7" s="1"/>
  <c r="G1005" i="7"/>
  <c r="L1005" i="7" s="1"/>
  <c r="G1004" i="7"/>
  <c r="G1003" i="7"/>
  <c r="L1003" i="7" s="1"/>
  <c r="G1002" i="7"/>
  <c r="L1002" i="7" s="1"/>
  <c r="G1001" i="7"/>
  <c r="L1001" i="7" s="1"/>
  <c r="G1000" i="7"/>
  <c r="L1000" i="7" s="1"/>
  <c r="G999" i="7"/>
  <c r="L999" i="7" s="1"/>
  <c r="G998" i="7"/>
  <c r="G997" i="7"/>
  <c r="L997" i="7" s="1"/>
  <c r="G996" i="7"/>
  <c r="L996" i="7" s="1"/>
  <c r="G995" i="7"/>
  <c r="L995" i="7" s="1"/>
  <c r="G994" i="7"/>
  <c r="L994" i="7" s="1"/>
  <c r="G993" i="7"/>
  <c r="L993" i="7" s="1"/>
  <c r="G992" i="7"/>
  <c r="L992" i="7" s="1"/>
  <c r="G991" i="7"/>
  <c r="L991" i="7" s="1"/>
  <c r="G990" i="7"/>
  <c r="L990" i="7" s="1"/>
  <c r="G989" i="7"/>
  <c r="L989" i="7" s="1"/>
  <c r="G988" i="7"/>
  <c r="L988" i="7" s="1"/>
  <c r="G987" i="7"/>
  <c r="L987" i="7" s="1"/>
  <c r="G986" i="7"/>
  <c r="G985" i="7"/>
  <c r="L985" i="7" s="1"/>
  <c r="G984" i="7"/>
  <c r="L984" i="7" s="1"/>
  <c r="G983" i="7"/>
  <c r="L983" i="7" s="1"/>
  <c r="G982" i="7"/>
  <c r="L982" i="7" s="1"/>
  <c r="G981" i="7"/>
  <c r="L981" i="7" s="1"/>
  <c r="G980" i="7"/>
  <c r="L980" i="7" s="1"/>
  <c r="G979" i="7"/>
  <c r="L979" i="7" s="1"/>
  <c r="G978" i="7"/>
  <c r="L978" i="7" s="1"/>
  <c r="G977" i="7"/>
  <c r="L977" i="7" s="1"/>
  <c r="G976" i="7"/>
  <c r="L976" i="7" s="1"/>
  <c r="G975" i="7"/>
  <c r="L975" i="7" s="1"/>
  <c r="G974" i="7"/>
  <c r="G973" i="7"/>
  <c r="L973" i="7" s="1"/>
  <c r="G972" i="7"/>
  <c r="L972" i="7" s="1"/>
  <c r="G971" i="7"/>
  <c r="L971" i="7" s="1"/>
  <c r="G970" i="7"/>
  <c r="L970" i="7" s="1"/>
  <c r="G969" i="7"/>
  <c r="L969" i="7" s="1"/>
  <c r="G968" i="7"/>
  <c r="L968" i="7" s="1"/>
  <c r="G967" i="7"/>
  <c r="L967" i="7" s="1"/>
  <c r="G966" i="7"/>
  <c r="L966" i="7" s="1"/>
  <c r="G965" i="7"/>
  <c r="L965" i="7" s="1"/>
  <c r="G964" i="7"/>
  <c r="L964" i="7" s="1"/>
  <c r="G963" i="7"/>
  <c r="L963" i="7" s="1"/>
  <c r="G962" i="7"/>
  <c r="L962" i="7" s="1"/>
  <c r="G961" i="7"/>
  <c r="L961" i="7" s="1"/>
  <c r="G960" i="7"/>
  <c r="L960" i="7" s="1"/>
  <c r="G959" i="7"/>
  <c r="L959" i="7" s="1"/>
  <c r="G958" i="7"/>
  <c r="L958" i="7" s="1"/>
  <c r="G957" i="7"/>
  <c r="L957" i="7" s="1"/>
  <c r="G956" i="7"/>
  <c r="L956" i="7" s="1"/>
  <c r="G955" i="7"/>
  <c r="L955" i="7" s="1"/>
  <c r="G954" i="7"/>
  <c r="L954" i="7" s="1"/>
  <c r="G953" i="7"/>
  <c r="L953" i="7" s="1"/>
  <c r="G952" i="7"/>
  <c r="L952" i="7" s="1"/>
  <c r="G951" i="7"/>
  <c r="L951" i="7" s="1"/>
  <c r="G950" i="7"/>
  <c r="L950" i="7" s="1"/>
  <c r="G949" i="7"/>
  <c r="L949" i="7" s="1"/>
  <c r="G948" i="7"/>
  <c r="L948" i="7" s="1"/>
  <c r="G947" i="7"/>
  <c r="L947" i="7" s="1"/>
  <c r="G946" i="7"/>
  <c r="L946" i="7" s="1"/>
  <c r="G945" i="7"/>
  <c r="L945" i="7" s="1"/>
  <c r="G944" i="7"/>
  <c r="G943" i="7"/>
  <c r="L943" i="7" s="1"/>
  <c r="G942" i="7"/>
  <c r="L942" i="7" s="1"/>
  <c r="G941" i="7"/>
  <c r="L941" i="7" s="1"/>
  <c r="G940" i="7"/>
  <c r="L940" i="7" s="1"/>
  <c r="G939" i="7"/>
  <c r="L939" i="7" s="1"/>
  <c r="G938" i="7"/>
  <c r="G937" i="7"/>
  <c r="L937" i="7" s="1"/>
  <c r="G936" i="7"/>
  <c r="L936" i="7" s="1"/>
  <c r="G935" i="7"/>
  <c r="L935" i="7" s="1"/>
  <c r="G934" i="7"/>
  <c r="L934" i="7" s="1"/>
  <c r="G933" i="7"/>
  <c r="L933" i="7" s="1"/>
  <c r="G932" i="7"/>
  <c r="G931" i="7"/>
  <c r="L931" i="7" s="1"/>
  <c r="G930" i="7"/>
  <c r="L930" i="7" s="1"/>
  <c r="G929" i="7"/>
  <c r="L929" i="7" s="1"/>
  <c r="G928" i="7"/>
  <c r="L928" i="7" s="1"/>
  <c r="G927" i="7"/>
  <c r="L927" i="7" s="1"/>
  <c r="G926" i="7"/>
  <c r="G925" i="7"/>
  <c r="L925" i="7" s="1"/>
  <c r="G924" i="7"/>
  <c r="L924" i="7" s="1"/>
  <c r="G923" i="7"/>
  <c r="L923" i="7" s="1"/>
  <c r="G922" i="7"/>
  <c r="L922" i="7" s="1"/>
  <c r="G921" i="7"/>
  <c r="L921" i="7" s="1"/>
  <c r="G920" i="7"/>
  <c r="L920" i="7" s="1"/>
  <c r="G919" i="7"/>
  <c r="L919" i="7" s="1"/>
  <c r="G918" i="7"/>
  <c r="L918" i="7" s="1"/>
  <c r="G917" i="7"/>
  <c r="L917" i="7" s="1"/>
  <c r="G916" i="7"/>
  <c r="L916" i="7" s="1"/>
  <c r="G915" i="7"/>
  <c r="L915" i="7" s="1"/>
  <c r="G914" i="7"/>
  <c r="G913" i="7"/>
  <c r="L913" i="7" s="1"/>
  <c r="G912" i="7"/>
  <c r="L912" i="7" s="1"/>
  <c r="G911" i="7"/>
  <c r="L911" i="7" s="1"/>
  <c r="G910" i="7"/>
  <c r="L910" i="7" s="1"/>
  <c r="G909" i="7"/>
  <c r="L909" i="7" s="1"/>
  <c r="G908" i="7"/>
  <c r="L908" i="7" s="1"/>
  <c r="G907" i="7"/>
  <c r="L907" i="7" s="1"/>
  <c r="G906" i="7"/>
  <c r="L906" i="7" s="1"/>
  <c r="G905" i="7"/>
  <c r="L905" i="7" s="1"/>
  <c r="G904" i="7"/>
  <c r="L904" i="7" s="1"/>
  <c r="G903" i="7"/>
  <c r="L903" i="7" s="1"/>
  <c r="G902" i="7"/>
  <c r="L902" i="7" s="1"/>
  <c r="G901" i="7"/>
  <c r="L901" i="7" s="1"/>
  <c r="G900" i="7"/>
  <c r="L900" i="7" s="1"/>
  <c r="G899" i="7"/>
  <c r="L899" i="7" s="1"/>
  <c r="G898" i="7"/>
  <c r="L898" i="7" s="1"/>
  <c r="G897" i="7"/>
  <c r="L897" i="7" s="1"/>
  <c r="G896" i="7"/>
  <c r="L896" i="7" s="1"/>
  <c r="G895" i="7"/>
  <c r="L895" i="7" s="1"/>
  <c r="G894" i="7"/>
  <c r="L894" i="7" s="1"/>
  <c r="G893" i="7"/>
  <c r="L893" i="7" s="1"/>
  <c r="G892" i="7"/>
  <c r="L892" i="7" s="1"/>
  <c r="G891" i="7"/>
  <c r="L891" i="7" s="1"/>
  <c r="G890" i="7"/>
  <c r="L890" i="7" s="1"/>
  <c r="G889" i="7"/>
  <c r="L889" i="7" s="1"/>
  <c r="G888" i="7"/>
  <c r="L888" i="7" s="1"/>
  <c r="G887" i="7"/>
  <c r="L887" i="7" s="1"/>
  <c r="G886" i="7"/>
  <c r="L886" i="7" s="1"/>
  <c r="G885" i="7"/>
  <c r="L885" i="7" s="1"/>
  <c r="G884" i="7"/>
  <c r="L884" i="7" s="1"/>
  <c r="G883" i="7"/>
  <c r="L883" i="7" s="1"/>
  <c r="G882" i="7"/>
  <c r="L882" i="7" s="1"/>
  <c r="G881" i="7"/>
  <c r="L881" i="7" s="1"/>
  <c r="G880" i="7"/>
  <c r="L880" i="7" s="1"/>
  <c r="G879" i="7"/>
  <c r="L879" i="7" s="1"/>
  <c r="G878" i="7"/>
  <c r="L878" i="7" s="1"/>
  <c r="G877" i="7"/>
  <c r="L877" i="7" s="1"/>
  <c r="G876" i="7"/>
  <c r="L876" i="7" s="1"/>
  <c r="G875" i="7"/>
  <c r="L875" i="7" s="1"/>
  <c r="G874" i="7"/>
  <c r="L874" i="7" s="1"/>
  <c r="G873" i="7"/>
  <c r="L873" i="7" s="1"/>
  <c r="G872" i="7"/>
  <c r="G871" i="7"/>
  <c r="L871" i="7" s="1"/>
  <c r="G870" i="7"/>
  <c r="L870" i="7" s="1"/>
  <c r="G869" i="7"/>
  <c r="L869" i="7" s="1"/>
  <c r="G868" i="7"/>
  <c r="L868" i="7" s="1"/>
  <c r="G867" i="7"/>
  <c r="L867" i="7" s="1"/>
  <c r="G866" i="7"/>
  <c r="L866" i="7" s="1"/>
  <c r="G865" i="7"/>
  <c r="L865" i="7" s="1"/>
  <c r="G864" i="7"/>
  <c r="L864" i="7" s="1"/>
  <c r="G863" i="7"/>
  <c r="L863" i="7" s="1"/>
  <c r="G862" i="7"/>
  <c r="L862" i="7" s="1"/>
  <c r="G861" i="7"/>
  <c r="L861" i="7" s="1"/>
  <c r="G860" i="7"/>
  <c r="L860" i="7" s="1"/>
  <c r="G859" i="7"/>
  <c r="L859" i="7" s="1"/>
  <c r="G858" i="7"/>
  <c r="L858" i="7" s="1"/>
  <c r="G857" i="7"/>
  <c r="L857" i="7" s="1"/>
  <c r="G856" i="7"/>
  <c r="L856" i="7" s="1"/>
  <c r="G855" i="7"/>
  <c r="L855" i="7" s="1"/>
  <c r="G854" i="7"/>
  <c r="L854" i="7" s="1"/>
  <c r="G853" i="7"/>
  <c r="L853" i="7" s="1"/>
  <c r="G852" i="7"/>
  <c r="L852" i="7" s="1"/>
  <c r="G851" i="7"/>
  <c r="L851" i="7" s="1"/>
  <c r="G850" i="7"/>
  <c r="L850" i="7" s="1"/>
  <c r="G849" i="7"/>
  <c r="L849" i="7" s="1"/>
  <c r="G848" i="7"/>
  <c r="L848" i="7" s="1"/>
  <c r="G847" i="7"/>
  <c r="L847" i="7" s="1"/>
  <c r="G846" i="7"/>
  <c r="L846" i="7" s="1"/>
  <c r="G845" i="7"/>
  <c r="L845" i="7" s="1"/>
  <c r="G844" i="7"/>
  <c r="L844" i="7" s="1"/>
  <c r="G843" i="7"/>
  <c r="L843" i="7" s="1"/>
  <c r="G842" i="7"/>
  <c r="G841" i="7"/>
  <c r="L841" i="7" s="1"/>
  <c r="G840" i="7"/>
  <c r="L840" i="7" s="1"/>
  <c r="G839" i="7"/>
  <c r="L839" i="7" s="1"/>
  <c r="G838" i="7"/>
  <c r="L838" i="7" s="1"/>
  <c r="G837" i="7"/>
  <c r="L837" i="7" s="1"/>
  <c r="G836" i="7"/>
  <c r="L836" i="7" s="1"/>
  <c r="G835" i="7"/>
  <c r="L835" i="7" s="1"/>
  <c r="G834" i="7"/>
  <c r="L834" i="7" s="1"/>
  <c r="G833" i="7"/>
  <c r="L833" i="7" s="1"/>
  <c r="G832" i="7"/>
  <c r="L832" i="7" s="1"/>
  <c r="G831" i="7"/>
  <c r="L831" i="7" s="1"/>
  <c r="G830" i="7"/>
  <c r="G829" i="7"/>
  <c r="L829" i="7" s="1"/>
  <c r="G828" i="7"/>
  <c r="L828" i="7" s="1"/>
  <c r="G827" i="7"/>
  <c r="L827" i="7" s="1"/>
  <c r="G826" i="7"/>
  <c r="L826" i="7" s="1"/>
  <c r="G825" i="7"/>
  <c r="L825" i="7" s="1"/>
  <c r="G824" i="7"/>
  <c r="L824" i="7" s="1"/>
  <c r="G823" i="7"/>
  <c r="L823" i="7" s="1"/>
  <c r="G822" i="7"/>
  <c r="L822" i="7" s="1"/>
  <c r="G821" i="7"/>
  <c r="L821" i="7" s="1"/>
  <c r="G820" i="7"/>
  <c r="L820" i="7" s="1"/>
  <c r="G819" i="7"/>
  <c r="L819" i="7" s="1"/>
  <c r="G818" i="7"/>
  <c r="L818" i="7" s="1"/>
  <c r="G817" i="7"/>
  <c r="L817" i="7" s="1"/>
  <c r="G816" i="7"/>
  <c r="L816" i="7" s="1"/>
  <c r="G815" i="7"/>
  <c r="L815" i="7" s="1"/>
  <c r="G814" i="7"/>
  <c r="L814" i="7" s="1"/>
  <c r="G813" i="7"/>
  <c r="L813" i="7" s="1"/>
  <c r="G812" i="7"/>
  <c r="L812" i="7" s="1"/>
  <c r="G811" i="7"/>
  <c r="L811" i="7" s="1"/>
  <c r="G810" i="7"/>
  <c r="L810" i="7" s="1"/>
  <c r="G809" i="7"/>
  <c r="L809" i="7" s="1"/>
  <c r="G808" i="7"/>
  <c r="L808" i="7" s="1"/>
  <c r="G807" i="7"/>
  <c r="L807" i="7" s="1"/>
  <c r="G806" i="7"/>
  <c r="L806" i="7" s="1"/>
  <c r="G805" i="7"/>
  <c r="L805" i="7" s="1"/>
  <c r="G804" i="7"/>
  <c r="L804" i="7" s="1"/>
  <c r="G803" i="7"/>
  <c r="L803" i="7" s="1"/>
  <c r="G802" i="7"/>
  <c r="L802" i="7" s="1"/>
  <c r="G801" i="7"/>
  <c r="L801" i="7" s="1"/>
  <c r="G800" i="7"/>
  <c r="G799" i="7"/>
  <c r="L799" i="7" s="1"/>
  <c r="G798" i="7"/>
  <c r="L798" i="7" s="1"/>
  <c r="G797" i="7"/>
  <c r="L797" i="7" s="1"/>
  <c r="G796" i="7"/>
  <c r="L796" i="7" s="1"/>
  <c r="G795" i="7"/>
  <c r="L795" i="7" s="1"/>
  <c r="G794" i="7"/>
  <c r="L794" i="7" s="1"/>
  <c r="G793" i="7"/>
  <c r="L793" i="7" s="1"/>
  <c r="G792" i="7"/>
  <c r="L792" i="7" s="1"/>
  <c r="G791" i="7"/>
  <c r="L791" i="7" s="1"/>
  <c r="G790" i="7"/>
  <c r="L790" i="7" s="1"/>
  <c r="G789" i="7"/>
  <c r="L789" i="7" s="1"/>
  <c r="G788" i="7"/>
  <c r="G787" i="7"/>
  <c r="L787" i="7" s="1"/>
  <c r="G786" i="7"/>
  <c r="L786" i="7" s="1"/>
  <c r="G785" i="7"/>
  <c r="L785" i="7" s="1"/>
  <c r="G784" i="7"/>
  <c r="L784" i="7" s="1"/>
  <c r="G783" i="7"/>
  <c r="L783" i="7" s="1"/>
  <c r="G782" i="7"/>
  <c r="G781" i="7"/>
  <c r="L781" i="7" s="1"/>
  <c r="G780" i="7"/>
  <c r="L780" i="7" s="1"/>
  <c r="G779" i="7"/>
  <c r="L779" i="7" s="1"/>
  <c r="G778" i="7"/>
  <c r="L778" i="7" s="1"/>
  <c r="G777" i="7"/>
  <c r="L777" i="7" s="1"/>
  <c r="G776" i="7"/>
  <c r="L776" i="7" s="1"/>
  <c r="G775" i="7"/>
  <c r="L775" i="7" s="1"/>
  <c r="G774" i="7"/>
  <c r="L774" i="7" s="1"/>
  <c r="G773" i="7"/>
  <c r="L773" i="7" s="1"/>
  <c r="G772" i="7"/>
  <c r="L772" i="7" s="1"/>
  <c r="G771" i="7"/>
  <c r="L771" i="7" s="1"/>
  <c r="G770" i="7"/>
  <c r="G769" i="7"/>
  <c r="L769" i="7" s="1"/>
  <c r="G768" i="7"/>
  <c r="L768" i="7" s="1"/>
  <c r="G767" i="7"/>
  <c r="L767" i="7" s="1"/>
  <c r="G766" i="7"/>
  <c r="L766" i="7" s="1"/>
  <c r="G765" i="7"/>
  <c r="L765" i="7" s="1"/>
  <c r="G764" i="7"/>
  <c r="G763" i="7"/>
  <c r="L763" i="7" s="1"/>
  <c r="G762" i="7"/>
  <c r="L762" i="7" s="1"/>
  <c r="G761" i="7"/>
  <c r="L761" i="7" s="1"/>
  <c r="G760" i="7"/>
  <c r="L760" i="7" s="1"/>
  <c r="G759" i="7"/>
  <c r="L759" i="7" s="1"/>
  <c r="G758" i="7"/>
  <c r="G757" i="7"/>
  <c r="L757" i="7" s="1"/>
  <c r="G756" i="7"/>
  <c r="L756" i="7" s="1"/>
  <c r="G755" i="7"/>
  <c r="L755" i="7" s="1"/>
  <c r="G754" i="7"/>
  <c r="L754" i="7" s="1"/>
  <c r="G753" i="7"/>
  <c r="L753" i="7" s="1"/>
  <c r="G752" i="7"/>
  <c r="G751" i="7"/>
  <c r="L751" i="7" s="1"/>
  <c r="G750" i="7"/>
  <c r="L750" i="7" s="1"/>
  <c r="G749" i="7"/>
  <c r="L749" i="7" s="1"/>
  <c r="G748" i="7"/>
  <c r="L748" i="7" s="1"/>
  <c r="G747" i="7"/>
  <c r="L747" i="7" s="1"/>
  <c r="G746" i="7"/>
  <c r="L746" i="7" s="1"/>
  <c r="G745" i="7"/>
  <c r="L745" i="7" s="1"/>
  <c r="G744" i="7"/>
  <c r="L744" i="7" s="1"/>
  <c r="G743" i="7"/>
  <c r="L743" i="7" s="1"/>
  <c r="G742" i="7"/>
  <c r="L742" i="7" s="1"/>
  <c r="G741" i="7"/>
  <c r="L741" i="7" s="1"/>
  <c r="G740" i="7"/>
  <c r="G739" i="7"/>
  <c r="L739" i="7" s="1"/>
  <c r="G738" i="7"/>
  <c r="L738" i="7" s="1"/>
  <c r="G737" i="7"/>
  <c r="L737" i="7" s="1"/>
  <c r="G736" i="7"/>
  <c r="L736" i="7" s="1"/>
  <c r="G735" i="7"/>
  <c r="L735" i="7" s="1"/>
  <c r="G734" i="7"/>
  <c r="L734" i="7" s="1"/>
  <c r="G733" i="7"/>
  <c r="L733" i="7" s="1"/>
  <c r="G732" i="7"/>
  <c r="L732" i="7" s="1"/>
  <c r="G731" i="7"/>
  <c r="L731" i="7" s="1"/>
  <c r="G730" i="7"/>
  <c r="L730" i="7" s="1"/>
  <c r="G729" i="7"/>
  <c r="L729" i="7" s="1"/>
  <c r="G728" i="7"/>
  <c r="G727" i="7"/>
  <c r="L727" i="7" s="1"/>
  <c r="G726" i="7"/>
  <c r="L726" i="7" s="1"/>
  <c r="G725" i="7"/>
  <c r="L725" i="7" s="1"/>
  <c r="G724" i="7"/>
  <c r="L724" i="7" s="1"/>
  <c r="G723" i="7"/>
  <c r="L723" i="7" s="1"/>
  <c r="G722" i="7"/>
  <c r="L722" i="7" s="1"/>
  <c r="G721" i="7"/>
  <c r="L721" i="7" s="1"/>
  <c r="G720" i="7"/>
  <c r="L720" i="7" s="1"/>
  <c r="G719" i="7"/>
  <c r="L719" i="7" s="1"/>
  <c r="G718" i="7"/>
  <c r="L718" i="7" s="1"/>
  <c r="G717" i="7"/>
  <c r="L717" i="7" s="1"/>
  <c r="G716" i="7"/>
  <c r="G715" i="7"/>
  <c r="L715" i="7" s="1"/>
  <c r="G714" i="7"/>
  <c r="L714" i="7" s="1"/>
  <c r="G713" i="7"/>
  <c r="L713" i="7" s="1"/>
  <c r="G712" i="7"/>
  <c r="L712" i="7" s="1"/>
  <c r="G711" i="7"/>
  <c r="L711" i="7" s="1"/>
  <c r="G710" i="7"/>
  <c r="G709" i="7"/>
  <c r="L709" i="7" s="1"/>
  <c r="G708" i="7"/>
  <c r="L708" i="7" s="1"/>
  <c r="G707" i="7"/>
  <c r="L707" i="7" s="1"/>
  <c r="G706" i="7"/>
  <c r="L706" i="7" s="1"/>
  <c r="G705" i="7"/>
  <c r="L705" i="7" s="1"/>
  <c r="G704" i="7"/>
  <c r="L704" i="7" s="1"/>
  <c r="G703" i="7"/>
  <c r="L703" i="7" s="1"/>
  <c r="G702" i="7"/>
  <c r="L702" i="7" s="1"/>
  <c r="G701" i="7"/>
  <c r="L701" i="7" s="1"/>
  <c r="G700" i="7"/>
  <c r="L700" i="7" s="1"/>
  <c r="G699" i="7"/>
  <c r="L699" i="7" s="1"/>
  <c r="G698" i="7"/>
  <c r="G697" i="7"/>
  <c r="L697" i="7" s="1"/>
  <c r="G696" i="7"/>
  <c r="L696" i="7" s="1"/>
  <c r="G695" i="7"/>
  <c r="L695" i="7" s="1"/>
  <c r="G694" i="7"/>
  <c r="L694" i="7" s="1"/>
  <c r="G693" i="7"/>
  <c r="L693" i="7" s="1"/>
  <c r="G692" i="7"/>
  <c r="L692" i="7" s="1"/>
  <c r="G691" i="7"/>
  <c r="L691" i="7" s="1"/>
  <c r="G690" i="7"/>
  <c r="L690" i="7" s="1"/>
  <c r="G689" i="7"/>
  <c r="L689" i="7" s="1"/>
  <c r="G688" i="7"/>
  <c r="L688" i="7" s="1"/>
  <c r="G687" i="7"/>
  <c r="L687" i="7" s="1"/>
  <c r="G686" i="7"/>
  <c r="G685" i="7"/>
  <c r="L685" i="7" s="1"/>
  <c r="G684" i="7"/>
  <c r="L684" i="7" s="1"/>
  <c r="G683" i="7"/>
  <c r="L683" i="7" s="1"/>
  <c r="G682" i="7"/>
  <c r="L682" i="7" s="1"/>
  <c r="G681" i="7"/>
  <c r="L681" i="7" s="1"/>
  <c r="G680" i="7"/>
  <c r="L680" i="7" s="1"/>
  <c r="G679" i="7"/>
  <c r="L679" i="7" s="1"/>
  <c r="G678" i="7"/>
  <c r="L678" i="7" s="1"/>
  <c r="G677" i="7"/>
  <c r="L677" i="7" s="1"/>
  <c r="G676" i="7"/>
  <c r="L676" i="7" s="1"/>
  <c r="G675" i="7"/>
  <c r="L675" i="7" s="1"/>
  <c r="G674" i="7"/>
  <c r="G673" i="7"/>
  <c r="L673" i="7" s="1"/>
  <c r="G672" i="7"/>
  <c r="L672" i="7" s="1"/>
  <c r="G671" i="7"/>
  <c r="L671" i="7" s="1"/>
  <c r="G670" i="7"/>
  <c r="L670" i="7" s="1"/>
  <c r="G669" i="7"/>
  <c r="L669" i="7" s="1"/>
  <c r="G668" i="7"/>
  <c r="G667" i="7"/>
  <c r="L667" i="7" s="1"/>
  <c r="G666" i="7"/>
  <c r="L666" i="7" s="1"/>
  <c r="G665" i="7"/>
  <c r="L665" i="7" s="1"/>
  <c r="G664" i="7"/>
  <c r="L664" i="7" s="1"/>
  <c r="G663" i="7"/>
  <c r="L663" i="7" s="1"/>
  <c r="G662" i="7"/>
  <c r="G661" i="7"/>
  <c r="L661" i="7" s="1"/>
  <c r="G660" i="7"/>
  <c r="L660" i="7" s="1"/>
  <c r="G659" i="7"/>
  <c r="L659" i="7" s="1"/>
  <c r="G658" i="7"/>
  <c r="L658" i="7" s="1"/>
  <c r="G657" i="7"/>
  <c r="L657" i="7" s="1"/>
  <c r="G656" i="7"/>
  <c r="G655" i="7"/>
  <c r="L655" i="7" s="1"/>
  <c r="G654" i="7"/>
  <c r="L654" i="7" s="1"/>
  <c r="G653" i="7"/>
  <c r="L653" i="7" s="1"/>
  <c r="G652" i="7"/>
  <c r="L652" i="7" s="1"/>
  <c r="G651" i="7"/>
  <c r="L651" i="7" s="1"/>
  <c r="G650" i="7"/>
  <c r="L650" i="7" s="1"/>
  <c r="G649" i="7"/>
  <c r="L649" i="7" s="1"/>
  <c r="G648" i="7"/>
  <c r="L648" i="7" s="1"/>
  <c r="G647" i="7"/>
  <c r="L647" i="7" s="1"/>
  <c r="G646" i="7"/>
  <c r="L646" i="7" s="1"/>
  <c r="G645" i="7"/>
  <c r="L645" i="7" s="1"/>
  <c r="G644" i="7"/>
  <c r="L644" i="7" s="1"/>
  <c r="G643" i="7"/>
  <c r="L643" i="7" s="1"/>
  <c r="G642" i="7"/>
  <c r="L642" i="7" s="1"/>
  <c r="G641" i="7"/>
  <c r="L641" i="7" s="1"/>
  <c r="G640" i="7"/>
  <c r="L640" i="7" s="1"/>
  <c r="G639" i="7"/>
  <c r="L639" i="7" s="1"/>
  <c r="G638" i="7"/>
  <c r="G637" i="7"/>
  <c r="L637" i="7" s="1"/>
  <c r="G636" i="7"/>
  <c r="L636" i="7" s="1"/>
  <c r="G635" i="7"/>
  <c r="L635" i="7" s="1"/>
  <c r="G634" i="7"/>
  <c r="L634" i="7" s="1"/>
  <c r="G633" i="7"/>
  <c r="L633" i="7" s="1"/>
  <c r="G632" i="7"/>
  <c r="G631" i="7"/>
  <c r="L631" i="7" s="1"/>
  <c r="G630" i="7"/>
  <c r="L630" i="7" s="1"/>
  <c r="G629" i="7"/>
  <c r="L629" i="7" s="1"/>
  <c r="G628" i="7"/>
  <c r="L628" i="7" s="1"/>
  <c r="G627" i="7"/>
  <c r="L627" i="7" s="1"/>
  <c r="G626" i="7"/>
  <c r="G625" i="7"/>
  <c r="L625" i="7" s="1"/>
  <c r="G624" i="7"/>
  <c r="L624" i="7" s="1"/>
  <c r="G623" i="7"/>
  <c r="L623" i="7" s="1"/>
  <c r="G622" i="7"/>
  <c r="L622" i="7" s="1"/>
  <c r="G621" i="7"/>
  <c r="L621" i="7" s="1"/>
  <c r="G620" i="7"/>
  <c r="L620" i="7" s="1"/>
  <c r="G619" i="7"/>
  <c r="L619" i="7" s="1"/>
  <c r="G618" i="7"/>
  <c r="L618" i="7" s="1"/>
  <c r="G617" i="7"/>
  <c r="L617" i="7" s="1"/>
  <c r="G616" i="7"/>
  <c r="L616" i="7" s="1"/>
  <c r="G615" i="7"/>
  <c r="L615" i="7" s="1"/>
  <c r="G614" i="7"/>
  <c r="G613" i="7"/>
  <c r="L613" i="7" s="1"/>
  <c r="G612" i="7"/>
  <c r="L612" i="7" s="1"/>
  <c r="G611" i="7"/>
  <c r="L611" i="7" s="1"/>
  <c r="G610" i="7"/>
  <c r="L610" i="7" s="1"/>
  <c r="G609" i="7"/>
  <c r="L609" i="7" s="1"/>
  <c r="G608" i="7"/>
  <c r="L608" i="7" s="1"/>
  <c r="G607" i="7"/>
  <c r="L607" i="7" s="1"/>
  <c r="G606" i="7"/>
  <c r="L606" i="7" s="1"/>
  <c r="G605" i="7"/>
  <c r="L605" i="7" s="1"/>
  <c r="G604" i="7"/>
  <c r="L604" i="7" s="1"/>
  <c r="G603" i="7"/>
  <c r="L603" i="7" s="1"/>
  <c r="G602" i="7"/>
  <c r="G601" i="7"/>
  <c r="L601" i="7" s="1"/>
  <c r="G600" i="7"/>
  <c r="L600" i="7" s="1"/>
  <c r="G599" i="7"/>
  <c r="L599" i="7" s="1"/>
  <c r="G598" i="7"/>
  <c r="L598" i="7" s="1"/>
  <c r="G597" i="7"/>
  <c r="L597" i="7" s="1"/>
  <c r="G596" i="7"/>
  <c r="G595" i="7"/>
  <c r="L595" i="7" s="1"/>
  <c r="G594" i="7"/>
  <c r="L594" i="7" s="1"/>
  <c r="G593" i="7"/>
  <c r="L593" i="7" s="1"/>
  <c r="G592" i="7"/>
  <c r="L592" i="7" s="1"/>
  <c r="G591" i="7"/>
  <c r="L591" i="7" s="1"/>
  <c r="G590" i="7"/>
  <c r="G589" i="7"/>
  <c r="L589" i="7" s="1"/>
  <c r="G588" i="7"/>
  <c r="L588" i="7" s="1"/>
  <c r="G587" i="7"/>
  <c r="L587" i="7" s="1"/>
  <c r="G586" i="7"/>
  <c r="L586" i="7" s="1"/>
  <c r="G585" i="7"/>
  <c r="L585" i="7" s="1"/>
  <c r="G584" i="7"/>
  <c r="L584" i="7" s="1"/>
  <c r="G583" i="7"/>
  <c r="L583" i="7" s="1"/>
  <c r="G582" i="7"/>
  <c r="L582" i="7" s="1"/>
  <c r="G581" i="7"/>
  <c r="L581" i="7" s="1"/>
  <c r="G580" i="7"/>
  <c r="L580" i="7" s="1"/>
  <c r="G579" i="7"/>
  <c r="L579" i="7" s="1"/>
  <c r="G578" i="7"/>
  <c r="G577" i="7"/>
  <c r="L577" i="7" s="1"/>
  <c r="G576" i="7"/>
  <c r="L576" i="7" s="1"/>
  <c r="G575" i="7"/>
  <c r="L575" i="7" s="1"/>
  <c r="G574" i="7"/>
  <c r="L574" i="7" s="1"/>
  <c r="G573" i="7"/>
  <c r="L573" i="7" s="1"/>
  <c r="G572" i="7"/>
  <c r="G571" i="7"/>
  <c r="L571" i="7" s="1"/>
  <c r="G570" i="7"/>
  <c r="L570" i="7" s="1"/>
  <c r="G569" i="7"/>
  <c r="L569" i="7" s="1"/>
  <c r="G568" i="7"/>
  <c r="L568" i="7" s="1"/>
  <c r="G567" i="7"/>
  <c r="L567" i="7" s="1"/>
  <c r="G566" i="7"/>
  <c r="G565" i="7"/>
  <c r="L565" i="7" s="1"/>
  <c r="G564" i="7"/>
  <c r="L564" i="7" s="1"/>
  <c r="G563" i="7"/>
  <c r="L563" i="7" s="1"/>
  <c r="G562" i="7"/>
  <c r="L562" i="7" s="1"/>
  <c r="G561" i="7"/>
  <c r="L561" i="7" s="1"/>
  <c r="G560" i="7"/>
  <c r="L560" i="7" s="1"/>
  <c r="G559" i="7"/>
  <c r="L559" i="7" s="1"/>
  <c r="G558" i="7"/>
  <c r="L558" i="7" s="1"/>
  <c r="G557" i="7"/>
  <c r="L557" i="7" s="1"/>
  <c r="G556" i="7"/>
  <c r="L556" i="7" s="1"/>
  <c r="G555" i="7"/>
  <c r="L555" i="7" s="1"/>
  <c r="G554" i="7"/>
  <c r="L554" i="7" s="1"/>
  <c r="G553" i="7"/>
  <c r="L553" i="7" s="1"/>
  <c r="G552" i="7"/>
  <c r="L552" i="7" s="1"/>
  <c r="G551" i="7"/>
  <c r="L551" i="7" s="1"/>
  <c r="G550" i="7"/>
  <c r="L550" i="7" s="1"/>
  <c r="G549" i="7"/>
  <c r="L549" i="7" s="1"/>
  <c r="G548" i="7"/>
  <c r="G547" i="7"/>
  <c r="L547" i="7" s="1"/>
  <c r="G546" i="7"/>
  <c r="L546" i="7" s="1"/>
  <c r="G545" i="7"/>
  <c r="L545" i="7" s="1"/>
  <c r="G544" i="7"/>
  <c r="L544" i="7" s="1"/>
  <c r="G543" i="7"/>
  <c r="L543" i="7" s="1"/>
  <c r="G542" i="7"/>
  <c r="G541" i="7"/>
  <c r="L541" i="7" s="1"/>
  <c r="G540" i="7"/>
  <c r="L540" i="7" s="1"/>
  <c r="G539" i="7"/>
  <c r="L539" i="7" s="1"/>
  <c r="G538" i="7"/>
  <c r="L538" i="7" s="1"/>
  <c r="G537" i="7"/>
  <c r="L537" i="7" s="1"/>
  <c r="G536" i="7"/>
  <c r="L536" i="7" s="1"/>
  <c r="G535" i="7"/>
  <c r="L535" i="7" s="1"/>
  <c r="G534" i="7"/>
  <c r="L534" i="7" s="1"/>
  <c r="G533" i="7"/>
  <c r="L533" i="7" s="1"/>
  <c r="G532" i="7"/>
  <c r="L532" i="7" s="1"/>
  <c r="G531" i="7"/>
  <c r="L531" i="7" s="1"/>
  <c r="G530" i="7"/>
  <c r="G529" i="7"/>
  <c r="L529" i="7" s="1"/>
  <c r="G528" i="7"/>
  <c r="L528" i="7" s="1"/>
  <c r="G527" i="7"/>
  <c r="L527" i="7" s="1"/>
  <c r="G526" i="7"/>
  <c r="L526" i="7" s="1"/>
  <c r="G525" i="7"/>
  <c r="L525" i="7" s="1"/>
  <c r="G524" i="7"/>
  <c r="G523" i="7"/>
  <c r="L523" i="7" s="1"/>
  <c r="G522" i="7"/>
  <c r="L522" i="7" s="1"/>
  <c r="G521" i="7"/>
  <c r="L521" i="7" s="1"/>
  <c r="G520" i="7"/>
  <c r="L520" i="7" s="1"/>
  <c r="G519" i="7"/>
  <c r="L519" i="7" s="1"/>
  <c r="G518" i="7"/>
  <c r="G517" i="7"/>
  <c r="L517" i="7" s="1"/>
  <c r="G516" i="7"/>
  <c r="L516" i="7" s="1"/>
  <c r="G515" i="7"/>
  <c r="L515" i="7" s="1"/>
  <c r="G514" i="7"/>
  <c r="L514" i="7" s="1"/>
  <c r="G513" i="7"/>
  <c r="L513" i="7" s="1"/>
  <c r="G512" i="7"/>
  <c r="G511" i="7"/>
  <c r="L511" i="7" s="1"/>
  <c r="G510" i="7"/>
  <c r="L510" i="7" s="1"/>
  <c r="G509" i="7"/>
  <c r="L509" i="7" s="1"/>
  <c r="G508" i="7"/>
  <c r="L508" i="7" s="1"/>
  <c r="G507" i="7"/>
  <c r="L507" i="7" s="1"/>
  <c r="G506" i="7"/>
  <c r="L506" i="7" s="1"/>
  <c r="G505" i="7"/>
  <c r="L505" i="7" s="1"/>
  <c r="G504" i="7"/>
  <c r="L504" i="7" s="1"/>
  <c r="G503" i="7"/>
  <c r="L503" i="7" s="1"/>
  <c r="G502" i="7"/>
  <c r="L502" i="7" s="1"/>
  <c r="G501" i="7"/>
  <c r="L501" i="7" s="1"/>
  <c r="G500" i="7"/>
  <c r="G499" i="7"/>
  <c r="L499" i="7" s="1"/>
  <c r="G498" i="7"/>
  <c r="L498" i="7" s="1"/>
  <c r="G497" i="7"/>
  <c r="L497" i="7" s="1"/>
  <c r="G496" i="7"/>
  <c r="L496" i="7" s="1"/>
  <c r="G495" i="7"/>
  <c r="L495" i="7" s="1"/>
  <c r="G494" i="7"/>
  <c r="L494" i="7" s="1"/>
  <c r="G493" i="7"/>
  <c r="L493" i="7" s="1"/>
  <c r="G492" i="7"/>
  <c r="L492" i="7" s="1"/>
  <c r="G491" i="7"/>
  <c r="L491" i="7" s="1"/>
  <c r="G490" i="7"/>
  <c r="L490" i="7" s="1"/>
  <c r="G489" i="7"/>
  <c r="L489" i="7" s="1"/>
  <c r="G488" i="7"/>
  <c r="L488" i="7" s="1"/>
  <c r="G487" i="7"/>
  <c r="L487" i="7" s="1"/>
  <c r="G486" i="7"/>
  <c r="L486" i="7" s="1"/>
  <c r="G485" i="7"/>
  <c r="L485" i="7" s="1"/>
  <c r="G484" i="7"/>
  <c r="L484" i="7" s="1"/>
  <c r="G483" i="7"/>
  <c r="L483" i="7" s="1"/>
  <c r="G482" i="7"/>
  <c r="L482" i="7" s="1"/>
  <c r="G481" i="7"/>
  <c r="L481" i="7" s="1"/>
  <c r="G480" i="7"/>
  <c r="L480" i="7" s="1"/>
  <c r="G479" i="7"/>
  <c r="L479" i="7" s="1"/>
  <c r="G478" i="7"/>
  <c r="L478" i="7" s="1"/>
  <c r="G477" i="7"/>
  <c r="L477" i="7" s="1"/>
  <c r="G476" i="7"/>
  <c r="G475" i="7"/>
  <c r="L475" i="7" s="1"/>
  <c r="G474" i="7"/>
  <c r="L474" i="7" s="1"/>
  <c r="G473" i="7"/>
  <c r="L473" i="7" s="1"/>
  <c r="G472" i="7"/>
  <c r="L472" i="7" s="1"/>
  <c r="G471" i="7"/>
  <c r="L471" i="7" s="1"/>
  <c r="G470" i="7"/>
  <c r="G469" i="7"/>
  <c r="L469" i="7" s="1"/>
  <c r="G468" i="7"/>
  <c r="L468" i="7" s="1"/>
  <c r="G467" i="7"/>
  <c r="L467" i="7" s="1"/>
  <c r="G466" i="7"/>
  <c r="L466" i="7" s="1"/>
  <c r="G465" i="7"/>
  <c r="L465" i="7" s="1"/>
  <c r="G464" i="7"/>
  <c r="L464" i="7" s="1"/>
  <c r="G463" i="7"/>
  <c r="L463" i="7" s="1"/>
  <c r="G462" i="7"/>
  <c r="L462" i="7" s="1"/>
  <c r="G461" i="7"/>
  <c r="L461" i="7" s="1"/>
  <c r="G460" i="7"/>
  <c r="L460" i="7" s="1"/>
  <c r="G459" i="7"/>
  <c r="L459" i="7" s="1"/>
  <c r="G458" i="7"/>
  <c r="G457" i="7"/>
  <c r="L457" i="7" s="1"/>
  <c r="G456" i="7"/>
  <c r="L456" i="7" s="1"/>
  <c r="G455" i="7"/>
  <c r="L455" i="7" s="1"/>
  <c r="G454" i="7"/>
  <c r="L454" i="7" s="1"/>
  <c r="G453" i="7"/>
  <c r="L453" i="7" s="1"/>
  <c r="G452" i="7"/>
  <c r="G451" i="7"/>
  <c r="L451" i="7" s="1"/>
  <c r="G450" i="7"/>
  <c r="L450" i="7" s="1"/>
  <c r="G449" i="7"/>
  <c r="L449" i="7" s="1"/>
  <c r="G448" i="7"/>
  <c r="L448" i="7" s="1"/>
  <c r="G447" i="7"/>
  <c r="L447" i="7" s="1"/>
  <c r="G446" i="7"/>
  <c r="G445" i="7"/>
  <c r="L445" i="7" s="1"/>
  <c r="G444" i="7"/>
  <c r="L444" i="7" s="1"/>
  <c r="G443" i="7"/>
  <c r="L443" i="7" s="1"/>
  <c r="G442" i="7"/>
  <c r="L442" i="7" s="1"/>
  <c r="G441" i="7"/>
  <c r="L441" i="7" s="1"/>
  <c r="G440" i="7"/>
  <c r="G439" i="7"/>
  <c r="L439" i="7" s="1"/>
  <c r="G438" i="7"/>
  <c r="L438" i="7" s="1"/>
  <c r="G437" i="7"/>
  <c r="L437" i="7" s="1"/>
  <c r="G436" i="7"/>
  <c r="L436" i="7" s="1"/>
  <c r="G435" i="7"/>
  <c r="L435" i="7" s="1"/>
  <c r="G434" i="7"/>
  <c r="G433" i="7"/>
  <c r="L433" i="7" s="1"/>
  <c r="G432" i="7"/>
  <c r="L432" i="7" s="1"/>
  <c r="G431" i="7"/>
  <c r="L431" i="7" s="1"/>
  <c r="G430" i="7"/>
  <c r="L430" i="7" s="1"/>
  <c r="G429" i="7"/>
  <c r="L429" i="7" s="1"/>
  <c r="G428" i="7"/>
  <c r="L428" i="7" s="1"/>
  <c r="G427" i="7"/>
  <c r="L427" i="7" s="1"/>
  <c r="G426" i="7"/>
  <c r="L426" i="7" s="1"/>
  <c r="G425" i="7"/>
  <c r="L425" i="7" s="1"/>
  <c r="G424" i="7"/>
  <c r="L424" i="7" s="1"/>
  <c r="G423" i="7"/>
  <c r="L423" i="7" s="1"/>
  <c r="G422" i="7"/>
  <c r="G421" i="7"/>
  <c r="L421" i="7" s="1"/>
  <c r="G420" i="7"/>
  <c r="L420" i="7" s="1"/>
  <c r="G419" i="7"/>
  <c r="L419" i="7" s="1"/>
  <c r="G418" i="7"/>
  <c r="L418" i="7" s="1"/>
  <c r="G417" i="7"/>
  <c r="L417" i="7" s="1"/>
  <c r="G416" i="7"/>
  <c r="L416" i="7" s="1"/>
  <c r="G415" i="7"/>
  <c r="L415" i="7" s="1"/>
  <c r="G414" i="7"/>
  <c r="L414" i="7" s="1"/>
  <c r="G413" i="7"/>
  <c r="L413" i="7" s="1"/>
  <c r="G412" i="7"/>
  <c r="L412" i="7" s="1"/>
  <c r="G411" i="7"/>
  <c r="L411" i="7" s="1"/>
  <c r="G410" i="7"/>
  <c r="L410" i="7" s="1"/>
  <c r="G409" i="7"/>
  <c r="L409" i="7" s="1"/>
  <c r="G408" i="7"/>
  <c r="L408" i="7" s="1"/>
  <c r="G407" i="7"/>
  <c r="L407" i="7" s="1"/>
  <c r="G406" i="7"/>
  <c r="L406" i="7" s="1"/>
  <c r="G405" i="7"/>
  <c r="L405" i="7" s="1"/>
  <c r="G404" i="7"/>
  <c r="L404" i="7" s="1"/>
  <c r="G403" i="7"/>
  <c r="L403" i="7" s="1"/>
  <c r="G402" i="7"/>
  <c r="L402" i="7" s="1"/>
  <c r="G401" i="7"/>
  <c r="L401" i="7" s="1"/>
  <c r="G400" i="7"/>
  <c r="L400" i="7" s="1"/>
  <c r="G399" i="7"/>
  <c r="L399" i="7" s="1"/>
  <c r="G398" i="7"/>
  <c r="L398" i="7" s="1"/>
  <c r="G397" i="7"/>
  <c r="L397" i="7" s="1"/>
  <c r="G396" i="7"/>
  <c r="L396" i="7" s="1"/>
  <c r="G395" i="7"/>
  <c r="L395" i="7" s="1"/>
  <c r="G394" i="7"/>
  <c r="L394" i="7" s="1"/>
  <c r="G393" i="7"/>
  <c r="L393" i="7" s="1"/>
  <c r="G392" i="7"/>
  <c r="G391" i="7"/>
  <c r="L391" i="7" s="1"/>
  <c r="G390" i="7"/>
  <c r="L390" i="7" s="1"/>
  <c r="G389" i="7"/>
  <c r="L389" i="7" s="1"/>
  <c r="G388" i="7"/>
  <c r="L388" i="7" s="1"/>
  <c r="G387" i="7"/>
  <c r="L387" i="7" s="1"/>
  <c r="G386" i="7"/>
  <c r="L386" i="7" s="1"/>
  <c r="G385" i="7"/>
  <c r="L385" i="7" s="1"/>
  <c r="G384" i="7"/>
  <c r="L384" i="7" s="1"/>
  <c r="G383" i="7"/>
  <c r="L383" i="7" s="1"/>
  <c r="G382" i="7"/>
  <c r="L382" i="7" s="1"/>
  <c r="G381" i="7"/>
  <c r="L381" i="7" s="1"/>
  <c r="G380" i="7"/>
  <c r="L380" i="7" s="1"/>
  <c r="G379" i="7"/>
  <c r="L379" i="7" s="1"/>
  <c r="G378" i="7"/>
  <c r="L378" i="7" s="1"/>
  <c r="G377" i="7"/>
  <c r="L377" i="7" s="1"/>
  <c r="G376" i="7"/>
  <c r="L376" i="7" s="1"/>
  <c r="G375" i="7"/>
  <c r="L375" i="7" s="1"/>
  <c r="G374" i="7"/>
  <c r="G373" i="7"/>
  <c r="L373" i="7" s="1"/>
  <c r="G372" i="7"/>
  <c r="L372" i="7" s="1"/>
  <c r="G371" i="7"/>
  <c r="L371" i="7" s="1"/>
  <c r="G370" i="7"/>
  <c r="L370" i="7" s="1"/>
  <c r="G369" i="7"/>
  <c r="L369" i="7" s="1"/>
  <c r="G368" i="7"/>
  <c r="L368" i="7" s="1"/>
  <c r="G367" i="7"/>
  <c r="L367" i="7" s="1"/>
  <c r="G366" i="7"/>
  <c r="L366" i="7" s="1"/>
  <c r="G365" i="7"/>
  <c r="L365" i="7" s="1"/>
  <c r="G364" i="7"/>
  <c r="L364" i="7" s="1"/>
  <c r="G363" i="7"/>
  <c r="L363" i="7" s="1"/>
  <c r="G362" i="7"/>
  <c r="L362" i="7" s="1"/>
  <c r="G361" i="7"/>
  <c r="L361" i="7" s="1"/>
  <c r="G360" i="7"/>
  <c r="L360" i="7" s="1"/>
  <c r="G359" i="7"/>
  <c r="L359" i="7" s="1"/>
  <c r="G358" i="7"/>
  <c r="L358" i="7" s="1"/>
  <c r="G357" i="7"/>
  <c r="L357" i="7" s="1"/>
  <c r="G356" i="7"/>
  <c r="L356" i="7" s="1"/>
  <c r="G355" i="7"/>
  <c r="L355" i="7" s="1"/>
  <c r="G354" i="7"/>
  <c r="L354" i="7" s="1"/>
  <c r="G353" i="7"/>
  <c r="L353" i="7" s="1"/>
  <c r="G352" i="7"/>
  <c r="L352" i="7" s="1"/>
  <c r="G351" i="7"/>
  <c r="L351" i="7" s="1"/>
  <c r="G350" i="7"/>
  <c r="L350" i="7" s="1"/>
  <c r="G349" i="7"/>
  <c r="L349" i="7" s="1"/>
  <c r="G348" i="7"/>
  <c r="L348" i="7" s="1"/>
  <c r="G347" i="7"/>
  <c r="L347" i="7" s="1"/>
  <c r="G346" i="7"/>
  <c r="L346" i="7" s="1"/>
  <c r="G345" i="7"/>
  <c r="L345" i="7" s="1"/>
  <c r="G344" i="7"/>
  <c r="L344" i="7" s="1"/>
  <c r="G343" i="7"/>
  <c r="L343" i="7" s="1"/>
  <c r="G342" i="7"/>
  <c r="L342" i="7" s="1"/>
  <c r="G341" i="7"/>
  <c r="L341" i="7" s="1"/>
  <c r="G340" i="7"/>
  <c r="L340" i="7" s="1"/>
  <c r="G339" i="7"/>
  <c r="L339" i="7" s="1"/>
  <c r="G338" i="7"/>
  <c r="G337" i="7"/>
  <c r="L337" i="7" s="1"/>
  <c r="G336" i="7"/>
  <c r="L336" i="7" s="1"/>
  <c r="G335" i="7"/>
  <c r="L335" i="7" s="1"/>
  <c r="G334" i="7"/>
  <c r="L334" i="7" s="1"/>
  <c r="G333" i="7"/>
  <c r="L333" i="7" s="1"/>
  <c r="G332" i="7"/>
  <c r="L332" i="7" s="1"/>
  <c r="G331" i="7"/>
  <c r="L331" i="7" s="1"/>
  <c r="G330" i="7"/>
  <c r="L330" i="7" s="1"/>
  <c r="G329" i="7"/>
  <c r="L329" i="7" s="1"/>
  <c r="G328" i="7"/>
  <c r="L328" i="7" s="1"/>
  <c r="G327" i="7"/>
  <c r="L327" i="7" s="1"/>
  <c r="G326" i="7"/>
  <c r="L326" i="7" s="1"/>
  <c r="G325" i="7"/>
  <c r="L325" i="7" s="1"/>
  <c r="G324" i="7"/>
  <c r="L324" i="7" s="1"/>
  <c r="G323" i="7"/>
  <c r="L323" i="7" s="1"/>
  <c r="G322" i="7"/>
  <c r="L322" i="7" s="1"/>
  <c r="G321" i="7"/>
  <c r="L321" i="7" s="1"/>
  <c r="G320" i="7"/>
  <c r="L320" i="7" s="1"/>
  <c r="G319" i="7"/>
  <c r="L319" i="7" s="1"/>
  <c r="G318" i="7"/>
  <c r="L318" i="7" s="1"/>
  <c r="G317" i="7"/>
  <c r="L317" i="7" s="1"/>
  <c r="G316" i="7"/>
  <c r="L316" i="7" s="1"/>
  <c r="G315" i="7"/>
  <c r="L315" i="7" s="1"/>
  <c r="G314" i="7"/>
  <c r="L314" i="7" s="1"/>
  <c r="G313" i="7"/>
  <c r="L313" i="7" s="1"/>
  <c r="G312" i="7"/>
  <c r="L312" i="7" s="1"/>
  <c r="G311" i="7"/>
  <c r="L311" i="7" s="1"/>
  <c r="G310" i="7"/>
  <c r="L310" i="7" s="1"/>
  <c r="G309" i="7"/>
  <c r="L309" i="7" s="1"/>
  <c r="G308" i="7"/>
  <c r="L308" i="7" s="1"/>
  <c r="G307" i="7"/>
  <c r="L307" i="7" s="1"/>
  <c r="G306" i="7"/>
  <c r="L306" i="7" s="1"/>
  <c r="G305" i="7"/>
  <c r="L305" i="7" s="1"/>
  <c r="G304" i="7"/>
  <c r="L304" i="7" s="1"/>
  <c r="G303" i="7"/>
  <c r="L303" i="7" s="1"/>
  <c r="G302" i="7"/>
  <c r="L302" i="7" s="1"/>
  <c r="G301" i="7"/>
  <c r="L301" i="7" s="1"/>
  <c r="G300" i="7"/>
  <c r="L300" i="7" s="1"/>
  <c r="G299" i="7"/>
  <c r="L299" i="7" s="1"/>
  <c r="G298" i="7"/>
  <c r="L298" i="7" s="1"/>
  <c r="G297" i="7"/>
  <c r="L297" i="7" s="1"/>
  <c r="G296" i="7"/>
  <c r="L296" i="7" s="1"/>
  <c r="G295" i="7"/>
  <c r="L295" i="7" s="1"/>
  <c r="G294" i="7"/>
  <c r="L294" i="7" s="1"/>
  <c r="G293" i="7"/>
  <c r="L293" i="7" s="1"/>
  <c r="G292" i="7"/>
  <c r="L292" i="7" s="1"/>
  <c r="G291" i="7"/>
  <c r="L291" i="7" s="1"/>
  <c r="G290" i="7"/>
  <c r="L290" i="7" s="1"/>
  <c r="G289" i="7"/>
  <c r="L289" i="7" s="1"/>
  <c r="G288" i="7"/>
  <c r="L288" i="7" s="1"/>
  <c r="G287" i="7"/>
  <c r="L287" i="7" s="1"/>
  <c r="G286" i="7"/>
  <c r="L286" i="7" s="1"/>
  <c r="G285" i="7"/>
  <c r="L285" i="7" s="1"/>
  <c r="G284" i="7"/>
  <c r="G283" i="7"/>
  <c r="L283" i="7" s="1"/>
  <c r="G282" i="7"/>
  <c r="L282" i="7" s="1"/>
  <c r="G281" i="7"/>
  <c r="L281" i="7" s="1"/>
  <c r="G280" i="7"/>
  <c r="L280" i="7" s="1"/>
  <c r="G279" i="7"/>
  <c r="L279" i="7" s="1"/>
  <c r="G278" i="7"/>
  <c r="L278" i="7" s="1"/>
  <c r="G277" i="7"/>
  <c r="L277" i="7" s="1"/>
  <c r="G276" i="7"/>
  <c r="L276" i="7" s="1"/>
  <c r="G275" i="7"/>
  <c r="L275" i="7" s="1"/>
  <c r="G274" i="7"/>
  <c r="L274" i="7" s="1"/>
  <c r="G273" i="7"/>
  <c r="L273" i="7" s="1"/>
  <c r="G272" i="7"/>
  <c r="L272" i="7" s="1"/>
  <c r="G271" i="7"/>
  <c r="L271" i="7" s="1"/>
  <c r="G270" i="7"/>
  <c r="L270" i="7" s="1"/>
  <c r="G269" i="7"/>
  <c r="L269" i="7" s="1"/>
  <c r="G268" i="7"/>
  <c r="L268" i="7" s="1"/>
  <c r="G267" i="7"/>
  <c r="L267" i="7" s="1"/>
  <c r="G266" i="7"/>
  <c r="G265" i="7"/>
  <c r="L265" i="7" s="1"/>
  <c r="G264" i="7"/>
  <c r="L264" i="7" s="1"/>
  <c r="G263" i="7"/>
  <c r="L263" i="7" s="1"/>
  <c r="G262" i="7"/>
  <c r="L262" i="7" s="1"/>
  <c r="G261" i="7"/>
  <c r="L261" i="7" s="1"/>
  <c r="G260" i="7"/>
  <c r="G259" i="7"/>
  <c r="L259" i="7" s="1"/>
  <c r="G258" i="7"/>
  <c r="L258" i="7" s="1"/>
  <c r="G257" i="7"/>
  <c r="L257" i="7" s="1"/>
  <c r="G256" i="7"/>
  <c r="L256" i="7" s="1"/>
  <c r="G255" i="7"/>
  <c r="L255" i="7" s="1"/>
  <c r="G254" i="7"/>
  <c r="L254" i="7" s="1"/>
  <c r="G253" i="7"/>
  <c r="L253" i="7" s="1"/>
  <c r="G252" i="7"/>
  <c r="L252" i="7" s="1"/>
  <c r="G251" i="7"/>
  <c r="L251" i="7" s="1"/>
  <c r="G250" i="7"/>
  <c r="L250" i="7" s="1"/>
  <c r="G249" i="7"/>
  <c r="L249" i="7" s="1"/>
  <c r="G248" i="7"/>
  <c r="G247" i="7"/>
  <c r="L247" i="7" s="1"/>
  <c r="G246" i="7"/>
  <c r="L246" i="7" s="1"/>
  <c r="G245" i="7"/>
  <c r="L245" i="7" s="1"/>
  <c r="G244" i="7"/>
  <c r="L244" i="7" s="1"/>
  <c r="G243" i="7"/>
  <c r="L243" i="7" s="1"/>
  <c r="G242" i="7"/>
  <c r="L242" i="7" s="1"/>
  <c r="G241" i="7"/>
  <c r="L241" i="7" s="1"/>
  <c r="G240" i="7"/>
  <c r="L240" i="7" s="1"/>
  <c r="G239" i="7"/>
  <c r="L239" i="7" s="1"/>
  <c r="G238" i="7"/>
  <c r="L238" i="7" s="1"/>
  <c r="G237" i="7"/>
  <c r="L237" i="7" s="1"/>
  <c r="G236" i="7"/>
  <c r="L236" i="7" s="1"/>
  <c r="G235" i="7"/>
  <c r="L235" i="7" s="1"/>
  <c r="G234" i="7"/>
  <c r="L234" i="7" s="1"/>
  <c r="G233" i="7"/>
  <c r="L233" i="7" s="1"/>
  <c r="G232" i="7"/>
  <c r="L232" i="7" s="1"/>
  <c r="G231" i="7"/>
  <c r="L231" i="7" s="1"/>
  <c r="G230" i="7"/>
  <c r="L230" i="7" s="1"/>
  <c r="G229" i="7"/>
  <c r="L229" i="7" s="1"/>
  <c r="G228" i="7"/>
  <c r="L228" i="7" s="1"/>
  <c r="G227" i="7"/>
  <c r="L227" i="7" s="1"/>
  <c r="G226" i="7"/>
  <c r="L226" i="7" s="1"/>
  <c r="G225" i="7"/>
  <c r="L225" i="7" s="1"/>
  <c r="G224" i="7"/>
  <c r="L224" i="7" s="1"/>
  <c r="G223" i="7"/>
  <c r="L223" i="7" s="1"/>
  <c r="G222" i="7"/>
  <c r="L222" i="7" s="1"/>
  <c r="G221" i="7"/>
  <c r="L221" i="7" s="1"/>
  <c r="G220" i="7"/>
  <c r="L220" i="7" s="1"/>
  <c r="G219" i="7"/>
  <c r="L219" i="7" s="1"/>
  <c r="G218" i="7"/>
  <c r="L218" i="7" s="1"/>
  <c r="G217" i="7"/>
  <c r="L217" i="7" s="1"/>
  <c r="G216" i="7"/>
  <c r="L216" i="7" s="1"/>
  <c r="G215" i="7"/>
  <c r="L215" i="7" s="1"/>
  <c r="G214" i="7"/>
  <c r="L214" i="7" s="1"/>
  <c r="G213" i="7"/>
  <c r="L213" i="7" s="1"/>
  <c r="G212" i="7"/>
  <c r="L212" i="7" s="1"/>
  <c r="G211" i="7"/>
  <c r="L211" i="7" s="1"/>
  <c r="G210" i="7"/>
  <c r="L210" i="7" s="1"/>
  <c r="G209" i="7"/>
  <c r="L209" i="7" s="1"/>
  <c r="G208" i="7"/>
  <c r="L208" i="7" s="1"/>
  <c r="G207" i="7"/>
  <c r="L207" i="7" s="1"/>
  <c r="G206" i="7"/>
  <c r="L206" i="7" s="1"/>
  <c r="G205" i="7"/>
  <c r="L205" i="7" s="1"/>
  <c r="G204" i="7"/>
  <c r="L204" i="7" s="1"/>
  <c r="G203" i="7"/>
  <c r="L203" i="7" s="1"/>
  <c r="G202" i="7"/>
  <c r="L202" i="7" s="1"/>
  <c r="G201" i="7"/>
  <c r="L201" i="7" s="1"/>
  <c r="G200" i="7"/>
  <c r="L200" i="7" s="1"/>
  <c r="G199" i="7"/>
  <c r="L199" i="7" s="1"/>
  <c r="G198" i="7"/>
  <c r="L198" i="7" s="1"/>
  <c r="G197" i="7"/>
  <c r="L197" i="7" s="1"/>
  <c r="G196" i="7"/>
  <c r="L196" i="7" s="1"/>
  <c r="G195" i="7"/>
  <c r="L195" i="7" s="1"/>
  <c r="G194" i="7"/>
  <c r="G193" i="7"/>
  <c r="L193" i="7" s="1"/>
  <c r="G192" i="7"/>
  <c r="L192" i="7" s="1"/>
  <c r="G191" i="7"/>
  <c r="L191" i="7" s="1"/>
  <c r="G190" i="7"/>
  <c r="L190" i="7" s="1"/>
  <c r="G189" i="7"/>
  <c r="L189" i="7" s="1"/>
  <c r="G188" i="7"/>
  <c r="G187" i="7"/>
  <c r="L187" i="7" s="1"/>
  <c r="G186" i="7"/>
  <c r="L186" i="7" s="1"/>
  <c r="G185" i="7"/>
  <c r="L185" i="7" s="1"/>
  <c r="G184" i="7"/>
  <c r="L184" i="7" s="1"/>
  <c r="G183" i="7"/>
  <c r="L183" i="7" s="1"/>
  <c r="G182" i="7"/>
  <c r="L182" i="7" s="1"/>
  <c r="G181" i="7"/>
  <c r="L181" i="7" s="1"/>
  <c r="G180" i="7"/>
  <c r="L180" i="7" s="1"/>
  <c r="G179" i="7"/>
  <c r="L179" i="7" s="1"/>
  <c r="G178" i="7"/>
  <c r="L178" i="7" s="1"/>
  <c r="G177" i="7"/>
  <c r="L177" i="7" s="1"/>
  <c r="G176" i="7"/>
  <c r="L176" i="7" s="1"/>
  <c r="G175" i="7"/>
  <c r="L175" i="7" s="1"/>
  <c r="G174" i="7"/>
  <c r="L174" i="7" s="1"/>
  <c r="G173" i="7"/>
  <c r="L173" i="7" s="1"/>
  <c r="G172" i="7"/>
  <c r="L172" i="7" s="1"/>
  <c r="G171" i="7"/>
  <c r="L171" i="7" s="1"/>
  <c r="G170" i="7"/>
  <c r="L170" i="7" s="1"/>
  <c r="G169" i="7"/>
  <c r="L169" i="7" s="1"/>
  <c r="G168" i="7"/>
  <c r="L168" i="7" s="1"/>
  <c r="G167" i="7"/>
  <c r="L167" i="7" s="1"/>
  <c r="G166" i="7"/>
  <c r="L166" i="7" s="1"/>
  <c r="G165" i="7"/>
  <c r="L165" i="7" s="1"/>
  <c r="G164" i="7"/>
  <c r="L164" i="7" s="1"/>
  <c r="G163" i="7"/>
  <c r="L163" i="7" s="1"/>
  <c r="G162" i="7"/>
  <c r="L162" i="7" s="1"/>
  <c r="G161" i="7"/>
  <c r="L161" i="7" s="1"/>
  <c r="G160" i="7"/>
  <c r="L160" i="7" s="1"/>
  <c r="G159" i="7"/>
  <c r="L159" i="7" s="1"/>
  <c r="G158" i="7"/>
  <c r="L158" i="7" s="1"/>
  <c r="G157" i="7"/>
  <c r="L157" i="7" s="1"/>
  <c r="G156" i="7"/>
  <c r="L156" i="7" s="1"/>
  <c r="G155" i="7"/>
  <c r="L155" i="7" s="1"/>
  <c r="G154" i="7"/>
  <c r="L154" i="7" s="1"/>
  <c r="G153" i="7"/>
  <c r="L153" i="7" s="1"/>
  <c r="G152" i="7"/>
  <c r="G151" i="7"/>
  <c r="L151" i="7" s="1"/>
  <c r="G150" i="7"/>
  <c r="L150" i="7" s="1"/>
  <c r="G149" i="7"/>
  <c r="L149" i="7" s="1"/>
  <c r="G148" i="7"/>
  <c r="L148" i="7" s="1"/>
  <c r="G147" i="7"/>
  <c r="L147" i="7" s="1"/>
  <c r="G146" i="7"/>
  <c r="L146" i="7" s="1"/>
  <c r="G145" i="7"/>
  <c r="L145" i="7" s="1"/>
  <c r="G144" i="7"/>
  <c r="L144" i="7" s="1"/>
  <c r="G143" i="7"/>
  <c r="L143" i="7" s="1"/>
  <c r="G142" i="7"/>
  <c r="L142" i="7" s="1"/>
  <c r="G141" i="7"/>
  <c r="L141" i="7" s="1"/>
  <c r="G140" i="7"/>
  <c r="L140" i="7" s="1"/>
  <c r="G139" i="7"/>
  <c r="L139" i="7" s="1"/>
  <c r="G138" i="7"/>
  <c r="L138" i="7" s="1"/>
  <c r="G137" i="7"/>
  <c r="L137" i="7" s="1"/>
  <c r="G136" i="7"/>
  <c r="L136" i="7" s="1"/>
  <c r="G135" i="7"/>
  <c r="L135" i="7" s="1"/>
  <c r="G134" i="7"/>
  <c r="L134" i="7" s="1"/>
  <c r="G133" i="7"/>
  <c r="L133" i="7" s="1"/>
  <c r="G132" i="7"/>
  <c r="L132" i="7" s="1"/>
  <c r="G131" i="7"/>
  <c r="L131" i="7" s="1"/>
  <c r="G130" i="7"/>
  <c r="L130" i="7" s="1"/>
  <c r="G129" i="7"/>
  <c r="L129" i="7" s="1"/>
  <c r="G128" i="7"/>
  <c r="G127" i="7"/>
  <c r="L127" i="7" s="1"/>
  <c r="G126" i="7"/>
  <c r="L126" i="7" s="1"/>
  <c r="G125" i="7"/>
  <c r="L125" i="7" s="1"/>
  <c r="G124" i="7"/>
  <c r="L124" i="7" s="1"/>
  <c r="G123" i="7"/>
  <c r="L123" i="7" s="1"/>
  <c r="G122" i="7"/>
  <c r="L122" i="7" s="1"/>
  <c r="G121" i="7"/>
  <c r="L121" i="7" s="1"/>
  <c r="G120" i="7"/>
  <c r="L120" i="7" s="1"/>
  <c r="G119" i="7"/>
  <c r="L119" i="7" s="1"/>
  <c r="G118" i="7"/>
  <c r="L118" i="7" s="1"/>
  <c r="G117" i="7"/>
  <c r="L117" i="7" s="1"/>
  <c r="G116" i="7"/>
  <c r="G115" i="7"/>
  <c r="L115" i="7" s="1"/>
  <c r="G114" i="7"/>
  <c r="L114" i="7" s="1"/>
  <c r="G113" i="7"/>
  <c r="L113" i="7" s="1"/>
  <c r="G112" i="7"/>
  <c r="L112" i="7" s="1"/>
  <c r="G111" i="7"/>
  <c r="L111" i="7" s="1"/>
  <c r="G110" i="7"/>
  <c r="L110" i="7" s="1"/>
  <c r="G109" i="7"/>
  <c r="L109" i="7" s="1"/>
  <c r="G108" i="7"/>
  <c r="L108" i="7" s="1"/>
  <c r="G107" i="7"/>
  <c r="L107" i="7" s="1"/>
  <c r="G106" i="7"/>
  <c r="L106" i="7" s="1"/>
  <c r="G105" i="7"/>
  <c r="L105" i="7" s="1"/>
  <c r="G104" i="7"/>
  <c r="L104" i="7" s="1"/>
  <c r="G103" i="7"/>
  <c r="L103" i="7" s="1"/>
  <c r="G102" i="7"/>
  <c r="L102" i="7" s="1"/>
  <c r="G101" i="7"/>
  <c r="L101" i="7" s="1"/>
  <c r="G100" i="7"/>
  <c r="L100" i="7" s="1"/>
  <c r="G99" i="7"/>
  <c r="L99" i="7" s="1"/>
  <c r="G98" i="7"/>
  <c r="L98" i="7" s="1"/>
  <c r="G97" i="7"/>
  <c r="L97" i="7" s="1"/>
  <c r="G96" i="7"/>
  <c r="L96" i="7" s="1"/>
  <c r="G95" i="7"/>
  <c r="L95" i="7" s="1"/>
  <c r="G94" i="7"/>
  <c r="L94" i="7" s="1"/>
  <c r="G93" i="7"/>
  <c r="L93" i="7" s="1"/>
  <c r="G92" i="7"/>
  <c r="L92" i="7" s="1"/>
  <c r="G91" i="7"/>
  <c r="L91" i="7" s="1"/>
  <c r="G90" i="7"/>
  <c r="L90" i="7" s="1"/>
  <c r="G89" i="7"/>
  <c r="L89" i="7" s="1"/>
  <c r="G88" i="7"/>
  <c r="L88" i="7" s="1"/>
  <c r="G87" i="7"/>
  <c r="L87" i="7" s="1"/>
  <c r="G86" i="7"/>
  <c r="L86" i="7" s="1"/>
  <c r="G85" i="7"/>
  <c r="L85" i="7" s="1"/>
  <c r="G84" i="7"/>
  <c r="L84" i="7" s="1"/>
  <c r="G83" i="7"/>
  <c r="L83" i="7" s="1"/>
  <c r="G82" i="7"/>
  <c r="L82" i="7" s="1"/>
  <c r="G81" i="7"/>
  <c r="L81" i="7" s="1"/>
  <c r="G80" i="7"/>
  <c r="G79" i="7"/>
  <c r="L79" i="7" s="1"/>
  <c r="G78" i="7"/>
  <c r="L78" i="7" s="1"/>
  <c r="G77" i="7"/>
  <c r="L77" i="7" s="1"/>
  <c r="G76" i="7"/>
  <c r="L76" i="7" s="1"/>
  <c r="G75" i="7"/>
  <c r="L75" i="7" s="1"/>
  <c r="G74" i="7"/>
  <c r="L74" i="7" s="1"/>
  <c r="G73" i="7"/>
  <c r="L73" i="7" s="1"/>
  <c r="G72" i="7"/>
  <c r="L72" i="7" s="1"/>
  <c r="G71" i="7"/>
  <c r="L71" i="7" s="1"/>
  <c r="G70" i="7"/>
  <c r="L70" i="7" s="1"/>
  <c r="G69" i="7"/>
  <c r="L69" i="7" s="1"/>
  <c r="G68" i="7"/>
  <c r="G67" i="7"/>
  <c r="L67" i="7" s="1"/>
  <c r="G66" i="7"/>
  <c r="L66" i="7" s="1"/>
  <c r="G65" i="7"/>
  <c r="L65" i="7" s="1"/>
  <c r="G64" i="7"/>
  <c r="L64" i="7" s="1"/>
  <c r="G63" i="7"/>
  <c r="L63" i="7" s="1"/>
  <c r="G62" i="7"/>
  <c r="G61" i="7"/>
  <c r="L61" i="7" s="1"/>
  <c r="G60" i="7"/>
  <c r="L60" i="7" s="1"/>
  <c r="G59" i="7"/>
  <c r="L59" i="7" s="1"/>
  <c r="G58" i="7"/>
  <c r="L58" i="7" s="1"/>
  <c r="G57" i="7"/>
  <c r="L57" i="7" s="1"/>
  <c r="G56" i="7"/>
  <c r="L56" i="7" s="1"/>
  <c r="G55" i="7"/>
  <c r="L55" i="7" s="1"/>
  <c r="G54" i="7"/>
  <c r="L54" i="7" s="1"/>
  <c r="G53" i="7"/>
  <c r="L53" i="7" s="1"/>
  <c r="G52" i="7"/>
  <c r="L52" i="7" s="1"/>
  <c r="G51" i="7"/>
  <c r="L51" i="7" s="1"/>
  <c r="G50" i="7"/>
  <c r="L50" i="7" s="1"/>
  <c r="G49" i="7"/>
  <c r="L49" i="7" s="1"/>
  <c r="G48" i="7"/>
  <c r="L48" i="7" s="1"/>
  <c r="G47" i="7"/>
  <c r="L47" i="7" s="1"/>
  <c r="G46" i="7"/>
  <c r="L46" i="7" s="1"/>
  <c r="G45" i="7"/>
  <c r="L45" i="7" s="1"/>
  <c r="G44" i="7"/>
  <c r="L44" i="7" s="1"/>
  <c r="G43" i="7"/>
  <c r="L43" i="7" s="1"/>
  <c r="G42" i="7"/>
  <c r="L42" i="7" s="1"/>
  <c r="G41" i="7"/>
  <c r="L41" i="7" s="1"/>
  <c r="G40" i="7"/>
  <c r="L40" i="7" s="1"/>
  <c r="G39" i="7"/>
  <c r="L39" i="7" s="1"/>
  <c r="G38" i="7"/>
  <c r="L38" i="7" s="1"/>
  <c r="G37" i="7"/>
  <c r="L37" i="7" s="1"/>
  <c r="G36" i="7"/>
  <c r="L36" i="7" s="1"/>
  <c r="G35" i="7"/>
  <c r="L35" i="7" s="1"/>
  <c r="G34" i="7"/>
  <c r="L34" i="7" s="1"/>
  <c r="G33" i="7"/>
  <c r="L33" i="7" s="1"/>
  <c r="G32" i="7"/>
  <c r="L32" i="7" s="1"/>
  <c r="G31" i="7"/>
  <c r="L31" i="7" s="1"/>
  <c r="G30" i="7"/>
  <c r="L30" i="7" s="1"/>
  <c r="G29" i="7"/>
  <c r="L29" i="7" s="1"/>
  <c r="G28" i="7"/>
  <c r="L28" i="7" s="1"/>
  <c r="G27" i="7"/>
  <c r="L27" i="7" s="1"/>
  <c r="G26" i="7"/>
  <c r="L26" i="7" s="1"/>
  <c r="G25" i="7"/>
  <c r="L25" i="7" s="1"/>
  <c r="G24" i="7"/>
  <c r="L24" i="7" s="1"/>
  <c r="G23" i="7"/>
  <c r="L23" i="7" s="1"/>
  <c r="G22" i="7"/>
  <c r="L22" i="7" s="1"/>
  <c r="G21" i="7"/>
  <c r="L21" i="7" s="1"/>
  <c r="G20" i="7"/>
  <c r="L20" i="7" s="1"/>
  <c r="G19" i="7"/>
  <c r="L19" i="7" s="1"/>
  <c r="G18" i="7"/>
  <c r="L18" i="7" s="1"/>
  <c r="G17" i="7"/>
  <c r="L17" i="7" s="1"/>
  <c r="G16" i="7"/>
  <c r="L16" i="7" s="1"/>
  <c r="G15" i="7"/>
  <c r="L15" i="7" s="1"/>
  <c r="G14" i="7"/>
  <c r="G13" i="7"/>
  <c r="L13" i="7" s="1"/>
  <c r="G12" i="7"/>
  <c r="L12" i="7" s="1"/>
  <c r="G11" i="7"/>
  <c r="L11" i="7" s="1"/>
  <c r="G10" i="7"/>
  <c r="L10" i="7" s="1"/>
  <c r="G9" i="7"/>
  <c r="L9" i="7" s="1"/>
  <c r="G8" i="7"/>
  <c r="G7" i="7"/>
  <c r="L7" i="7" s="1"/>
  <c r="G6" i="7"/>
  <c r="L6" i="7" s="1"/>
  <c r="G5" i="7"/>
  <c r="L5" i="7" s="1"/>
  <c r="G4" i="7"/>
  <c r="L4" i="7" s="1"/>
  <c r="G3" i="7"/>
  <c r="L3" i="7" s="1"/>
  <c r="G2" i="7"/>
  <c r="G442" i="8" l="1"/>
  <c r="L2" i="7"/>
  <c r="G364" i="8"/>
  <c r="L8" i="7"/>
  <c r="G321" i="8"/>
  <c r="G301" i="8"/>
  <c r="G281" i="8"/>
  <c r="L14" i="7"/>
  <c r="G430" i="8"/>
  <c r="L62" i="7"/>
  <c r="G258" i="8"/>
  <c r="G238" i="8"/>
  <c r="G218" i="8"/>
  <c r="G198" i="8"/>
  <c r="L68" i="7"/>
  <c r="G385" i="8"/>
  <c r="L80" i="7"/>
  <c r="G315" i="8"/>
  <c r="G295" i="8"/>
  <c r="G275" i="8"/>
  <c r="L116" i="7"/>
  <c r="G472" i="8"/>
  <c r="L128" i="7"/>
  <c r="G107" i="8"/>
  <c r="G87" i="8"/>
  <c r="G67" i="8"/>
  <c r="G47" i="8"/>
  <c r="L152" i="7"/>
  <c r="G34" i="8"/>
  <c r="G14" i="8"/>
  <c r="L188" i="7"/>
  <c r="G257" i="8"/>
  <c r="G237" i="8"/>
  <c r="G217" i="8"/>
  <c r="G197" i="8"/>
  <c r="L194" i="7"/>
  <c r="G253" i="8"/>
  <c r="G233" i="8"/>
  <c r="G213" i="8"/>
  <c r="G193" i="8"/>
  <c r="L248" i="7"/>
  <c r="G180" i="8"/>
  <c r="G160" i="8"/>
  <c r="G140" i="8"/>
  <c r="L260" i="7"/>
  <c r="G440" i="8"/>
  <c r="L266" i="7"/>
  <c r="G416" i="8"/>
  <c r="L284" i="7"/>
  <c r="G166" i="8"/>
  <c r="G146" i="8"/>
  <c r="G126" i="8"/>
  <c r="L338" i="7"/>
  <c r="G346" i="8"/>
  <c r="G326" i="8"/>
  <c r="L374" i="7"/>
  <c r="G35" i="8"/>
  <c r="G15" i="8"/>
  <c r="L392" i="7"/>
  <c r="G162" i="8"/>
  <c r="G142" i="8"/>
  <c r="G122" i="8"/>
  <c r="L422" i="7"/>
  <c r="G445" i="8"/>
  <c r="L434" i="7"/>
  <c r="G181" i="8"/>
  <c r="G161" i="8"/>
  <c r="G141" i="8"/>
  <c r="L440" i="7"/>
  <c r="G32" i="8"/>
  <c r="G12" i="8"/>
  <c r="L446" i="7"/>
  <c r="G116" i="8"/>
  <c r="G96" i="8"/>
  <c r="G76" i="8"/>
  <c r="G56" i="8"/>
  <c r="L452" i="7"/>
  <c r="G393" i="8"/>
  <c r="L458" i="7"/>
  <c r="G371" i="8"/>
  <c r="L470" i="7"/>
  <c r="G307" i="8"/>
  <c r="G287" i="8"/>
  <c r="G267" i="8"/>
  <c r="L476" i="7"/>
  <c r="G429" i="8"/>
  <c r="L500" i="7"/>
  <c r="G370" i="8"/>
  <c r="L512" i="7"/>
  <c r="G344" i="8"/>
  <c r="G324" i="8"/>
  <c r="L518" i="7"/>
  <c r="G121" i="8"/>
  <c r="G101" i="8"/>
  <c r="G81" i="8"/>
  <c r="G61" i="8"/>
  <c r="L524" i="7"/>
  <c r="G261" i="8"/>
  <c r="G241" i="8"/>
  <c r="G221" i="8"/>
  <c r="G201" i="8"/>
  <c r="L530" i="7"/>
  <c r="G448" i="8"/>
  <c r="L542" i="7"/>
  <c r="G304" i="8"/>
  <c r="G284" i="8"/>
  <c r="G264" i="8"/>
  <c r="L548" i="7"/>
  <c r="G386" i="8"/>
  <c r="L566" i="7"/>
  <c r="G396" i="8"/>
  <c r="L572" i="7"/>
  <c r="G469" i="8"/>
  <c r="L578" i="7"/>
  <c r="G118" i="8"/>
  <c r="G98" i="8"/>
  <c r="G78" i="8"/>
  <c r="G58" i="8"/>
  <c r="L590" i="7"/>
  <c r="G352" i="8"/>
  <c r="G332" i="8"/>
  <c r="L596" i="7"/>
  <c r="G345" i="8"/>
  <c r="G325" i="8"/>
  <c r="L602" i="7"/>
  <c r="G308" i="8"/>
  <c r="G288" i="8"/>
  <c r="G268" i="8"/>
  <c r="L614" i="7"/>
  <c r="G249" i="8"/>
  <c r="G229" i="8"/>
  <c r="G209" i="8"/>
  <c r="G189" i="8"/>
  <c r="L626" i="7"/>
  <c r="G377" i="8"/>
  <c r="L632" i="7"/>
  <c r="G426" i="8"/>
  <c r="L638" i="7"/>
  <c r="G106" i="8"/>
  <c r="G86" i="8"/>
  <c r="G66" i="8"/>
  <c r="G46" i="8"/>
  <c r="L656" i="7"/>
  <c r="G368" i="8"/>
  <c r="L662" i="7"/>
  <c r="G443" i="8"/>
  <c r="L668" i="7"/>
  <c r="G373" i="8"/>
  <c r="L674" i="7"/>
  <c r="G250" i="8"/>
  <c r="G230" i="8"/>
  <c r="G210" i="8"/>
  <c r="G190" i="8"/>
  <c r="L686" i="7"/>
  <c r="G316" i="8"/>
  <c r="G296" i="8"/>
  <c r="G276" i="8"/>
  <c r="L698" i="7"/>
  <c r="G169" i="8"/>
  <c r="G149" i="8"/>
  <c r="G129" i="8"/>
  <c r="L710" i="7"/>
  <c r="G374" i="8"/>
  <c r="L716" i="7"/>
  <c r="G470" i="8"/>
  <c r="L728" i="7"/>
  <c r="G405" i="8"/>
  <c r="L740" i="7"/>
  <c r="G455" i="8"/>
  <c r="L752" i="7"/>
  <c r="G449" i="8"/>
  <c r="L758" i="7"/>
  <c r="G302" i="8"/>
  <c r="G282" i="8"/>
  <c r="G262" i="8"/>
  <c r="L764" i="7"/>
  <c r="G178" i="8"/>
  <c r="G158" i="8"/>
  <c r="G138" i="8"/>
  <c r="L770" i="7"/>
  <c r="G103" i="8"/>
  <c r="G83" i="8"/>
  <c r="G63" i="8"/>
  <c r="G43" i="8"/>
  <c r="L782" i="7"/>
  <c r="G382" i="8"/>
  <c r="L788" i="7"/>
  <c r="G355" i="8"/>
  <c r="G335" i="8"/>
  <c r="L800" i="7"/>
  <c r="G433" i="8"/>
  <c r="L830" i="7"/>
  <c r="G435" i="8"/>
  <c r="L842" i="7"/>
  <c r="G172" i="8"/>
  <c r="G152" i="8"/>
  <c r="G132" i="8"/>
  <c r="L872" i="7"/>
  <c r="G108" i="8"/>
  <c r="G88" i="8"/>
  <c r="G68" i="8"/>
  <c r="G48" i="8"/>
  <c r="L914" i="7"/>
  <c r="G311" i="8"/>
  <c r="G291" i="8"/>
  <c r="G271" i="8"/>
  <c r="L926" i="7"/>
  <c r="G436" i="8"/>
  <c r="L932" i="7"/>
  <c r="G350" i="8"/>
  <c r="G330" i="8"/>
  <c r="L938" i="7"/>
  <c r="G104" i="8"/>
  <c r="G84" i="8"/>
  <c r="G64" i="8"/>
  <c r="G44" i="8"/>
  <c r="L944" i="7"/>
  <c r="G410" i="8"/>
  <c r="L974" i="7"/>
  <c r="G112" i="8"/>
  <c r="G92" i="8"/>
  <c r="G72" i="8"/>
  <c r="G52" i="8"/>
  <c r="L986" i="7"/>
  <c r="G424" i="8"/>
  <c r="L998" i="7"/>
  <c r="G404" i="8"/>
  <c r="L1004" i="7"/>
  <c r="G39" i="8"/>
  <c r="G19" i="8"/>
  <c r="L1010" i="7"/>
  <c r="G476" i="8"/>
  <c r="L1028" i="7"/>
  <c r="G461" i="8"/>
  <c r="L1040" i="7"/>
  <c r="G446" i="8"/>
  <c r="L1046" i="7"/>
  <c r="G305" i="8"/>
  <c r="G285" i="8"/>
  <c r="G265" i="8"/>
  <c r="L1070" i="7"/>
  <c r="G361" i="8"/>
  <c r="G341" i="8"/>
  <c r="L1076" i="7"/>
  <c r="G441" i="8"/>
  <c r="L1082" i="7"/>
  <c r="G456" i="8"/>
  <c r="L1088" i="7"/>
  <c r="G36" i="8"/>
  <c r="G16" i="8"/>
  <c r="L1094" i="7"/>
  <c r="G247" i="8"/>
  <c r="G227" i="8"/>
  <c r="G207" i="8"/>
  <c r="G187" i="8"/>
  <c r="L1148" i="7"/>
  <c r="G388" i="8"/>
  <c r="L1196" i="7"/>
  <c r="G466" i="8"/>
  <c r="L1220" i="7"/>
  <c r="G407" i="8"/>
  <c r="L1232" i="7"/>
  <c r="G425" i="8"/>
  <c r="L1256" i="7"/>
  <c r="G389" i="8"/>
  <c r="L1292" i="7"/>
  <c r="G397" i="8"/>
  <c r="L1304" i="7"/>
  <c r="G471" i="8"/>
  <c r="L1334" i="7"/>
  <c r="G420" i="8"/>
  <c r="L1346" i="7"/>
  <c r="G23" i="8"/>
  <c r="G3" i="8"/>
  <c r="L1352" i="7"/>
  <c r="G173" i="8"/>
  <c r="G153" i="8"/>
  <c r="G133" i="8"/>
  <c r="L1364" i="7"/>
  <c r="G417" i="8"/>
  <c r="L1382" i="7"/>
  <c r="G167" i="8"/>
  <c r="G147" i="8"/>
  <c r="G127" i="8"/>
  <c r="L1406" i="7"/>
  <c r="G119" i="8"/>
  <c r="G99" i="8"/>
  <c r="G79" i="8"/>
  <c r="G59" i="8"/>
  <c r="L1412" i="7"/>
  <c r="G394" i="8"/>
  <c r="L1418" i="7"/>
  <c r="G390" i="8"/>
  <c r="L1424" i="7"/>
  <c r="G31" i="8"/>
  <c r="G11" i="8"/>
  <c r="L1430" i="7"/>
  <c r="G413" i="8"/>
  <c r="L1436" i="7"/>
  <c r="G29" i="8"/>
  <c r="G9" i="8"/>
  <c r="L1448" i="7"/>
  <c r="G27" i="8"/>
  <c r="G7" i="8"/>
  <c r="L1454" i="7"/>
  <c r="G421" i="8"/>
  <c r="L1466" i="7"/>
  <c r="G113" i="8"/>
  <c r="G93" i="8"/>
  <c r="G73" i="8"/>
  <c r="G53" i="8"/>
  <c r="L1484" i="7"/>
  <c r="G378" i="8"/>
  <c r="L1496" i="7"/>
  <c r="G317" i="8"/>
  <c r="G297" i="8"/>
  <c r="G277" i="8"/>
  <c r="L1526" i="7"/>
  <c r="G423" i="8"/>
  <c r="L1562" i="7"/>
  <c r="G33" i="8"/>
  <c r="G13" i="8"/>
  <c r="L1568" i="7"/>
  <c r="G391" i="8"/>
  <c r="L1640" i="7"/>
  <c r="G414" i="8"/>
  <c r="L1658" i="7"/>
  <c r="G40" i="8"/>
  <c r="G20" i="8"/>
  <c r="L1664" i="7"/>
  <c r="G473" i="8"/>
  <c r="L1694" i="7"/>
  <c r="G477" i="8"/>
  <c r="L1742" i="7"/>
  <c r="G358" i="8"/>
  <c r="G338" i="8"/>
  <c r="L1748" i="7"/>
  <c r="G459" i="8"/>
  <c r="L1760" i="7"/>
  <c r="G28" i="8"/>
  <c r="G8" i="8"/>
  <c r="L1766" i="7"/>
  <c r="G367" i="8"/>
  <c r="L1772" i="7"/>
  <c r="G369" i="8"/>
  <c r="L1778" i="7"/>
  <c r="G375" i="8"/>
  <c r="L1802" i="7"/>
  <c r="G366" i="8"/>
  <c r="L1808" i="7"/>
  <c r="G474" i="8"/>
  <c r="L1814" i="7"/>
  <c r="G251" i="8"/>
  <c r="G231" i="8"/>
  <c r="G211" i="8"/>
  <c r="G191" i="8"/>
  <c r="L1820" i="7"/>
  <c r="G398" i="8"/>
  <c r="L1826" i="7"/>
  <c r="G117" i="8"/>
  <c r="G97" i="8"/>
  <c r="G77" i="8"/>
  <c r="G57" i="8"/>
  <c r="L1838" i="7"/>
  <c r="G453" i="8"/>
  <c r="L1850" i="7"/>
  <c r="G259" i="8"/>
  <c r="G239" i="8"/>
  <c r="G219" i="8"/>
  <c r="G199" i="8"/>
  <c r="L1856" i="7"/>
  <c r="G318" i="8"/>
  <c r="G298" i="8"/>
  <c r="G278" i="8"/>
  <c r="L1868" i="7"/>
  <c r="G312" i="8"/>
  <c r="G292" i="8"/>
  <c r="G272" i="8"/>
  <c r="L1934" i="7"/>
  <c r="G415" i="8"/>
  <c r="L2000" i="7"/>
  <c r="G163" i="8"/>
  <c r="G143" i="8"/>
  <c r="G123" i="8"/>
  <c r="L2006" i="7"/>
  <c r="G431" i="8"/>
  <c r="L2018" i="7"/>
  <c r="G464" i="8"/>
  <c r="L2024" i="7"/>
  <c r="G478" i="8"/>
  <c r="L2036" i="7"/>
  <c r="G105" i="8"/>
  <c r="G85" i="8"/>
  <c r="G65" i="8"/>
  <c r="G45" i="8"/>
  <c r="L2054" i="7"/>
  <c r="G392" i="8"/>
  <c r="L2096" i="7"/>
  <c r="G353" i="8"/>
  <c r="G333" i="8"/>
  <c r="L2126" i="7"/>
  <c r="G171" i="8"/>
  <c r="G151" i="8"/>
  <c r="G131" i="8"/>
  <c r="L2132" i="7"/>
  <c r="G256" i="8"/>
  <c r="G236" i="8"/>
  <c r="G216" i="8"/>
  <c r="G196" i="8"/>
  <c r="L2138" i="7"/>
  <c r="G432" i="8"/>
  <c r="L2156" i="7"/>
  <c r="G418" i="8"/>
  <c r="L2162" i="7"/>
  <c r="G467" i="8"/>
  <c r="L2186" i="7"/>
  <c r="G376" i="8"/>
  <c r="L2192" i="7"/>
  <c r="G450" i="8"/>
  <c r="L2228" i="7"/>
  <c r="G399" i="8"/>
  <c r="L2234" i="7"/>
  <c r="G347" i="8"/>
  <c r="G327" i="8"/>
  <c r="L2240" i="7"/>
  <c r="G109" i="8"/>
  <c r="G89" i="8"/>
  <c r="G69" i="8"/>
  <c r="G49" i="8"/>
  <c r="L2252" i="7"/>
  <c r="G408" i="8"/>
  <c r="L2276" i="7"/>
  <c r="G400" i="8"/>
  <c r="L2282" i="7"/>
  <c r="G434" i="8"/>
  <c r="L2294" i="7"/>
  <c r="G359" i="8"/>
  <c r="G339" i="8"/>
  <c r="L2306" i="7"/>
  <c r="G356" i="8"/>
  <c r="G336" i="8"/>
  <c r="L2312" i="7"/>
  <c r="G244" i="8"/>
  <c r="G224" i="8"/>
  <c r="G204" i="8"/>
  <c r="G184" i="8"/>
  <c r="L2318" i="7"/>
  <c r="G451" i="8"/>
  <c r="L2324" i="7"/>
  <c r="G365" i="8"/>
  <c r="L2330" i="7"/>
  <c r="G24" i="8"/>
  <c r="G4" i="8"/>
  <c r="L2336" i="7"/>
  <c r="G114" i="8"/>
  <c r="G94" i="8"/>
  <c r="G74" i="8"/>
  <c r="G54" i="8"/>
  <c r="L2342" i="7"/>
  <c r="G402" i="8"/>
  <c r="L2348" i="7"/>
  <c r="G427" i="8"/>
  <c r="L2354" i="7"/>
  <c r="G419" i="8"/>
  <c r="L2366" i="7"/>
  <c r="G260" i="8"/>
  <c r="G240" i="8"/>
  <c r="G220" i="8"/>
  <c r="G200" i="8"/>
  <c r="L2372" i="7"/>
  <c r="G439" i="8"/>
  <c r="L2384" i="7"/>
  <c r="G351" i="8"/>
  <c r="G331" i="8"/>
  <c r="L2402" i="7"/>
  <c r="G475" i="8"/>
  <c r="L2414" i="7"/>
  <c r="G395" i="8"/>
  <c r="L2420" i="7"/>
  <c r="G22" i="8"/>
  <c r="G2" i="8"/>
  <c r="L2426" i="7"/>
  <c r="G463" i="8"/>
  <c r="L2438" i="7"/>
  <c r="G120" i="8"/>
  <c r="G100" i="8"/>
  <c r="G80" i="8"/>
  <c r="G60" i="8"/>
  <c r="L2450" i="7"/>
  <c r="G363" i="8"/>
  <c r="L2462" i="7"/>
  <c r="G115" i="8"/>
  <c r="G95" i="8"/>
  <c r="G75" i="8"/>
  <c r="G55" i="8"/>
  <c r="L2468" i="7"/>
  <c r="G412" i="8"/>
  <c r="L2486" i="7"/>
  <c r="G380" i="8"/>
  <c r="L2504" i="7"/>
  <c r="G342" i="8"/>
  <c r="G322" i="8"/>
  <c r="L2522" i="7"/>
  <c r="G362" i="8"/>
  <c r="L2540" i="7"/>
  <c r="G383" i="8"/>
  <c r="L2564" i="7"/>
  <c r="G349" i="8"/>
  <c r="G329" i="8"/>
  <c r="L2570" i="7"/>
  <c r="G26" i="8"/>
  <c r="G6" i="8"/>
  <c r="L2594" i="7"/>
  <c r="G401" i="8"/>
  <c r="L2606" i="7"/>
  <c r="G479" i="8"/>
  <c r="L2612" i="7"/>
  <c r="G381" i="8"/>
  <c r="L2624" i="7"/>
  <c r="G179" i="8"/>
  <c r="G159" i="8"/>
  <c r="G139" i="8"/>
  <c r="L2636" i="7"/>
  <c r="G309" i="8"/>
  <c r="G289" i="8"/>
  <c r="G269" i="8"/>
  <c r="L2642" i="7"/>
  <c r="G457" i="8"/>
  <c r="L2648" i="7"/>
  <c r="G406" i="8"/>
  <c r="L2660" i="7"/>
  <c r="G384" i="8"/>
  <c r="L2666" i="7"/>
  <c r="G175" i="8"/>
  <c r="G155" i="8"/>
  <c r="G135" i="8"/>
  <c r="L2672" i="7"/>
  <c r="G248" i="8"/>
  <c r="G228" i="8"/>
  <c r="G208" i="8"/>
  <c r="G188" i="8"/>
  <c r="L2678" i="7"/>
  <c r="G37" i="8"/>
  <c r="G17" i="8"/>
  <c r="L2708" i="7"/>
  <c r="G480" i="8"/>
  <c r="L2714" i="7"/>
  <c r="G354" i="8"/>
  <c r="G334" i="8"/>
  <c r="L2720" i="7"/>
  <c r="G310" i="8"/>
  <c r="G290" i="8"/>
  <c r="G270" i="8"/>
  <c r="L2726" i="7"/>
  <c r="G243" i="8"/>
  <c r="G223" i="8"/>
  <c r="G203" i="8"/>
  <c r="G183" i="8"/>
  <c r="L2732" i="7"/>
  <c r="G313" i="8"/>
  <c r="G293" i="8"/>
  <c r="G273" i="8"/>
  <c r="L2738" i="7"/>
  <c r="G387" i="8"/>
  <c r="L2744" i="7"/>
  <c r="G444" i="8"/>
  <c r="L2756" i="7"/>
  <c r="G468" i="8"/>
  <c r="L2762" i="7"/>
  <c r="G30" i="8"/>
  <c r="G10" i="8"/>
  <c r="L2786" i="7"/>
  <c r="G409" i="8"/>
  <c r="L2810" i="7"/>
  <c r="G447" i="8"/>
  <c r="L2834" i="7"/>
  <c r="G242" i="8"/>
  <c r="G222" i="8"/>
  <c r="G202" i="8"/>
  <c r="G182" i="8"/>
  <c r="L2870" i="7"/>
  <c r="G348" i="8"/>
  <c r="G328" i="8"/>
  <c r="L2882" i="7"/>
  <c r="G102" i="8"/>
  <c r="G82" i="8"/>
  <c r="G62" i="8"/>
  <c r="G42" i="8"/>
  <c r="L2894" i="7"/>
  <c r="G462" i="8"/>
  <c r="L2900" i="7"/>
  <c r="G454" i="8"/>
  <c r="L2912" i="7"/>
  <c r="G437" i="8"/>
  <c r="L2918" i="7"/>
  <c r="G403" i="8"/>
  <c r="L2942" i="7"/>
  <c r="G246" i="8"/>
  <c r="G226" i="8"/>
  <c r="G206" i="8"/>
  <c r="G186" i="8"/>
  <c r="L2954" i="7"/>
  <c r="G465" i="8"/>
  <c r="L2966" i="7"/>
  <c r="G372" i="8"/>
  <c r="L2972" i="7"/>
  <c r="G174" i="8"/>
  <c r="G154" i="8"/>
  <c r="G134" i="8"/>
  <c r="L2990" i="7"/>
  <c r="G254" i="8"/>
  <c r="G234" i="8"/>
  <c r="G214" i="8"/>
  <c r="G194" i="8"/>
  <c r="L3008" i="7"/>
  <c r="G170" i="8"/>
  <c r="G150" i="8"/>
  <c r="G130" i="8"/>
  <c r="L3020" i="7"/>
  <c r="G111" i="8"/>
  <c r="G91" i="8"/>
  <c r="G71" i="8"/>
  <c r="G51" i="8"/>
  <c r="L3044" i="7"/>
  <c r="G422" i="8"/>
  <c r="L3050" i="7"/>
  <c r="G245" i="8"/>
  <c r="G225" i="8"/>
  <c r="G205" i="8"/>
  <c r="G185" i="8"/>
  <c r="L3068" i="7"/>
  <c r="G255" i="8"/>
  <c r="G235" i="8"/>
  <c r="G215" i="8"/>
  <c r="G195" i="8"/>
  <c r="L3074" i="7"/>
  <c r="G438" i="8"/>
  <c r="L3092" i="7"/>
  <c r="G428" i="8"/>
  <c r="L3128" i="7"/>
  <c r="G343" i="8"/>
  <c r="G323" i="8"/>
  <c r="L3146" i="7"/>
  <c r="G41" i="8"/>
  <c r="G21" i="8"/>
  <c r="L3176" i="7"/>
  <c r="G481" i="8"/>
  <c r="L3206" i="7"/>
  <c r="G458" i="8"/>
  <c r="L3212" i="7"/>
  <c r="G303" i="8"/>
  <c r="G283" i="8"/>
  <c r="G263" i="8"/>
  <c r="L3242" i="7"/>
  <c r="G357" i="8"/>
  <c r="G337" i="8"/>
  <c r="L3260" i="7"/>
  <c r="G38" i="8"/>
  <c r="G18" i="8"/>
  <c r="L3290" i="7"/>
  <c r="G168" i="8"/>
  <c r="G148" i="8"/>
  <c r="G128" i="8"/>
  <c r="L3332" i="7"/>
  <c r="G314" i="8"/>
  <c r="G294" i="8"/>
  <c r="G274" i="8"/>
  <c r="L3338" i="7"/>
  <c r="G177" i="8"/>
  <c r="G157" i="8"/>
  <c r="G137" i="8"/>
  <c r="L3362" i="7"/>
  <c r="G110" i="8"/>
  <c r="G90" i="8"/>
  <c r="G70" i="8"/>
  <c r="G50" i="8"/>
  <c r="L3368" i="7"/>
  <c r="G452" i="8"/>
  <c r="L3374" i="7"/>
  <c r="G164" i="8"/>
  <c r="G144" i="8"/>
  <c r="G124" i="8"/>
  <c r="L3416" i="7"/>
  <c r="G411" i="8"/>
  <c r="L3458" i="7"/>
  <c r="G319" i="8"/>
  <c r="G299" i="8"/>
  <c r="G279" i="8"/>
  <c r="L3470" i="7"/>
  <c r="G306" i="8"/>
  <c r="G286" i="8"/>
  <c r="G266" i="8"/>
  <c r="L3500" i="7"/>
  <c r="G320" i="8"/>
  <c r="G300" i="8"/>
  <c r="G280" i="8"/>
  <c r="L3512" i="7"/>
  <c r="G379" i="8"/>
  <c r="L3518" i="7"/>
  <c r="G252" i="8"/>
  <c r="G232" i="8"/>
  <c r="G212" i="8"/>
  <c r="G192" i="8"/>
  <c r="L3530" i="7"/>
  <c r="G176" i="8"/>
  <c r="G156" i="8"/>
  <c r="G136" i="8"/>
  <c r="L3536" i="7"/>
  <c r="G25" i="8"/>
  <c r="G5" i="8"/>
  <c r="L3554" i="7"/>
  <c r="G165" i="8"/>
  <c r="G145" i="8"/>
  <c r="G125" i="8"/>
  <c r="L3566" i="7"/>
  <c r="G460" i="8"/>
  <c r="L3572" i="7"/>
  <c r="G360" i="8"/>
  <c r="G340" i="8"/>
  <c r="L3578" i="7"/>
</calcChain>
</file>

<file path=xl/sharedStrings.xml><?xml version="1.0" encoding="utf-8"?>
<sst xmlns="http://schemas.openxmlformats.org/spreadsheetml/2006/main" count="47662" uniqueCount="5649">
  <si>
    <t>AI Clinical Trial Site Selection POC — Synthetic Demo Dataset</t>
  </si>
  <si>
    <t>Regenerated to demonstrate the 8-stage feasibility &amp; risk pipeline end to end with realistic volume, genuine disease diversity, and statistically-grounded relationships, without any real patient or site data.</t>
  </si>
  <si>
    <t>IMPORTANT — READ FIRST</t>
  </si>
  <si>
    <t>This entire workbook is SYNTHETIC / SIMULATED data generated for demo purposes. No real patients, hospitals, investigators, or trials are represented. Site names, scores, and risk records are randomly generated but structured the way real feasibility and risk data would look, including the correlations and imperfections real data has, so pipeline logic can be tested with volume.</t>
  </si>
  <si>
    <t>Disease coverage: 24 distinct diseases across 12 therapeutic areas (Endocrinology, Oncology, Cardiology, Neurology, Infectious Disease, Pulmonology, Rheumatology, Dermatology, Gastroenterology, Nephrology, Psychiatry, Hematology) - see the full list in Trial_Requirements and Region_Data. Each disease has its own geography-driven prevalence pattern (e.g. Multiple Sclerosis skews toward high-latitude countries, Sickle Cell Disease toward the historical malaria belt, Hepatitis C toward Eastern Europe/North Africa, lung cancer/COPD toward high-smoking regions).</t>
  </si>
  <si>
    <t>Modeled relationships (deliberately built into the generator, not just random noise):</t>
  </si>
  <si>
    <t xml:space="preserve">  1. Disease prevalence varies by geography, using a distinct archetype per disease rather than one shared pattern.</t>
  </si>
  <si>
    <t xml:space="preserve">  2. Patient availability (Region_Data prevalence) lifts Historical Enrollment Rate in Site_Evaluation.</t>
  </si>
  <si>
    <t xml:space="preserve">  3. Enrollment performance correlates with Investigator Experience Score and Prior Trials Count.</t>
  </si>
  <si>
    <t xml:space="preserve">  4. Regulatory Approval Time varies by country regulatory tier (fast-track high-income countries vs. slower-moving emerging markets).</t>
  </si>
  <si>
    <t xml:space="preserve">  5. Operational risk in Risk_Register rises as Staff Availability Score falls.</t>
  </si>
  <si>
    <t xml:space="preserve">  6. Dropout Rate rises with disease complexity (oncology/neurology/GI &gt; infectious disease/rheum &gt; cardiology/endocrinology) and lower-resource settings.</t>
  </si>
  <si>
    <t xml:space="preserve">  7. Data Quality Score correlates with a latent site compliance history, which also drives Compliance risk severity in Risk_Register.</t>
  </si>
  <si>
    <t xml:space="preserve">  8. Avg Cost per Patient (Region_Data) reflects country economic tier and disease cost intensity.</t>
  </si>
  <si>
    <t xml:space="preserve">  9. Competing Trials (region- and site-level) reduce Historical Enrollment Rate and feed Enrollment/Competitive risk.</t>
  </si>
  <si>
    <t xml:space="preserve">  10. Suitability Score and Site_Ranking recommendations are live formulas that roll up all of the above.</t>
  </si>
  <si>
    <t>Sheet guide:</t>
  </si>
  <si>
    <t xml:space="preserve">  Trial_Requirements  - 24 headline trials (one per disease) + 360 additional protocol variants (15 cohort/subgroup tags sampled per disease, different phase/sample size/duration/budget) = 384 rows (Stage 1 input)</t>
  </si>
  <si>
    <t xml:space="preserve">  Region_Data         - 52 regions x 24 diseases = 1,248 rows of prevalence/regulatory/cost data (Stage 2). Region_Data intentionally covers more countries than currently have identified candidate sites - a broader landscape scan feeding future site scouting.</t>
  </si>
  <si>
    <t xml:space="preserve">  Candidate_Sites     - 600 synthetic hospital/site records across 52 regions and 12 therapeutic areas (feeds Stage 4)</t>
  </si>
  <si>
    <t xml:space="preserve">  Site_Evaluation     - one scored row per site (600); Suitability Score is a LIVE FORMULA, not hardcoded (Stage 5). ~3-4% missing values and ~2-3% outlier sites are intentionally present.</t>
  </si>
  <si>
    <t xml:space="preserve">  Risk_Matrix         - the Likelihood x Impact lookup table used to rate every risk record (a fixed 3x3 reference grid, not a data table)</t>
  </si>
  <si>
    <t xml:space="preserve">  Risk_Register       - 3,600 individual risk RECORDS (6 categories x 600 sites), each with its own Likelihood/Impact/Rating driven by the site's underlying metrics (Stage 6)</t>
  </si>
  <si>
    <t xml:space="preserve">  Site_Ranking        - top 20 ranked sites for each of the 24 HEADLINE trials (480 rows total), pulling live Suitability Score and Risk Level via in-workbook formulas (Stage 7-8).</t>
  </si>
  <si>
    <t>Assumption logged: which sites appear per trial in Site_Ranking was selected once at generation time (matched by therapeutic area, ranked by Suitability Score). The Score, High-Risk Record Count and Risk Level columns there are live formulas and WILL update if you edit Site_Evaluation or Risk_Register - but the list of which sites appear will not re-sort automatically without regenerating.</t>
  </si>
  <si>
    <t>Production note: replace Candidate_Sites / Site_Evaluation with a real feasibility feed, and Region_Data with a live WHO GHO / IHME pull, to move this from demo data to a production-grade system.</t>
  </si>
  <si>
    <t>Trial ID</t>
  </si>
  <si>
    <t>Indication</t>
  </si>
  <si>
    <t>Required Specialty</t>
  </si>
  <si>
    <t>Trial Type</t>
  </si>
  <si>
    <t>Cohort / Subgroup Tag</t>
  </si>
  <si>
    <t>Phase</t>
  </si>
  <si>
    <t>Target Sample Size</t>
  </si>
  <si>
    <t>Duration (months)</t>
  </si>
  <si>
    <t>Budget Tier</t>
  </si>
  <si>
    <t>Min Enrollment Rate (pts/month)</t>
  </si>
  <si>
    <t>Max Acceptable Dropout (%)</t>
  </si>
  <si>
    <t>Min Data Quality Score</t>
  </si>
  <si>
    <t>Max Acceptable Screen Failure (%)</t>
  </si>
  <si>
    <t>Accreditation Required</t>
  </si>
  <si>
    <t>Required Infrastructure</t>
  </si>
  <si>
    <t>T-001</t>
  </si>
  <si>
    <t>Type 2 Diabetes</t>
  </si>
  <si>
    <t>Endocrinology</t>
  </si>
  <si>
    <t>Headline</t>
  </si>
  <si>
    <t>All-comers</t>
  </si>
  <si>
    <t>Phase III</t>
  </si>
  <si>
    <t>High</t>
  </si>
  <si>
    <t>Yes</t>
  </si>
  <si>
    <t>Endocrine clinic; central lab; -70C sample storage</t>
  </si>
  <si>
    <t>T-002</t>
  </si>
  <si>
    <t>Variant</t>
  </si>
  <si>
    <t>Comorbid CKD</t>
  </si>
  <si>
    <t>Phase IIb</t>
  </si>
  <si>
    <t>T-003</t>
  </si>
  <si>
    <t>Female-only cohort</t>
  </si>
  <si>
    <t>Phase I</t>
  </si>
  <si>
    <t>Low</t>
  </si>
  <si>
    <t>T-004</t>
  </si>
  <si>
    <t>Open-label extension</t>
  </si>
  <si>
    <t>Phase II</t>
  </si>
  <si>
    <t>Preferred</t>
  </si>
  <si>
    <t>T-005</t>
  </si>
  <si>
    <t>Male-only cohort</t>
  </si>
  <si>
    <t>Phase IV</t>
  </si>
  <si>
    <t>Mid</t>
  </si>
  <si>
    <t>T-006</t>
  </si>
  <si>
    <t>T-007</t>
  </si>
  <si>
    <t>Underrepresented-population enrichment</t>
  </si>
  <si>
    <t>T-008</t>
  </si>
  <si>
    <t>Adult (18-64)</t>
  </si>
  <si>
    <t>T-009</t>
  </si>
  <si>
    <t>T-010</t>
  </si>
  <si>
    <t>Elderly (65+)</t>
  </si>
  <si>
    <t>T-011</t>
  </si>
  <si>
    <t>Rural/low-access catchment</t>
  </si>
  <si>
    <t>T-012</t>
  </si>
  <si>
    <t>Comorbid cardiovascular</t>
  </si>
  <si>
    <t>T-013</t>
  </si>
  <si>
    <t>Severe/advanced stage</t>
  </si>
  <si>
    <t>T-014</t>
  </si>
  <si>
    <t>Treatment-experienced</t>
  </si>
  <si>
    <t>T-015</t>
  </si>
  <si>
    <t>T-016</t>
  </si>
  <si>
    <t>T-017</t>
  </si>
  <si>
    <t>Obesity (BMI&gt;30)</t>
  </si>
  <si>
    <t>T-018</t>
  </si>
  <si>
    <t>T-019</t>
  </si>
  <si>
    <t>Treatment-naive</t>
  </si>
  <si>
    <t>T-020</t>
  </si>
  <si>
    <t>T-021</t>
  </si>
  <si>
    <t>T-022</t>
  </si>
  <si>
    <t>T-023</t>
  </si>
  <si>
    <t>T-024</t>
  </si>
  <si>
    <t>T-025</t>
  </si>
  <si>
    <t>T-026</t>
  </si>
  <si>
    <t>T-027</t>
  </si>
  <si>
    <t>T-028</t>
  </si>
  <si>
    <t>T-029</t>
  </si>
  <si>
    <t>T-030</t>
  </si>
  <si>
    <t>Paediatric-adjacent (16-21)</t>
  </si>
  <si>
    <t>T-031</t>
  </si>
  <si>
    <t>T-032</t>
  </si>
  <si>
    <t>T-033</t>
  </si>
  <si>
    <t>Breast Cancer (HER2+)</t>
  </si>
  <si>
    <t>Oncology</t>
  </si>
  <si>
    <t>Oncology day-care unit; imaging (CT/MRI); GCP pharmacy; biobank</t>
  </si>
  <si>
    <t>T-034</t>
  </si>
  <si>
    <t>T-035</t>
  </si>
  <si>
    <t>T-036</t>
  </si>
  <si>
    <t>Mild-moderate stage</t>
  </si>
  <si>
    <t>T-037</t>
  </si>
  <si>
    <t>T-038</t>
  </si>
  <si>
    <t>T-039</t>
  </si>
  <si>
    <t>T-040</t>
  </si>
  <si>
    <t>T-041</t>
  </si>
  <si>
    <t>T-042</t>
  </si>
  <si>
    <t>T-043</t>
  </si>
  <si>
    <t>T-044</t>
  </si>
  <si>
    <t>T-045</t>
  </si>
  <si>
    <t>T-046</t>
  </si>
  <si>
    <t>T-047</t>
  </si>
  <si>
    <t>T-048</t>
  </si>
  <si>
    <t>T-049</t>
  </si>
  <si>
    <t>Non-Small Cell Lung Cancer</t>
  </si>
  <si>
    <t>T-050</t>
  </si>
  <si>
    <t>T-051</t>
  </si>
  <si>
    <t>Biomarker-positive subgroup</t>
  </si>
  <si>
    <t>T-052</t>
  </si>
  <si>
    <t>T-053</t>
  </si>
  <si>
    <t>T-054</t>
  </si>
  <si>
    <t>T-055</t>
  </si>
  <si>
    <t>T-056</t>
  </si>
  <si>
    <t>T-057</t>
  </si>
  <si>
    <t>T-058</t>
  </si>
  <si>
    <t>T-059</t>
  </si>
  <si>
    <t>T-060</t>
  </si>
  <si>
    <t>T-061</t>
  </si>
  <si>
    <t>T-062</t>
  </si>
  <si>
    <t>T-063</t>
  </si>
  <si>
    <t>T-064</t>
  </si>
  <si>
    <t>T-065</t>
  </si>
  <si>
    <t>Colorectal Cancer</t>
  </si>
  <si>
    <t>T-066</t>
  </si>
  <si>
    <t>T-067</t>
  </si>
  <si>
    <t>T-068</t>
  </si>
  <si>
    <t>T-069</t>
  </si>
  <si>
    <t>T-070</t>
  </si>
  <si>
    <t>T-071</t>
  </si>
  <si>
    <t>T-072</t>
  </si>
  <si>
    <t>T-073</t>
  </si>
  <si>
    <t>T-074</t>
  </si>
  <si>
    <t>T-075</t>
  </si>
  <si>
    <t>T-076</t>
  </si>
  <si>
    <t>T-077</t>
  </si>
  <si>
    <t>T-078</t>
  </si>
  <si>
    <t>T-079</t>
  </si>
  <si>
    <t>T-080</t>
  </si>
  <si>
    <t>T-081</t>
  </si>
  <si>
    <t>Prostate Cancer</t>
  </si>
  <si>
    <t>T-082</t>
  </si>
  <si>
    <t>T-083</t>
  </si>
  <si>
    <t>T-084</t>
  </si>
  <si>
    <t>T-085</t>
  </si>
  <si>
    <t>T-086</t>
  </si>
  <si>
    <t>T-087</t>
  </si>
  <si>
    <t>T-088</t>
  </si>
  <si>
    <t>T-089</t>
  </si>
  <si>
    <t>T-090</t>
  </si>
  <si>
    <t>T-091</t>
  </si>
  <si>
    <t>T-092</t>
  </si>
  <si>
    <t>T-093</t>
  </si>
  <si>
    <t>T-094</t>
  </si>
  <si>
    <t>T-095</t>
  </si>
  <si>
    <t>T-096</t>
  </si>
  <si>
    <t>T-097</t>
  </si>
  <si>
    <t>Hypertension</t>
  </si>
  <si>
    <t>Cardiology</t>
  </si>
  <si>
    <t>Cardiac cath lab; ECG/Holter; echo suite</t>
  </si>
  <si>
    <t>T-098</t>
  </si>
  <si>
    <t>T-099</t>
  </si>
  <si>
    <t>T-100</t>
  </si>
  <si>
    <t>T-101</t>
  </si>
  <si>
    <t>T-102</t>
  </si>
  <si>
    <t>T-103</t>
  </si>
  <si>
    <t>T-104</t>
  </si>
  <si>
    <t>T-105</t>
  </si>
  <si>
    <t>T-106</t>
  </si>
  <si>
    <t>T-107</t>
  </si>
  <si>
    <t>T-108</t>
  </si>
  <si>
    <t>T-109</t>
  </si>
  <si>
    <t>T-110</t>
  </si>
  <si>
    <t>T-111</t>
  </si>
  <si>
    <t>T-112</t>
  </si>
  <si>
    <t>T-113</t>
  </si>
  <si>
    <t>Heart Failure (HFrEF)</t>
  </si>
  <si>
    <t>T-114</t>
  </si>
  <si>
    <t>T-115</t>
  </si>
  <si>
    <t>T-116</t>
  </si>
  <si>
    <t>T-117</t>
  </si>
  <si>
    <t>T-118</t>
  </si>
  <si>
    <t>T-119</t>
  </si>
  <si>
    <t>T-120</t>
  </si>
  <si>
    <t>T-121</t>
  </si>
  <si>
    <t>T-122</t>
  </si>
  <si>
    <t>T-123</t>
  </si>
  <si>
    <t>T-124</t>
  </si>
  <si>
    <t>T-125</t>
  </si>
  <si>
    <t>T-126</t>
  </si>
  <si>
    <t>T-127</t>
  </si>
  <si>
    <t>T-128</t>
  </si>
  <si>
    <t>T-129</t>
  </si>
  <si>
    <t>Atrial Fibrillation</t>
  </si>
  <si>
    <t>T-130</t>
  </si>
  <si>
    <t>T-131</t>
  </si>
  <si>
    <t>T-132</t>
  </si>
  <si>
    <t>T-133</t>
  </si>
  <si>
    <t>T-134</t>
  </si>
  <si>
    <t>T-135</t>
  </si>
  <si>
    <t>T-136</t>
  </si>
  <si>
    <t>T-137</t>
  </si>
  <si>
    <t>T-138</t>
  </si>
  <si>
    <t>T-139</t>
  </si>
  <si>
    <t>T-140</t>
  </si>
  <si>
    <t>T-141</t>
  </si>
  <si>
    <t>T-142</t>
  </si>
  <si>
    <t>T-143</t>
  </si>
  <si>
    <t>T-144</t>
  </si>
  <si>
    <t>T-145</t>
  </si>
  <si>
    <t>Alzheimer's Disease (Early-stage)</t>
  </si>
  <si>
    <t>Neurology</t>
  </si>
  <si>
    <t>Neuroimaging (MRI); cognitive testing room; EEG</t>
  </si>
  <si>
    <t>T-146</t>
  </si>
  <si>
    <t>T-147</t>
  </si>
  <si>
    <t>T-148</t>
  </si>
  <si>
    <t>T-149</t>
  </si>
  <si>
    <t>T-150</t>
  </si>
  <si>
    <t>T-151</t>
  </si>
  <si>
    <t>T-152</t>
  </si>
  <si>
    <t>T-153</t>
  </si>
  <si>
    <t>T-154</t>
  </si>
  <si>
    <t>T-155</t>
  </si>
  <si>
    <t>T-156</t>
  </si>
  <si>
    <t>T-157</t>
  </si>
  <si>
    <t>T-158</t>
  </si>
  <si>
    <t>T-159</t>
  </si>
  <si>
    <t>T-160</t>
  </si>
  <si>
    <t>T-161</t>
  </si>
  <si>
    <t>Parkinson's Disease</t>
  </si>
  <si>
    <t>T-162</t>
  </si>
  <si>
    <t>T-163</t>
  </si>
  <si>
    <t>T-164</t>
  </si>
  <si>
    <t>T-165</t>
  </si>
  <si>
    <t>T-166</t>
  </si>
  <si>
    <t>T-167</t>
  </si>
  <si>
    <t>T-168</t>
  </si>
  <si>
    <t>T-169</t>
  </si>
  <si>
    <t>T-170</t>
  </si>
  <si>
    <t>T-171</t>
  </si>
  <si>
    <t>T-172</t>
  </si>
  <si>
    <t>T-173</t>
  </si>
  <si>
    <t>T-174</t>
  </si>
  <si>
    <t>T-175</t>
  </si>
  <si>
    <t>T-176</t>
  </si>
  <si>
    <t>T-177</t>
  </si>
  <si>
    <t>Multiple Sclerosis (Relapsing-Remitting)</t>
  </si>
  <si>
    <t>T-178</t>
  </si>
  <si>
    <t>T-179</t>
  </si>
  <si>
    <t>T-180</t>
  </si>
  <si>
    <t>T-181</t>
  </si>
  <si>
    <t>T-182</t>
  </si>
  <si>
    <t>T-183</t>
  </si>
  <si>
    <t>T-184</t>
  </si>
  <si>
    <t>T-185</t>
  </si>
  <si>
    <t>T-186</t>
  </si>
  <si>
    <t>T-187</t>
  </si>
  <si>
    <t>T-188</t>
  </si>
  <si>
    <t>T-189</t>
  </si>
  <si>
    <t>T-190</t>
  </si>
  <si>
    <t>T-191</t>
  </si>
  <si>
    <t>T-192</t>
  </si>
  <si>
    <t>T-193</t>
  </si>
  <si>
    <t>Epilepsy (Focal)</t>
  </si>
  <si>
    <t>T-194</t>
  </si>
  <si>
    <t>T-195</t>
  </si>
  <si>
    <t>T-196</t>
  </si>
  <si>
    <t>T-197</t>
  </si>
  <si>
    <t>T-198</t>
  </si>
  <si>
    <t>T-199</t>
  </si>
  <si>
    <t>T-200</t>
  </si>
  <si>
    <t>T-201</t>
  </si>
  <si>
    <t>T-202</t>
  </si>
  <si>
    <t>T-203</t>
  </si>
  <si>
    <t>T-204</t>
  </si>
  <si>
    <t>T-205</t>
  </si>
  <si>
    <t>T-206</t>
  </si>
  <si>
    <t>T-207</t>
  </si>
  <si>
    <t>T-208</t>
  </si>
  <si>
    <t>T-209</t>
  </si>
  <si>
    <t>HIV (Treatment-naive)</t>
  </si>
  <si>
    <t>Infectious Disease</t>
  </si>
  <si>
    <t>BSL-2 lab; isolation capacity; viral load assay access</t>
  </si>
  <si>
    <t>T-210</t>
  </si>
  <si>
    <t>T-211</t>
  </si>
  <si>
    <t>T-212</t>
  </si>
  <si>
    <t>T-213</t>
  </si>
  <si>
    <t>T-214</t>
  </si>
  <si>
    <t>T-215</t>
  </si>
  <si>
    <t>T-216</t>
  </si>
  <si>
    <t>T-217</t>
  </si>
  <si>
    <t>T-218</t>
  </si>
  <si>
    <t>T-219</t>
  </si>
  <si>
    <t>T-220</t>
  </si>
  <si>
    <t>T-221</t>
  </si>
  <si>
    <t>T-222</t>
  </si>
  <si>
    <t>T-223</t>
  </si>
  <si>
    <t>T-224</t>
  </si>
  <si>
    <t>T-225</t>
  </si>
  <si>
    <t>Tuberculosis (Drug-sensitive)</t>
  </si>
  <si>
    <t>T-226</t>
  </si>
  <si>
    <t>T-227</t>
  </si>
  <si>
    <t>T-228</t>
  </si>
  <si>
    <t>T-229</t>
  </si>
  <si>
    <t>T-230</t>
  </si>
  <si>
    <t>T-231</t>
  </si>
  <si>
    <t>T-232</t>
  </si>
  <si>
    <t>T-233</t>
  </si>
  <si>
    <t>T-234</t>
  </si>
  <si>
    <t>T-235</t>
  </si>
  <si>
    <t>T-236</t>
  </si>
  <si>
    <t>T-237</t>
  </si>
  <si>
    <t>T-238</t>
  </si>
  <si>
    <t>T-239</t>
  </si>
  <si>
    <t>T-240</t>
  </si>
  <si>
    <t>T-241</t>
  </si>
  <si>
    <t>Chronic Hepatitis C</t>
  </si>
  <si>
    <t>T-242</t>
  </si>
  <si>
    <t>T-243</t>
  </si>
  <si>
    <t>T-244</t>
  </si>
  <si>
    <t>T-245</t>
  </si>
  <si>
    <t>T-246</t>
  </si>
  <si>
    <t>T-247</t>
  </si>
  <si>
    <t>T-248</t>
  </si>
  <si>
    <t>T-249</t>
  </si>
  <si>
    <t>T-250</t>
  </si>
  <si>
    <t>T-251</t>
  </si>
  <si>
    <t>T-252</t>
  </si>
  <si>
    <t>T-253</t>
  </si>
  <si>
    <t>T-254</t>
  </si>
  <si>
    <t>T-255</t>
  </si>
  <si>
    <t>T-256</t>
  </si>
  <si>
    <t>T-257</t>
  </si>
  <si>
    <t>Asthma (Moderate-Severe)</t>
  </si>
  <si>
    <t>Pulmonology</t>
  </si>
  <si>
    <t>Spirometry/PFT lab; nebulisation room</t>
  </si>
  <si>
    <t>T-258</t>
  </si>
  <si>
    <t>T-259</t>
  </si>
  <si>
    <t>T-260</t>
  </si>
  <si>
    <t>T-261</t>
  </si>
  <si>
    <t>T-262</t>
  </si>
  <si>
    <t>T-263</t>
  </si>
  <si>
    <t>T-264</t>
  </si>
  <si>
    <t>T-265</t>
  </si>
  <si>
    <t>T-266</t>
  </si>
  <si>
    <t>T-267</t>
  </si>
  <si>
    <t>T-268</t>
  </si>
  <si>
    <t>T-269</t>
  </si>
  <si>
    <t>T-270</t>
  </si>
  <si>
    <t>T-271</t>
  </si>
  <si>
    <t>T-272</t>
  </si>
  <si>
    <t>T-273</t>
  </si>
  <si>
    <t>COPD</t>
  </si>
  <si>
    <t>T-274</t>
  </si>
  <si>
    <t>T-275</t>
  </si>
  <si>
    <t>T-276</t>
  </si>
  <si>
    <t>T-277</t>
  </si>
  <si>
    <t>T-278</t>
  </si>
  <si>
    <t>T-279</t>
  </si>
  <si>
    <t>T-280</t>
  </si>
  <si>
    <t>T-281</t>
  </si>
  <si>
    <t>T-282</t>
  </si>
  <si>
    <t>T-283</t>
  </si>
  <si>
    <t>T-284</t>
  </si>
  <si>
    <t>T-285</t>
  </si>
  <si>
    <t>T-286</t>
  </si>
  <si>
    <t>T-287</t>
  </si>
  <si>
    <t>T-288</t>
  </si>
  <si>
    <t>T-289</t>
  </si>
  <si>
    <t>Rheumatoid Arthritis</t>
  </si>
  <si>
    <t>Rheumatology</t>
  </si>
  <si>
    <t>Joint assessment suite; DAS28-trained assessor; imaging</t>
  </si>
  <si>
    <t>T-290</t>
  </si>
  <si>
    <t>T-291</t>
  </si>
  <si>
    <t>T-292</t>
  </si>
  <si>
    <t>T-293</t>
  </si>
  <si>
    <t>T-294</t>
  </si>
  <si>
    <t>T-295</t>
  </si>
  <si>
    <t>T-296</t>
  </si>
  <si>
    <t>T-297</t>
  </si>
  <si>
    <t>T-298</t>
  </si>
  <si>
    <t>T-299</t>
  </si>
  <si>
    <t>T-300</t>
  </si>
  <si>
    <t>T-301</t>
  </si>
  <si>
    <t>T-302</t>
  </si>
  <si>
    <t>T-303</t>
  </si>
  <si>
    <t>T-304</t>
  </si>
  <si>
    <t>T-305</t>
  </si>
  <si>
    <t>Psoriasis (Moderate-Severe)</t>
  </si>
  <si>
    <t>Dermatology</t>
  </si>
  <si>
    <t>Photography suite; punch-biopsy capability</t>
  </si>
  <si>
    <t>T-306</t>
  </si>
  <si>
    <t>T-307</t>
  </si>
  <si>
    <t>T-308</t>
  </si>
  <si>
    <t>T-309</t>
  </si>
  <si>
    <t>T-310</t>
  </si>
  <si>
    <t>T-311</t>
  </si>
  <si>
    <t>T-312</t>
  </si>
  <si>
    <t>T-313</t>
  </si>
  <si>
    <t>T-314</t>
  </si>
  <si>
    <t>T-315</t>
  </si>
  <si>
    <t>T-316</t>
  </si>
  <si>
    <t>T-317</t>
  </si>
  <si>
    <t>T-318</t>
  </si>
  <si>
    <t>T-319</t>
  </si>
  <si>
    <t>T-320</t>
  </si>
  <si>
    <t>T-321</t>
  </si>
  <si>
    <t>Crohn's Disease</t>
  </si>
  <si>
    <t>Gastroenterology</t>
  </si>
  <si>
    <t>Endoscopy suite; histopathology</t>
  </si>
  <si>
    <t>T-322</t>
  </si>
  <si>
    <t>T-323</t>
  </si>
  <si>
    <t>T-324</t>
  </si>
  <si>
    <t>T-325</t>
  </si>
  <si>
    <t>T-326</t>
  </si>
  <si>
    <t>T-327</t>
  </si>
  <si>
    <t>T-328</t>
  </si>
  <si>
    <t>T-329</t>
  </si>
  <si>
    <t>T-330</t>
  </si>
  <si>
    <t>T-331</t>
  </si>
  <si>
    <t>T-332</t>
  </si>
  <si>
    <t>T-333</t>
  </si>
  <si>
    <t>T-334</t>
  </si>
  <si>
    <t>T-335</t>
  </si>
  <si>
    <t>T-336</t>
  </si>
  <si>
    <t>T-337</t>
  </si>
  <si>
    <t>Chronic Kidney Disease (Stage 3-4)</t>
  </si>
  <si>
    <t>Nephrology</t>
  </si>
  <si>
    <t>Dialysis access; renal function lab panel</t>
  </si>
  <si>
    <t>T-338</t>
  </si>
  <si>
    <t>T-339</t>
  </si>
  <si>
    <t>T-340</t>
  </si>
  <si>
    <t>T-341</t>
  </si>
  <si>
    <t>T-342</t>
  </si>
  <si>
    <t>T-343</t>
  </si>
  <si>
    <t>T-344</t>
  </si>
  <si>
    <t>T-345</t>
  </si>
  <si>
    <t>T-346</t>
  </si>
  <si>
    <t>T-347</t>
  </si>
  <si>
    <t>T-348</t>
  </si>
  <si>
    <t>T-349</t>
  </si>
  <si>
    <t>T-350</t>
  </si>
  <si>
    <t>T-351</t>
  </si>
  <si>
    <t>T-352</t>
  </si>
  <si>
    <t>T-353</t>
  </si>
  <si>
    <t>Major Depressive Disorder</t>
  </si>
  <si>
    <t>Psychiatry</t>
  </si>
  <si>
    <t>Rated-scale interview rooms; trained rater; safety monitoring</t>
  </si>
  <si>
    <t>T-354</t>
  </si>
  <si>
    <t>T-355</t>
  </si>
  <si>
    <t>T-356</t>
  </si>
  <si>
    <t>T-357</t>
  </si>
  <si>
    <t>T-358</t>
  </si>
  <si>
    <t>T-359</t>
  </si>
  <si>
    <t>T-360</t>
  </si>
  <si>
    <t>T-361</t>
  </si>
  <si>
    <t>T-362</t>
  </si>
  <si>
    <t>T-363</t>
  </si>
  <si>
    <t>T-364</t>
  </si>
  <si>
    <t>T-365</t>
  </si>
  <si>
    <t>T-366</t>
  </si>
  <si>
    <t>T-367</t>
  </si>
  <si>
    <t>T-368</t>
  </si>
  <si>
    <t>T-369</t>
  </si>
  <si>
    <t>Sickle Cell Disease</t>
  </si>
  <si>
    <t>Hematology</t>
  </si>
  <si>
    <t>Transfusion service; haemoglobin electrophoresis; apheresis</t>
  </si>
  <si>
    <t>T-370</t>
  </si>
  <si>
    <t>T-371</t>
  </si>
  <si>
    <t>T-372</t>
  </si>
  <si>
    <t>T-373</t>
  </si>
  <si>
    <t>T-374</t>
  </si>
  <si>
    <t>T-375</t>
  </si>
  <si>
    <t>T-376</t>
  </si>
  <si>
    <t>T-377</t>
  </si>
  <si>
    <t>T-378</t>
  </si>
  <si>
    <t>T-379</t>
  </si>
  <si>
    <t>T-380</t>
  </si>
  <si>
    <t>T-381</t>
  </si>
  <si>
    <t>T-382</t>
  </si>
  <si>
    <t>T-383</t>
  </si>
  <si>
    <t>T-384</t>
  </si>
  <si>
    <t>Region</t>
  </si>
  <si>
    <t>Country</t>
  </si>
  <si>
    <t>Prevalence (per 100k)</t>
  </si>
  <si>
    <t>Regulatory Approval Time (weeks)</t>
  </si>
  <si>
    <t>Active Competing Trials</t>
  </si>
  <si>
    <t>Avg Cost per Patient (USD)</t>
  </si>
  <si>
    <t>South India</t>
  </si>
  <si>
    <t>India</t>
  </si>
  <si>
    <t>North India</t>
  </si>
  <si>
    <t>South-East Asia</t>
  </si>
  <si>
    <t>Philippines</t>
  </si>
  <si>
    <t>Eastern Europe</t>
  </si>
  <si>
    <t>Poland</t>
  </si>
  <si>
    <t>Western Europe</t>
  </si>
  <si>
    <t>Germany</t>
  </si>
  <si>
    <t>North America</t>
  </si>
  <si>
    <t>United States</t>
  </si>
  <si>
    <t>Latin America</t>
  </si>
  <si>
    <t>Brazil</t>
  </si>
  <si>
    <t>Sub-Saharan Africa</t>
  </si>
  <si>
    <t>Kenya</t>
  </si>
  <si>
    <t>Central Mexico</t>
  </si>
  <si>
    <t>Mexico</t>
  </si>
  <si>
    <t>Southern Brazil</t>
  </si>
  <si>
    <t>Andean Region</t>
  </si>
  <si>
    <t>Colombia</t>
  </si>
  <si>
    <t>North Africa</t>
  </si>
  <si>
    <t>Egypt</t>
  </si>
  <si>
    <t>West Africa</t>
  </si>
  <si>
    <t>Nigeria</t>
  </si>
  <si>
    <t>Southern Africa</t>
  </si>
  <si>
    <t>South Africa</t>
  </si>
  <si>
    <t>Middle East (Gulf)</t>
  </si>
  <si>
    <t>United Arab Emirates</t>
  </si>
  <si>
    <t>Middle East (Levant)</t>
  </si>
  <si>
    <t>Turkey</t>
  </si>
  <si>
    <t>South Asia (Pakistan)</t>
  </si>
  <si>
    <t>Pakistan</t>
  </si>
  <si>
    <t>South Asia (Bangladesh)</t>
  </si>
  <si>
    <t>Bangladesh</t>
  </si>
  <si>
    <t>East Asia (Japan)</t>
  </si>
  <si>
    <t>Japan</t>
  </si>
  <si>
    <t>East Asia (South Korea)</t>
  </si>
  <si>
    <t>South Korea</t>
  </si>
  <si>
    <t>South-East Asia (Vietnam)</t>
  </si>
  <si>
    <t>Vietnam</t>
  </si>
  <si>
    <t>South-East Asia (Indonesia)</t>
  </si>
  <si>
    <t>Indonesia</t>
  </si>
  <si>
    <t>Oceania</t>
  </si>
  <si>
    <t>Australia</t>
  </si>
  <si>
    <t>United Kingdom</t>
  </si>
  <si>
    <t>Southern Europe (Spain)</t>
  </si>
  <si>
    <t>Spain</t>
  </si>
  <si>
    <t>Southern Europe (Italy)</t>
  </si>
  <si>
    <t>Italy</t>
  </si>
  <si>
    <t>Western Europe (France)</t>
  </si>
  <si>
    <t>France</t>
  </si>
  <si>
    <t>Western Europe (Netherlands)</t>
  </si>
  <si>
    <t>Netherlands</t>
  </si>
  <si>
    <t>Northern Europe (Sweden)</t>
  </si>
  <si>
    <t>Sweden</t>
  </si>
  <si>
    <t>East Asia (Taiwan)</t>
  </si>
  <si>
    <t>Taiwan</t>
  </si>
  <si>
    <t>South-East Asia (Singapore)</t>
  </si>
  <si>
    <t>Singapore</t>
  </si>
  <si>
    <t>Middle East (Israel)</t>
  </si>
  <si>
    <t>Israel</t>
  </si>
  <si>
    <t>North America (Canada)</t>
  </si>
  <si>
    <t>Canada</t>
  </si>
  <si>
    <t>Latin America (Argentina)</t>
  </si>
  <si>
    <t>Argentina</t>
  </si>
  <si>
    <t>Andean Region (Chile)</t>
  </si>
  <si>
    <t>Chile</t>
  </si>
  <si>
    <t>Central Europe (Czech Republic)</t>
  </si>
  <si>
    <t>Czech Republic</t>
  </si>
  <si>
    <t>Eastern Europe (Russia)</t>
  </si>
  <si>
    <t>Russia</t>
  </si>
  <si>
    <t>East Asia (China)</t>
  </si>
  <si>
    <t>China</t>
  </si>
  <si>
    <t>South-East Asia (Malaysia)</t>
  </si>
  <si>
    <t>Malaysia</t>
  </si>
  <si>
    <t>Middle East (Saudi Arabia)</t>
  </si>
  <si>
    <t>Saudi Arabia</t>
  </si>
  <si>
    <t>Andean Region (Peru)</t>
  </si>
  <si>
    <t>Peru</t>
  </si>
  <si>
    <t>Eastern Europe (Ukraine)</t>
  </si>
  <si>
    <t>Ukraine</t>
  </si>
  <si>
    <t>Eastern Europe (Romania)</t>
  </si>
  <si>
    <t>Romania</t>
  </si>
  <si>
    <t>South-East Asia (Thailand)</t>
  </si>
  <si>
    <t>Thailand</t>
  </si>
  <si>
    <t>North Africa (Morocco)</t>
  </si>
  <si>
    <t>Morocco</t>
  </si>
  <si>
    <t>West Africa (Ghana)</t>
  </si>
  <si>
    <t>Ghana</t>
  </si>
  <si>
    <t>East Africa (Ethiopia)</t>
  </si>
  <si>
    <t>Ethiopia</t>
  </si>
  <si>
    <t>East Africa (Tanzania)</t>
  </si>
  <si>
    <t>Tanzania</t>
  </si>
  <si>
    <t>East Africa (Uganda)</t>
  </si>
  <si>
    <t>Uganda</t>
  </si>
  <si>
    <t>Southern Africa (Zambia)</t>
  </si>
  <si>
    <t>Zambia</t>
  </si>
  <si>
    <t>South Asia (Sri Lanka)</t>
  </si>
  <si>
    <t>Sri Lanka</t>
  </si>
  <si>
    <t>South Asia (Nepal)</t>
  </si>
  <si>
    <t>Nepal</t>
  </si>
  <si>
    <t>Site ID</t>
  </si>
  <si>
    <t>Site Name</t>
  </si>
  <si>
    <t>City</t>
  </si>
  <si>
    <t>Therapeutic Area</t>
  </si>
  <si>
    <t>Hospital Type</t>
  </si>
  <si>
    <t>Accreditation</t>
  </si>
  <si>
    <t>S-0001</t>
  </si>
  <si>
    <t>Chennai Behavioral Health Center</t>
  </si>
  <si>
    <t>Chennai</t>
  </si>
  <si>
    <t>Academic Medical Center</t>
  </si>
  <si>
    <t>S-0002</t>
  </si>
  <si>
    <t>Kochi Joint &amp; Autoimmune Care Hospital</t>
  </si>
  <si>
    <t>Kochi</t>
  </si>
  <si>
    <t>S-0003</t>
  </si>
  <si>
    <t>Hyderabad Infectious Disease Clinic</t>
  </si>
  <si>
    <t>Hyderabad</t>
  </si>
  <si>
    <t>S-0004</t>
  </si>
  <si>
    <t>Chennai Hematology Center</t>
  </si>
  <si>
    <t>S-0005</t>
  </si>
  <si>
    <t>Bangalore Hematology Care Hospital</t>
  </si>
  <si>
    <t>Bangalore</t>
  </si>
  <si>
    <t>Regional Referral Hospital</t>
  </si>
  <si>
    <t>S-0006</t>
  </si>
  <si>
    <t>Kochi Oncology Institute</t>
  </si>
  <si>
    <t>University Hospital</t>
  </si>
  <si>
    <t>S-0007</t>
  </si>
  <si>
    <t>Kochi Renal Health Institute</t>
  </si>
  <si>
    <t>S-0008</t>
  </si>
  <si>
    <t>Chennai Oncology Institute</t>
  </si>
  <si>
    <t>Specialty Clinic</t>
  </si>
  <si>
    <t>S-0009</t>
  </si>
  <si>
    <t>Kochi Mental Health Care Hospital</t>
  </si>
  <si>
    <t>Community Hospital</t>
  </si>
  <si>
    <t>S-0010</t>
  </si>
  <si>
    <t>Kochi Dermatology Center</t>
  </si>
  <si>
    <t>S-0011</t>
  </si>
  <si>
    <t>Coimbatore Nephrology &amp; Kidney Care Center</t>
  </si>
  <si>
    <t>Coimbatore</t>
  </si>
  <si>
    <t>S-0012</t>
  </si>
  <si>
    <t>Coimbatore Neurology Institute</t>
  </si>
  <si>
    <t>S-0013</t>
  </si>
  <si>
    <t>S-0014</t>
  </si>
  <si>
    <t>Chennai Skin Health Institute</t>
  </si>
  <si>
    <t>No</t>
  </si>
  <si>
    <t>S-0015</t>
  </si>
  <si>
    <t>S-0016</t>
  </si>
  <si>
    <t>Coimbatore Heart &amp; Vascular Institute</t>
  </si>
  <si>
    <t>S-0017</t>
  </si>
  <si>
    <t>Coimbatore Cardiac Care Hospital</t>
  </si>
  <si>
    <t>S-0018</t>
  </si>
  <si>
    <t>Hyderabad Joint &amp; Autoimmune Care Hospital</t>
  </si>
  <si>
    <t>S-0019</t>
  </si>
  <si>
    <t>Coimbatore Cancer Center</t>
  </si>
  <si>
    <t>S-0020</t>
  </si>
  <si>
    <t>Hyderabad Global Health Institute</t>
  </si>
  <si>
    <t>S-0021</t>
  </si>
  <si>
    <t>Bangalore Lung Health Hospital</t>
  </si>
  <si>
    <t>S-0022</t>
  </si>
  <si>
    <t>Chennai Hematology Care Hospital</t>
  </si>
  <si>
    <t>S-0023</t>
  </si>
  <si>
    <t>Bangalore Immunology &amp; ID Center</t>
  </si>
  <si>
    <t>S-0024</t>
  </si>
  <si>
    <t>Chennai Nephrology &amp; Kidney Care Center</t>
  </si>
  <si>
    <t>S-0025</t>
  </si>
  <si>
    <t>Jaipur Kidney Care Hospital</t>
  </si>
  <si>
    <t>Jaipur</t>
  </si>
  <si>
    <t>S-0026</t>
  </si>
  <si>
    <t>Lucknow Comprehensive Cancer Hospital</t>
  </si>
  <si>
    <t>Lucknow</t>
  </si>
  <si>
    <t>S-0027</t>
  </si>
  <si>
    <t>Chandigarh Cancer Center</t>
  </si>
  <si>
    <t>Chandigarh</t>
  </si>
  <si>
    <t>S-0028</t>
  </si>
  <si>
    <t>Delhi Endocrine Care Hospital</t>
  </si>
  <si>
    <t>Delhi</t>
  </si>
  <si>
    <t>S-0029</t>
  </si>
  <si>
    <t>Delhi Comprehensive Cancer Hospital</t>
  </si>
  <si>
    <t>S-0030</t>
  </si>
  <si>
    <t>Amritsar Dermatology &amp; Psoriasis Clinic</t>
  </si>
  <si>
    <t>Amritsar</t>
  </si>
  <si>
    <t>S-0031</t>
  </si>
  <si>
    <t>Delhi Heart &amp; Vascular Institute</t>
  </si>
  <si>
    <t>S-0032</t>
  </si>
  <si>
    <t>Delhi Metabolic Health Center</t>
  </si>
  <si>
    <t>S-0033</t>
  </si>
  <si>
    <t>Amritsar Memory &amp; Brain Health Center</t>
  </si>
  <si>
    <t>S-0034</t>
  </si>
  <si>
    <t>Amritsar Renal Health Institute</t>
  </si>
  <si>
    <t>S-0035</t>
  </si>
  <si>
    <t>Jaipur Neurology Institute</t>
  </si>
  <si>
    <t>S-0036</t>
  </si>
  <si>
    <t>Chandigarh Oncology Institute</t>
  </si>
  <si>
    <t>S-0037</t>
  </si>
  <si>
    <t>Jaipur Joint &amp; Autoimmune Care Hospital</t>
  </si>
  <si>
    <t>S-0038</t>
  </si>
  <si>
    <t>Lucknow Kidney Care Hospital</t>
  </si>
  <si>
    <t>S-0039</t>
  </si>
  <si>
    <t>Lucknow Memory &amp; Brain Health Center</t>
  </si>
  <si>
    <t>S-0040</t>
  </si>
  <si>
    <t>Delhi Neurology Institute</t>
  </si>
  <si>
    <t>S-0041</t>
  </si>
  <si>
    <t>Lucknow Dermatology &amp; Psoriasis Clinic</t>
  </si>
  <si>
    <t>S-0042</t>
  </si>
  <si>
    <t>Amritsar Neuroscience Hospital</t>
  </si>
  <si>
    <t>S-0043</t>
  </si>
  <si>
    <t>Jaipur Renal Health Institute</t>
  </si>
  <si>
    <t>S-0044</t>
  </si>
  <si>
    <t>S-0045</t>
  </si>
  <si>
    <t>Delhi Kidney Care Hospital</t>
  </si>
  <si>
    <t>S-0046</t>
  </si>
  <si>
    <t>Lucknow Renal Health Institute</t>
  </si>
  <si>
    <t>S-0047</t>
  </si>
  <si>
    <t>Chandigarh Dermatology Center</t>
  </si>
  <si>
    <t>S-0048</t>
  </si>
  <si>
    <t>Delhi Digestive Health Institute</t>
  </si>
  <si>
    <t>S-0049</t>
  </si>
  <si>
    <t>Cebu Dermatology &amp; Psoriasis Clinic</t>
  </si>
  <si>
    <t>Cebu</t>
  </si>
  <si>
    <t>S-0050</t>
  </si>
  <si>
    <t>Cebu Cancer Center</t>
  </si>
  <si>
    <t>S-0051</t>
  </si>
  <si>
    <t>Cebu Cardiology Center</t>
  </si>
  <si>
    <t>S-0052</t>
  </si>
  <si>
    <t>Manila Digestive Health Institute</t>
  </si>
  <si>
    <t>Manila</t>
  </si>
  <si>
    <t>S-0053</t>
  </si>
  <si>
    <t>Manila Immunology &amp; ID Center</t>
  </si>
  <si>
    <t>S-0054</t>
  </si>
  <si>
    <t>Manila Endocrine Care Hospital</t>
  </si>
  <si>
    <t>S-0055</t>
  </si>
  <si>
    <t>Cebu Respiratory Care Center</t>
  </si>
  <si>
    <t>S-0056</t>
  </si>
  <si>
    <t>Manila Blood Disorders Institute</t>
  </si>
  <si>
    <t>S-0057</t>
  </si>
  <si>
    <t>S-0058</t>
  </si>
  <si>
    <t>S-0059</t>
  </si>
  <si>
    <t>S-0060</t>
  </si>
  <si>
    <t>Cebu Endocrine Care Hospital</t>
  </si>
  <si>
    <t>S-0061</t>
  </si>
  <si>
    <t>Davao Rheumatology Institute</t>
  </si>
  <si>
    <t>Davao</t>
  </si>
  <si>
    <t>S-0062</t>
  </si>
  <si>
    <t>Manila Mental Health Care Hospital</t>
  </si>
  <si>
    <t>S-0063</t>
  </si>
  <si>
    <t>Krakow Pulmonology Institute</t>
  </si>
  <si>
    <t>Krakow</t>
  </si>
  <si>
    <t>S-0064</t>
  </si>
  <si>
    <t>Warsaw Heart &amp; Vascular Institute</t>
  </si>
  <si>
    <t>Warsaw</t>
  </si>
  <si>
    <t>S-0065</t>
  </si>
  <si>
    <t>Krakow Immunology &amp; ID Center</t>
  </si>
  <si>
    <t>S-0066</t>
  </si>
  <si>
    <t>Krakow Metabolic Health Center</t>
  </si>
  <si>
    <t>S-0067</t>
  </si>
  <si>
    <t>Krakow Heart &amp; Vascular Institute</t>
  </si>
  <si>
    <t>S-0068</t>
  </si>
  <si>
    <t>Wroclaw Immunology &amp; ID Center</t>
  </si>
  <si>
    <t>Wroclaw</t>
  </si>
  <si>
    <t>S-0069</t>
  </si>
  <si>
    <t>Wroclaw Respiratory Care Center</t>
  </si>
  <si>
    <t>S-0070</t>
  </si>
  <si>
    <t>Wroclaw Psychiatry Institute</t>
  </si>
  <si>
    <t>S-0071</t>
  </si>
  <si>
    <t>Berlin Cardiac Care Hospital</t>
  </si>
  <si>
    <t>Berlin</t>
  </si>
  <si>
    <t>S-0072</t>
  </si>
  <si>
    <t>Frankfurt Comprehensive Cancer Hospital</t>
  </si>
  <si>
    <t>Frankfurt</t>
  </si>
  <si>
    <t>S-0073</t>
  </si>
  <si>
    <t>Berlin Psychiatry Institute</t>
  </si>
  <si>
    <t>S-0074</t>
  </si>
  <si>
    <t>Frankfurt Cardiology Center</t>
  </si>
  <si>
    <t>S-0075</t>
  </si>
  <si>
    <t>Hamburg Metabolic Health Center</t>
  </si>
  <si>
    <t>Hamburg</t>
  </si>
  <si>
    <t>S-0076</t>
  </si>
  <si>
    <t>S-0077</t>
  </si>
  <si>
    <t>Berlin Dermatology Center</t>
  </si>
  <si>
    <t>S-0078</t>
  </si>
  <si>
    <t>Frankfurt Dermatology Center</t>
  </si>
  <si>
    <t>S-0079</t>
  </si>
  <si>
    <t>Berlin Joint &amp; Autoimmune Care Hospital</t>
  </si>
  <si>
    <t>S-0080</t>
  </si>
  <si>
    <t>Hamburg Global Health Institute</t>
  </si>
  <si>
    <t>S-0081</t>
  </si>
  <si>
    <t>Munich Neurology Institute</t>
  </si>
  <si>
    <t>Munich</t>
  </si>
  <si>
    <t>S-0082</t>
  </si>
  <si>
    <t>Munich Gastroenterology &amp; IBD Center</t>
  </si>
  <si>
    <t>S-0083</t>
  </si>
  <si>
    <t>Houston Lung Health Hospital</t>
  </si>
  <si>
    <t>Houston</t>
  </si>
  <si>
    <t>S-0084</t>
  </si>
  <si>
    <t>Atlanta Renal Health Institute</t>
  </si>
  <si>
    <t>Atlanta</t>
  </si>
  <si>
    <t>S-0085</t>
  </si>
  <si>
    <t>Atlanta Cancer Center</t>
  </si>
  <si>
    <t>S-0086</t>
  </si>
  <si>
    <t>Atlanta Joint &amp; Autoimmune Care Hospital</t>
  </si>
  <si>
    <t>S-0087</t>
  </si>
  <si>
    <t>Houston Respiratory Care Center</t>
  </si>
  <si>
    <t>S-0088</t>
  </si>
  <si>
    <t>Boston Cancer Center</t>
  </si>
  <si>
    <t>Boston</t>
  </si>
  <si>
    <t>S-0089</t>
  </si>
  <si>
    <t>Atlanta Neuroscience Hospital</t>
  </si>
  <si>
    <t>S-0090</t>
  </si>
  <si>
    <t>Denver Rheumatology &amp; Arthritis Center</t>
  </si>
  <si>
    <t>Denver</t>
  </si>
  <si>
    <t>S-0091</t>
  </si>
  <si>
    <t>Boston Psychiatry Institute</t>
  </si>
  <si>
    <t>S-0092</t>
  </si>
  <si>
    <t>Chicago Infectious Disease Clinic</t>
  </si>
  <si>
    <t>Chicago</t>
  </si>
  <si>
    <t>S-0093</t>
  </si>
  <si>
    <t>Houston Dermatology &amp; Psoriasis Clinic</t>
  </si>
  <si>
    <t>S-0094</t>
  </si>
  <si>
    <t>Houston Cancer Center</t>
  </si>
  <si>
    <t>S-0095</t>
  </si>
  <si>
    <t>Boston Dermatology &amp; Psoriasis Clinic</t>
  </si>
  <si>
    <t>S-0096</t>
  </si>
  <si>
    <t>Denver Skin Health Institute</t>
  </si>
  <si>
    <t>S-0097</t>
  </si>
  <si>
    <t>Denver Hematology Center</t>
  </si>
  <si>
    <t>S-0098</t>
  </si>
  <si>
    <t>Atlanta Digestive Health Institute</t>
  </si>
  <si>
    <t>S-0099</t>
  </si>
  <si>
    <t>Boston Oncology Institute</t>
  </si>
  <si>
    <t>S-0100</t>
  </si>
  <si>
    <t>S-0101</t>
  </si>
  <si>
    <t>S-0102</t>
  </si>
  <si>
    <t>Atlanta Comprehensive Cancer Hospital</t>
  </si>
  <si>
    <t>S-0103</t>
  </si>
  <si>
    <t>Seattle Infectious Disease Clinic</t>
  </si>
  <si>
    <t>Seattle</t>
  </si>
  <si>
    <t>S-0104</t>
  </si>
  <si>
    <t>Denver Lung Health Hospital</t>
  </si>
  <si>
    <t>S-0105</t>
  </si>
  <si>
    <t>Seattle Neurology Institute</t>
  </si>
  <si>
    <t>S-0106</t>
  </si>
  <si>
    <t>Seattle Rheumatology Institute</t>
  </si>
  <si>
    <t>S-0107</t>
  </si>
  <si>
    <t>Houston Kidney Care Hospital</t>
  </si>
  <si>
    <t>S-0108</t>
  </si>
  <si>
    <t>Denver Neurology Institute</t>
  </si>
  <si>
    <t>S-0109</t>
  </si>
  <si>
    <t>Denver Infectious Disease Clinic</t>
  </si>
  <si>
    <t>S-0110</t>
  </si>
  <si>
    <t>Houston Comprehensive Cancer Hospital</t>
  </si>
  <si>
    <t>S-0111</t>
  </si>
  <si>
    <t>S-0112</t>
  </si>
  <si>
    <t>Chicago Mental Health Care Hospital</t>
  </si>
  <si>
    <t>S-0113</t>
  </si>
  <si>
    <t>S-0114</t>
  </si>
  <si>
    <t>Chicago Global Health Institute</t>
  </si>
  <si>
    <t>S-0115</t>
  </si>
  <si>
    <t>Atlanta Memory &amp; Brain Health Center</t>
  </si>
  <si>
    <t>S-0116</t>
  </si>
  <si>
    <t>S-0117</t>
  </si>
  <si>
    <t>Seattle Global Health Institute</t>
  </si>
  <si>
    <t>S-0118</t>
  </si>
  <si>
    <t>S-0119</t>
  </si>
  <si>
    <t>Boston Heart &amp; Vascular Institute</t>
  </si>
  <si>
    <t>S-0120</t>
  </si>
  <si>
    <t>Denver Rheumatology Institute</t>
  </si>
  <si>
    <t>S-0121</t>
  </si>
  <si>
    <t>Chicago Cardiac Care Hospital</t>
  </si>
  <si>
    <t>S-0122</t>
  </si>
  <si>
    <t>Chicago Hematology Center</t>
  </si>
  <si>
    <t>S-0123</t>
  </si>
  <si>
    <t>Seattle Psychiatry Institute</t>
  </si>
  <si>
    <t>S-0124</t>
  </si>
  <si>
    <t>Seattle Gastroenterology &amp; IBD Center</t>
  </si>
  <si>
    <t>S-0125</t>
  </si>
  <si>
    <t>Atlanta Immunology &amp; ID Center</t>
  </si>
  <si>
    <t>S-0126</t>
  </si>
  <si>
    <t>Belo Horizonte Mental Health Care Hospital</t>
  </si>
  <si>
    <t>Belo Horizonte</t>
  </si>
  <si>
    <t>S-0127</t>
  </si>
  <si>
    <t>Belo Horizonte Behavioral Health Center</t>
  </si>
  <si>
    <t>S-0128</t>
  </si>
  <si>
    <t>Rio de Janeiro Infectious Disease Clinic</t>
  </si>
  <si>
    <t>Rio de Janeiro</t>
  </si>
  <si>
    <t>S-0129</t>
  </si>
  <si>
    <t>Belo Horizonte Heart &amp; Vascular Institute</t>
  </si>
  <si>
    <t>S-0130</t>
  </si>
  <si>
    <t>Sao Paulo Skin Health Institute</t>
  </si>
  <si>
    <t>Sao Paulo</t>
  </si>
  <si>
    <t>S-0131</t>
  </si>
  <si>
    <t>Belo Horizonte Comprehensive Cancer Hospital</t>
  </si>
  <si>
    <t>S-0132</t>
  </si>
  <si>
    <t>Belo Horizonte Dermatology Center</t>
  </si>
  <si>
    <t>S-0133</t>
  </si>
  <si>
    <t>Sao Paulo Comprehensive Cancer Hospital</t>
  </si>
  <si>
    <t>S-0134</t>
  </si>
  <si>
    <t>Belo Horizonte Respiratory Care Center</t>
  </si>
  <si>
    <t>S-0135</t>
  </si>
  <si>
    <t>Salvador Cardiac Care Hospital</t>
  </si>
  <si>
    <t>Salvador</t>
  </si>
  <si>
    <t>S-0136</t>
  </si>
  <si>
    <t>Belo Horizonte Infectious Disease Clinic</t>
  </si>
  <si>
    <t>S-0137</t>
  </si>
  <si>
    <t>Rio de Janeiro Global Health Institute</t>
  </si>
  <si>
    <t>S-0138</t>
  </si>
  <si>
    <t>Salvador Joint &amp; Autoimmune Care Hospital</t>
  </si>
  <si>
    <t>S-0139</t>
  </si>
  <si>
    <t>Sao Paulo Renal Health Institute</t>
  </si>
  <si>
    <t>S-0140</t>
  </si>
  <si>
    <t>Rio de Janeiro Behavioral Health Center</t>
  </si>
  <si>
    <t>S-0141</t>
  </si>
  <si>
    <t>Mombasa Renal Health Institute</t>
  </si>
  <si>
    <t>Mombasa</t>
  </si>
  <si>
    <t>S-0142</t>
  </si>
  <si>
    <t>Mombasa Global Health Institute</t>
  </si>
  <si>
    <t>S-0143</t>
  </si>
  <si>
    <t>Kisumu Mental Health Care Hospital</t>
  </si>
  <si>
    <t>Kisumu</t>
  </si>
  <si>
    <t>S-0144</t>
  </si>
  <si>
    <t>Nairobi Immunology &amp; ID Center</t>
  </si>
  <si>
    <t>Nairobi</t>
  </si>
  <si>
    <t>S-0145</t>
  </si>
  <si>
    <t>Kisumu Skin Health Institute</t>
  </si>
  <si>
    <t>S-0146</t>
  </si>
  <si>
    <t>Nairobi Cardiology Center</t>
  </si>
  <si>
    <t>S-0147</t>
  </si>
  <si>
    <t>Kisumu Metabolic Health Center</t>
  </si>
  <si>
    <t>S-0148</t>
  </si>
  <si>
    <t>S-0149</t>
  </si>
  <si>
    <t>Monterrey Oncology Institute</t>
  </si>
  <si>
    <t>Monterrey</t>
  </si>
  <si>
    <t>S-0150</t>
  </si>
  <si>
    <t>Mexico City Global Health Institute</t>
  </si>
  <si>
    <t>Mexico City</t>
  </si>
  <si>
    <t>S-0151</t>
  </si>
  <si>
    <t>Mexico City Rheumatology Institute</t>
  </si>
  <si>
    <t>S-0152</t>
  </si>
  <si>
    <t>Guadalajara Rheumatology &amp; Arthritis Center</t>
  </si>
  <si>
    <t>Guadalajara</t>
  </si>
  <si>
    <t>S-0153</t>
  </si>
  <si>
    <t>S-0154</t>
  </si>
  <si>
    <t>Mexico City Comprehensive Cancer Hospital</t>
  </si>
  <si>
    <t>S-0155</t>
  </si>
  <si>
    <t>S-0156</t>
  </si>
  <si>
    <t>Mexico City Kidney Care Hospital</t>
  </si>
  <si>
    <t>S-0157</t>
  </si>
  <si>
    <t>Monterrey Respiratory Care Center</t>
  </si>
  <si>
    <t>S-0158</t>
  </si>
  <si>
    <t>Mexico City Cancer Center</t>
  </si>
  <si>
    <t>S-0159</t>
  </si>
  <si>
    <t>Mexico City Gastroenterology &amp; IBD Center</t>
  </si>
  <si>
    <t>S-0160</t>
  </si>
  <si>
    <t>Guadalajara Global Health Institute</t>
  </si>
  <si>
    <t>S-0161</t>
  </si>
  <si>
    <t>Mexico City Neurology Institute</t>
  </si>
  <si>
    <t>S-0162</t>
  </si>
  <si>
    <t>Monterrey Infectious Disease Clinic</t>
  </si>
  <si>
    <t>S-0163</t>
  </si>
  <si>
    <t>Curitiba Digestive Health Institute</t>
  </si>
  <si>
    <t>Curitiba</t>
  </si>
  <si>
    <t>S-0164</t>
  </si>
  <si>
    <t>Porto Alegre Neuroscience Hospital</t>
  </si>
  <si>
    <t>Porto Alegre</t>
  </si>
  <si>
    <t>S-0165</t>
  </si>
  <si>
    <t>Florianopolis Comprehensive Cancer Hospital</t>
  </si>
  <si>
    <t>Florianopolis</t>
  </si>
  <si>
    <t>S-0166</t>
  </si>
  <si>
    <t>Curitiba GI Care Hospital</t>
  </si>
  <si>
    <t>S-0167</t>
  </si>
  <si>
    <t>Porto Alegre Renal Health Institute</t>
  </si>
  <si>
    <t>S-0168</t>
  </si>
  <si>
    <t>Porto Alegre Digestive Health Institute</t>
  </si>
  <si>
    <t>S-0169</t>
  </si>
  <si>
    <t>Florianopolis Diabetes &amp; Endocrine Institute</t>
  </si>
  <si>
    <t>S-0170</t>
  </si>
  <si>
    <t>S-0171</t>
  </si>
  <si>
    <t>Curitiba Metabolic Health Center</t>
  </si>
  <si>
    <t>S-0172</t>
  </si>
  <si>
    <t>Florianopolis Hematology Care Hospital</t>
  </si>
  <si>
    <t>S-0173</t>
  </si>
  <si>
    <t>Curitiba Comprehensive Cancer Hospital</t>
  </si>
  <si>
    <t>S-0174</t>
  </si>
  <si>
    <t>Florianopolis Mental Health Care Hospital</t>
  </si>
  <si>
    <t>S-0175</t>
  </si>
  <si>
    <t>Curitiba Psychiatry Institute</t>
  </si>
  <si>
    <t>S-0176</t>
  </si>
  <si>
    <t>Cali Immunology &amp; ID Center</t>
  </si>
  <si>
    <t>Cali</t>
  </si>
  <si>
    <t>S-0177</t>
  </si>
  <si>
    <t>Bogota Heart &amp; Vascular Institute</t>
  </si>
  <si>
    <t>Bogota</t>
  </si>
  <si>
    <t>S-0178</t>
  </si>
  <si>
    <t>Cali Kidney Care Hospital</t>
  </si>
  <si>
    <t>S-0179</t>
  </si>
  <si>
    <t>S-0180</t>
  </si>
  <si>
    <t>Cali Lung Health Hospital</t>
  </si>
  <si>
    <t>S-0181</t>
  </si>
  <si>
    <t>Medellin Kidney Care Hospital</t>
  </si>
  <si>
    <t>Medellin</t>
  </si>
  <si>
    <t>S-0182</t>
  </si>
  <si>
    <t>Bogota Psychiatry Institute</t>
  </si>
  <si>
    <t>S-0183</t>
  </si>
  <si>
    <t>Cali Metabolic Health Center</t>
  </si>
  <si>
    <t>S-0184</t>
  </si>
  <si>
    <t>Giza Diabetes &amp; Endocrine Institute</t>
  </si>
  <si>
    <t>Giza</t>
  </si>
  <si>
    <t>S-0185</t>
  </si>
  <si>
    <t>Alexandria Memory &amp; Brain Health Center</t>
  </si>
  <si>
    <t>Alexandria</t>
  </si>
  <si>
    <t>S-0186</t>
  </si>
  <si>
    <t>Cairo Renal Health Institute</t>
  </si>
  <si>
    <t>Cairo</t>
  </si>
  <si>
    <t>S-0187</t>
  </si>
  <si>
    <t>Giza Neurology Institute</t>
  </si>
  <si>
    <t>S-0188</t>
  </si>
  <si>
    <t>Alexandria Cardiac Care Hospital</t>
  </si>
  <si>
    <t>S-0189</t>
  </si>
  <si>
    <t>Giza Nephrology &amp; Kidney Care Center</t>
  </si>
  <si>
    <t>S-0190</t>
  </si>
  <si>
    <t>Alexandria Endocrine Care Hospital</t>
  </si>
  <si>
    <t>S-0191</t>
  </si>
  <si>
    <t>Cairo Skin Health Institute</t>
  </si>
  <si>
    <t>S-0192</t>
  </si>
  <si>
    <t>Giza Memory &amp; Brain Health Center</t>
  </si>
  <si>
    <t>S-0193</t>
  </si>
  <si>
    <t>Giza Pulmonology Institute</t>
  </si>
  <si>
    <t>S-0194</t>
  </si>
  <si>
    <t>Giza Neuroscience Hospital</t>
  </si>
  <si>
    <t>S-0195</t>
  </si>
  <si>
    <t>Cairo Gastroenterology &amp; IBD Center</t>
  </si>
  <si>
    <t>S-0196</t>
  </si>
  <si>
    <t>Alexandria Hematology Care Hospital</t>
  </si>
  <si>
    <t>S-0197</t>
  </si>
  <si>
    <t>Giza Behavioral Health Center</t>
  </si>
  <si>
    <t>S-0198</t>
  </si>
  <si>
    <t>Abuja Global Health Institute</t>
  </si>
  <si>
    <t>Abuja</t>
  </si>
  <si>
    <t>S-0199</t>
  </si>
  <si>
    <t>Kano Pulmonology Institute</t>
  </si>
  <si>
    <t>Kano</t>
  </si>
  <si>
    <t>S-0200</t>
  </si>
  <si>
    <t>Kano Skin Health Institute</t>
  </si>
  <si>
    <t>S-0201</t>
  </si>
  <si>
    <t>Abuja Respiratory Care Center</t>
  </si>
  <si>
    <t>S-0202</t>
  </si>
  <si>
    <t>Kano Oncology Institute</t>
  </si>
  <si>
    <t>S-0203</t>
  </si>
  <si>
    <t>Lagos Pulmonology Institute</t>
  </si>
  <si>
    <t>Lagos</t>
  </si>
  <si>
    <t>S-0204</t>
  </si>
  <si>
    <t>Lagos Hematology Care Hospital</t>
  </si>
  <si>
    <t>S-0205</t>
  </si>
  <si>
    <t>Abuja Oncology Institute</t>
  </si>
  <si>
    <t>S-0206</t>
  </si>
  <si>
    <t>Lagos Gastroenterology &amp; IBD Center</t>
  </si>
  <si>
    <t>S-0207</t>
  </si>
  <si>
    <t>Lagos Infectious Disease Clinic</t>
  </si>
  <si>
    <t>S-0208</t>
  </si>
  <si>
    <t>Kano Memory &amp; Brain Health Center</t>
  </si>
  <si>
    <t>S-0209</t>
  </si>
  <si>
    <t>Abuja Heart &amp; Vascular Institute</t>
  </si>
  <si>
    <t>S-0210</t>
  </si>
  <si>
    <t>Abuja Kidney Care Hospital</t>
  </si>
  <si>
    <t>S-0211</t>
  </si>
  <si>
    <t>Kano Endocrine Care Hospital</t>
  </si>
  <si>
    <t>S-0212</t>
  </si>
  <si>
    <t>Kano GI Care Hospital</t>
  </si>
  <si>
    <t>S-0213</t>
  </si>
  <si>
    <t>S-0214</t>
  </si>
  <si>
    <t>S-0215</t>
  </si>
  <si>
    <t>Kano Immunology &amp; ID Center</t>
  </si>
  <si>
    <t>S-0216</t>
  </si>
  <si>
    <t>S-0217</t>
  </si>
  <si>
    <t>S-0218</t>
  </si>
  <si>
    <t>Lagos Dermatology &amp; Psoriasis Clinic</t>
  </si>
  <si>
    <t>S-0219</t>
  </si>
  <si>
    <t>Abuja Infectious Disease Clinic</t>
  </si>
  <si>
    <t>S-0220</t>
  </si>
  <si>
    <t>Kano Heart &amp; Vascular Institute</t>
  </si>
  <si>
    <t>S-0221</t>
  </si>
  <si>
    <t>Abuja Psychiatry Institute</t>
  </si>
  <si>
    <t>S-0222</t>
  </si>
  <si>
    <t>Lagos Comprehensive Cancer Hospital</t>
  </si>
  <si>
    <t>S-0223</t>
  </si>
  <si>
    <t>Kano Blood Disorders Institute</t>
  </si>
  <si>
    <t>S-0224</t>
  </si>
  <si>
    <t>Abuja Endocrine Care Hospital</t>
  </si>
  <si>
    <t>S-0225</t>
  </si>
  <si>
    <t>Abuja Digestive Health Institute</t>
  </si>
  <si>
    <t>S-0226</t>
  </si>
  <si>
    <t>Johannesburg Endocrine Care Hospital</t>
  </si>
  <si>
    <t>Johannesburg</t>
  </si>
  <si>
    <t>S-0227</t>
  </si>
  <si>
    <t>Johannesburg Neuroscience Hospital</t>
  </si>
  <si>
    <t>S-0228</t>
  </si>
  <si>
    <t>Cape Town Cardiac Care Hospital</t>
  </si>
  <si>
    <t>Cape Town</t>
  </si>
  <si>
    <t>S-0229</t>
  </si>
  <si>
    <t>Cape Town Oncology Institute</t>
  </si>
  <si>
    <t>S-0230</t>
  </si>
  <si>
    <t>Johannesburg Global Health Institute</t>
  </si>
  <si>
    <t>S-0231</t>
  </si>
  <si>
    <t>Johannesburg Gastroenterology &amp; IBD Center</t>
  </si>
  <si>
    <t>S-0232</t>
  </si>
  <si>
    <t>Cape Town Pulmonology Institute</t>
  </si>
  <si>
    <t>S-0233</t>
  </si>
  <si>
    <t>Cape Town Comprehensive Cancer Hospital</t>
  </si>
  <si>
    <t>S-0234</t>
  </si>
  <si>
    <t>Durban Diabetes &amp; Endocrine Institute</t>
  </si>
  <si>
    <t>Durban</t>
  </si>
  <si>
    <t>S-0235</t>
  </si>
  <si>
    <t>Abu Dhabi Heart &amp; Vascular Institute</t>
  </si>
  <si>
    <t>Abu Dhabi</t>
  </si>
  <si>
    <t>S-0236</t>
  </si>
  <si>
    <t>Dubai Oncology Institute</t>
  </si>
  <si>
    <t>Dubai</t>
  </si>
  <si>
    <t>S-0237</t>
  </si>
  <si>
    <t>Dubai Dermatology &amp; Psoriasis Clinic</t>
  </si>
  <si>
    <t>S-0238</t>
  </si>
  <si>
    <t>Ankara Dermatology &amp; Psoriasis Clinic</t>
  </si>
  <si>
    <t>Ankara</t>
  </si>
  <si>
    <t>S-0239</t>
  </si>
  <si>
    <t>Ankara Endocrine Care Hospital</t>
  </si>
  <si>
    <t>S-0240</t>
  </si>
  <si>
    <t>Ankara Digestive Health Institute</t>
  </si>
  <si>
    <t>S-0241</t>
  </si>
  <si>
    <t>Istanbul Digestive Health Institute</t>
  </si>
  <si>
    <t>Istanbul</t>
  </si>
  <si>
    <t>S-0242</t>
  </si>
  <si>
    <t>Ankara Metabolic Health Center</t>
  </si>
  <si>
    <t>S-0243</t>
  </si>
  <si>
    <t>Istanbul Diabetes &amp; Endocrine Institute</t>
  </si>
  <si>
    <t>S-0244</t>
  </si>
  <si>
    <t>Ankara Lung Health Hospital</t>
  </si>
  <si>
    <t>S-0245</t>
  </si>
  <si>
    <t>Izmir GI Care Hospital</t>
  </si>
  <si>
    <t>Izmir</t>
  </si>
  <si>
    <t>S-0246</t>
  </si>
  <si>
    <t>Izmir Endocrine Care Hospital</t>
  </si>
  <si>
    <t>S-0247</t>
  </si>
  <si>
    <t>Izmir Hematology Center</t>
  </si>
  <si>
    <t>S-0248</t>
  </si>
  <si>
    <t>Izmir Cancer Center</t>
  </si>
  <si>
    <t>S-0249</t>
  </si>
  <si>
    <t>Istanbul Neuroscience Hospital</t>
  </si>
  <si>
    <t>S-0250</t>
  </si>
  <si>
    <t>Istanbul Joint &amp; Autoimmune Care Hospital</t>
  </si>
  <si>
    <t>S-0251</t>
  </si>
  <si>
    <t>Izmir Psychiatry Institute</t>
  </si>
  <si>
    <t>S-0252</t>
  </si>
  <si>
    <t>Lahore Psychiatry Institute</t>
  </si>
  <si>
    <t>Lahore</t>
  </si>
  <si>
    <t>S-0253</t>
  </si>
  <si>
    <t>Islamabad Cardiology Center</t>
  </si>
  <si>
    <t>Islamabad</t>
  </si>
  <si>
    <t>S-0254</t>
  </si>
  <si>
    <t>Islamabad Skin Health Institute</t>
  </si>
  <si>
    <t>S-0255</t>
  </si>
  <si>
    <t>Karachi Infectious Disease Clinic</t>
  </si>
  <si>
    <t>Karachi</t>
  </si>
  <si>
    <t>S-0256</t>
  </si>
  <si>
    <t>Lahore Immunology &amp; ID Center</t>
  </si>
  <si>
    <t>S-0257</t>
  </si>
  <si>
    <t>Karachi GI Care Hospital</t>
  </si>
  <si>
    <t>S-0258</t>
  </si>
  <si>
    <t>Islamabad Global Health Institute</t>
  </si>
  <si>
    <t>S-0259</t>
  </si>
  <si>
    <t>Karachi Comprehensive Cancer Hospital</t>
  </si>
  <si>
    <t>S-0260</t>
  </si>
  <si>
    <t>Islamabad Blood Disorders Institute</t>
  </si>
  <si>
    <t>S-0261</t>
  </si>
  <si>
    <t>Lahore Kidney Care Hospital</t>
  </si>
  <si>
    <t>S-0262</t>
  </si>
  <si>
    <t>Islamabad Metabolic Health Center</t>
  </si>
  <si>
    <t>S-0263</t>
  </si>
  <si>
    <t>Lahore Cardiology Center</t>
  </si>
  <si>
    <t>S-0264</t>
  </si>
  <si>
    <t>Lahore Blood Disorders Institute</t>
  </si>
  <si>
    <t>S-0265</t>
  </si>
  <si>
    <t>Islamabad Heart &amp; Vascular Institute</t>
  </si>
  <si>
    <t>S-0266</t>
  </si>
  <si>
    <t>Karachi Hematology Care Hospital</t>
  </si>
  <si>
    <t>S-0267</t>
  </si>
  <si>
    <t>Karachi Neurology Institute</t>
  </si>
  <si>
    <t>S-0268</t>
  </si>
  <si>
    <t>S-0269</t>
  </si>
  <si>
    <t>Lahore Neuroscience Hospital</t>
  </si>
  <si>
    <t>S-0270</t>
  </si>
  <si>
    <t>Lahore Endocrine Care Hospital</t>
  </si>
  <si>
    <t>S-0271</t>
  </si>
  <si>
    <t>Lahore Dermatology &amp; Psoriasis Clinic</t>
  </si>
  <si>
    <t>S-0272</t>
  </si>
  <si>
    <t>S-0273</t>
  </si>
  <si>
    <t>Lahore Digestive Health Institute</t>
  </si>
  <si>
    <t>S-0274</t>
  </si>
  <si>
    <t>Islamabad Dermatology Center</t>
  </si>
  <si>
    <t>S-0275</t>
  </si>
  <si>
    <t>Lahore Diabetes &amp; Endocrine Institute</t>
  </si>
  <si>
    <t>S-0276</t>
  </si>
  <si>
    <t>Sylhet Global Health Institute</t>
  </si>
  <si>
    <t>Sylhet</t>
  </si>
  <si>
    <t>S-0277</t>
  </si>
  <si>
    <t>Dhaka Gastroenterology &amp; IBD Center</t>
  </si>
  <si>
    <t>Dhaka</t>
  </si>
  <si>
    <t>S-0278</t>
  </si>
  <si>
    <t>Dhaka Endocrine Care Hospital</t>
  </si>
  <si>
    <t>S-0279</t>
  </si>
  <si>
    <t>Dhaka Memory &amp; Brain Health Center</t>
  </si>
  <si>
    <t>S-0280</t>
  </si>
  <si>
    <t>Chittagong Diabetes &amp; Endocrine Institute</t>
  </si>
  <si>
    <t>Chittagong</t>
  </si>
  <si>
    <t>S-0281</t>
  </si>
  <si>
    <t>Dhaka Immunology &amp; ID Center</t>
  </si>
  <si>
    <t>S-0282</t>
  </si>
  <si>
    <t>Dhaka Nephrology &amp; Kidney Care Center</t>
  </si>
  <si>
    <t>S-0283</t>
  </si>
  <si>
    <t>Dhaka Hematology Care Hospital</t>
  </si>
  <si>
    <t>S-0284</t>
  </si>
  <si>
    <t>Sylhet Neuroscience Hospital</t>
  </si>
  <si>
    <t>S-0285</t>
  </si>
  <si>
    <t>Dhaka Oncology Institute</t>
  </si>
  <si>
    <t>S-0286</t>
  </si>
  <si>
    <t>Chittagong Cardiology Center</t>
  </si>
  <si>
    <t>S-0287</t>
  </si>
  <si>
    <t>Dhaka Neuroscience Hospital</t>
  </si>
  <si>
    <t>S-0288</t>
  </si>
  <si>
    <t>Chittagong Digestive Health Institute</t>
  </si>
  <si>
    <t>S-0289</t>
  </si>
  <si>
    <t>Dhaka Cardiac Care Hospital</t>
  </si>
  <si>
    <t>S-0290</t>
  </si>
  <si>
    <t>Chittagong Behavioral Health Center</t>
  </si>
  <si>
    <t>S-0291</t>
  </si>
  <si>
    <t>S-0292</t>
  </si>
  <si>
    <t>Dhaka Lung Health Hospital</t>
  </si>
  <si>
    <t>S-0293</t>
  </si>
  <si>
    <t>Dhaka Comprehensive Cancer Hospital</t>
  </si>
  <si>
    <t>S-0294</t>
  </si>
  <si>
    <t>Chittagong Psychiatry Institute</t>
  </si>
  <si>
    <t>S-0295</t>
  </si>
  <si>
    <t>Osaka Metabolic Health Center</t>
  </si>
  <si>
    <t>Osaka</t>
  </si>
  <si>
    <t>S-0296</t>
  </si>
  <si>
    <t>Nagoya Joint &amp; Autoimmune Care Hospital</t>
  </si>
  <si>
    <t>Nagoya</t>
  </si>
  <si>
    <t>S-0297</t>
  </si>
  <si>
    <t>Tokyo Rheumatology &amp; Arthritis Center</t>
  </si>
  <si>
    <t>Tokyo</t>
  </si>
  <si>
    <t>S-0298</t>
  </si>
  <si>
    <t>Nagoya Cardiac Care Hospital</t>
  </si>
  <si>
    <t>S-0299</t>
  </si>
  <si>
    <t>Nagoya Behavioral Health Center</t>
  </si>
  <si>
    <t>S-0300</t>
  </si>
  <si>
    <t>Yokohama GI Care Hospital</t>
  </si>
  <si>
    <t>Yokohama</t>
  </si>
  <si>
    <t>S-0301</t>
  </si>
  <si>
    <t>Osaka Joint &amp; Autoimmune Care Hospital</t>
  </si>
  <si>
    <t>S-0302</t>
  </si>
  <si>
    <t>Yokohama Rheumatology &amp; Arthritis Center</t>
  </si>
  <si>
    <t>S-0303</t>
  </si>
  <si>
    <t>Osaka Blood Disorders Institute</t>
  </si>
  <si>
    <t>S-0304</t>
  </si>
  <si>
    <t>Busan Memory &amp; Brain Health Center</t>
  </si>
  <si>
    <t>Busan</t>
  </si>
  <si>
    <t>S-0305</t>
  </si>
  <si>
    <t>Busan Dermatology Center</t>
  </si>
  <si>
    <t>S-0306</t>
  </si>
  <si>
    <t>Incheon Behavioral Health Center</t>
  </si>
  <si>
    <t>Incheon</t>
  </si>
  <si>
    <t>S-0307</t>
  </si>
  <si>
    <t>Seoul Comprehensive Cancer Hospital</t>
  </si>
  <si>
    <t>Seoul</t>
  </si>
  <si>
    <t>S-0308</t>
  </si>
  <si>
    <t>Incheon Kidney Care Hospital</t>
  </si>
  <si>
    <t>S-0309</t>
  </si>
  <si>
    <t>Incheon Psychiatry Institute</t>
  </si>
  <si>
    <t>S-0310</t>
  </si>
  <si>
    <t>Busan Neurology Institute</t>
  </si>
  <si>
    <t>S-0311</t>
  </si>
  <si>
    <t>Da Nang Neuroscience Hospital</t>
  </si>
  <si>
    <t>Da Nang</t>
  </si>
  <si>
    <t>S-0312</t>
  </si>
  <si>
    <t>Ho Chi Minh City Global Health Institute</t>
  </si>
  <si>
    <t>Ho Chi Minh City</t>
  </si>
  <si>
    <t>S-0313</t>
  </si>
  <si>
    <t>Ho Chi Minh City Respiratory Care Center</t>
  </si>
  <si>
    <t>S-0314</t>
  </si>
  <si>
    <t>Hanoi Digestive Health Institute</t>
  </si>
  <si>
    <t>Hanoi</t>
  </si>
  <si>
    <t>S-0315</t>
  </si>
  <si>
    <t>Hanoi Nephrology &amp; Kidney Care Center</t>
  </si>
  <si>
    <t>S-0316</t>
  </si>
  <si>
    <t>Hanoi Neurology Institute</t>
  </si>
  <si>
    <t>S-0317</t>
  </si>
  <si>
    <t>Da Nang Hematology Center</t>
  </si>
  <si>
    <t>S-0318</t>
  </si>
  <si>
    <t>Hanoi Oncology Institute</t>
  </si>
  <si>
    <t>S-0319</t>
  </si>
  <si>
    <t>Hanoi Memory &amp; Brain Health Center</t>
  </si>
  <si>
    <t>S-0320</t>
  </si>
  <si>
    <t>Ho Chi Minh City Kidney Care Hospital</t>
  </si>
  <si>
    <t>S-0321</t>
  </si>
  <si>
    <t>Ho Chi Minh City Blood Disorders Institute</t>
  </si>
  <si>
    <t>S-0322</t>
  </si>
  <si>
    <t>Hanoi Lung Health Hospital</t>
  </si>
  <si>
    <t>S-0323</t>
  </si>
  <si>
    <t>Hanoi Infectious Disease Clinic</t>
  </si>
  <si>
    <t>S-0324</t>
  </si>
  <si>
    <t>Da Nang Dermatology Center</t>
  </si>
  <si>
    <t>S-0325</t>
  </si>
  <si>
    <t>Surabaya Psychiatry Institute</t>
  </si>
  <si>
    <t>Surabaya</t>
  </si>
  <si>
    <t>S-0326</t>
  </si>
  <si>
    <t>Surabaya Gastroenterology &amp; IBD Center</t>
  </si>
  <si>
    <t>S-0327</t>
  </si>
  <si>
    <t>Surabaya Kidney Care Hospital</t>
  </si>
  <si>
    <t>S-0328</t>
  </si>
  <si>
    <t>Surabaya Neuroscience Hospital</t>
  </si>
  <si>
    <t>S-0329</t>
  </si>
  <si>
    <t>Surabaya Cancer Center</t>
  </si>
  <si>
    <t>S-0330</t>
  </si>
  <si>
    <t>Bandung Dermatology Center</t>
  </si>
  <si>
    <t>Bandung</t>
  </si>
  <si>
    <t>S-0331</t>
  </si>
  <si>
    <t>Surabaya Mental Health Care Hospital</t>
  </si>
  <si>
    <t>S-0332</t>
  </si>
  <si>
    <t>S-0333</t>
  </si>
  <si>
    <t>Surabaya Rheumatology &amp; Arthritis Center</t>
  </si>
  <si>
    <t>S-0334</t>
  </si>
  <si>
    <t>Bandung Digestive Health Institute</t>
  </si>
  <si>
    <t>S-0335</t>
  </si>
  <si>
    <t>Surabaya Heart &amp; Vascular Institute</t>
  </si>
  <si>
    <t>S-0336</t>
  </si>
  <si>
    <t>Jakarta Hematology Center</t>
  </si>
  <si>
    <t>Jakarta</t>
  </si>
  <si>
    <t>S-0337</t>
  </si>
  <si>
    <t>S-0338</t>
  </si>
  <si>
    <t>Bandung Blood Disorders Institute</t>
  </si>
  <si>
    <t>S-0339</t>
  </si>
  <si>
    <t>Bandung Rheumatology Institute</t>
  </si>
  <si>
    <t>S-0340</t>
  </si>
  <si>
    <t>Jakarta Blood Disorders Institute</t>
  </si>
  <si>
    <t>S-0341</t>
  </si>
  <si>
    <t>Bandung Hematology Care Hospital</t>
  </si>
  <si>
    <t>S-0342</t>
  </si>
  <si>
    <t>Jakarta Gastroenterology &amp; IBD Center</t>
  </si>
  <si>
    <t>S-0343</t>
  </si>
  <si>
    <t>Jakarta Comprehensive Cancer Hospital</t>
  </si>
  <si>
    <t>S-0344</t>
  </si>
  <si>
    <t>Bandung Lung Health Hospital</t>
  </si>
  <si>
    <t>S-0345</t>
  </si>
  <si>
    <t>Bandung Respiratory Care Center</t>
  </si>
  <si>
    <t>S-0346</t>
  </si>
  <si>
    <t>Surabaya Cardiac Care Hospital</t>
  </si>
  <si>
    <t>S-0347</t>
  </si>
  <si>
    <t>Surabaya Infectious Disease Clinic</t>
  </si>
  <si>
    <t>S-0348</t>
  </si>
  <si>
    <t>Bandung Memory &amp; Brain Health Center</t>
  </si>
  <si>
    <t>S-0349</t>
  </si>
  <si>
    <t>Jakarta Psychiatry Institute</t>
  </si>
  <si>
    <t>S-0350</t>
  </si>
  <si>
    <t>Bandung Dermatology &amp; Psoriasis Clinic</t>
  </si>
  <si>
    <t>S-0351</t>
  </si>
  <si>
    <t>Surabaya Comprehensive Cancer Hospital</t>
  </si>
  <si>
    <t>S-0352</t>
  </si>
  <si>
    <t>Bandung Renal Health Institute</t>
  </si>
  <si>
    <t>S-0353</t>
  </si>
  <si>
    <t>Perth Immunology &amp; ID Center</t>
  </si>
  <si>
    <t>Perth</t>
  </si>
  <si>
    <t>S-0354</t>
  </si>
  <si>
    <t>Brisbane Pulmonology Institute</t>
  </si>
  <si>
    <t>Brisbane</t>
  </si>
  <si>
    <t>S-0355</t>
  </si>
  <si>
    <t>Melbourne Respiratory Care Center</t>
  </si>
  <si>
    <t>Melbourne</t>
  </si>
  <si>
    <t>S-0356</t>
  </si>
  <si>
    <t>Melbourne Cardiology Center</t>
  </si>
  <si>
    <t>S-0357</t>
  </si>
  <si>
    <t>Birmingham Neurology Institute</t>
  </si>
  <si>
    <t>Birmingham</t>
  </si>
  <si>
    <t>S-0358</t>
  </si>
  <si>
    <t>Birmingham Comprehensive Cancer Hospital</t>
  </si>
  <si>
    <t>S-0359</t>
  </si>
  <si>
    <t>London Memory &amp; Brain Health Center</t>
  </si>
  <si>
    <t>London</t>
  </si>
  <si>
    <t>S-0360</t>
  </si>
  <si>
    <t>Birmingham Nephrology &amp; Kidney Care Center</t>
  </si>
  <si>
    <t>S-0361</t>
  </si>
  <si>
    <t>Birmingham GI Care Hospital</t>
  </si>
  <si>
    <t>S-0362</t>
  </si>
  <si>
    <t>London Nephrology &amp; Kidney Care Center</t>
  </si>
  <si>
    <t>S-0363</t>
  </si>
  <si>
    <t>London Pulmonology Institute</t>
  </si>
  <si>
    <t>S-0364</t>
  </si>
  <si>
    <t>Birmingham Cancer Center</t>
  </si>
  <si>
    <t>S-0365</t>
  </si>
  <si>
    <t>Manchester Hematology Center</t>
  </si>
  <si>
    <t>Manchester</t>
  </si>
  <si>
    <t>S-0366</t>
  </si>
  <si>
    <t>Seville Rheumatology &amp; Arthritis Center</t>
  </si>
  <si>
    <t>Seville</t>
  </si>
  <si>
    <t>S-0367</t>
  </si>
  <si>
    <t>Madrid Immunology &amp; ID Center</t>
  </si>
  <si>
    <t>Madrid</t>
  </si>
  <si>
    <t>S-0368</t>
  </si>
  <si>
    <t>Seville Neurology Institute</t>
  </si>
  <si>
    <t>S-0369</t>
  </si>
  <si>
    <t>Madrid Cancer Center</t>
  </si>
  <si>
    <t>S-0370</t>
  </si>
  <si>
    <t>Valencia Respiratory Care Center</t>
  </si>
  <si>
    <t>Valencia</t>
  </si>
  <si>
    <t>S-0371</t>
  </si>
  <si>
    <t>Madrid Infectious Disease Clinic</t>
  </si>
  <si>
    <t>S-0372</t>
  </si>
  <si>
    <t>Valencia Mental Health Care Hospital</t>
  </si>
  <si>
    <t>S-0373</t>
  </si>
  <si>
    <t>Barcelona Dermatology Center</t>
  </si>
  <si>
    <t>Barcelona</t>
  </si>
  <si>
    <t>S-0374</t>
  </si>
  <si>
    <t>Madrid Lung Health Hospital</t>
  </si>
  <si>
    <t>S-0375</t>
  </si>
  <si>
    <t>Milan Immunology &amp; ID Center</t>
  </si>
  <si>
    <t>Milan</t>
  </si>
  <si>
    <t>S-0376</t>
  </si>
  <si>
    <t>Rome Cancer Center</t>
  </si>
  <si>
    <t>Rome</t>
  </si>
  <si>
    <t>S-0377</t>
  </si>
  <si>
    <t>Turin Oncology Institute</t>
  </si>
  <si>
    <t>Turin</t>
  </si>
  <si>
    <t>S-0378</t>
  </si>
  <si>
    <t>Milan Renal Health Institute</t>
  </si>
  <si>
    <t>S-0379</t>
  </si>
  <si>
    <t>Turin Memory &amp; Brain Health Center</t>
  </si>
  <si>
    <t>S-0380</t>
  </si>
  <si>
    <t>Milan Digestive Health Institute</t>
  </si>
  <si>
    <t>S-0381</t>
  </si>
  <si>
    <t>Turin Dermatology Center</t>
  </si>
  <si>
    <t>S-0382</t>
  </si>
  <si>
    <t>Rome Memory &amp; Brain Health Center</t>
  </si>
  <si>
    <t>S-0383</t>
  </si>
  <si>
    <t>Rome Nephrology &amp; Kidney Care Center</t>
  </si>
  <si>
    <t>S-0384</t>
  </si>
  <si>
    <t>Naples Rheumatology &amp; Arthritis Center</t>
  </si>
  <si>
    <t>Naples</t>
  </si>
  <si>
    <t>S-0385</t>
  </si>
  <si>
    <t>Toulouse Respiratory Care Center</t>
  </si>
  <si>
    <t>Toulouse</t>
  </si>
  <si>
    <t>S-0386</t>
  </si>
  <si>
    <t>Marseille Lung Health Hospital</t>
  </si>
  <si>
    <t>Marseille</t>
  </si>
  <si>
    <t>S-0387</t>
  </si>
  <si>
    <t>Lyon Neuroscience Hospital</t>
  </si>
  <si>
    <t>Lyon</t>
  </si>
  <si>
    <t>S-0388</t>
  </si>
  <si>
    <t>Paris Mental Health Care Hospital</t>
  </si>
  <si>
    <t>Paris</t>
  </si>
  <si>
    <t>S-0389</t>
  </si>
  <si>
    <t>Marseille Rheumatology Institute</t>
  </si>
  <si>
    <t>S-0390</t>
  </si>
  <si>
    <t>Marseille Endocrine Care Hospital</t>
  </si>
  <si>
    <t>S-0391</t>
  </si>
  <si>
    <t>Lyon Oncology Institute</t>
  </si>
  <si>
    <t>S-0392</t>
  </si>
  <si>
    <t>Toulouse GI Care Hospital</t>
  </si>
  <si>
    <t>S-0393</t>
  </si>
  <si>
    <t>Toulouse Nephrology &amp; Kidney Care Center</t>
  </si>
  <si>
    <t>S-0394</t>
  </si>
  <si>
    <t>Marseille Blood Disorders Institute</t>
  </si>
  <si>
    <t>S-0395</t>
  </si>
  <si>
    <t>Marseille Gastroenterology &amp; IBD Center</t>
  </si>
  <si>
    <t>S-0396</t>
  </si>
  <si>
    <t>Utrecht Memory &amp; Brain Health Center</t>
  </si>
  <si>
    <t>Utrecht</t>
  </si>
  <si>
    <t>S-0397</t>
  </si>
  <si>
    <t>Utrecht Immunology &amp; ID Center</t>
  </si>
  <si>
    <t>S-0398</t>
  </si>
  <si>
    <t>Amsterdam Kidney Care Hospital</t>
  </si>
  <si>
    <t>Amsterdam</t>
  </si>
  <si>
    <t>S-0399</t>
  </si>
  <si>
    <t>Amsterdam Behavioral Health Center</t>
  </si>
  <si>
    <t>S-0400</t>
  </si>
  <si>
    <t>Rotterdam Rheumatology &amp; Arthritis Center</t>
  </si>
  <si>
    <t>Rotterdam</t>
  </si>
  <si>
    <t>S-0401</t>
  </si>
  <si>
    <t>Amsterdam Lung Health Hospital</t>
  </si>
  <si>
    <t>S-0402</t>
  </si>
  <si>
    <t>Gothenburg Immunology &amp; ID Center</t>
  </si>
  <si>
    <t>Gothenburg</t>
  </si>
  <si>
    <t>S-0403</t>
  </si>
  <si>
    <t>Stockholm Blood Disorders Institute</t>
  </si>
  <si>
    <t>Stockholm</t>
  </si>
  <si>
    <t>S-0404</t>
  </si>
  <si>
    <t>Malmo Dermatology Center</t>
  </si>
  <si>
    <t>Malmo</t>
  </si>
  <si>
    <t>S-0405</t>
  </si>
  <si>
    <t>Stockholm Metabolic Health Center</t>
  </si>
  <si>
    <t>S-0406</t>
  </si>
  <si>
    <t>Taipei Hematology Center</t>
  </si>
  <si>
    <t>Taipei</t>
  </si>
  <si>
    <t>S-0407</t>
  </si>
  <si>
    <t>Kaohsiung Hematology Center</t>
  </si>
  <si>
    <t>Kaohsiung</t>
  </si>
  <si>
    <t>S-0408</t>
  </si>
  <si>
    <t>S-0409</t>
  </si>
  <si>
    <t>Taipei Comprehensive Cancer Hospital</t>
  </si>
  <si>
    <t>S-0410</t>
  </si>
  <si>
    <t>Kaohsiung GI Care Hospital</t>
  </si>
  <si>
    <t>S-0411</t>
  </si>
  <si>
    <t>Singapore Joint &amp; Autoimmune Care Hospital</t>
  </si>
  <si>
    <t>S-0412</t>
  </si>
  <si>
    <t>Singapore Cancer Center</t>
  </si>
  <si>
    <t>S-0413</t>
  </si>
  <si>
    <t>Tel Aviv Oncology Institute</t>
  </si>
  <si>
    <t>Tel Aviv</t>
  </si>
  <si>
    <t>S-0414</t>
  </si>
  <si>
    <t>Haifa Renal Health Institute</t>
  </si>
  <si>
    <t>Haifa</t>
  </si>
  <si>
    <t>S-0415</t>
  </si>
  <si>
    <t>Haifa Gastroenterology &amp; IBD Center</t>
  </si>
  <si>
    <t>S-0416</t>
  </si>
  <si>
    <t>Calgary Pulmonology Institute</t>
  </si>
  <si>
    <t>Calgary</t>
  </si>
  <si>
    <t>S-0417</t>
  </si>
  <si>
    <t>Calgary Immunology &amp; ID Center</t>
  </si>
  <si>
    <t>S-0418</t>
  </si>
  <si>
    <t>Montreal Rheumatology Institute</t>
  </si>
  <si>
    <t>Montreal</t>
  </si>
  <si>
    <t>S-0419</t>
  </si>
  <si>
    <t>Toronto Global Health Institute</t>
  </si>
  <si>
    <t>Toronto</t>
  </si>
  <si>
    <t>S-0420</t>
  </si>
  <si>
    <t>Calgary Psychiatry Institute</t>
  </si>
  <si>
    <t>S-0421</t>
  </si>
  <si>
    <t>Toronto Lung Health Hospital</t>
  </si>
  <si>
    <t>S-0422</t>
  </si>
  <si>
    <t>Vancouver Diabetes &amp; Endocrine Institute</t>
  </si>
  <si>
    <t>Vancouver</t>
  </si>
  <si>
    <t>S-0423</t>
  </si>
  <si>
    <t>Cordoba Skin Health Institute</t>
  </si>
  <si>
    <t>Cordoba</t>
  </si>
  <si>
    <t>S-0424</t>
  </si>
  <si>
    <t>Rosario Joint &amp; Autoimmune Care Hospital</t>
  </si>
  <si>
    <t>Rosario</t>
  </si>
  <si>
    <t>S-0425</t>
  </si>
  <si>
    <t>Rosario Cancer Center</t>
  </si>
  <si>
    <t>S-0426</t>
  </si>
  <si>
    <t>Buenos Aires Endocrine Care Hospital</t>
  </si>
  <si>
    <t>Buenos Aires</t>
  </si>
  <si>
    <t>S-0427</t>
  </si>
  <si>
    <t>Rosario Comprehensive Cancer Hospital</t>
  </si>
  <si>
    <t>S-0428</t>
  </si>
  <si>
    <t>Cordoba Dermatology &amp; Psoriasis Clinic</t>
  </si>
  <si>
    <t>S-0429</t>
  </si>
  <si>
    <t>Cordoba Lung Health Hospital</t>
  </si>
  <si>
    <t>S-0430</t>
  </si>
  <si>
    <t>Cordoba Hematology Care Hospital</t>
  </si>
  <si>
    <t>S-0431</t>
  </si>
  <si>
    <t>Rosario Gastroenterology &amp; IBD Center</t>
  </si>
  <si>
    <t>S-0432</t>
  </si>
  <si>
    <t>Concepcion Behavioral Health Center</t>
  </si>
  <si>
    <t>Concepcion</t>
  </si>
  <si>
    <t>S-0433</t>
  </si>
  <si>
    <t>Santiago Endocrine Care Hospital</t>
  </si>
  <si>
    <t>Santiago</t>
  </si>
  <si>
    <t>S-0434</t>
  </si>
  <si>
    <t>Valparaiso Dermatology &amp; Psoriasis Clinic</t>
  </si>
  <si>
    <t>Valparaiso</t>
  </si>
  <si>
    <t>S-0435</t>
  </si>
  <si>
    <t>S-0436</t>
  </si>
  <si>
    <t>Santiago Hematology Care Hospital</t>
  </si>
  <si>
    <t>S-0437</t>
  </si>
  <si>
    <t>Prague Rheumatology Institute</t>
  </si>
  <si>
    <t>Prague</t>
  </si>
  <si>
    <t>S-0438</t>
  </si>
  <si>
    <t>Prague Rheumatology &amp; Arthritis Center</t>
  </si>
  <si>
    <t>S-0439</t>
  </si>
  <si>
    <t>Ostrava Psychiatry Institute</t>
  </si>
  <si>
    <t>Ostrava</t>
  </si>
  <si>
    <t>S-0440</t>
  </si>
  <si>
    <t>Prague Cardiac Care Hospital</t>
  </si>
  <si>
    <t>S-0441</t>
  </si>
  <si>
    <t>St. Petersburg Global Health Institute</t>
  </si>
  <si>
    <t>St. Petersburg</t>
  </si>
  <si>
    <t>S-0442</t>
  </si>
  <si>
    <t>St. Petersburg Psychiatry Institute</t>
  </si>
  <si>
    <t>S-0443</t>
  </si>
  <si>
    <t>St. Petersburg Memory &amp; Brain Health Center</t>
  </si>
  <si>
    <t>S-0444</t>
  </si>
  <si>
    <t>Novosibirsk GI Care Hospital</t>
  </si>
  <si>
    <t>Novosibirsk</t>
  </si>
  <si>
    <t>S-0445</t>
  </si>
  <si>
    <t>Novosibirsk Skin Health Institute</t>
  </si>
  <si>
    <t>S-0446</t>
  </si>
  <si>
    <t>Moscow Heart &amp; Vascular Institute</t>
  </si>
  <si>
    <t>Moscow</t>
  </si>
  <si>
    <t>S-0447</t>
  </si>
  <si>
    <t>St. Petersburg Neuroscience Hospital</t>
  </si>
  <si>
    <t>S-0448</t>
  </si>
  <si>
    <t>Moscow Renal Health Institute</t>
  </si>
  <si>
    <t>S-0449</t>
  </si>
  <si>
    <t>Moscow Immunology &amp; ID Center</t>
  </si>
  <si>
    <t>S-0450</t>
  </si>
  <si>
    <t>St. Petersburg Cancer Center</t>
  </si>
  <si>
    <t>S-0451</t>
  </si>
  <si>
    <t>St. Petersburg Renal Health Institute</t>
  </si>
  <si>
    <t>S-0452</t>
  </si>
  <si>
    <t>St. Petersburg Diabetes &amp; Endocrine Institute</t>
  </si>
  <si>
    <t>S-0453</t>
  </si>
  <si>
    <t>St. Petersburg Hematology Care Hospital</t>
  </si>
  <si>
    <t>S-0454</t>
  </si>
  <si>
    <t>St. Petersburg Respiratory Care Center</t>
  </si>
  <si>
    <t>S-0455</t>
  </si>
  <si>
    <t>St. Petersburg Immunology &amp; ID Center</t>
  </si>
  <si>
    <t>S-0456</t>
  </si>
  <si>
    <t>Moscow Neurology Institute</t>
  </si>
  <si>
    <t>S-0457</t>
  </si>
  <si>
    <t>St. Petersburg Infectious Disease Clinic</t>
  </si>
  <si>
    <t>S-0458</t>
  </si>
  <si>
    <t>Beijing Dermatology Center</t>
  </si>
  <si>
    <t>Beijing</t>
  </si>
  <si>
    <t>S-0459</t>
  </si>
  <si>
    <t>Guangzhou Dermatology &amp; Psoriasis Clinic</t>
  </si>
  <si>
    <t>Guangzhou</t>
  </si>
  <si>
    <t>S-0460</t>
  </si>
  <si>
    <t>Shanghai Psychiatry Institute</t>
  </si>
  <si>
    <t>Shanghai</t>
  </si>
  <si>
    <t>S-0461</t>
  </si>
  <si>
    <t>Beijing Blood Disorders Institute</t>
  </si>
  <si>
    <t>S-0462</t>
  </si>
  <si>
    <t>Shanghai Diabetes &amp; Endocrine Institute</t>
  </si>
  <si>
    <t>S-0463</t>
  </si>
  <si>
    <t>Shanghai Rheumatology Institute</t>
  </si>
  <si>
    <t>S-0464</t>
  </si>
  <si>
    <t>Guangzhou Rheumatology Institute</t>
  </si>
  <si>
    <t>S-0465</t>
  </si>
  <si>
    <t>Chengdu Metabolic Health Center</t>
  </si>
  <si>
    <t>Chengdu</t>
  </si>
  <si>
    <t>S-0466</t>
  </si>
  <si>
    <t>Chengdu Infectious Disease Clinic</t>
  </si>
  <si>
    <t>S-0467</t>
  </si>
  <si>
    <t>Chengdu Diabetes &amp; Endocrine Institute</t>
  </si>
  <si>
    <t>S-0468</t>
  </si>
  <si>
    <t>Chengdu Joint &amp; Autoimmune Care Hospital</t>
  </si>
  <si>
    <t>S-0469</t>
  </si>
  <si>
    <t>Guangzhou Digestive Health Institute</t>
  </si>
  <si>
    <t>S-0470</t>
  </si>
  <si>
    <t>Chengdu Neuroscience Hospital</t>
  </si>
  <si>
    <t>S-0471</t>
  </si>
  <si>
    <t>Shanghai Renal Health Institute</t>
  </si>
  <si>
    <t>S-0472</t>
  </si>
  <si>
    <t>Beijing Global Health Institute</t>
  </si>
  <si>
    <t>S-0473</t>
  </si>
  <si>
    <t>Guangzhou Behavioral Health Center</t>
  </si>
  <si>
    <t>S-0474</t>
  </si>
  <si>
    <t>Chengdu Dermatology Center</t>
  </si>
  <si>
    <t>S-0475</t>
  </si>
  <si>
    <t>Chengdu Global Health Institute</t>
  </si>
  <si>
    <t>S-0476</t>
  </si>
  <si>
    <t>Chengdu Cardiac Care Hospital</t>
  </si>
  <si>
    <t>S-0477</t>
  </si>
  <si>
    <t>Guangzhou Cardiac Care Hospital</t>
  </si>
  <si>
    <t>S-0478</t>
  </si>
  <si>
    <t>Shanghai Infectious Disease Clinic</t>
  </si>
  <si>
    <t>S-0479</t>
  </si>
  <si>
    <t>Beijing Neurology Institute</t>
  </si>
  <si>
    <t>S-0480</t>
  </si>
  <si>
    <t>S-0481</t>
  </si>
  <si>
    <t>Guangzhou Respiratory Care Center</t>
  </si>
  <si>
    <t>S-0482</t>
  </si>
  <si>
    <t>Guangzhou Joint &amp; Autoimmune Care Hospital</t>
  </si>
  <si>
    <t>S-0483</t>
  </si>
  <si>
    <t>Shanghai Oncology Institute</t>
  </si>
  <si>
    <t>S-0484</t>
  </si>
  <si>
    <t>Guangzhou Blood Disorders Institute</t>
  </si>
  <si>
    <t>S-0485</t>
  </si>
  <si>
    <t>Shanghai Skin Health Institute</t>
  </si>
  <si>
    <t>S-0486</t>
  </si>
  <si>
    <t>Chengdu Behavioral Health Center</t>
  </si>
  <si>
    <t>S-0487</t>
  </si>
  <si>
    <t>Beijing Renal Health Institute</t>
  </si>
  <si>
    <t>S-0488</t>
  </si>
  <si>
    <t>Beijing Cancer Center</t>
  </si>
  <si>
    <t>S-0489</t>
  </si>
  <si>
    <t>Chengdu Immunology &amp; ID Center</t>
  </si>
  <si>
    <t>S-0490</t>
  </si>
  <si>
    <t>Shanghai Global Health Institute</t>
  </si>
  <si>
    <t>S-0491</t>
  </si>
  <si>
    <t>S-0492</t>
  </si>
  <si>
    <t>Beijing Nephrology &amp; Kidney Care Center</t>
  </si>
  <si>
    <t>S-0493</t>
  </si>
  <si>
    <t>Chengdu Memory &amp; Brain Health Center</t>
  </si>
  <si>
    <t>S-0494</t>
  </si>
  <si>
    <t>Beijing Hematology Care Hospital</t>
  </si>
  <si>
    <t>S-0495</t>
  </si>
  <si>
    <t>S-0496</t>
  </si>
  <si>
    <t>Beijing Rheumatology &amp; Arthritis Center</t>
  </si>
  <si>
    <t>S-0497</t>
  </si>
  <si>
    <t>Shanghai Comprehensive Cancer Hospital</t>
  </si>
  <si>
    <t>S-0498</t>
  </si>
  <si>
    <t>Chengdu Respiratory Care Center</t>
  </si>
  <si>
    <t>S-0499</t>
  </si>
  <si>
    <t>Chengdu Heart &amp; Vascular Institute</t>
  </si>
  <si>
    <t>S-0500</t>
  </si>
  <si>
    <t>Shanghai Cancer Center</t>
  </si>
  <si>
    <t>S-0501</t>
  </si>
  <si>
    <t>Kuala Lumpur Diabetes &amp; Endocrine Institute</t>
  </si>
  <si>
    <t>Kuala Lumpur</t>
  </si>
  <si>
    <t>S-0502</t>
  </si>
  <si>
    <t>Penang Neuroscience Hospital</t>
  </si>
  <si>
    <t>Penang</t>
  </si>
  <si>
    <t>S-0503</t>
  </si>
  <si>
    <t>Penang Immunology &amp; ID Center</t>
  </si>
  <si>
    <t>S-0504</t>
  </si>
  <si>
    <t>Penang Heart &amp; Vascular Institute</t>
  </si>
  <si>
    <t>S-0505</t>
  </si>
  <si>
    <t>Johor Bahru Diabetes &amp; Endocrine Institute</t>
  </si>
  <si>
    <t>Johor Bahru</t>
  </si>
  <si>
    <t>S-0506</t>
  </si>
  <si>
    <t>Johor Bahru Endocrine Care Hospital</t>
  </si>
  <si>
    <t>S-0507</t>
  </si>
  <si>
    <t>Dammam Joint &amp; Autoimmune Care Hospital</t>
  </si>
  <si>
    <t>Dammam</t>
  </si>
  <si>
    <t>S-0508</t>
  </si>
  <si>
    <t>Dammam Comprehensive Cancer Hospital</t>
  </si>
  <si>
    <t>S-0509</t>
  </si>
  <si>
    <t>Dammam Kidney Care Hospital</t>
  </si>
  <si>
    <t>S-0510</t>
  </si>
  <si>
    <t>Riyadh Cancer Center</t>
  </si>
  <si>
    <t>Riyadh</t>
  </si>
  <si>
    <t>S-0511</t>
  </si>
  <si>
    <t>Riyadh Dermatology Center</t>
  </si>
  <si>
    <t>S-0512</t>
  </si>
  <si>
    <t>Dammam Neuroscience Hospital</t>
  </si>
  <si>
    <t>S-0513</t>
  </si>
  <si>
    <t>Arequipa Neuroscience Hospital</t>
  </si>
  <si>
    <t>Arequipa</t>
  </si>
  <si>
    <t>S-0514</t>
  </si>
  <si>
    <t>Trujillo Blood Disorders Institute</t>
  </si>
  <si>
    <t>Trujillo</t>
  </si>
  <si>
    <t>S-0515</t>
  </si>
  <si>
    <t>Arequipa Joint &amp; Autoimmune Care Hospital</t>
  </si>
  <si>
    <t>S-0516</t>
  </si>
  <si>
    <t>Trujillo Kidney Care Hospital</t>
  </si>
  <si>
    <t>S-0517</t>
  </si>
  <si>
    <t>Trujillo Cardiology Center</t>
  </si>
  <si>
    <t>S-0518</t>
  </si>
  <si>
    <t>Trujillo Neurology Institute</t>
  </si>
  <si>
    <t>S-0519</t>
  </si>
  <si>
    <t>Kharkiv Dermatology Center</t>
  </si>
  <si>
    <t>Kharkiv</t>
  </si>
  <si>
    <t>S-0520</t>
  </si>
  <si>
    <t>Odesa Hematology Care Hospital</t>
  </si>
  <si>
    <t>Odesa</t>
  </si>
  <si>
    <t>S-0521</t>
  </si>
  <si>
    <t>Kharkiv Rheumatology Institute</t>
  </si>
  <si>
    <t>S-0522</t>
  </si>
  <si>
    <t>Kharkiv Kidney Care Hospital</t>
  </si>
  <si>
    <t>S-0523</t>
  </si>
  <si>
    <t>Kyiv Cardiac Care Hospital</t>
  </si>
  <si>
    <t>Kyiv</t>
  </si>
  <si>
    <t>S-0524</t>
  </si>
  <si>
    <t>Kharkiv Immunology &amp; ID Center</t>
  </si>
  <si>
    <t>S-0525</t>
  </si>
  <si>
    <t>Odesa Pulmonology Institute</t>
  </si>
  <si>
    <t>S-0526</t>
  </si>
  <si>
    <t>Odesa Immunology &amp; ID Center</t>
  </si>
  <si>
    <t>S-0527</t>
  </si>
  <si>
    <t>Cluj-Napoca Gastroenterology &amp; IBD Center</t>
  </si>
  <si>
    <t>Cluj-Napoca</t>
  </si>
  <si>
    <t>S-0528</t>
  </si>
  <si>
    <t>Timisoara Joint &amp; Autoimmune Care Hospital</t>
  </si>
  <si>
    <t>Timisoara</t>
  </si>
  <si>
    <t>S-0529</t>
  </si>
  <si>
    <t>Cluj-Napoca Heart &amp; Vascular Institute</t>
  </si>
  <si>
    <t>S-0530</t>
  </si>
  <si>
    <t>Cluj-Napoca Endocrine Care Hospital</t>
  </si>
  <si>
    <t>S-0531</t>
  </si>
  <si>
    <t>Cluj-Napoca Oncology Institute</t>
  </si>
  <si>
    <t>S-0532</t>
  </si>
  <si>
    <t>Phuket GI Care Hospital</t>
  </si>
  <si>
    <t>Phuket</t>
  </si>
  <si>
    <t>S-0533</t>
  </si>
  <si>
    <t>Chiang Mai Rheumatology Institute</t>
  </si>
  <si>
    <t>Chiang Mai</t>
  </si>
  <si>
    <t>S-0534</t>
  </si>
  <si>
    <t>Phuket Rheumatology &amp; Arthritis Center</t>
  </si>
  <si>
    <t>S-0535</t>
  </si>
  <si>
    <t>Chiang Mai Hematology Center</t>
  </si>
  <si>
    <t>S-0536</t>
  </si>
  <si>
    <t>Bangkok Psychiatry Institute</t>
  </si>
  <si>
    <t>Bangkok</t>
  </si>
  <si>
    <t>S-0537</t>
  </si>
  <si>
    <t>Chiang Mai Diabetes &amp; Endocrine Institute</t>
  </si>
  <si>
    <t>S-0538</t>
  </si>
  <si>
    <t>Bangkok Nephrology &amp; Kidney Care Center</t>
  </si>
  <si>
    <t>S-0539</t>
  </si>
  <si>
    <t>S-0540</t>
  </si>
  <si>
    <t>Chiang Mai Respiratory Care Center</t>
  </si>
  <si>
    <t>S-0541</t>
  </si>
  <si>
    <t>Bangkok Global Health Institute</t>
  </si>
  <si>
    <t>S-0542</t>
  </si>
  <si>
    <t>Phuket Dermatology Center</t>
  </si>
  <si>
    <t>S-0543</t>
  </si>
  <si>
    <t>Bangkok Behavioral Health Center</t>
  </si>
  <si>
    <t>S-0544</t>
  </si>
  <si>
    <t>Phuket Pulmonology Institute</t>
  </si>
  <si>
    <t>S-0545</t>
  </si>
  <si>
    <t>Rabat Heart &amp; Vascular Institute</t>
  </si>
  <si>
    <t>Rabat</t>
  </si>
  <si>
    <t>S-0546</t>
  </si>
  <si>
    <t>Casablanca Blood Disorders Institute</t>
  </si>
  <si>
    <t>Casablanca</t>
  </si>
  <si>
    <t>S-0547</t>
  </si>
  <si>
    <t>Rabat Memory &amp; Brain Health Center</t>
  </si>
  <si>
    <t>S-0548</t>
  </si>
  <si>
    <t>Rabat Oncology Institute</t>
  </si>
  <si>
    <t>S-0549</t>
  </si>
  <si>
    <t>Rabat Diabetes &amp; Endocrine Institute</t>
  </si>
  <si>
    <t>S-0550</t>
  </si>
  <si>
    <t>Casablanca Oncology Institute</t>
  </si>
  <si>
    <t>S-0551</t>
  </si>
  <si>
    <t>Casablanca Pulmonology Institute</t>
  </si>
  <si>
    <t>S-0552</t>
  </si>
  <si>
    <t>Tamale Oncology Institute</t>
  </si>
  <si>
    <t>Tamale</t>
  </si>
  <si>
    <t>S-0553</t>
  </si>
  <si>
    <t>Tamale Hematology Care Hospital</t>
  </si>
  <si>
    <t>S-0554</t>
  </si>
  <si>
    <t>Tamale Rheumatology Institute</t>
  </si>
  <si>
    <t>S-0555</t>
  </si>
  <si>
    <t>Accra Gastroenterology &amp; IBD Center</t>
  </si>
  <si>
    <t>Accra</t>
  </si>
  <si>
    <t>S-0556</t>
  </si>
  <si>
    <t>Kumasi Heart &amp; Vascular Institute</t>
  </si>
  <si>
    <t>Kumasi</t>
  </si>
  <si>
    <t>S-0557</t>
  </si>
  <si>
    <t>Accra Global Health Institute</t>
  </si>
  <si>
    <t>S-0558</t>
  </si>
  <si>
    <t>Addis Ababa Heart &amp; Vascular Institute</t>
  </si>
  <si>
    <t>Addis Ababa</t>
  </si>
  <si>
    <t>S-0559</t>
  </si>
  <si>
    <t>Dire Dawa Joint &amp; Autoimmune Care Hospital</t>
  </si>
  <si>
    <t>Dire Dawa</t>
  </si>
  <si>
    <t>S-0560</t>
  </si>
  <si>
    <t>Dire Dawa Lung Health Hospital</t>
  </si>
  <si>
    <t>S-0561</t>
  </si>
  <si>
    <t>Addis Ababa Cardiology Center</t>
  </si>
  <si>
    <t>S-0562</t>
  </si>
  <si>
    <t>Dire Dawa Oncology Institute</t>
  </si>
  <si>
    <t>S-0563</t>
  </si>
  <si>
    <t>Dire Dawa Mental Health Care Hospital</t>
  </si>
  <si>
    <t>S-0564</t>
  </si>
  <si>
    <t>Addis Ababa GI Care Hospital</t>
  </si>
  <si>
    <t>S-0565</t>
  </si>
  <si>
    <t>Addis Ababa Lung Health Hospital</t>
  </si>
  <si>
    <t>S-0566</t>
  </si>
  <si>
    <t>Addis Ababa Psychiatry Institute</t>
  </si>
  <si>
    <t>S-0567</t>
  </si>
  <si>
    <t>S-0568</t>
  </si>
  <si>
    <t>S-0569</t>
  </si>
  <si>
    <t>Dire Dawa Heart &amp; Vascular Institute</t>
  </si>
  <si>
    <t>S-0570</t>
  </si>
  <si>
    <t>Dire Dawa Cardiology Center</t>
  </si>
  <si>
    <t>S-0571</t>
  </si>
  <si>
    <t>Dire Dawa Blood Disorders Institute</t>
  </si>
  <si>
    <t>S-0572</t>
  </si>
  <si>
    <t>Dar es Salaam Immunology &amp; ID Center</t>
  </si>
  <si>
    <t>Dar es Salaam</t>
  </si>
  <si>
    <t>S-0573</t>
  </si>
  <si>
    <t>Dodoma Dermatology &amp; Psoriasis Clinic</t>
  </si>
  <si>
    <t>Dodoma</t>
  </si>
  <si>
    <t>S-0574</t>
  </si>
  <si>
    <t>Dodoma Cancer Center</t>
  </si>
  <si>
    <t>S-0575</t>
  </si>
  <si>
    <t>Dar es Salaam Endocrine Care Hospital</t>
  </si>
  <si>
    <t>S-0576</t>
  </si>
  <si>
    <t>Arusha Hematology Care Hospital</t>
  </si>
  <si>
    <t>Arusha</t>
  </si>
  <si>
    <t>S-0577</t>
  </si>
  <si>
    <t>Dodoma Gastroenterology &amp; IBD Center</t>
  </si>
  <si>
    <t>S-0578</t>
  </si>
  <si>
    <t>Dodoma Comprehensive Cancer Hospital</t>
  </si>
  <si>
    <t>S-0579</t>
  </si>
  <si>
    <t>Dodoma Infectious Disease Clinic</t>
  </si>
  <si>
    <t>S-0580</t>
  </si>
  <si>
    <t>Dar es Salaam Oncology Institute</t>
  </si>
  <si>
    <t>S-0581</t>
  </si>
  <si>
    <t>Entebbe Rheumatology &amp; Arthritis Center</t>
  </si>
  <si>
    <t>Entebbe</t>
  </si>
  <si>
    <t>S-0582</t>
  </si>
  <si>
    <t>Gulu Cardiology Center</t>
  </si>
  <si>
    <t>Gulu</t>
  </si>
  <si>
    <t>S-0583</t>
  </si>
  <si>
    <t>Kampala Global Health Institute</t>
  </si>
  <si>
    <t>Kampala</t>
  </si>
  <si>
    <t>S-0584</t>
  </si>
  <si>
    <t>Gulu Immunology &amp; ID Center</t>
  </si>
  <si>
    <t>S-0585</t>
  </si>
  <si>
    <t>Gulu GI Care Hospital</t>
  </si>
  <si>
    <t>S-0586</t>
  </si>
  <si>
    <t>S-0587</t>
  </si>
  <si>
    <t>Kampala Joint &amp; Autoimmune Care Hospital</t>
  </si>
  <si>
    <t>S-0588</t>
  </si>
  <si>
    <t>Entebbe Oncology Institute</t>
  </si>
  <si>
    <t>S-0589</t>
  </si>
  <si>
    <t>Kampala Neurology Institute</t>
  </si>
  <si>
    <t>S-0590</t>
  </si>
  <si>
    <t>Ndola Heart &amp; Vascular Institute</t>
  </si>
  <si>
    <t>Ndola</t>
  </si>
  <si>
    <t>S-0591</t>
  </si>
  <si>
    <t>Ndola Hematology Care Hospital</t>
  </si>
  <si>
    <t>S-0592</t>
  </si>
  <si>
    <t>Lusaka Neurology Institute</t>
  </si>
  <si>
    <t>Lusaka</t>
  </si>
  <si>
    <t>S-0593</t>
  </si>
  <si>
    <t>Colombo Metabolic Health Center</t>
  </si>
  <si>
    <t>Colombo</t>
  </si>
  <si>
    <t>S-0594</t>
  </si>
  <si>
    <t>Colombo Oncology Institute</t>
  </si>
  <si>
    <t>S-0595</t>
  </si>
  <si>
    <t>Kandy Cardiology Center</t>
  </si>
  <si>
    <t>Kandy</t>
  </si>
  <si>
    <t>S-0596</t>
  </si>
  <si>
    <t>Colombo Psychiatry Institute</t>
  </si>
  <si>
    <t>S-0597</t>
  </si>
  <si>
    <t>Pokhara Pulmonology Institute</t>
  </si>
  <si>
    <t>Pokhara</t>
  </si>
  <si>
    <t>S-0598</t>
  </si>
  <si>
    <t>Kathmandu Dermatology &amp; Psoriasis Clinic</t>
  </si>
  <si>
    <t>Kathmandu</t>
  </si>
  <si>
    <t>S-0599</t>
  </si>
  <si>
    <t>Pokhara Neurology Institute</t>
  </si>
  <si>
    <t>S-0600</t>
  </si>
  <si>
    <t>Kathmandu Global Health Institute</t>
  </si>
  <si>
    <t>Investigator Experience Score (0-10)</t>
  </si>
  <si>
    <t>Years Experience</t>
  </si>
  <si>
    <t>Prior Trials Count</t>
  </si>
  <si>
    <t>Historical Enrollment Rate (pts/month)</t>
  </si>
  <si>
    <t>Dropout Rate (%)</t>
  </si>
  <si>
    <t>Staff Availability Score (0-10)</t>
  </si>
  <si>
    <t>Infrastructure Readiness (%)</t>
  </si>
  <si>
    <t>Data Quality Score (0-100)</t>
  </si>
  <si>
    <t>Competing Trials at Site</t>
  </si>
  <si>
    <t>Suitability Score (0-100)</t>
  </si>
  <si>
    <t>Screen Failure Rate (%)</t>
  </si>
  <si>
    <t>Protocol Deviation Rate (per 100 visits)</t>
  </si>
  <si>
    <t>Time to FPI (days)</t>
  </si>
  <si>
    <t>Site Start-up Time (days)</t>
  </si>
  <si>
    <t>Query Rate (per 100 CRF pages)</t>
  </si>
  <si>
    <t>Query Resolution Time (days)</t>
  </si>
  <si>
    <t>Data Entry Lag (days)</t>
  </si>
  <si>
    <t>Staff Turnover (%)</t>
  </si>
  <si>
    <t>GCP Certification Current (%)</t>
  </si>
  <si>
    <t>Site Cost per Patient (USD)</t>
  </si>
  <si>
    <t>Catchment Population</t>
  </si>
  <si>
    <t>Diversity Index (0-100)</t>
  </si>
  <si>
    <t>Recruitment Score (0-100)</t>
  </si>
  <si>
    <t>Quality Score (0-100)</t>
  </si>
  <si>
    <t>Retention Score (0-100)</t>
  </si>
  <si>
    <t>Diversity Score (0-100)</t>
  </si>
  <si>
    <t>Cost Score (0-100)</t>
  </si>
  <si>
    <t>Site Score (0-100)</t>
  </si>
  <si>
    <t>Model Coverage (%)</t>
  </si>
  <si>
    <t>Data Completeness (%)</t>
  </si>
  <si>
    <t>Score Confidence</t>
  </si>
  <si>
    <t>Medium</t>
  </si>
  <si>
    <t>Likelihood \ Impact</t>
  </si>
  <si>
    <t>Risk ID</t>
  </si>
  <si>
    <t>Risk Category</t>
  </si>
  <si>
    <t>Description</t>
  </si>
  <si>
    <t>Likelihood</t>
  </si>
  <si>
    <t>Impact</t>
  </si>
  <si>
    <t>Overall Risk Rating</t>
  </si>
  <si>
    <t>Date Identified</t>
  </si>
  <si>
    <t>Status</t>
  </si>
  <si>
    <t>Mitigation Plan</t>
  </si>
  <si>
    <t>Owner</t>
  </si>
  <si>
    <t>Risk Score (Numeric)</t>
  </si>
  <si>
    <t>R-00001</t>
  </si>
  <si>
    <t>Operational</t>
  </si>
  <si>
    <t>Clinical coordinator role currently open, may delay start-up</t>
  </si>
  <si>
    <t>Mitigated</t>
  </si>
  <si>
    <t>Mitigation actions completed; residual risk accepted</t>
  </si>
  <si>
    <t>Clinical Ops Manager</t>
  </si>
  <si>
    <t>R-00002</t>
  </si>
  <si>
    <t>Compliance</t>
  </si>
  <si>
    <t>GCP refresher training overdue for part of site staff</t>
  </si>
  <si>
    <t>Regulatory Affairs Lead</t>
  </si>
  <si>
    <t>R-00003</t>
  </si>
  <si>
    <t>Enrollment</t>
  </si>
  <si>
    <t>Referral pipeline narrower than target eligible population</t>
  </si>
  <si>
    <t>Corrective action implemented; monitored at next visit</t>
  </si>
  <si>
    <t>Site Feasibility Lead</t>
  </si>
  <si>
    <t>R-00004</t>
  </si>
  <si>
    <t>Competitive</t>
  </si>
  <si>
    <t>One or more competing trials recruiting the same indication nearby</t>
  </si>
  <si>
    <t>Closed</t>
  </si>
  <si>
    <t>Issue closed out following corrective action</t>
  </si>
  <si>
    <t>R-00005</t>
  </si>
  <si>
    <t>Regulatory</t>
  </si>
  <si>
    <t>Local ethics committee review queue longer than regional average</t>
  </si>
  <si>
    <t>R-00006</t>
  </si>
  <si>
    <t>Data Integrity</t>
  </si>
  <si>
    <t>Site is new to the sponsor's EDC platform, limited track record</t>
  </si>
  <si>
    <t>Data Management Lead</t>
  </si>
  <si>
    <t>R-00007</t>
  </si>
  <si>
    <t>Nursing staff ratio below recommended threshold for trial volume</t>
  </si>
  <si>
    <t>R-00008</t>
  </si>
  <si>
    <t>Minor protocol deviation noted in a prior trial at this site</t>
  </si>
  <si>
    <t>Open</t>
  </si>
  <si>
    <t>Action plan pending sponsor/site review</t>
  </si>
  <si>
    <t>R-00009</t>
  </si>
  <si>
    <t>Historical seasonal enrollment slowdown observed at this site</t>
  </si>
  <si>
    <t>R-00010</t>
  </si>
  <si>
    <t>Overlapping investigator commitments across concurrent trials</t>
  </si>
  <si>
    <t>R-00011</t>
  </si>
  <si>
    <t>Import/customs license renewal pending for investigational product</t>
  </si>
  <si>
    <t>R-00012</t>
  </si>
  <si>
    <t>Source data verification gap flagged in a previous monitoring visit</t>
  </si>
  <si>
    <t>Monitoring</t>
  </si>
  <si>
    <t>Tracking indicator reviewed at each monitoring visit</t>
  </si>
  <si>
    <t>R-00013</t>
  </si>
  <si>
    <t>Key equipment calibration/certification renewal pending</t>
  </si>
  <si>
    <t>Resolved; no further action required</t>
  </si>
  <si>
    <t>R-00014</t>
  </si>
  <si>
    <t>Prior regulatory inspection finding not yet fully closed out</t>
  </si>
  <si>
    <t>Mitigation plan to be defined during site initiation visit</t>
  </si>
  <si>
    <t>R-00015</t>
  </si>
  <si>
    <t>Screen failure rate above regional average in past studies</t>
  </si>
  <si>
    <t>Under active monitoring; escalate if trend worsens</t>
  </si>
  <si>
    <t>Study Start-Up Specialist</t>
  </si>
  <si>
    <t>R-00016</t>
  </si>
  <si>
    <t>R-00017</t>
  </si>
  <si>
    <t>Recent local regulatory policy change may affect approval timeline</t>
  </si>
  <si>
    <t>R-00018</t>
  </si>
  <si>
    <t>R-00019</t>
  </si>
  <si>
    <t>R-00020</t>
  </si>
  <si>
    <t>R-00021</t>
  </si>
  <si>
    <t>R-00022</t>
  </si>
  <si>
    <t>Shared patient pool with an adjacent high-volume site</t>
  </si>
  <si>
    <t>R-00023</t>
  </si>
  <si>
    <t>R-00024</t>
  </si>
  <si>
    <t>R-00025</t>
  </si>
  <si>
    <t>R-00026</t>
  </si>
  <si>
    <t>R-00027</t>
  </si>
  <si>
    <t>R-00028</t>
  </si>
  <si>
    <t>R-00029</t>
  </si>
  <si>
    <t>R-00030</t>
  </si>
  <si>
    <t>EDC query resolution time above sponsor benchmark historically</t>
  </si>
  <si>
    <t>R-00031</t>
  </si>
  <si>
    <t>R-00032</t>
  </si>
  <si>
    <t>R-00033</t>
  </si>
  <si>
    <t>R-00034</t>
  </si>
  <si>
    <t>R-00035</t>
  </si>
  <si>
    <t>R-00036</t>
  </si>
  <si>
    <t>R-00037</t>
  </si>
  <si>
    <t>Backup power/generator certification not yet confirmed</t>
  </si>
  <si>
    <t>R-00038</t>
  </si>
  <si>
    <t>Informed consent documentation gap flagged in last internal audit</t>
  </si>
  <si>
    <t>R-00039</t>
  </si>
  <si>
    <t>R-00040</t>
  </si>
  <si>
    <t>R-00041</t>
  </si>
  <si>
    <t>R-00042</t>
  </si>
  <si>
    <t>R-00043</t>
  </si>
  <si>
    <t>R-00044</t>
  </si>
  <si>
    <t>R-00045</t>
  </si>
  <si>
    <t>R-00046</t>
  </si>
  <si>
    <t>R-00047</t>
  </si>
  <si>
    <t>R-00048</t>
  </si>
  <si>
    <t>R-00049</t>
  </si>
  <si>
    <t>R-00050</t>
  </si>
  <si>
    <t>R-00051</t>
  </si>
  <si>
    <t>R-00052</t>
  </si>
  <si>
    <t>R-00053</t>
  </si>
  <si>
    <t>R-00054</t>
  </si>
  <si>
    <t>R-00055</t>
  </si>
  <si>
    <t>R-00056</t>
  </si>
  <si>
    <t>R-00057</t>
  </si>
  <si>
    <t>R-00058</t>
  </si>
  <si>
    <t>R-00059</t>
  </si>
  <si>
    <t>R-00060</t>
  </si>
  <si>
    <t>R-00061</t>
  </si>
  <si>
    <t>R-00062</t>
  </si>
  <si>
    <t>R-00063</t>
  </si>
  <si>
    <t>R-00064</t>
  </si>
  <si>
    <t>R-00065</t>
  </si>
  <si>
    <t>R-00066</t>
  </si>
  <si>
    <t>R-00067</t>
  </si>
  <si>
    <t>R-00068</t>
  </si>
  <si>
    <t>R-00069</t>
  </si>
  <si>
    <t>R-00070</t>
  </si>
  <si>
    <t>R-00071</t>
  </si>
  <si>
    <t>R-00072</t>
  </si>
  <si>
    <t>R-00073</t>
  </si>
  <si>
    <t>R-00074</t>
  </si>
  <si>
    <t>R-00075</t>
  </si>
  <si>
    <t>R-00076</t>
  </si>
  <si>
    <t>R-00077</t>
  </si>
  <si>
    <t>R-00078</t>
  </si>
  <si>
    <t>R-00079</t>
  </si>
  <si>
    <t>R-00080</t>
  </si>
  <si>
    <t>R-00081</t>
  </si>
  <si>
    <t>R-00082</t>
  </si>
  <si>
    <t>R-00083</t>
  </si>
  <si>
    <t>R-00084</t>
  </si>
  <si>
    <t>R-00085</t>
  </si>
  <si>
    <t>R-00086</t>
  </si>
  <si>
    <t>R-00087</t>
  </si>
  <si>
    <t>R-00088</t>
  </si>
  <si>
    <t>R-00089</t>
  </si>
  <si>
    <t>R-00090</t>
  </si>
  <si>
    <t>R-00091</t>
  </si>
  <si>
    <t>R-00092</t>
  </si>
  <si>
    <t>R-00093</t>
  </si>
  <si>
    <t>R-00094</t>
  </si>
  <si>
    <t>R-00095</t>
  </si>
  <si>
    <t>R-00096</t>
  </si>
  <si>
    <t>R-00097</t>
  </si>
  <si>
    <t>R-00098</t>
  </si>
  <si>
    <t>R-00099</t>
  </si>
  <si>
    <t>R-00100</t>
  </si>
  <si>
    <t>R-00101</t>
  </si>
  <si>
    <t>R-00102</t>
  </si>
  <si>
    <t>R-00103</t>
  </si>
  <si>
    <t>R-00104</t>
  </si>
  <si>
    <t>R-00105</t>
  </si>
  <si>
    <t>R-00106</t>
  </si>
  <si>
    <t>R-00107</t>
  </si>
  <si>
    <t>R-00108</t>
  </si>
  <si>
    <t>R-00109</t>
  </si>
  <si>
    <t>R-00110</t>
  </si>
  <si>
    <t>R-00111</t>
  </si>
  <si>
    <t>R-00112</t>
  </si>
  <si>
    <t>R-00113</t>
  </si>
  <si>
    <t>R-00114</t>
  </si>
  <si>
    <t>R-00115</t>
  </si>
  <si>
    <t>R-00116</t>
  </si>
  <si>
    <t>R-00117</t>
  </si>
  <si>
    <t>R-00118</t>
  </si>
  <si>
    <t>R-00119</t>
  </si>
  <si>
    <t>R-00120</t>
  </si>
  <si>
    <t>R-00121</t>
  </si>
  <si>
    <t>R-00122</t>
  </si>
  <si>
    <t>R-00123</t>
  </si>
  <si>
    <t>Patient travel distance may affect long-term retention</t>
  </si>
  <si>
    <t>R-00124</t>
  </si>
  <si>
    <t>R-00125</t>
  </si>
  <si>
    <t>R-00126</t>
  </si>
  <si>
    <t>R-00127</t>
  </si>
  <si>
    <t>R-00128</t>
  </si>
  <si>
    <t>R-00129</t>
  </si>
  <si>
    <t>R-00130</t>
  </si>
  <si>
    <t>R-00131</t>
  </si>
  <si>
    <t>R-00132</t>
  </si>
  <si>
    <t>R-00133</t>
  </si>
  <si>
    <t>R-00134</t>
  </si>
  <si>
    <t>R-00135</t>
  </si>
  <si>
    <t>R-00136</t>
  </si>
  <si>
    <t>R-00137</t>
  </si>
  <si>
    <t>R-00138</t>
  </si>
  <si>
    <t>R-00139</t>
  </si>
  <si>
    <t>R-00140</t>
  </si>
  <si>
    <t>R-00141</t>
  </si>
  <si>
    <t>R-00142</t>
  </si>
  <si>
    <t>R-00143</t>
  </si>
  <si>
    <t>R-00144</t>
  </si>
  <si>
    <t>R-00145</t>
  </si>
  <si>
    <t>R-00146</t>
  </si>
  <si>
    <t>R-00147</t>
  </si>
  <si>
    <t>R-00148</t>
  </si>
  <si>
    <t>R-00149</t>
  </si>
  <si>
    <t>R-00150</t>
  </si>
  <si>
    <t>R-00151</t>
  </si>
  <si>
    <t>R-00152</t>
  </si>
  <si>
    <t>R-00153</t>
  </si>
  <si>
    <t>R-00154</t>
  </si>
  <si>
    <t>R-00155</t>
  </si>
  <si>
    <t>R-00156</t>
  </si>
  <si>
    <t>R-00157</t>
  </si>
  <si>
    <t>R-00158</t>
  </si>
  <si>
    <t>R-00159</t>
  </si>
  <si>
    <t>R-00160</t>
  </si>
  <si>
    <t>R-00161</t>
  </si>
  <si>
    <t>R-00162</t>
  </si>
  <si>
    <t>R-00163</t>
  </si>
  <si>
    <t>R-00164</t>
  </si>
  <si>
    <t>R-00165</t>
  </si>
  <si>
    <t>R-00166</t>
  </si>
  <si>
    <t>R-00167</t>
  </si>
  <si>
    <t>R-00168</t>
  </si>
  <si>
    <t>R-00169</t>
  </si>
  <si>
    <t>R-00170</t>
  </si>
  <si>
    <t>R-00171</t>
  </si>
  <si>
    <t>R-00172</t>
  </si>
  <si>
    <t>R-00173</t>
  </si>
  <si>
    <t>R-00174</t>
  </si>
  <si>
    <t>R-00175</t>
  </si>
  <si>
    <t>R-00176</t>
  </si>
  <si>
    <t>R-00177</t>
  </si>
  <si>
    <t>R-00178</t>
  </si>
  <si>
    <t>R-00179</t>
  </si>
  <si>
    <t>R-00180</t>
  </si>
  <si>
    <t>R-00181</t>
  </si>
  <si>
    <t>R-00182</t>
  </si>
  <si>
    <t>R-00183</t>
  </si>
  <si>
    <t>R-00184</t>
  </si>
  <si>
    <t>R-00185</t>
  </si>
  <si>
    <t>R-00186</t>
  </si>
  <si>
    <t>R-00187</t>
  </si>
  <si>
    <t>R-00188</t>
  </si>
  <si>
    <t>R-00189</t>
  </si>
  <si>
    <t>R-00190</t>
  </si>
  <si>
    <t>R-00191</t>
  </si>
  <si>
    <t>R-00192</t>
  </si>
  <si>
    <t>R-00193</t>
  </si>
  <si>
    <t>R-00194</t>
  </si>
  <si>
    <t>R-00195</t>
  </si>
  <si>
    <t>R-00196</t>
  </si>
  <si>
    <t>R-00197</t>
  </si>
  <si>
    <t>R-00198</t>
  </si>
  <si>
    <t>R-00199</t>
  </si>
  <si>
    <t>R-00200</t>
  </si>
  <si>
    <t>R-00201</t>
  </si>
  <si>
    <t>R-00202</t>
  </si>
  <si>
    <t>R-00203</t>
  </si>
  <si>
    <t>R-00204</t>
  </si>
  <si>
    <t>R-00205</t>
  </si>
  <si>
    <t>R-00206</t>
  </si>
  <si>
    <t>R-00207</t>
  </si>
  <si>
    <t>R-00208</t>
  </si>
  <si>
    <t>R-00209</t>
  </si>
  <si>
    <t>R-00210</t>
  </si>
  <si>
    <t>R-00211</t>
  </si>
  <si>
    <t>R-00212</t>
  </si>
  <si>
    <t>R-00213</t>
  </si>
  <si>
    <t>R-00214</t>
  </si>
  <si>
    <t>R-00215</t>
  </si>
  <si>
    <t>R-00216</t>
  </si>
  <si>
    <t>R-00217</t>
  </si>
  <si>
    <t>R-00218</t>
  </si>
  <si>
    <t>R-00219</t>
  </si>
  <si>
    <t>R-00220</t>
  </si>
  <si>
    <t>R-00221</t>
  </si>
  <si>
    <t>R-00222</t>
  </si>
  <si>
    <t>R-00223</t>
  </si>
  <si>
    <t>R-00224</t>
  </si>
  <si>
    <t>R-00225</t>
  </si>
  <si>
    <t>R-00226</t>
  </si>
  <si>
    <t>R-00227</t>
  </si>
  <si>
    <t>R-00228</t>
  </si>
  <si>
    <t>R-00229</t>
  </si>
  <si>
    <t>R-00230</t>
  </si>
  <si>
    <t>R-00231</t>
  </si>
  <si>
    <t>R-00232</t>
  </si>
  <si>
    <t>R-00233</t>
  </si>
  <si>
    <t>R-00234</t>
  </si>
  <si>
    <t>R-00235</t>
  </si>
  <si>
    <t>R-00236</t>
  </si>
  <si>
    <t>R-00237</t>
  </si>
  <si>
    <t>R-00238</t>
  </si>
  <si>
    <t>R-00239</t>
  </si>
  <si>
    <t>R-00240</t>
  </si>
  <si>
    <t>R-00241</t>
  </si>
  <si>
    <t>R-00242</t>
  </si>
  <si>
    <t>R-00243</t>
  </si>
  <si>
    <t>R-00244</t>
  </si>
  <si>
    <t>R-00245</t>
  </si>
  <si>
    <t>R-00246</t>
  </si>
  <si>
    <t>R-00247</t>
  </si>
  <si>
    <t>R-00248</t>
  </si>
  <si>
    <t>R-00249</t>
  </si>
  <si>
    <t>R-00250</t>
  </si>
  <si>
    <t>R-00251</t>
  </si>
  <si>
    <t>R-00252</t>
  </si>
  <si>
    <t>R-00253</t>
  </si>
  <si>
    <t>R-00254</t>
  </si>
  <si>
    <t>R-00255</t>
  </si>
  <si>
    <t>R-00256</t>
  </si>
  <si>
    <t>R-00257</t>
  </si>
  <si>
    <t>R-00258</t>
  </si>
  <si>
    <t>R-00259</t>
  </si>
  <si>
    <t>R-00260</t>
  </si>
  <si>
    <t>R-00261</t>
  </si>
  <si>
    <t>R-00262</t>
  </si>
  <si>
    <t>R-00263</t>
  </si>
  <si>
    <t>R-00264</t>
  </si>
  <si>
    <t>R-00265</t>
  </si>
  <si>
    <t>R-00266</t>
  </si>
  <si>
    <t>R-00267</t>
  </si>
  <si>
    <t>R-00268</t>
  </si>
  <si>
    <t>R-00269</t>
  </si>
  <si>
    <t>R-00270</t>
  </si>
  <si>
    <t>R-00271</t>
  </si>
  <si>
    <t>R-00272</t>
  </si>
  <si>
    <t>R-00273</t>
  </si>
  <si>
    <t>R-00274</t>
  </si>
  <si>
    <t>R-00275</t>
  </si>
  <si>
    <t>R-00276</t>
  </si>
  <si>
    <t>R-00277</t>
  </si>
  <si>
    <t>R-00278</t>
  </si>
  <si>
    <t>R-00279</t>
  </si>
  <si>
    <t>R-00280</t>
  </si>
  <si>
    <t>R-00281</t>
  </si>
  <si>
    <t>R-00282</t>
  </si>
  <si>
    <t>R-00283</t>
  </si>
  <si>
    <t>R-00284</t>
  </si>
  <si>
    <t>R-00285</t>
  </si>
  <si>
    <t>R-00286</t>
  </si>
  <si>
    <t>R-00287</t>
  </si>
  <si>
    <t>R-00288</t>
  </si>
  <si>
    <t>R-00289</t>
  </si>
  <si>
    <t>R-00290</t>
  </si>
  <si>
    <t>R-00291</t>
  </si>
  <si>
    <t>R-00292</t>
  </si>
  <si>
    <t>R-00293</t>
  </si>
  <si>
    <t>R-00294</t>
  </si>
  <si>
    <t>R-00295</t>
  </si>
  <si>
    <t>R-00296</t>
  </si>
  <si>
    <t>R-00297</t>
  </si>
  <si>
    <t>R-00298</t>
  </si>
  <si>
    <t>R-00299</t>
  </si>
  <si>
    <t>R-00300</t>
  </si>
  <si>
    <t>R-00301</t>
  </si>
  <si>
    <t>R-00302</t>
  </si>
  <si>
    <t>R-00303</t>
  </si>
  <si>
    <t>R-00304</t>
  </si>
  <si>
    <t>R-00305</t>
  </si>
  <si>
    <t>R-00306</t>
  </si>
  <si>
    <t>R-00307</t>
  </si>
  <si>
    <t>R-00308</t>
  </si>
  <si>
    <t>R-00309</t>
  </si>
  <si>
    <t>R-00310</t>
  </si>
  <si>
    <t>R-00311</t>
  </si>
  <si>
    <t>R-00312</t>
  </si>
  <si>
    <t>R-00313</t>
  </si>
  <si>
    <t>R-00314</t>
  </si>
  <si>
    <t>R-00315</t>
  </si>
  <si>
    <t>R-00316</t>
  </si>
  <si>
    <t>R-00317</t>
  </si>
  <si>
    <t>R-00318</t>
  </si>
  <si>
    <t>R-00319</t>
  </si>
  <si>
    <t>R-00320</t>
  </si>
  <si>
    <t>R-00321</t>
  </si>
  <si>
    <t>R-00322</t>
  </si>
  <si>
    <t>R-00323</t>
  </si>
  <si>
    <t>R-00324</t>
  </si>
  <si>
    <t>R-00325</t>
  </si>
  <si>
    <t>R-00326</t>
  </si>
  <si>
    <t>R-00327</t>
  </si>
  <si>
    <t>R-00328</t>
  </si>
  <si>
    <t>R-00329</t>
  </si>
  <si>
    <t>R-00330</t>
  </si>
  <si>
    <t>R-00331</t>
  </si>
  <si>
    <t>R-00332</t>
  </si>
  <si>
    <t>R-00333</t>
  </si>
  <si>
    <t>R-00334</t>
  </si>
  <si>
    <t>R-00335</t>
  </si>
  <si>
    <t>R-00336</t>
  </si>
  <si>
    <t>R-00337</t>
  </si>
  <si>
    <t>R-00338</t>
  </si>
  <si>
    <t>R-00339</t>
  </si>
  <si>
    <t>R-00340</t>
  </si>
  <si>
    <t>R-00341</t>
  </si>
  <si>
    <t>R-00342</t>
  </si>
  <si>
    <t>R-00343</t>
  </si>
  <si>
    <t>R-00344</t>
  </si>
  <si>
    <t>R-00345</t>
  </si>
  <si>
    <t>R-00346</t>
  </si>
  <si>
    <t>R-00347</t>
  </si>
  <si>
    <t>R-00348</t>
  </si>
  <si>
    <t>R-00349</t>
  </si>
  <si>
    <t>R-00350</t>
  </si>
  <si>
    <t>R-00351</t>
  </si>
  <si>
    <t>R-00352</t>
  </si>
  <si>
    <t>R-00353</t>
  </si>
  <si>
    <t>R-00354</t>
  </si>
  <si>
    <t>R-00355</t>
  </si>
  <si>
    <t>R-00356</t>
  </si>
  <si>
    <t>R-00357</t>
  </si>
  <si>
    <t>R-00358</t>
  </si>
  <si>
    <t>R-00359</t>
  </si>
  <si>
    <t>R-00360</t>
  </si>
  <si>
    <t>R-00361</t>
  </si>
  <si>
    <t>R-00362</t>
  </si>
  <si>
    <t>R-00363</t>
  </si>
  <si>
    <t>R-00364</t>
  </si>
  <si>
    <t>R-00365</t>
  </si>
  <si>
    <t>R-00366</t>
  </si>
  <si>
    <t>R-00367</t>
  </si>
  <si>
    <t>R-00368</t>
  </si>
  <si>
    <t>R-00369</t>
  </si>
  <si>
    <t>R-00370</t>
  </si>
  <si>
    <t>R-00371</t>
  </si>
  <si>
    <t>R-00372</t>
  </si>
  <si>
    <t>R-00373</t>
  </si>
  <si>
    <t>R-00374</t>
  </si>
  <si>
    <t>R-00375</t>
  </si>
  <si>
    <t>R-00376</t>
  </si>
  <si>
    <t>R-00377</t>
  </si>
  <si>
    <t>R-00378</t>
  </si>
  <si>
    <t>R-00379</t>
  </si>
  <si>
    <t>R-00380</t>
  </si>
  <si>
    <t>R-00381</t>
  </si>
  <si>
    <t>R-00382</t>
  </si>
  <si>
    <t>R-00383</t>
  </si>
  <si>
    <t>R-00384</t>
  </si>
  <si>
    <t>R-00385</t>
  </si>
  <si>
    <t>R-00386</t>
  </si>
  <si>
    <t>R-00387</t>
  </si>
  <si>
    <t>R-00388</t>
  </si>
  <si>
    <t>R-00389</t>
  </si>
  <si>
    <t>R-00390</t>
  </si>
  <si>
    <t>R-00391</t>
  </si>
  <si>
    <t>R-00392</t>
  </si>
  <si>
    <t>R-00393</t>
  </si>
  <si>
    <t>R-00394</t>
  </si>
  <si>
    <t>R-00395</t>
  </si>
  <si>
    <t>R-00396</t>
  </si>
  <si>
    <t>R-00397</t>
  </si>
  <si>
    <t>R-00398</t>
  </si>
  <si>
    <t>R-00399</t>
  </si>
  <si>
    <t>R-00400</t>
  </si>
  <si>
    <t>R-00401</t>
  </si>
  <si>
    <t>R-00402</t>
  </si>
  <si>
    <t>R-00403</t>
  </si>
  <si>
    <t>R-00404</t>
  </si>
  <si>
    <t>R-00405</t>
  </si>
  <si>
    <t>R-00406</t>
  </si>
  <si>
    <t>R-00407</t>
  </si>
  <si>
    <t>R-00408</t>
  </si>
  <si>
    <t>R-00409</t>
  </si>
  <si>
    <t>R-00410</t>
  </si>
  <si>
    <t>R-00411</t>
  </si>
  <si>
    <t>R-00412</t>
  </si>
  <si>
    <t>R-00413</t>
  </si>
  <si>
    <t>R-00414</t>
  </si>
  <si>
    <t>R-00415</t>
  </si>
  <si>
    <t>R-00416</t>
  </si>
  <si>
    <t>R-00417</t>
  </si>
  <si>
    <t>R-00418</t>
  </si>
  <si>
    <t>R-00419</t>
  </si>
  <si>
    <t>R-00420</t>
  </si>
  <si>
    <t>R-00421</t>
  </si>
  <si>
    <t>R-00422</t>
  </si>
  <si>
    <t>R-00423</t>
  </si>
  <si>
    <t>R-00424</t>
  </si>
  <si>
    <t>R-00425</t>
  </si>
  <si>
    <t>R-00426</t>
  </si>
  <si>
    <t>R-00427</t>
  </si>
  <si>
    <t>R-00428</t>
  </si>
  <si>
    <t>R-00429</t>
  </si>
  <si>
    <t>R-00430</t>
  </si>
  <si>
    <t>R-00431</t>
  </si>
  <si>
    <t>R-00432</t>
  </si>
  <si>
    <t>R-00433</t>
  </si>
  <si>
    <t>R-00434</t>
  </si>
  <si>
    <t>R-00435</t>
  </si>
  <si>
    <t>R-00436</t>
  </si>
  <si>
    <t>R-00437</t>
  </si>
  <si>
    <t>R-00438</t>
  </si>
  <si>
    <t>R-00439</t>
  </si>
  <si>
    <t>R-00440</t>
  </si>
  <si>
    <t>R-00441</t>
  </si>
  <si>
    <t>R-00442</t>
  </si>
  <si>
    <t>R-00443</t>
  </si>
  <si>
    <t>R-00444</t>
  </si>
  <si>
    <t>R-00445</t>
  </si>
  <si>
    <t>R-00446</t>
  </si>
  <si>
    <t>R-00447</t>
  </si>
  <si>
    <t>R-00448</t>
  </si>
  <si>
    <t>R-00449</t>
  </si>
  <si>
    <t>R-00450</t>
  </si>
  <si>
    <t>R-00451</t>
  </si>
  <si>
    <t>R-00452</t>
  </si>
  <si>
    <t>R-00453</t>
  </si>
  <si>
    <t>R-00454</t>
  </si>
  <si>
    <t>R-00455</t>
  </si>
  <si>
    <t>R-00456</t>
  </si>
  <si>
    <t>R-00457</t>
  </si>
  <si>
    <t>R-00458</t>
  </si>
  <si>
    <t>R-00459</t>
  </si>
  <si>
    <t>R-00460</t>
  </si>
  <si>
    <t>R-00461</t>
  </si>
  <si>
    <t>R-00462</t>
  </si>
  <si>
    <t>R-00463</t>
  </si>
  <si>
    <t>R-00464</t>
  </si>
  <si>
    <t>R-00465</t>
  </si>
  <si>
    <t>R-00466</t>
  </si>
  <si>
    <t>R-00467</t>
  </si>
  <si>
    <t>R-00468</t>
  </si>
  <si>
    <t>R-00469</t>
  </si>
  <si>
    <t>R-00470</t>
  </si>
  <si>
    <t>R-00471</t>
  </si>
  <si>
    <t>R-00472</t>
  </si>
  <si>
    <t>R-00473</t>
  </si>
  <si>
    <t>R-00474</t>
  </si>
  <si>
    <t>R-00475</t>
  </si>
  <si>
    <t>R-00476</t>
  </si>
  <si>
    <t>R-00477</t>
  </si>
  <si>
    <t>R-00478</t>
  </si>
  <si>
    <t>R-00479</t>
  </si>
  <si>
    <t>R-00480</t>
  </si>
  <si>
    <t>R-00481</t>
  </si>
  <si>
    <t>R-00482</t>
  </si>
  <si>
    <t>R-00483</t>
  </si>
  <si>
    <t>R-00484</t>
  </si>
  <si>
    <t>R-00485</t>
  </si>
  <si>
    <t>R-00486</t>
  </si>
  <si>
    <t>R-00487</t>
  </si>
  <si>
    <t>R-00488</t>
  </si>
  <si>
    <t>R-00489</t>
  </si>
  <si>
    <t>R-00490</t>
  </si>
  <si>
    <t>R-00491</t>
  </si>
  <si>
    <t>R-00492</t>
  </si>
  <si>
    <t>R-00493</t>
  </si>
  <si>
    <t>R-00494</t>
  </si>
  <si>
    <t>R-00495</t>
  </si>
  <si>
    <t>R-00496</t>
  </si>
  <si>
    <t>R-00497</t>
  </si>
  <si>
    <t>R-00498</t>
  </si>
  <si>
    <t>R-00499</t>
  </si>
  <si>
    <t>R-00500</t>
  </si>
  <si>
    <t>R-00501</t>
  </si>
  <si>
    <t>R-00502</t>
  </si>
  <si>
    <t>R-00503</t>
  </si>
  <si>
    <t>R-00504</t>
  </si>
  <si>
    <t>R-00505</t>
  </si>
  <si>
    <t>R-00506</t>
  </si>
  <si>
    <t>R-00507</t>
  </si>
  <si>
    <t>R-00508</t>
  </si>
  <si>
    <t>R-00509</t>
  </si>
  <si>
    <t>R-00510</t>
  </si>
  <si>
    <t>R-00511</t>
  </si>
  <si>
    <t>R-00512</t>
  </si>
  <si>
    <t>R-00513</t>
  </si>
  <si>
    <t>R-00514</t>
  </si>
  <si>
    <t>R-00515</t>
  </si>
  <si>
    <t>R-00516</t>
  </si>
  <si>
    <t>R-00517</t>
  </si>
  <si>
    <t>R-00518</t>
  </si>
  <si>
    <t>R-00519</t>
  </si>
  <si>
    <t>R-00520</t>
  </si>
  <si>
    <t>R-00521</t>
  </si>
  <si>
    <t>R-00522</t>
  </si>
  <si>
    <t>R-00523</t>
  </si>
  <si>
    <t>R-00524</t>
  </si>
  <si>
    <t>R-00525</t>
  </si>
  <si>
    <t>R-00526</t>
  </si>
  <si>
    <t>R-00527</t>
  </si>
  <si>
    <t>R-00528</t>
  </si>
  <si>
    <t>R-00529</t>
  </si>
  <si>
    <t>R-00530</t>
  </si>
  <si>
    <t>R-00531</t>
  </si>
  <si>
    <t>R-00532</t>
  </si>
  <si>
    <t>R-00533</t>
  </si>
  <si>
    <t>R-00534</t>
  </si>
  <si>
    <t>R-00535</t>
  </si>
  <si>
    <t>R-00536</t>
  </si>
  <si>
    <t>R-00537</t>
  </si>
  <si>
    <t>R-00538</t>
  </si>
  <si>
    <t>R-00539</t>
  </si>
  <si>
    <t>R-00540</t>
  </si>
  <si>
    <t>R-00541</t>
  </si>
  <si>
    <t>R-00542</t>
  </si>
  <si>
    <t>R-00543</t>
  </si>
  <si>
    <t>R-00544</t>
  </si>
  <si>
    <t>R-00545</t>
  </si>
  <si>
    <t>R-00546</t>
  </si>
  <si>
    <t>R-00547</t>
  </si>
  <si>
    <t>R-00548</t>
  </si>
  <si>
    <t>R-00549</t>
  </si>
  <si>
    <t>R-00550</t>
  </si>
  <si>
    <t>R-00551</t>
  </si>
  <si>
    <t>R-00552</t>
  </si>
  <si>
    <t>R-00553</t>
  </si>
  <si>
    <t>R-00554</t>
  </si>
  <si>
    <t>R-00555</t>
  </si>
  <si>
    <t>R-00556</t>
  </si>
  <si>
    <t>R-00557</t>
  </si>
  <si>
    <t>R-00558</t>
  </si>
  <si>
    <t>R-00559</t>
  </si>
  <si>
    <t>R-00560</t>
  </si>
  <si>
    <t>R-00561</t>
  </si>
  <si>
    <t>R-00562</t>
  </si>
  <si>
    <t>R-00563</t>
  </si>
  <si>
    <t>R-00564</t>
  </si>
  <si>
    <t>R-00565</t>
  </si>
  <si>
    <t>R-00566</t>
  </si>
  <si>
    <t>R-00567</t>
  </si>
  <si>
    <t>R-00568</t>
  </si>
  <si>
    <t>R-00569</t>
  </si>
  <si>
    <t>R-00570</t>
  </si>
  <si>
    <t>R-00571</t>
  </si>
  <si>
    <t>R-00572</t>
  </si>
  <si>
    <t>R-00573</t>
  </si>
  <si>
    <t>R-00574</t>
  </si>
  <si>
    <t>R-00575</t>
  </si>
  <si>
    <t>R-00576</t>
  </si>
  <si>
    <t>R-00577</t>
  </si>
  <si>
    <t>R-00578</t>
  </si>
  <si>
    <t>R-00579</t>
  </si>
  <si>
    <t>R-00580</t>
  </si>
  <si>
    <t>R-00581</t>
  </si>
  <si>
    <t>R-00582</t>
  </si>
  <si>
    <t>R-00583</t>
  </si>
  <si>
    <t>R-00584</t>
  </si>
  <si>
    <t>R-00585</t>
  </si>
  <si>
    <t>R-00586</t>
  </si>
  <si>
    <t>R-00587</t>
  </si>
  <si>
    <t>R-00588</t>
  </si>
  <si>
    <t>R-00589</t>
  </si>
  <si>
    <t>R-00590</t>
  </si>
  <si>
    <t>R-00591</t>
  </si>
  <si>
    <t>R-00592</t>
  </si>
  <si>
    <t>R-00593</t>
  </si>
  <si>
    <t>R-00594</t>
  </si>
  <si>
    <t>R-00595</t>
  </si>
  <si>
    <t>R-00596</t>
  </si>
  <si>
    <t>R-00597</t>
  </si>
  <si>
    <t>R-00598</t>
  </si>
  <si>
    <t>R-00599</t>
  </si>
  <si>
    <t>R-00600</t>
  </si>
  <si>
    <t>R-00601</t>
  </si>
  <si>
    <t>R-00602</t>
  </si>
  <si>
    <t>R-00603</t>
  </si>
  <si>
    <t>R-00604</t>
  </si>
  <si>
    <t>R-00605</t>
  </si>
  <si>
    <t>R-00606</t>
  </si>
  <si>
    <t>R-00607</t>
  </si>
  <si>
    <t>R-00608</t>
  </si>
  <si>
    <t>R-00609</t>
  </si>
  <si>
    <t>R-00610</t>
  </si>
  <si>
    <t>R-00611</t>
  </si>
  <si>
    <t>R-00612</t>
  </si>
  <si>
    <t>R-00613</t>
  </si>
  <si>
    <t>R-00614</t>
  </si>
  <si>
    <t>R-00615</t>
  </si>
  <si>
    <t>R-00616</t>
  </si>
  <si>
    <t>R-00617</t>
  </si>
  <si>
    <t>R-00618</t>
  </si>
  <si>
    <t>R-00619</t>
  </si>
  <si>
    <t>R-00620</t>
  </si>
  <si>
    <t>R-00621</t>
  </si>
  <si>
    <t>R-00622</t>
  </si>
  <si>
    <t>R-00623</t>
  </si>
  <si>
    <t>R-00624</t>
  </si>
  <si>
    <t>R-00625</t>
  </si>
  <si>
    <t>R-00626</t>
  </si>
  <si>
    <t>R-00627</t>
  </si>
  <si>
    <t>R-00628</t>
  </si>
  <si>
    <t>R-00629</t>
  </si>
  <si>
    <t>R-00630</t>
  </si>
  <si>
    <t>R-00631</t>
  </si>
  <si>
    <t>R-00632</t>
  </si>
  <si>
    <t>R-00633</t>
  </si>
  <si>
    <t>R-00634</t>
  </si>
  <si>
    <t>R-00635</t>
  </si>
  <si>
    <t>R-00636</t>
  </si>
  <si>
    <t>R-00637</t>
  </si>
  <si>
    <t>R-00638</t>
  </si>
  <si>
    <t>R-00639</t>
  </si>
  <si>
    <t>R-00640</t>
  </si>
  <si>
    <t>R-00641</t>
  </si>
  <si>
    <t>R-00642</t>
  </si>
  <si>
    <t>R-00643</t>
  </si>
  <si>
    <t>R-00644</t>
  </si>
  <si>
    <t>R-00645</t>
  </si>
  <si>
    <t>R-00646</t>
  </si>
  <si>
    <t>R-00647</t>
  </si>
  <si>
    <t>R-00648</t>
  </si>
  <si>
    <t>R-00649</t>
  </si>
  <si>
    <t>R-00650</t>
  </si>
  <si>
    <t>R-00651</t>
  </si>
  <si>
    <t>R-00652</t>
  </si>
  <si>
    <t>R-00653</t>
  </si>
  <si>
    <t>R-00654</t>
  </si>
  <si>
    <t>R-00655</t>
  </si>
  <si>
    <t>R-00656</t>
  </si>
  <si>
    <t>R-00657</t>
  </si>
  <si>
    <t>R-00658</t>
  </si>
  <si>
    <t>R-00659</t>
  </si>
  <si>
    <t>R-00660</t>
  </si>
  <si>
    <t>R-00661</t>
  </si>
  <si>
    <t>R-00662</t>
  </si>
  <si>
    <t>R-00663</t>
  </si>
  <si>
    <t>R-00664</t>
  </si>
  <si>
    <t>R-00665</t>
  </si>
  <si>
    <t>R-00666</t>
  </si>
  <si>
    <t>R-00667</t>
  </si>
  <si>
    <t>R-00668</t>
  </si>
  <si>
    <t>R-00669</t>
  </si>
  <si>
    <t>R-00670</t>
  </si>
  <si>
    <t>R-00671</t>
  </si>
  <si>
    <t>R-00672</t>
  </si>
  <si>
    <t>R-00673</t>
  </si>
  <si>
    <t>R-00674</t>
  </si>
  <si>
    <t>R-00675</t>
  </si>
  <si>
    <t>R-00676</t>
  </si>
  <si>
    <t>R-00677</t>
  </si>
  <si>
    <t>R-00678</t>
  </si>
  <si>
    <t>R-00679</t>
  </si>
  <si>
    <t>R-00680</t>
  </si>
  <si>
    <t>R-00681</t>
  </si>
  <si>
    <t>R-00682</t>
  </si>
  <si>
    <t>R-00683</t>
  </si>
  <si>
    <t>R-00684</t>
  </si>
  <si>
    <t>R-00685</t>
  </si>
  <si>
    <t>R-00686</t>
  </si>
  <si>
    <t>R-00687</t>
  </si>
  <si>
    <t>R-00688</t>
  </si>
  <si>
    <t>R-00689</t>
  </si>
  <si>
    <t>R-00690</t>
  </si>
  <si>
    <t>R-00691</t>
  </si>
  <si>
    <t>R-00692</t>
  </si>
  <si>
    <t>R-00693</t>
  </si>
  <si>
    <t>R-00694</t>
  </si>
  <si>
    <t>R-00695</t>
  </si>
  <si>
    <t>R-00696</t>
  </si>
  <si>
    <t>R-00697</t>
  </si>
  <si>
    <t>R-00698</t>
  </si>
  <si>
    <t>R-00699</t>
  </si>
  <si>
    <t>R-00700</t>
  </si>
  <si>
    <t>R-00701</t>
  </si>
  <si>
    <t>R-00702</t>
  </si>
  <si>
    <t>R-00703</t>
  </si>
  <si>
    <t>R-00704</t>
  </si>
  <si>
    <t>R-00705</t>
  </si>
  <si>
    <t>R-00706</t>
  </si>
  <si>
    <t>R-00707</t>
  </si>
  <si>
    <t>R-00708</t>
  </si>
  <si>
    <t>R-00709</t>
  </si>
  <si>
    <t>R-00710</t>
  </si>
  <si>
    <t>R-00711</t>
  </si>
  <si>
    <t>R-00712</t>
  </si>
  <si>
    <t>R-00713</t>
  </si>
  <si>
    <t>R-00714</t>
  </si>
  <si>
    <t>R-00715</t>
  </si>
  <si>
    <t>R-00716</t>
  </si>
  <si>
    <t>R-00717</t>
  </si>
  <si>
    <t>R-00718</t>
  </si>
  <si>
    <t>R-00719</t>
  </si>
  <si>
    <t>R-00720</t>
  </si>
  <si>
    <t>R-00721</t>
  </si>
  <si>
    <t>R-00722</t>
  </si>
  <si>
    <t>R-00723</t>
  </si>
  <si>
    <t>R-00724</t>
  </si>
  <si>
    <t>R-00725</t>
  </si>
  <si>
    <t>R-00726</t>
  </si>
  <si>
    <t>R-00727</t>
  </si>
  <si>
    <t>R-00728</t>
  </si>
  <si>
    <t>R-00729</t>
  </si>
  <si>
    <t>R-00730</t>
  </si>
  <si>
    <t>R-00731</t>
  </si>
  <si>
    <t>R-00732</t>
  </si>
  <si>
    <t>R-00733</t>
  </si>
  <si>
    <t>R-00734</t>
  </si>
  <si>
    <t>R-00735</t>
  </si>
  <si>
    <t>R-00736</t>
  </si>
  <si>
    <t>R-00737</t>
  </si>
  <si>
    <t>R-00738</t>
  </si>
  <si>
    <t>R-00739</t>
  </si>
  <si>
    <t>R-00740</t>
  </si>
  <si>
    <t>R-00741</t>
  </si>
  <si>
    <t>R-00742</t>
  </si>
  <si>
    <t>R-00743</t>
  </si>
  <si>
    <t>R-00744</t>
  </si>
  <si>
    <t>R-00745</t>
  </si>
  <si>
    <t>R-00746</t>
  </si>
  <si>
    <t>R-00747</t>
  </si>
  <si>
    <t>R-00748</t>
  </si>
  <si>
    <t>R-00749</t>
  </si>
  <si>
    <t>R-00750</t>
  </si>
  <si>
    <t>R-00751</t>
  </si>
  <si>
    <t>R-00752</t>
  </si>
  <si>
    <t>R-00753</t>
  </si>
  <si>
    <t>R-00754</t>
  </si>
  <si>
    <t>R-00755</t>
  </si>
  <si>
    <t>R-00756</t>
  </si>
  <si>
    <t>R-00757</t>
  </si>
  <si>
    <t>R-00758</t>
  </si>
  <si>
    <t>R-00759</t>
  </si>
  <si>
    <t>R-00760</t>
  </si>
  <si>
    <t>R-00761</t>
  </si>
  <si>
    <t>R-00762</t>
  </si>
  <si>
    <t>R-00763</t>
  </si>
  <si>
    <t>R-00764</t>
  </si>
  <si>
    <t>R-00765</t>
  </si>
  <si>
    <t>R-00766</t>
  </si>
  <si>
    <t>R-00767</t>
  </si>
  <si>
    <t>R-00768</t>
  </si>
  <si>
    <t>R-00769</t>
  </si>
  <si>
    <t>R-00770</t>
  </si>
  <si>
    <t>R-00771</t>
  </si>
  <si>
    <t>R-00772</t>
  </si>
  <si>
    <t>R-00773</t>
  </si>
  <si>
    <t>R-00774</t>
  </si>
  <si>
    <t>R-00775</t>
  </si>
  <si>
    <t>R-00776</t>
  </si>
  <si>
    <t>R-00777</t>
  </si>
  <si>
    <t>R-00778</t>
  </si>
  <si>
    <t>R-00779</t>
  </si>
  <si>
    <t>R-00780</t>
  </si>
  <si>
    <t>R-00781</t>
  </si>
  <si>
    <t>R-00782</t>
  </si>
  <si>
    <t>R-00783</t>
  </si>
  <si>
    <t>R-00784</t>
  </si>
  <si>
    <t>R-00785</t>
  </si>
  <si>
    <t>R-00786</t>
  </si>
  <si>
    <t>R-00787</t>
  </si>
  <si>
    <t>R-00788</t>
  </si>
  <si>
    <t>R-00789</t>
  </si>
  <si>
    <t>R-00790</t>
  </si>
  <si>
    <t>R-00791</t>
  </si>
  <si>
    <t>R-00792</t>
  </si>
  <si>
    <t>R-00793</t>
  </si>
  <si>
    <t>R-00794</t>
  </si>
  <si>
    <t>R-00795</t>
  </si>
  <si>
    <t>R-00796</t>
  </si>
  <si>
    <t>R-00797</t>
  </si>
  <si>
    <t>R-00798</t>
  </si>
  <si>
    <t>R-00799</t>
  </si>
  <si>
    <t>R-00800</t>
  </si>
  <si>
    <t>R-00801</t>
  </si>
  <si>
    <t>R-00802</t>
  </si>
  <si>
    <t>R-00803</t>
  </si>
  <si>
    <t>R-00804</t>
  </si>
  <si>
    <t>R-00805</t>
  </si>
  <si>
    <t>R-00806</t>
  </si>
  <si>
    <t>R-00807</t>
  </si>
  <si>
    <t>R-00808</t>
  </si>
  <si>
    <t>R-00809</t>
  </si>
  <si>
    <t>R-00810</t>
  </si>
  <si>
    <t>R-00811</t>
  </si>
  <si>
    <t>R-00812</t>
  </si>
  <si>
    <t>R-00813</t>
  </si>
  <si>
    <t>R-00814</t>
  </si>
  <si>
    <t>R-00815</t>
  </si>
  <si>
    <t>R-00816</t>
  </si>
  <si>
    <t>R-00817</t>
  </si>
  <si>
    <t>R-00818</t>
  </si>
  <si>
    <t>R-00819</t>
  </si>
  <si>
    <t>R-00820</t>
  </si>
  <si>
    <t>R-00821</t>
  </si>
  <si>
    <t>R-00822</t>
  </si>
  <si>
    <t>R-00823</t>
  </si>
  <si>
    <t>R-00824</t>
  </si>
  <si>
    <t>R-00825</t>
  </si>
  <si>
    <t>R-00826</t>
  </si>
  <si>
    <t>R-00827</t>
  </si>
  <si>
    <t>R-00828</t>
  </si>
  <si>
    <t>R-00829</t>
  </si>
  <si>
    <t>R-00830</t>
  </si>
  <si>
    <t>R-00831</t>
  </si>
  <si>
    <t>R-00832</t>
  </si>
  <si>
    <t>R-00833</t>
  </si>
  <si>
    <t>R-00834</t>
  </si>
  <si>
    <t>R-00835</t>
  </si>
  <si>
    <t>R-00836</t>
  </si>
  <si>
    <t>R-00837</t>
  </si>
  <si>
    <t>R-00838</t>
  </si>
  <si>
    <t>R-00839</t>
  </si>
  <si>
    <t>R-00840</t>
  </si>
  <si>
    <t>R-00841</t>
  </si>
  <si>
    <t>R-00842</t>
  </si>
  <si>
    <t>R-00843</t>
  </si>
  <si>
    <t>R-00844</t>
  </si>
  <si>
    <t>R-00845</t>
  </si>
  <si>
    <t>R-00846</t>
  </si>
  <si>
    <t>R-00847</t>
  </si>
  <si>
    <t>R-00848</t>
  </si>
  <si>
    <t>R-00849</t>
  </si>
  <si>
    <t>R-00850</t>
  </si>
  <si>
    <t>R-00851</t>
  </si>
  <si>
    <t>R-00852</t>
  </si>
  <si>
    <t>R-00853</t>
  </si>
  <si>
    <t>R-00854</t>
  </si>
  <si>
    <t>R-00855</t>
  </si>
  <si>
    <t>R-00856</t>
  </si>
  <si>
    <t>R-00857</t>
  </si>
  <si>
    <t>R-00858</t>
  </si>
  <si>
    <t>R-00859</t>
  </si>
  <si>
    <t>R-00860</t>
  </si>
  <si>
    <t>R-00861</t>
  </si>
  <si>
    <t>R-00862</t>
  </si>
  <si>
    <t>R-00863</t>
  </si>
  <si>
    <t>R-00864</t>
  </si>
  <si>
    <t>R-00865</t>
  </si>
  <si>
    <t>R-00866</t>
  </si>
  <si>
    <t>R-00867</t>
  </si>
  <si>
    <t>R-00868</t>
  </si>
  <si>
    <t>R-00869</t>
  </si>
  <si>
    <t>R-00870</t>
  </si>
  <si>
    <t>R-00871</t>
  </si>
  <si>
    <t>R-00872</t>
  </si>
  <si>
    <t>R-00873</t>
  </si>
  <si>
    <t>R-00874</t>
  </si>
  <si>
    <t>R-00875</t>
  </si>
  <si>
    <t>R-00876</t>
  </si>
  <si>
    <t>R-00877</t>
  </si>
  <si>
    <t>R-00878</t>
  </si>
  <si>
    <t>R-00879</t>
  </si>
  <si>
    <t>R-00880</t>
  </si>
  <si>
    <t>R-00881</t>
  </si>
  <si>
    <t>R-00882</t>
  </si>
  <si>
    <t>R-00883</t>
  </si>
  <si>
    <t>R-00884</t>
  </si>
  <si>
    <t>R-00885</t>
  </si>
  <si>
    <t>R-00886</t>
  </si>
  <si>
    <t>R-00887</t>
  </si>
  <si>
    <t>R-00888</t>
  </si>
  <si>
    <t>R-00889</t>
  </si>
  <si>
    <t>R-00890</t>
  </si>
  <si>
    <t>R-00891</t>
  </si>
  <si>
    <t>R-00892</t>
  </si>
  <si>
    <t>R-00893</t>
  </si>
  <si>
    <t>R-00894</t>
  </si>
  <si>
    <t>R-00895</t>
  </si>
  <si>
    <t>R-00896</t>
  </si>
  <si>
    <t>R-00897</t>
  </si>
  <si>
    <t>R-00898</t>
  </si>
  <si>
    <t>R-00899</t>
  </si>
  <si>
    <t>R-00900</t>
  </si>
  <si>
    <t>R-00901</t>
  </si>
  <si>
    <t>R-00902</t>
  </si>
  <si>
    <t>R-00903</t>
  </si>
  <si>
    <t>R-00904</t>
  </si>
  <si>
    <t>R-00905</t>
  </si>
  <si>
    <t>R-00906</t>
  </si>
  <si>
    <t>R-00907</t>
  </si>
  <si>
    <t>R-00908</t>
  </si>
  <si>
    <t>R-00909</t>
  </si>
  <si>
    <t>R-00910</t>
  </si>
  <si>
    <t>R-00911</t>
  </si>
  <si>
    <t>R-00912</t>
  </si>
  <si>
    <t>R-00913</t>
  </si>
  <si>
    <t>R-00914</t>
  </si>
  <si>
    <t>R-00915</t>
  </si>
  <si>
    <t>R-00916</t>
  </si>
  <si>
    <t>R-00917</t>
  </si>
  <si>
    <t>R-00918</t>
  </si>
  <si>
    <t>R-00919</t>
  </si>
  <si>
    <t>R-00920</t>
  </si>
  <si>
    <t>R-00921</t>
  </si>
  <si>
    <t>R-00922</t>
  </si>
  <si>
    <t>R-00923</t>
  </si>
  <si>
    <t>R-00924</t>
  </si>
  <si>
    <t>R-00925</t>
  </si>
  <si>
    <t>R-00926</t>
  </si>
  <si>
    <t>R-00927</t>
  </si>
  <si>
    <t>R-00928</t>
  </si>
  <si>
    <t>R-00929</t>
  </si>
  <si>
    <t>R-00930</t>
  </si>
  <si>
    <t>R-00931</t>
  </si>
  <si>
    <t>R-00932</t>
  </si>
  <si>
    <t>R-00933</t>
  </si>
  <si>
    <t>R-00934</t>
  </si>
  <si>
    <t>R-00935</t>
  </si>
  <si>
    <t>R-00936</t>
  </si>
  <si>
    <t>R-00937</t>
  </si>
  <si>
    <t>R-00938</t>
  </si>
  <si>
    <t>R-00939</t>
  </si>
  <si>
    <t>R-00940</t>
  </si>
  <si>
    <t>R-00941</t>
  </si>
  <si>
    <t>R-00942</t>
  </si>
  <si>
    <t>R-00943</t>
  </si>
  <si>
    <t>R-00944</t>
  </si>
  <si>
    <t>R-00945</t>
  </si>
  <si>
    <t>R-00946</t>
  </si>
  <si>
    <t>R-00947</t>
  </si>
  <si>
    <t>R-00948</t>
  </si>
  <si>
    <t>R-00949</t>
  </si>
  <si>
    <t>R-00950</t>
  </si>
  <si>
    <t>R-00951</t>
  </si>
  <si>
    <t>R-00952</t>
  </si>
  <si>
    <t>R-00953</t>
  </si>
  <si>
    <t>R-00954</t>
  </si>
  <si>
    <t>R-00955</t>
  </si>
  <si>
    <t>R-00956</t>
  </si>
  <si>
    <t>R-00957</t>
  </si>
  <si>
    <t>R-00958</t>
  </si>
  <si>
    <t>R-00959</t>
  </si>
  <si>
    <t>R-00960</t>
  </si>
  <si>
    <t>R-00961</t>
  </si>
  <si>
    <t>R-00962</t>
  </si>
  <si>
    <t>R-00963</t>
  </si>
  <si>
    <t>R-00964</t>
  </si>
  <si>
    <t>R-00965</t>
  </si>
  <si>
    <t>R-00966</t>
  </si>
  <si>
    <t>R-00967</t>
  </si>
  <si>
    <t>R-00968</t>
  </si>
  <si>
    <t>R-00969</t>
  </si>
  <si>
    <t>R-00970</t>
  </si>
  <si>
    <t>R-00971</t>
  </si>
  <si>
    <t>R-00972</t>
  </si>
  <si>
    <t>R-00973</t>
  </si>
  <si>
    <t>R-00974</t>
  </si>
  <si>
    <t>R-00975</t>
  </si>
  <si>
    <t>R-00976</t>
  </si>
  <si>
    <t>R-00977</t>
  </si>
  <si>
    <t>R-00978</t>
  </si>
  <si>
    <t>R-00979</t>
  </si>
  <si>
    <t>R-00980</t>
  </si>
  <si>
    <t>R-00981</t>
  </si>
  <si>
    <t>R-00982</t>
  </si>
  <si>
    <t>R-00983</t>
  </si>
  <si>
    <t>R-00984</t>
  </si>
  <si>
    <t>R-00985</t>
  </si>
  <si>
    <t>R-00986</t>
  </si>
  <si>
    <t>R-00987</t>
  </si>
  <si>
    <t>R-00988</t>
  </si>
  <si>
    <t>R-00989</t>
  </si>
  <si>
    <t>R-00990</t>
  </si>
  <si>
    <t>R-00991</t>
  </si>
  <si>
    <t>R-00992</t>
  </si>
  <si>
    <t>R-00993</t>
  </si>
  <si>
    <t>R-00994</t>
  </si>
  <si>
    <t>R-00995</t>
  </si>
  <si>
    <t>R-00996</t>
  </si>
  <si>
    <t>R-00997</t>
  </si>
  <si>
    <t>R-00998</t>
  </si>
  <si>
    <t>R-00999</t>
  </si>
  <si>
    <t>R-01000</t>
  </si>
  <si>
    <t>R-01001</t>
  </si>
  <si>
    <t>R-01002</t>
  </si>
  <si>
    <t>R-01003</t>
  </si>
  <si>
    <t>R-01004</t>
  </si>
  <si>
    <t>R-01005</t>
  </si>
  <si>
    <t>R-01006</t>
  </si>
  <si>
    <t>R-01007</t>
  </si>
  <si>
    <t>R-01008</t>
  </si>
  <si>
    <t>R-01009</t>
  </si>
  <si>
    <t>R-01010</t>
  </si>
  <si>
    <t>R-01011</t>
  </si>
  <si>
    <t>R-01012</t>
  </si>
  <si>
    <t>R-01013</t>
  </si>
  <si>
    <t>R-01014</t>
  </si>
  <si>
    <t>R-01015</t>
  </si>
  <si>
    <t>R-01016</t>
  </si>
  <si>
    <t>R-01017</t>
  </si>
  <si>
    <t>R-01018</t>
  </si>
  <si>
    <t>R-01019</t>
  </si>
  <si>
    <t>R-01020</t>
  </si>
  <si>
    <t>R-01021</t>
  </si>
  <si>
    <t>R-01022</t>
  </si>
  <si>
    <t>R-01023</t>
  </si>
  <si>
    <t>R-01024</t>
  </si>
  <si>
    <t>R-01025</t>
  </si>
  <si>
    <t>R-01026</t>
  </si>
  <si>
    <t>R-01027</t>
  </si>
  <si>
    <t>R-01028</t>
  </si>
  <si>
    <t>R-01029</t>
  </si>
  <si>
    <t>R-01030</t>
  </si>
  <si>
    <t>R-01031</t>
  </si>
  <si>
    <t>R-01032</t>
  </si>
  <si>
    <t>R-01033</t>
  </si>
  <si>
    <t>R-01034</t>
  </si>
  <si>
    <t>R-01035</t>
  </si>
  <si>
    <t>R-01036</t>
  </si>
  <si>
    <t>R-01037</t>
  </si>
  <si>
    <t>R-01038</t>
  </si>
  <si>
    <t>R-01039</t>
  </si>
  <si>
    <t>R-01040</t>
  </si>
  <si>
    <t>R-01041</t>
  </si>
  <si>
    <t>R-01042</t>
  </si>
  <si>
    <t>R-01043</t>
  </si>
  <si>
    <t>R-01044</t>
  </si>
  <si>
    <t>R-01045</t>
  </si>
  <si>
    <t>R-01046</t>
  </si>
  <si>
    <t>R-01047</t>
  </si>
  <si>
    <t>R-01048</t>
  </si>
  <si>
    <t>R-01049</t>
  </si>
  <si>
    <t>R-01050</t>
  </si>
  <si>
    <t>R-01051</t>
  </si>
  <si>
    <t>R-01052</t>
  </si>
  <si>
    <t>R-01053</t>
  </si>
  <si>
    <t>R-01054</t>
  </si>
  <si>
    <t>R-01055</t>
  </si>
  <si>
    <t>R-01056</t>
  </si>
  <si>
    <t>R-01057</t>
  </si>
  <si>
    <t>R-01058</t>
  </si>
  <si>
    <t>R-01059</t>
  </si>
  <si>
    <t>R-01060</t>
  </si>
  <si>
    <t>R-01061</t>
  </si>
  <si>
    <t>R-01062</t>
  </si>
  <si>
    <t>R-01063</t>
  </si>
  <si>
    <t>R-01064</t>
  </si>
  <si>
    <t>R-01065</t>
  </si>
  <si>
    <t>R-01066</t>
  </si>
  <si>
    <t>R-01067</t>
  </si>
  <si>
    <t>R-01068</t>
  </si>
  <si>
    <t>R-01069</t>
  </si>
  <si>
    <t>R-01070</t>
  </si>
  <si>
    <t>R-01071</t>
  </si>
  <si>
    <t>R-01072</t>
  </si>
  <si>
    <t>R-01073</t>
  </si>
  <si>
    <t>R-01074</t>
  </si>
  <si>
    <t>R-01075</t>
  </si>
  <si>
    <t>R-01076</t>
  </si>
  <si>
    <t>R-01077</t>
  </si>
  <si>
    <t>R-01078</t>
  </si>
  <si>
    <t>R-01079</t>
  </si>
  <si>
    <t>R-01080</t>
  </si>
  <si>
    <t>R-01081</t>
  </si>
  <si>
    <t>R-01082</t>
  </si>
  <si>
    <t>R-01083</t>
  </si>
  <si>
    <t>R-01084</t>
  </si>
  <si>
    <t>R-01085</t>
  </si>
  <si>
    <t>R-01086</t>
  </si>
  <si>
    <t>R-01087</t>
  </si>
  <si>
    <t>R-01088</t>
  </si>
  <si>
    <t>R-01089</t>
  </si>
  <si>
    <t>R-01090</t>
  </si>
  <si>
    <t>R-01091</t>
  </si>
  <si>
    <t>R-01092</t>
  </si>
  <si>
    <t>R-01093</t>
  </si>
  <si>
    <t>R-01094</t>
  </si>
  <si>
    <t>R-01095</t>
  </si>
  <si>
    <t>R-01096</t>
  </si>
  <si>
    <t>R-01097</t>
  </si>
  <si>
    <t>R-01098</t>
  </si>
  <si>
    <t>R-01099</t>
  </si>
  <si>
    <t>R-01100</t>
  </si>
  <si>
    <t>R-01101</t>
  </si>
  <si>
    <t>R-01102</t>
  </si>
  <si>
    <t>R-01103</t>
  </si>
  <si>
    <t>R-01104</t>
  </si>
  <si>
    <t>R-01105</t>
  </si>
  <si>
    <t>R-01106</t>
  </si>
  <si>
    <t>R-01107</t>
  </si>
  <si>
    <t>R-01108</t>
  </si>
  <si>
    <t>R-01109</t>
  </si>
  <si>
    <t>R-01110</t>
  </si>
  <si>
    <t>R-01111</t>
  </si>
  <si>
    <t>R-01112</t>
  </si>
  <si>
    <t>R-01113</t>
  </si>
  <si>
    <t>R-01114</t>
  </si>
  <si>
    <t>R-01115</t>
  </si>
  <si>
    <t>R-01116</t>
  </si>
  <si>
    <t>R-01117</t>
  </si>
  <si>
    <t>R-01118</t>
  </si>
  <si>
    <t>R-01119</t>
  </si>
  <si>
    <t>R-01120</t>
  </si>
  <si>
    <t>R-01121</t>
  </si>
  <si>
    <t>R-01122</t>
  </si>
  <si>
    <t>R-01123</t>
  </si>
  <si>
    <t>R-01124</t>
  </si>
  <si>
    <t>R-01125</t>
  </si>
  <si>
    <t>R-01126</t>
  </si>
  <si>
    <t>R-01127</t>
  </si>
  <si>
    <t>R-01128</t>
  </si>
  <si>
    <t>R-01129</t>
  </si>
  <si>
    <t>R-01130</t>
  </si>
  <si>
    <t>R-01131</t>
  </si>
  <si>
    <t>R-01132</t>
  </si>
  <si>
    <t>R-01133</t>
  </si>
  <si>
    <t>R-01134</t>
  </si>
  <si>
    <t>R-01135</t>
  </si>
  <si>
    <t>R-01136</t>
  </si>
  <si>
    <t>R-01137</t>
  </si>
  <si>
    <t>R-01138</t>
  </si>
  <si>
    <t>R-01139</t>
  </si>
  <si>
    <t>R-01140</t>
  </si>
  <si>
    <t>R-01141</t>
  </si>
  <si>
    <t>R-01142</t>
  </si>
  <si>
    <t>R-01143</t>
  </si>
  <si>
    <t>R-01144</t>
  </si>
  <si>
    <t>R-01145</t>
  </si>
  <si>
    <t>R-01146</t>
  </si>
  <si>
    <t>R-01147</t>
  </si>
  <si>
    <t>R-01148</t>
  </si>
  <si>
    <t>R-01149</t>
  </si>
  <si>
    <t>R-01150</t>
  </si>
  <si>
    <t>R-01151</t>
  </si>
  <si>
    <t>R-01152</t>
  </si>
  <si>
    <t>R-01153</t>
  </si>
  <si>
    <t>R-01154</t>
  </si>
  <si>
    <t>R-01155</t>
  </si>
  <si>
    <t>R-01156</t>
  </si>
  <si>
    <t>R-01157</t>
  </si>
  <si>
    <t>R-01158</t>
  </si>
  <si>
    <t>R-01159</t>
  </si>
  <si>
    <t>R-01160</t>
  </si>
  <si>
    <t>R-01161</t>
  </si>
  <si>
    <t>R-01162</t>
  </si>
  <si>
    <t>R-01163</t>
  </si>
  <si>
    <t>R-01164</t>
  </si>
  <si>
    <t>R-01165</t>
  </si>
  <si>
    <t>R-01166</t>
  </si>
  <si>
    <t>R-01167</t>
  </si>
  <si>
    <t>R-01168</t>
  </si>
  <si>
    <t>R-01169</t>
  </si>
  <si>
    <t>R-01170</t>
  </si>
  <si>
    <t>R-01171</t>
  </si>
  <si>
    <t>R-01172</t>
  </si>
  <si>
    <t>R-01173</t>
  </si>
  <si>
    <t>R-01174</t>
  </si>
  <si>
    <t>R-01175</t>
  </si>
  <si>
    <t>R-01176</t>
  </si>
  <si>
    <t>R-01177</t>
  </si>
  <si>
    <t>R-01178</t>
  </si>
  <si>
    <t>R-01179</t>
  </si>
  <si>
    <t>R-01180</t>
  </si>
  <si>
    <t>R-01181</t>
  </si>
  <si>
    <t>R-01182</t>
  </si>
  <si>
    <t>R-01183</t>
  </si>
  <si>
    <t>R-01184</t>
  </si>
  <si>
    <t>R-01185</t>
  </si>
  <si>
    <t>R-01186</t>
  </si>
  <si>
    <t>R-01187</t>
  </si>
  <si>
    <t>R-01188</t>
  </si>
  <si>
    <t>R-01189</t>
  </si>
  <si>
    <t>R-01190</t>
  </si>
  <si>
    <t>R-01191</t>
  </si>
  <si>
    <t>R-01192</t>
  </si>
  <si>
    <t>R-01193</t>
  </si>
  <si>
    <t>R-01194</t>
  </si>
  <si>
    <t>R-01195</t>
  </si>
  <si>
    <t>R-01196</t>
  </si>
  <si>
    <t>R-01197</t>
  </si>
  <si>
    <t>R-01198</t>
  </si>
  <si>
    <t>R-01199</t>
  </si>
  <si>
    <t>R-01200</t>
  </si>
  <si>
    <t>R-01201</t>
  </si>
  <si>
    <t>R-01202</t>
  </si>
  <si>
    <t>R-01203</t>
  </si>
  <si>
    <t>R-01204</t>
  </si>
  <si>
    <t>R-01205</t>
  </si>
  <si>
    <t>R-01206</t>
  </si>
  <si>
    <t>R-01207</t>
  </si>
  <si>
    <t>R-01208</t>
  </si>
  <si>
    <t>R-01209</t>
  </si>
  <si>
    <t>R-01210</t>
  </si>
  <si>
    <t>R-01211</t>
  </si>
  <si>
    <t>R-01212</t>
  </si>
  <si>
    <t>R-01213</t>
  </si>
  <si>
    <t>R-01214</t>
  </si>
  <si>
    <t>R-01215</t>
  </si>
  <si>
    <t>R-01216</t>
  </si>
  <si>
    <t>R-01217</t>
  </si>
  <si>
    <t>R-01218</t>
  </si>
  <si>
    <t>R-01219</t>
  </si>
  <si>
    <t>R-01220</t>
  </si>
  <si>
    <t>R-01221</t>
  </si>
  <si>
    <t>R-01222</t>
  </si>
  <si>
    <t>R-01223</t>
  </si>
  <si>
    <t>R-01224</t>
  </si>
  <si>
    <t>R-01225</t>
  </si>
  <si>
    <t>R-01226</t>
  </si>
  <si>
    <t>R-01227</t>
  </si>
  <si>
    <t>R-01228</t>
  </si>
  <si>
    <t>R-01229</t>
  </si>
  <si>
    <t>R-01230</t>
  </si>
  <si>
    <t>R-01231</t>
  </si>
  <si>
    <t>R-01232</t>
  </si>
  <si>
    <t>R-01233</t>
  </si>
  <si>
    <t>R-01234</t>
  </si>
  <si>
    <t>R-01235</t>
  </si>
  <si>
    <t>R-01236</t>
  </si>
  <si>
    <t>R-01237</t>
  </si>
  <si>
    <t>R-01238</t>
  </si>
  <si>
    <t>R-01239</t>
  </si>
  <si>
    <t>R-01240</t>
  </si>
  <si>
    <t>R-01241</t>
  </si>
  <si>
    <t>R-01242</t>
  </si>
  <si>
    <t>R-01243</t>
  </si>
  <si>
    <t>R-01244</t>
  </si>
  <si>
    <t>R-01245</t>
  </si>
  <si>
    <t>R-01246</t>
  </si>
  <si>
    <t>R-01247</t>
  </si>
  <si>
    <t>R-01248</t>
  </si>
  <si>
    <t>R-01249</t>
  </si>
  <si>
    <t>R-01250</t>
  </si>
  <si>
    <t>R-01251</t>
  </si>
  <si>
    <t>R-01252</t>
  </si>
  <si>
    <t>R-01253</t>
  </si>
  <si>
    <t>R-01254</t>
  </si>
  <si>
    <t>R-01255</t>
  </si>
  <si>
    <t>R-01256</t>
  </si>
  <si>
    <t>R-01257</t>
  </si>
  <si>
    <t>R-01258</t>
  </si>
  <si>
    <t>R-01259</t>
  </si>
  <si>
    <t>R-01260</t>
  </si>
  <si>
    <t>R-01261</t>
  </si>
  <si>
    <t>R-01262</t>
  </si>
  <si>
    <t>R-01263</t>
  </si>
  <si>
    <t>R-01264</t>
  </si>
  <si>
    <t>R-01265</t>
  </si>
  <si>
    <t>R-01266</t>
  </si>
  <si>
    <t>R-01267</t>
  </si>
  <si>
    <t>R-01268</t>
  </si>
  <si>
    <t>R-01269</t>
  </si>
  <si>
    <t>R-01270</t>
  </si>
  <si>
    <t>R-01271</t>
  </si>
  <si>
    <t>R-01272</t>
  </si>
  <si>
    <t>R-01273</t>
  </si>
  <si>
    <t>R-01274</t>
  </si>
  <si>
    <t>R-01275</t>
  </si>
  <si>
    <t>R-01276</t>
  </si>
  <si>
    <t>R-01277</t>
  </si>
  <si>
    <t>R-01278</t>
  </si>
  <si>
    <t>R-01279</t>
  </si>
  <si>
    <t>R-01280</t>
  </si>
  <si>
    <t>R-01281</t>
  </si>
  <si>
    <t>R-01282</t>
  </si>
  <si>
    <t>R-01283</t>
  </si>
  <si>
    <t>R-01284</t>
  </si>
  <si>
    <t>R-01285</t>
  </si>
  <si>
    <t>R-01286</t>
  </si>
  <si>
    <t>R-01287</t>
  </si>
  <si>
    <t>R-01288</t>
  </si>
  <si>
    <t>R-01289</t>
  </si>
  <si>
    <t>R-01290</t>
  </si>
  <si>
    <t>R-01291</t>
  </si>
  <si>
    <t>R-01292</t>
  </si>
  <si>
    <t>R-01293</t>
  </si>
  <si>
    <t>R-01294</t>
  </si>
  <si>
    <t>R-01295</t>
  </si>
  <si>
    <t>R-01296</t>
  </si>
  <si>
    <t>R-01297</t>
  </si>
  <si>
    <t>R-01298</t>
  </si>
  <si>
    <t>R-01299</t>
  </si>
  <si>
    <t>R-01300</t>
  </si>
  <si>
    <t>R-01301</t>
  </si>
  <si>
    <t>R-01302</t>
  </si>
  <si>
    <t>R-01303</t>
  </si>
  <si>
    <t>R-01304</t>
  </si>
  <si>
    <t>R-01305</t>
  </si>
  <si>
    <t>R-01306</t>
  </si>
  <si>
    <t>R-01307</t>
  </si>
  <si>
    <t>R-01308</t>
  </si>
  <si>
    <t>R-01309</t>
  </si>
  <si>
    <t>R-01310</t>
  </si>
  <si>
    <t>R-01311</t>
  </si>
  <si>
    <t>R-01312</t>
  </si>
  <si>
    <t>R-01313</t>
  </si>
  <si>
    <t>R-01314</t>
  </si>
  <si>
    <t>R-01315</t>
  </si>
  <si>
    <t>R-01316</t>
  </si>
  <si>
    <t>R-01317</t>
  </si>
  <si>
    <t>R-01318</t>
  </si>
  <si>
    <t>R-01319</t>
  </si>
  <si>
    <t>R-01320</t>
  </si>
  <si>
    <t>R-01321</t>
  </si>
  <si>
    <t>R-01322</t>
  </si>
  <si>
    <t>R-01323</t>
  </si>
  <si>
    <t>R-01324</t>
  </si>
  <si>
    <t>R-01325</t>
  </si>
  <si>
    <t>R-01326</t>
  </si>
  <si>
    <t>R-01327</t>
  </si>
  <si>
    <t>R-01328</t>
  </si>
  <si>
    <t>R-01329</t>
  </si>
  <si>
    <t>R-01330</t>
  </si>
  <si>
    <t>R-01331</t>
  </si>
  <si>
    <t>R-01332</t>
  </si>
  <si>
    <t>R-01333</t>
  </si>
  <si>
    <t>R-01334</t>
  </si>
  <si>
    <t>R-01335</t>
  </si>
  <si>
    <t>R-01336</t>
  </si>
  <si>
    <t>R-01337</t>
  </si>
  <si>
    <t>R-01338</t>
  </si>
  <si>
    <t>R-01339</t>
  </si>
  <si>
    <t>R-01340</t>
  </si>
  <si>
    <t>R-01341</t>
  </si>
  <si>
    <t>R-01342</t>
  </si>
  <si>
    <t>R-01343</t>
  </si>
  <si>
    <t>R-01344</t>
  </si>
  <si>
    <t>R-01345</t>
  </si>
  <si>
    <t>R-01346</t>
  </si>
  <si>
    <t>R-01347</t>
  </si>
  <si>
    <t>R-01348</t>
  </si>
  <si>
    <t>R-01349</t>
  </si>
  <si>
    <t>R-01350</t>
  </si>
  <si>
    <t>R-01351</t>
  </si>
  <si>
    <t>R-01352</t>
  </si>
  <si>
    <t>R-01353</t>
  </si>
  <si>
    <t>R-01354</t>
  </si>
  <si>
    <t>R-01355</t>
  </si>
  <si>
    <t>R-01356</t>
  </si>
  <si>
    <t>R-01357</t>
  </si>
  <si>
    <t>R-01358</t>
  </si>
  <si>
    <t>R-01359</t>
  </si>
  <si>
    <t>R-01360</t>
  </si>
  <si>
    <t>R-01361</t>
  </si>
  <si>
    <t>R-01362</t>
  </si>
  <si>
    <t>R-01363</t>
  </si>
  <si>
    <t>R-01364</t>
  </si>
  <si>
    <t>R-01365</t>
  </si>
  <si>
    <t>R-01366</t>
  </si>
  <si>
    <t>R-01367</t>
  </si>
  <si>
    <t>R-01368</t>
  </si>
  <si>
    <t>R-01369</t>
  </si>
  <si>
    <t>R-01370</t>
  </si>
  <si>
    <t>R-01371</t>
  </si>
  <si>
    <t>R-01372</t>
  </si>
  <si>
    <t>R-01373</t>
  </si>
  <si>
    <t>R-01374</t>
  </si>
  <si>
    <t>R-01375</t>
  </si>
  <si>
    <t>R-01376</t>
  </si>
  <si>
    <t>R-01377</t>
  </si>
  <si>
    <t>R-01378</t>
  </si>
  <si>
    <t>R-01379</t>
  </si>
  <si>
    <t>R-01380</t>
  </si>
  <si>
    <t>R-01381</t>
  </si>
  <si>
    <t>R-01382</t>
  </si>
  <si>
    <t>R-01383</t>
  </si>
  <si>
    <t>R-01384</t>
  </si>
  <si>
    <t>R-01385</t>
  </si>
  <si>
    <t>R-01386</t>
  </si>
  <si>
    <t>R-01387</t>
  </si>
  <si>
    <t>R-01388</t>
  </si>
  <si>
    <t>R-01389</t>
  </si>
  <si>
    <t>R-01390</t>
  </si>
  <si>
    <t>R-01391</t>
  </si>
  <si>
    <t>R-01392</t>
  </si>
  <si>
    <t>R-01393</t>
  </si>
  <si>
    <t>R-01394</t>
  </si>
  <si>
    <t>R-01395</t>
  </si>
  <si>
    <t>R-01396</t>
  </si>
  <si>
    <t>R-01397</t>
  </si>
  <si>
    <t>R-01398</t>
  </si>
  <si>
    <t>R-01399</t>
  </si>
  <si>
    <t>R-01400</t>
  </si>
  <si>
    <t>R-01401</t>
  </si>
  <si>
    <t>R-01402</t>
  </si>
  <si>
    <t>R-01403</t>
  </si>
  <si>
    <t>R-01404</t>
  </si>
  <si>
    <t>R-01405</t>
  </si>
  <si>
    <t>R-01406</t>
  </si>
  <si>
    <t>R-01407</t>
  </si>
  <si>
    <t>R-01408</t>
  </si>
  <si>
    <t>R-01409</t>
  </si>
  <si>
    <t>R-01410</t>
  </si>
  <si>
    <t>R-01411</t>
  </si>
  <si>
    <t>R-01412</t>
  </si>
  <si>
    <t>R-01413</t>
  </si>
  <si>
    <t>R-01414</t>
  </si>
  <si>
    <t>R-01415</t>
  </si>
  <si>
    <t>R-01416</t>
  </si>
  <si>
    <t>R-01417</t>
  </si>
  <si>
    <t>R-01418</t>
  </si>
  <si>
    <t>R-01419</t>
  </si>
  <si>
    <t>R-01420</t>
  </si>
  <si>
    <t>R-01421</t>
  </si>
  <si>
    <t>R-01422</t>
  </si>
  <si>
    <t>R-01423</t>
  </si>
  <si>
    <t>R-01424</t>
  </si>
  <si>
    <t>R-01425</t>
  </si>
  <si>
    <t>R-01426</t>
  </si>
  <si>
    <t>R-01427</t>
  </si>
  <si>
    <t>R-01428</t>
  </si>
  <si>
    <t>R-01429</t>
  </si>
  <si>
    <t>R-01430</t>
  </si>
  <si>
    <t>R-01431</t>
  </si>
  <si>
    <t>R-01432</t>
  </si>
  <si>
    <t>R-01433</t>
  </si>
  <si>
    <t>R-01434</t>
  </si>
  <si>
    <t>R-01435</t>
  </si>
  <si>
    <t>R-01436</t>
  </si>
  <si>
    <t>R-01437</t>
  </si>
  <si>
    <t>R-01438</t>
  </si>
  <si>
    <t>R-01439</t>
  </si>
  <si>
    <t>R-01440</t>
  </si>
  <si>
    <t>R-01441</t>
  </si>
  <si>
    <t>R-01442</t>
  </si>
  <si>
    <t>R-01443</t>
  </si>
  <si>
    <t>R-01444</t>
  </si>
  <si>
    <t>R-01445</t>
  </si>
  <si>
    <t>R-01446</t>
  </si>
  <si>
    <t>R-01447</t>
  </si>
  <si>
    <t>R-01448</t>
  </si>
  <si>
    <t>R-01449</t>
  </si>
  <si>
    <t>R-01450</t>
  </si>
  <si>
    <t>R-01451</t>
  </si>
  <si>
    <t>R-01452</t>
  </si>
  <si>
    <t>R-01453</t>
  </si>
  <si>
    <t>R-01454</t>
  </si>
  <si>
    <t>R-01455</t>
  </si>
  <si>
    <t>R-01456</t>
  </si>
  <si>
    <t>R-01457</t>
  </si>
  <si>
    <t>R-01458</t>
  </si>
  <si>
    <t>R-01459</t>
  </si>
  <si>
    <t>R-01460</t>
  </si>
  <si>
    <t>R-01461</t>
  </si>
  <si>
    <t>R-01462</t>
  </si>
  <si>
    <t>R-01463</t>
  </si>
  <si>
    <t>R-01464</t>
  </si>
  <si>
    <t>R-01465</t>
  </si>
  <si>
    <t>R-01466</t>
  </si>
  <si>
    <t>R-01467</t>
  </si>
  <si>
    <t>R-01468</t>
  </si>
  <si>
    <t>R-01469</t>
  </si>
  <si>
    <t>R-01470</t>
  </si>
  <si>
    <t>R-01471</t>
  </si>
  <si>
    <t>R-01472</t>
  </si>
  <si>
    <t>R-01473</t>
  </si>
  <si>
    <t>R-01474</t>
  </si>
  <si>
    <t>R-01475</t>
  </si>
  <si>
    <t>R-01476</t>
  </si>
  <si>
    <t>R-01477</t>
  </si>
  <si>
    <t>R-01478</t>
  </si>
  <si>
    <t>R-01479</t>
  </si>
  <si>
    <t>R-01480</t>
  </si>
  <si>
    <t>R-01481</t>
  </si>
  <si>
    <t>R-01482</t>
  </si>
  <si>
    <t>R-01483</t>
  </si>
  <si>
    <t>R-01484</t>
  </si>
  <si>
    <t>R-01485</t>
  </si>
  <si>
    <t>R-01486</t>
  </si>
  <si>
    <t>R-01487</t>
  </si>
  <si>
    <t>R-01488</t>
  </si>
  <si>
    <t>R-01489</t>
  </si>
  <si>
    <t>R-01490</t>
  </si>
  <si>
    <t>R-01491</t>
  </si>
  <si>
    <t>R-01492</t>
  </si>
  <si>
    <t>R-01493</t>
  </si>
  <si>
    <t>R-01494</t>
  </si>
  <si>
    <t>R-01495</t>
  </si>
  <si>
    <t>R-01496</t>
  </si>
  <si>
    <t>R-01497</t>
  </si>
  <si>
    <t>R-01498</t>
  </si>
  <si>
    <t>R-01499</t>
  </si>
  <si>
    <t>R-01500</t>
  </si>
  <si>
    <t>R-01501</t>
  </si>
  <si>
    <t>R-01502</t>
  </si>
  <si>
    <t>R-01503</t>
  </si>
  <si>
    <t>R-01504</t>
  </si>
  <si>
    <t>R-01505</t>
  </si>
  <si>
    <t>R-01506</t>
  </si>
  <si>
    <t>R-01507</t>
  </si>
  <si>
    <t>R-01508</t>
  </si>
  <si>
    <t>R-01509</t>
  </si>
  <si>
    <t>R-01510</t>
  </si>
  <si>
    <t>R-01511</t>
  </si>
  <si>
    <t>R-01512</t>
  </si>
  <si>
    <t>R-01513</t>
  </si>
  <si>
    <t>R-01514</t>
  </si>
  <si>
    <t>R-01515</t>
  </si>
  <si>
    <t>R-01516</t>
  </si>
  <si>
    <t>R-01517</t>
  </si>
  <si>
    <t>R-01518</t>
  </si>
  <si>
    <t>R-01519</t>
  </si>
  <si>
    <t>R-01520</t>
  </si>
  <si>
    <t>R-01521</t>
  </si>
  <si>
    <t>R-01522</t>
  </si>
  <si>
    <t>R-01523</t>
  </si>
  <si>
    <t>R-01524</t>
  </si>
  <si>
    <t>R-01525</t>
  </si>
  <si>
    <t>R-01526</t>
  </si>
  <si>
    <t>R-01527</t>
  </si>
  <si>
    <t>R-01528</t>
  </si>
  <si>
    <t>R-01529</t>
  </si>
  <si>
    <t>R-01530</t>
  </si>
  <si>
    <t>R-01531</t>
  </si>
  <si>
    <t>R-01532</t>
  </si>
  <si>
    <t>R-01533</t>
  </si>
  <si>
    <t>R-01534</t>
  </si>
  <si>
    <t>R-01535</t>
  </si>
  <si>
    <t>R-01536</t>
  </si>
  <si>
    <t>R-01537</t>
  </si>
  <si>
    <t>R-01538</t>
  </si>
  <si>
    <t>R-01539</t>
  </si>
  <si>
    <t>R-01540</t>
  </si>
  <si>
    <t>R-01541</t>
  </si>
  <si>
    <t>R-01542</t>
  </si>
  <si>
    <t>R-01543</t>
  </si>
  <si>
    <t>R-01544</t>
  </si>
  <si>
    <t>R-01545</t>
  </si>
  <si>
    <t>R-01546</t>
  </si>
  <si>
    <t>R-01547</t>
  </si>
  <si>
    <t>R-01548</t>
  </si>
  <si>
    <t>R-01549</t>
  </si>
  <si>
    <t>R-01550</t>
  </si>
  <si>
    <t>R-01551</t>
  </si>
  <si>
    <t>R-01552</t>
  </si>
  <si>
    <t>R-01553</t>
  </si>
  <si>
    <t>R-01554</t>
  </si>
  <si>
    <t>R-01555</t>
  </si>
  <si>
    <t>R-01556</t>
  </si>
  <si>
    <t>R-01557</t>
  </si>
  <si>
    <t>R-01558</t>
  </si>
  <si>
    <t>R-01559</t>
  </si>
  <si>
    <t>R-01560</t>
  </si>
  <si>
    <t>R-01561</t>
  </si>
  <si>
    <t>R-01562</t>
  </si>
  <si>
    <t>R-01563</t>
  </si>
  <si>
    <t>R-01564</t>
  </si>
  <si>
    <t>R-01565</t>
  </si>
  <si>
    <t>R-01566</t>
  </si>
  <si>
    <t>R-01567</t>
  </si>
  <si>
    <t>R-01568</t>
  </si>
  <si>
    <t>R-01569</t>
  </si>
  <si>
    <t>R-01570</t>
  </si>
  <si>
    <t>R-01571</t>
  </si>
  <si>
    <t>R-01572</t>
  </si>
  <si>
    <t>R-01573</t>
  </si>
  <si>
    <t>R-01574</t>
  </si>
  <si>
    <t>R-01575</t>
  </si>
  <si>
    <t>R-01576</t>
  </si>
  <si>
    <t>R-01577</t>
  </si>
  <si>
    <t>R-01578</t>
  </si>
  <si>
    <t>R-01579</t>
  </si>
  <si>
    <t>R-01580</t>
  </si>
  <si>
    <t>R-01581</t>
  </si>
  <si>
    <t>R-01582</t>
  </si>
  <si>
    <t>R-01583</t>
  </si>
  <si>
    <t>R-01584</t>
  </si>
  <si>
    <t>R-01585</t>
  </si>
  <si>
    <t>R-01586</t>
  </si>
  <si>
    <t>R-01587</t>
  </si>
  <si>
    <t>R-01588</t>
  </si>
  <si>
    <t>R-01589</t>
  </si>
  <si>
    <t>R-01590</t>
  </si>
  <si>
    <t>R-01591</t>
  </si>
  <si>
    <t>R-01592</t>
  </si>
  <si>
    <t>R-01593</t>
  </si>
  <si>
    <t>R-01594</t>
  </si>
  <si>
    <t>R-01595</t>
  </si>
  <si>
    <t>R-01596</t>
  </si>
  <si>
    <t>R-01597</t>
  </si>
  <si>
    <t>R-01598</t>
  </si>
  <si>
    <t>R-01599</t>
  </si>
  <si>
    <t>R-01600</t>
  </si>
  <si>
    <t>R-01601</t>
  </si>
  <si>
    <t>R-01602</t>
  </si>
  <si>
    <t>R-01603</t>
  </si>
  <si>
    <t>R-01604</t>
  </si>
  <si>
    <t>R-01605</t>
  </si>
  <si>
    <t>R-01606</t>
  </si>
  <si>
    <t>R-01607</t>
  </si>
  <si>
    <t>R-01608</t>
  </si>
  <si>
    <t>R-01609</t>
  </si>
  <si>
    <t>R-01610</t>
  </si>
  <si>
    <t>R-01611</t>
  </si>
  <si>
    <t>R-01612</t>
  </si>
  <si>
    <t>R-01613</t>
  </si>
  <si>
    <t>R-01614</t>
  </si>
  <si>
    <t>R-01615</t>
  </si>
  <si>
    <t>R-01616</t>
  </si>
  <si>
    <t>R-01617</t>
  </si>
  <si>
    <t>R-01618</t>
  </si>
  <si>
    <t>R-01619</t>
  </si>
  <si>
    <t>R-01620</t>
  </si>
  <si>
    <t>R-01621</t>
  </si>
  <si>
    <t>R-01622</t>
  </si>
  <si>
    <t>R-01623</t>
  </si>
  <si>
    <t>R-01624</t>
  </si>
  <si>
    <t>R-01625</t>
  </si>
  <si>
    <t>R-01626</t>
  </si>
  <si>
    <t>R-01627</t>
  </si>
  <si>
    <t>R-01628</t>
  </si>
  <si>
    <t>R-01629</t>
  </si>
  <si>
    <t>R-01630</t>
  </si>
  <si>
    <t>R-01631</t>
  </si>
  <si>
    <t>R-01632</t>
  </si>
  <si>
    <t>R-01633</t>
  </si>
  <si>
    <t>R-01634</t>
  </si>
  <si>
    <t>R-01635</t>
  </si>
  <si>
    <t>R-01636</t>
  </si>
  <si>
    <t>R-01637</t>
  </si>
  <si>
    <t>R-01638</t>
  </si>
  <si>
    <t>R-01639</t>
  </si>
  <si>
    <t>R-01640</t>
  </si>
  <si>
    <t>R-01641</t>
  </si>
  <si>
    <t>R-01642</t>
  </si>
  <si>
    <t>R-01643</t>
  </si>
  <si>
    <t>R-01644</t>
  </si>
  <si>
    <t>R-01645</t>
  </si>
  <si>
    <t>R-01646</t>
  </si>
  <si>
    <t>R-01647</t>
  </si>
  <si>
    <t>R-01648</t>
  </si>
  <si>
    <t>R-01649</t>
  </si>
  <si>
    <t>R-01650</t>
  </si>
  <si>
    <t>R-01651</t>
  </si>
  <si>
    <t>R-01652</t>
  </si>
  <si>
    <t>R-01653</t>
  </si>
  <si>
    <t>R-01654</t>
  </si>
  <si>
    <t>R-01655</t>
  </si>
  <si>
    <t>R-01656</t>
  </si>
  <si>
    <t>R-01657</t>
  </si>
  <si>
    <t>R-01658</t>
  </si>
  <si>
    <t>R-01659</t>
  </si>
  <si>
    <t>R-01660</t>
  </si>
  <si>
    <t>R-01661</t>
  </si>
  <si>
    <t>R-01662</t>
  </si>
  <si>
    <t>R-01663</t>
  </si>
  <si>
    <t>R-01664</t>
  </si>
  <si>
    <t>R-01665</t>
  </si>
  <si>
    <t>R-01666</t>
  </si>
  <si>
    <t>R-01667</t>
  </si>
  <si>
    <t>R-01668</t>
  </si>
  <si>
    <t>R-01669</t>
  </si>
  <si>
    <t>R-01670</t>
  </si>
  <si>
    <t>R-01671</t>
  </si>
  <si>
    <t>R-01672</t>
  </si>
  <si>
    <t>R-01673</t>
  </si>
  <si>
    <t>R-01674</t>
  </si>
  <si>
    <t>R-01675</t>
  </si>
  <si>
    <t>R-01676</t>
  </si>
  <si>
    <t>R-01677</t>
  </si>
  <si>
    <t>R-01678</t>
  </si>
  <si>
    <t>R-01679</t>
  </si>
  <si>
    <t>R-01680</t>
  </si>
  <si>
    <t>R-01681</t>
  </si>
  <si>
    <t>R-01682</t>
  </si>
  <si>
    <t>R-01683</t>
  </si>
  <si>
    <t>R-01684</t>
  </si>
  <si>
    <t>R-01685</t>
  </si>
  <si>
    <t>R-01686</t>
  </si>
  <si>
    <t>R-01687</t>
  </si>
  <si>
    <t>R-01688</t>
  </si>
  <si>
    <t>R-01689</t>
  </si>
  <si>
    <t>R-01690</t>
  </si>
  <si>
    <t>R-01691</t>
  </si>
  <si>
    <t>R-01692</t>
  </si>
  <si>
    <t>R-01693</t>
  </si>
  <si>
    <t>R-01694</t>
  </si>
  <si>
    <t>R-01695</t>
  </si>
  <si>
    <t>R-01696</t>
  </si>
  <si>
    <t>R-01697</t>
  </si>
  <si>
    <t>R-01698</t>
  </si>
  <si>
    <t>R-01699</t>
  </si>
  <si>
    <t>R-01700</t>
  </si>
  <si>
    <t>R-01701</t>
  </si>
  <si>
    <t>R-01702</t>
  </si>
  <si>
    <t>R-01703</t>
  </si>
  <si>
    <t>R-01704</t>
  </si>
  <si>
    <t>R-01705</t>
  </si>
  <si>
    <t>R-01706</t>
  </si>
  <si>
    <t>R-01707</t>
  </si>
  <si>
    <t>R-01708</t>
  </si>
  <si>
    <t>R-01709</t>
  </si>
  <si>
    <t>R-01710</t>
  </si>
  <si>
    <t>R-01711</t>
  </si>
  <si>
    <t>R-01712</t>
  </si>
  <si>
    <t>R-01713</t>
  </si>
  <si>
    <t>R-01714</t>
  </si>
  <si>
    <t>R-01715</t>
  </si>
  <si>
    <t>R-01716</t>
  </si>
  <si>
    <t>R-01717</t>
  </si>
  <si>
    <t>R-01718</t>
  </si>
  <si>
    <t>R-01719</t>
  </si>
  <si>
    <t>R-01720</t>
  </si>
  <si>
    <t>R-01721</t>
  </si>
  <si>
    <t>R-01722</t>
  </si>
  <si>
    <t>R-01723</t>
  </si>
  <si>
    <t>R-01724</t>
  </si>
  <si>
    <t>R-01725</t>
  </si>
  <si>
    <t>R-01726</t>
  </si>
  <si>
    <t>R-01727</t>
  </si>
  <si>
    <t>R-01728</t>
  </si>
  <si>
    <t>R-01729</t>
  </si>
  <si>
    <t>R-01730</t>
  </si>
  <si>
    <t>R-01731</t>
  </si>
  <si>
    <t>R-01732</t>
  </si>
  <si>
    <t>R-01733</t>
  </si>
  <si>
    <t>R-01734</t>
  </si>
  <si>
    <t>R-01735</t>
  </si>
  <si>
    <t>R-01736</t>
  </si>
  <si>
    <t>R-01737</t>
  </si>
  <si>
    <t>R-01738</t>
  </si>
  <si>
    <t>R-01739</t>
  </si>
  <si>
    <t>R-01740</t>
  </si>
  <si>
    <t>R-01741</t>
  </si>
  <si>
    <t>R-01742</t>
  </si>
  <si>
    <t>R-01743</t>
  </si>
  <si>
    <t>R-01744</t>
  </si>
  <si>
    <t>R-01745</t>
  </si>
  <si>
    <t>R-01746</t>
  </si>
  <si>
    <t>R-01747</t>
  </si>
  <si>
    <t>R-01748</t>
  </si>
  <si>
    <t>R-01749</t>
  </si>
  <si>
    <t>R-01750</t>
  </si>
  <si>
    <t>R-01751</t>
  </si>
  <si>
    <t>R-01752</t>
  </si>
  <si>
    <t>R-01753</t>
  </si>
  <si>
    <t>R-01754</t>
  </si>
  <si>
    <t>R-01755</t>
  </si>
  <si>
    <t>R-01756</t>
  </si>
  <si>
    <t>R-01757</t>
  </si>
  <si>
    <t>R-01758</t>
  </si>
  <si>
    <t>R-01759</t>
  </si>
  <si>
    <t>R-01760</t>
  </si>
  <si>
    <t>R-01761</t>
  </si>
  <si>
    <t>R-01762</t>
  </si>
  <si>
    <t>R-01763</t>
  </si>
  <si>
    <t>R-01764</t>
  </si>
  <si>
    <t>R-01765</t>
  </si>
  <si>
    <t>R-01766</t>
  </si>
  <si>
    <t>R-01767</t>
  </si>
  <si>
    <t>R-01768</t>
  </si>
  <si>
    <t>R-01769</t>
  </si>
  <si>
    <t>R-01770</t>
  </si>
  <si>
    <t>R-01771</t>
  </si>
  <si>
    <t>R-01772</t>
  </si>
  <si>
    <t>R-01773</t>
  </si>
  <si>
    <t>R-01774</t>
  </si>
  <si>
    <t>R-01775</t>
  </si>
  <si>
    <t>R-01776</t>
  </si>
  <si>
    <t>R-01777</t>
  </si>
  <si>
    <t>R-01778</t>
  </si>
  <si>
    <t>R-01779</t>
  </si>
  <si>
    <t>R-01780</t>
  </si>
  <si>
    <t>R-01781</t>
  </si>
  <si>
    <t>R-01782</t>
  </si>
  <si>
    <t>R-01783</t>
  </si>
  <si>
    <t>R-01784</t>
  </si>
  <si>
    <t>R-01785</t>
  </si>
  <si>
    <t>R-01786</t>
  </si>
  <si>
    <t>R-01787</t>
  </si>
  <si>
    <t>R-01788</t>
  </si>
  <si>
    <t>R-01789</t>
  </si>
  <si>
    <t>R-01790</t>
  </si>
  <si>
    <t>R-01791</t>
  </si>
  <si>
    <t>R-01792</t>
  </si>
  <si>
    <t>R-01793</t>
  </si>
  <si>
    <t>R-01794</t>
  </si>
  <si>
    <t>R-01795</t>
  </si>
  <si>
    <t>R-01796</t>
  </si>
  <si>
    <t>R-01797</t>
  </si>
  <si>
    <t>R-01798</t>
  </si>
  <si>
    <t>R-01799</t>
  </si>
  <si>
    <t>R-01800</t>
  </si>
  <si>
    <t>R-01801</t>
  </si>
  <si>
    <t>R-01802</t>
  </si>
  <si>
    <t>R-01803</t>
  </si>
  <si>
    <t>R-01804</t>
  </si>
  <si>
    <t>R-01805</t>
  </si>
  <si>
    <t>R-01806</t>
  </si>
  <si>
    <t>R-01807</t>
  </si>
  <si>
    <t>R-01808</t>
  </si>
  <si>
    <t>R-01809</t>
  </si>
  <si>
    <t>R-01810</t>
  </si>
  <si>
    <t>R-01811</t>
  </si>
  <si>
    <t>R-01812</t>
  </si>
  <si>
    <t>R-01813</t>
  </si>
  <si>
    <t>R-01814</t>
  </si>
  <si>
    <t>R-01815</t>
  </si>
  <si>
    <t>R-01816</t>
  </si>
  <si>
    <t>R-01817</t>
  </si>
  <si>
    <t>R-01818</t>
  </si>
  <si>
    <t>R-01819</t>
  </si>
  <si>
    <t>R-01820</t>
  </si>
  <si>
    <t>R-01821</t>
  </si>
  <si>
    <t>R-01822</t>
  </si>
  <si>
    <t>R-01823</t>
  </si>
  <si>
    <t>R-01824</t>
  </si>
  <si>
    <t>R-01825</t>
  </si>
  <si>
    <t>R-01826</t>
  </si>
  <si>
    <t>R-01827</t>
  </si>
  <si>
    <t>R-01828</t>
  </si>
  <si>
    <t>R-01829</t>
  </si>
  <si>
    <t>R-01830</t>
  </si>
  <si>
    <t>R-01831</t>
  </si>
  <si>
    <t>R-01832</t>
  </si>
  <si>
    <t>R-01833</t>
  </si>
  <si>
    <t>R-01834</t>
  </si>
  <si>
    <t>R-01835</t>
  </si>
  <si>
    <t>R-01836</t>
  </si>
  <si>
    <t>R-01837</t>
  </si>
  <si>
    <t>R-01838</t>
  </si>
  <si>
    <t>R-01839</t>
  </si>
  <si>
    <t>R-01840</t>
  </si>
  <si>
    <t>R-01841</t>
  </si>
  <si>
    <t>R-01842</t>
  </si>
  <si>
    <t>R-01843</t>
  </si>
  <si>
    <t>R-01844</t>
  </si>
  <si>
    <t>R-01845</t>
  </si>
  <si>
    <t>R-01846</t>
  </si>
  <si>
    <t>R-01847</t>
  </si>
  <si>
    <t>R-01848</t>
  </si>
  <si>
    <t>R-01849</t>
  </si>
  <si>
    <t>R-01850</t>
  </si>
  <si>
    <t>R-01851</t>
  </si>
  <si>
    <t>R-01852</t>
  </si>
  <si>
    <t>R-01853</t>
  </si>
  <si>
    <t>R-01854</t>
  </si>
  <si>
    <t>R-01855</t>
  </si>
  <si>
    <t>R-01856</t>
  </si>
  <si>
    <t>R-01857</t>
  </si>
  <si>
    <t>R-01858</t>
  </si>
  <si>
    <t>R-01859</t>
  </si>
  <si>
    <t>R-01860</t>
  </si>
  <si>
    <t>R-01861</t>
  </si>
  <si>
    <t>R-01862</t>
  </si>
  <si>
    <t>R-01863</t>
  </si>
  <si>
    <t>R-01864</t>
  </si>
  <si>
    <t>R-01865</t>
  </si>
  <si>
    <t>R-01866</t>
  </si>
  <si>
    <t>R-01867</t>
  </si>
  <si>
    <t>R-01868</t>
  </si>
  <si>
    <t>R-01869</t>
  </si>
  <si>
    <t>R-01870</t>
  </si>
  <si>
    <t>R-01871</t>
  </si>
  <si>
    <t>R-01872</t>
  </si>
  <si>
    <t>R-01873</t>
  </si>
  <si>
    <t>R-01874</t>
  </si>
  <si>
    <t>R-01875</t>
  </si>
  <si>
    <t>R-01876</t>
  </si>
  <si>
    <t>R-01877</t>
  </si>
  <si>
    <t>R-01878</t>
  </si>
  <si>
    <t>R-01879</t>
  </si>
  <si>
    <t>R-01880</t>
  </si>
  <si>
    <t>R-01881</t>
  </si>
  <si>
    <t>R-01882</t>
  </si>
  <si>
    <t>R-01883</t>
  </si>
  <si>
    <t>R-01884</t>
  </si>
  <si>
    <t>R-01885</t>
  </si>
  <si>
    <t>R-01886</t>
  </si>
  <si>
    <t>R-01887</t>
  </si>
  <si>
    <t>R-01888</t>
  </si>
  <si>
    <t>R-01889</t>
  </si>
  <si>
    <t>R-01890</t>
  </si>
  <si>
    <t>R-01891</t>
  </si>
  <si>
    <t>R-01892</t>
  </si>
  <si>
    <t>R-01893</t>
  </si>
  <si>
    <t>R-01894</t>
  </si>
  <si>
    <t>R-01895</t>
  </si>
  <si>
    <t>R-01896</t>
  </si>
  <si>
    <t>R-01897</t>
  </si>
  <si>
    <t>R-01898</t>
  </si>
  <si>
    <t>R-01899</t>
  </si>
  <si>
    <t>R-01900</t>
  </si>
  <si>
    <t>R-01901</t>
  </si>
  <si>
    <t>R-01902</t>
  </si>
  <si>
    <t>R-01903</t>
  </si>
  <si>
    <t>R-01904</t>
  </si>
  <si>
    <t>R-01905</t>
  </si>
  <si>
    <t>R-01906</t>
  </si>
  <si>
    <t>R-01907</t>
  </si>
  <si>
    <t>R-01908</t>
  </si>
  <si>
    <t>R-01909</t>
  </si>
  <si>
    <t>R-01910</t>
  </si>
  <si>
    <t>R-01911</t>
  </si>
  <si>
    <t>R-01912</t>
  </si>
  <si>
    <t>R-01913</t>
  </si>
  <si>
    <t>R-01914</t>
  </si>
  <si>
    <t>R-01915</t>
  </si>
  <si>
    <t>R-01916</t>
  </si>
  <si>
    <t>R-01917</t>
  </si>
  <si>
    <t>R-01918</t>
  </si>
  <si>
    <t>R-01919</t>
  </si>
  <si>
    <t>R-01920</t>
  </si>
  <si>
    <t>R-01921</t>
  </si>
  <si>
    <t>R-01922</t>
  </si>
  <si>
    <t>R-01923</t>
  </si>
  <si>
    <t>R-01924</t>
  </si>
  <si>
    <t>R-01925</t>
  </si>
  <si>
    <t>R-01926</t>
  </si>
  <si>
    <t>R-01927</t>
  </si>
  <si>
    <t>R-01928</t>
  </si>
  <si>
    <t>R-01929</t>
  </si>
  <si>
    <t>R-01930</t>
  </si>
  <si>
    <t>R-01931</t>
  </si>
  <si>
    <t>R-01932</t>
  </si>
  <si>
    <t>R-01933</t>
  </si>
  <si>
    <t>R-01934</t>
  </si>
  <si>
    <t>R-01935</t>
  </si>
  <si>
    <t>R-01936</t>
  </si>
  <si>
    <t>R-01937</t>
  </si>
  <si>
    <t>R-01938</t>
  </si>
  <si>
    <t>R-01939</t>
  </si>
  <si>
    <t>R-01940</t>
  </si>
  <si>
    <t>R-01941</t>
  </si>
  <si>
    <t>R-01942</t>
  </si>
  <si>
    <t>R-01943</t>
  </si>
  <si>
    <t>R-01944</t>
  </si>
  <si>
    <t>R-01945</t>
  </si>
  <si>
    <t>R-01946</t>
  </si>
  <si>
    <t>R-01947</t>
  </si>
  <si>
    <t>R-01948</t>
  </si>
  <si>
    <t>R-01949</t>
  </si>
  <si>
    <t>R-01950</t>
  </si>
  <si>
    <t>R-01951</t>
  </si>
  <si>
    <t>R-01952</t>
  </si>
  <si>
    <t>R-01953</t>
  </si>
  <si>
    <t>R-01954</t>
  </si>
  <si>
    <t>R-01955</t>
  </si>
  <si>
    <t>R-01956</t>
  </si>
  <si>
    <t>R-01957</t>
  </si>
  <si>
    <t>R-01958</t>
  </si>
  <si>
    <t>R-01959</t>
  </si>
  <si>
    <t>R-01960</t>
  </si>
  <si>
    <t>R-01961</t>
  </si>
  <si>
    <t>R-01962</t>
  </si>
  <si>
    <t>R-01963</t>
  </si>
  <si>
    <t>R-01964</t>
  </si>
  <si>
    <t>R-01965</t>
  </si>
  <si>
    <t>R-01966</t>
  </si>
  <si>
    <t>R-01967</t>
  </si>
  <si>
    <t>R-01968</t>
  </si>
  <si>
    <t>R-01969</t>
  </si>
  <si>
    <t>R-01970</t>
  </si>
  <si>
    <t>R-01971</t>
  </si>
  <si>
    <t>R-01972</t>
  </si>
  <si>
    <t>R-01973</t>
  </si>
  <si>
    <t>R-01974</t>
  </si>
  <si>
    <t>R-01975</t>
  </si>
  <si>
    <t>R-01976</t>
  </si>
  <si>
    <t>R-01977</t>
  </si>
  <si>
    <t>R-01978</t>
  </si>
  <si>
    <t>R-01979</t>
  </si>
  <si>
    <t>R-01980</t>
  </si>
  <si>
    <t>R-01981</t>
  </si>
  <si>
    <t>R-01982</t>
  </si>
  <si>
    <t>R-01983</t>
  </si>
  <si>
    <t>R-01984</t>
  </si>
  <si>
    <t>R-01985</t>
  </si>
  <si>
    <t>R-01986</t>
  </si>
  <si>
    <t>R-01987</t>
  </si>
  <si>
    <t>R-01988</t>
  </si>
  <si>
    <t>R-01989</t>
  </si>
  <si>
    <t>R-01990</t>
  </si>
  <si>
    <t>R-01991</t>
  </si>
  <si>
    <t>R-01992</t>
  </si>
  <si>
    <t>R-01993</t>
  </si>
  <si>
    <t>R-01994</t>
  </si>
  <si>
    <t>R-01995</t>
  </si>
  <si>
    <t>R-01996</t>
  </si>
  <si>
    <t>R-01997</t>
  </si>
  <si>
    <t>R-01998</t>
  </si>
  <si>
    <t>R-01999</t>
  </si>
  <si>
    <t>R-02000</t>
  </si>
  <si>
    <t>R-02001</t>
  </si>
  <si>
    <t>R-02002</t>
  </si>
  <si>
    <t>R-02003</t>
  </si>
  <si>
    <t>R-02004</t>
  </si>
  <si>
    <t>R-02005</t>
  </si>
  <si>
    <t>R-02006</t>
  </si>
  <si>
    <t>R-02007</t>
  </si>
  <si>
    <t>R-02008</t>
  </si>
  <si>
    <t>R-02009</t>
  </si>
  <si>
    <t>R-02010</t>
  </si>
  <si>
    <t>R-02011</t>
  </si>
  <si>
    <t>R-02012</t>
  </si>
  <si>
    <t>R-02013</t>
  </si>
  <si>
    <t>R-02014</t>
  </si>
  <si>
    <t>R-02015</t>
  </si>
  <si>
    <t>R-02016</t>
  </si>
  <si>
    <t>R-02017</t>
  </si>
  <si>
    <t>R-02018</t>
  </si>
  <si>
    <t>R-02019</t>
  </si>
  <si>
    <t>R-02020</t>
  </si>
  <si>
    <t>R-02021</t>
  </si>
  <si>
    <t>R-02022</t>
  </si>
  <si>
    <t>R-02023</t>
  </si>
  <si>
    <t>R-02024</t>
  </si>
  <si>
    <t>R-02025</t>
  </si>
  <si>
    <t>R-02026</t>
  </si>
  <si>
    <t>R-02027</t>
  </si>
  <si>
    <t>R-02028</t>
  </si>
  <si>
    <t>R-02029</t>
  </si>
  <si>
    <t>R-02030</t>
  </si>
  <si>
    <t>R-02031</t>
  </si>
  <si>
    <t>R-02032</t>
  </si>
  <si>
    <t>R-02033</t>
  </si>
  <si>
    <t>R-02034</t>
  </si>
  <si>
    <t>R-02035</t>
  </si>
  <si>
    <t>R-02036</t>
  </si>
  <si>
    <t>R-02037</t>
  </si>
  <si>
    <t>R-02038</t>
  </si>
  <si>
    <t>R-02039</t>
  </si>
  <si>
    <t>R-02040</t>
  </si>
  <si>
    <t>R-02041</t>
  </si>
  <si>
    <t>R-02042</t>
  </si>
  <si>
    <t>R-02043</t>
  </si>
  <si>
    <t>R-02044</t>
  </si>
  <si>
    <t>R-02045</t>
  </si>
  <si>
    <t>R-02046</t>
  </si>
  <si>
    <t>R-02047</t>
  </si>
  <si>
    <t>R-02048</t>
  </si>
  <si>
    <t>R-02049</t>
  </si>
  <si>
    <t>R-02050</t>
  </si>
  <si>
    <t>R-02051</t>
  </si>
  <si>
    <t>R-02052</t>
  </si>
  <si>
    <t>R-02053</t>
  </si>
  <si>
    <t>R-02054</t>
  </si>
  <si>
    <t>R-02055</t>
  </si>
  <si>
    <t>R-02056</t>
  </si>
  <si>
    <t>R-02057</t>
  </si>
  <si>
    <t>R-02058</t>
  </si>
  <si>
    <t>R-02059</t>
  </si>
  <si>
    <t>R-02060</t>
  </si>
  <si>
    <t>R-02061</t>
  </si>
  <si>
    <t>R-02062</t>
  </si>
  <si>
    <t>R-02063</t>
  </si>
  <si>
    <t>R-02064</t>
  </si>
  <si>
    <t>R-02065</t>
  </si>
  <si>
    <t>R-02066</t>
  </si>
  <si>
    <t>R-02067</t>
  </si>
  <si>
    <t>R-02068</t>
  </si>
  <si>
    <t>R-02069</t>
  </si>
  <si>
    <t>R-02070</t>
  </si>
  <si>
    <t>R-02071</t>
  </si>
  <si>
    <t>R-02072</t>
  </si>
  <si>
    <t>R-02073</t>
  </si>
  <si>
    <t>R-02074</t>
  </si>
  <si>
    <t>R-02075</t>
  </si>
  <si>
    <t>R-02076</t>
  </si>
  <si>
    <t>R-02077</t>
  </si>
  <si>
    <t>R-02078</t>
  </si>
  <si>
    <t>R-02079</t>
  </si>
  <si>
    <t>R-02080</t>
  </si>
  <si>
    <t>R-02081</t>
  </si>
  <si>
    <t>R-02082</t>
  </si>
  <si>
    <t>R-02083</t>
  </si>
  <si>
    <t>R-02084</t>
  </si>
  <si>
    <t>R-02085</t>
  </si>
  <si>
    <t>R-02086</t>
  </si>
  <si>
    <t>R-02087</t>
  </si>
  <si>
    <t>R-02088</t>
  </si>
  <si>
    <t>R-02089</t>
  </si>
  <si>
    <t>R-02090</t>
  </si>
  <si>
    <t>R-02091</t>
  </si>
  <si>
    <t>R-02092</t>
  </si>
  <si>
    <t>R-02093</t>
  </si>
  <si>
    <t>R-02094</t>
  </si>
  <si>
    <t>R-02095</t>
  </si>
  <si>
    <t>R-02096</t>
  </si>
  <si>
    <t>R-02097</t>
  </si>
  <si>
    <t>R-02098</t>
  </si>
  <si>
    <t>R-02099</t>
  </si>
  <si>
    <t>R-02100</t>
  </si>
  <si>
    <t>R-02101</t>
  </si>
  <si>
    <t>R-02102</t>
  </si>
  <si>
    <t>R-02103</t>
  </si>
  <si>
    <t>R-02104</t>
  </si>
  <si>
    <t>R-02105</t>
  </si>
  <si>
    <t>R-02106</t>
  </si>
  <si>
    <t>R-02107</t>
  </si>
  <si>
    <t>R-02108</t>
  </si>
  <si>
    <t>R-02109</t>
  </si>
  <si>
    <t>R-02110</t>
  </si>
  <si>
    <t>R-02111</t>
  </si>
  <si>
    <t>R-02112</t>
  </si>
  <si>
    <t>R-02113</t>
  </si>
  <si>
    <t>R-02114</t>
  </si>
  <si>
    <t>R-02115</t>
  </si>
  <si>
    <t>R-02116</t>
  </si>
  <si>
    <t>R-02117</t>
  </si>
  <si>
    <t>R-02118</t>
  </si>
  <si>
    <t>R-02119</t>
  </si>
  <si>
    <t>R-02120</t>
  </si>
  <si>
    <t>R-02121</t>
  </si>
  <si>
    <t>R-02122</t>
  </si>
  <si>
    <t>R-02123</t>
  </si>
  <si>
    <t>R-02124</t>
  </si>
  <si>
    <t>R-02125</t>
  </si>
  <si>
    <t>R-02126</t>
  </si>
  <si>
    <t>R-02127</t>
  </si>
  <si>
    <t>R-02128</t>
  </si>
  <si>
    <t>R-02129</t>
  </si>
  <si>
    <t>R-02130</t>
  </si>
  <si>
    <t>R-02131</t>
  </si>
  <si>
    <t>R-02132</t>
  </si>
  <si>
    <t>R-02133</t>
  </si>
  <si>
    <t>R-02134</t>
  </si>
  <si>
    <t>R-02135</t>
  </si>
  <si>
    <t>R-02136</t>
  </si>
  <si>
    <t>R-02137</t>
  </si>
  <si>
    <t>R-02138</t>
  </si>
  <si>
    <t>R-02139</t>
  </si>
  <si>
    <t>R-02140</t>
  </si>
  <si>
    <t>R-02141</t>
  </si>
  <si>
    <t>R-02142</t>
  </si>
  <si>
    <t>R-02143</t>
  </si>
  <si>
    <t>R-02144</t>
  </si>
  <si>
    <t>R-02145</t>
  </si>
  <si>
    <t>R-02146</t>
  </si>
  <si>
    <t>R-02147</t>
  </si>
  <si>
    <t>R-02148</t>
  </si>
  <si>
    <t>R-02149</t>
  </si>
  <si>
    <t>R-02150</t>
  </si>
  <si>
    <t>R-02151</t>
  </si>
  <si>
    <t>R-02152</t>
  </si>
  <si>
    <t>R-02153</t>
  </si>
  <si>
    <t>R-02154</t>
  </si>
  <si>
    <t>R-02155</t>
  </si>
  <si>
    <t>R-02156</t>
  </si>
  <si>
    <t>R-02157</t>
  </si>
  <si>
    <t>R-02158</t>
  </si>
  <si>
    <t>R-02159</t>
  </si>
  <si>
    <t>R-02160</t>
  </si>
  <si>
    <t>R-02161</t>
  </si>
  <si>
    <t>R-02162</t>
  </si>
  <si>
    <t>R-02163</t>
  </si>
  <si>
    <t>R-02164</t>
  </si>
  <si>
    <t>R-02165</t>
  </si>
  <si>
    <t>R-02166</t>
  </si>
  <si>
    <t>R-02167</t>
  </si>
  <si>
    <t>R-02168</t>
  </si>
  <si>
    <t>R-02169</t>
  </si>
  <si>
    <t>R-02170</t>
  </si>
  <si>
    <t>R-02171</t>
  </si>
  <si>
    <t>R-02172</t>
  </si>
  <si>
    <t>R-02173</t>
  </si>
  <si>
    <t>R-02174</t>
  </si>
  <si>
    <t>R-02175</t>
  </si>
  <si>
    <t>R-02176</t>
  </si>
  <si>
    <t>R-02177</t>
  </si>
  <si>
    <t>R-02178</t>
  </si>
  <si>
    <t>R-02179</t>
  </si>
  <si>
    <t>R-02180</t>
  </si>
  <si>
    <t>R-02181</t>
  </si>
  <si>
    <t>R-02182</t>
  </si>
  <si>
    <t>R-02183</t>
  </si>
  <si>
    <t>R-02184</t>
  </si>
  <si>
    <t>R-02185</t>
  </si>
  <si>
    <t>R-02186</t>
  </si>
  <si>
    <t>R-02187</t>
  </si>
  <si>
    <t>R-02188</t>
  </si>
  <si>
    <t>R-02189</t>
  </si>
  <si>
    <t>R-02190</t>
  </si>
  <si>
    <t>R-02191</t>
  </si>
  <si>
    <t>R-02192</t>
  </si>
  <si>
    <t>R-02193</t>
  </si>
  <si>
    <t>R-02194</t>
  </si>
  <si>
    <t>R-02195</t>
  </si>
  <si>
    <t>R-02196</t>
  </si>
  <si>
    <t>R-02197</t>
  </si>
  <si>
    <t>R-02198</t>
  </si>
  <si>
    <t>R-02199</t>
  </si>
  <si>
    <t>R-02200</t>
  </si>
  <si>
    <t>R-02201</t>
  </si>
  <si>
    <t>R-02202</t>
  </si>
  <si>
    <t>R-02203</t>
  </si>
  <si>
    <t>R-02204</t>
  </si>
  <si>
    <t>R-02205</t>
  </si>
  <si>
    <t>R-02206</t>
  </si>
  <si>
    <t>R-02207</t>
  </si>
  <si>
    <t>R-02208</t>
  </si>
  <si>
    <t>R-02209</t>
  </si>
  <si>
    <t>R-02210</t>
  </si>
  <si>
    <t>R-02211</t>
  </si>
  <si>
    <t>R-02212</t>
  </si>
  <si>
    <t>R-02213</t>
  </si>
  <si>
    <t>R-02214</t>
  </si>
  <si>
    <t>R-02215</t>
  </si>
  <si>
    <t>R-02216</t>
  </si>
  <si>
    <t>R-02217</t>
  </si>
  <si>
    <t>R-02218</t>
  </si>
  <si>
    <t>R-02219</t>
  </si>
  <si>
    <t>R-02220</t>
  </si>
  <si>
    <t>R-02221</t>
  </si>
  <si>
    <t>R-02222</t>
  </si>
  <si>
    <t>R-02223</t>
  </si>
  <si>
    <t>R-02224</t>
  </si>
  <si>
    <t>R-02225</t>
  </si>
  <si>
    <t>R-02226</t>
  </si>
  <si>
    <t>R-02227</t>
  </si>
  <si>
    <t>R-02228</t>
  </si>
  <si>
    <t>R-02229</t>
  </si>
  <si>
    <t>R-02230</t>
  </si>
  <si>
    <t>R-02231</t>
  </si>
  <si>
    <t>R-02232</t>
  </si>
  <si>
    <t>R-02233</t>
  </si>
  <si>
    <t>R-02234</t>
  </si>
  <si>
    <t>R-02235</t>
  </si>
  <si>
    <t>R-02236</t>
  </si>
  <si>
    <t>R-02237</t>
  </si>
  <si>
    <t>R-02238</t>
  </si>
  <si>
    <t>R-02239</t>
  </si>
  <si>
    <t>R-02240</t>
  </si>
  <si>
    <t>R-02241</t>
  </si>
  <si>
    <t>R-02242</t>
  </si>
  <si>
    <t>R-02243</t>
  </si>
  <si>
    <t>R-02244</t>
  </si>
  <si>
    <t>R-02245</t>
  </si>
  <si>
    <t>R-02246</t>
  </si>
  <si>
    <t>R-02247</t>
  </si>
  <si>
    <t>R-02248</t>
  </si>
  <si>
    <t>R-02249</t>
  </si>
  <si>
    <t>R-02250</t>
  </si>
  <si>
    <t>R-02251</t>
  </si>
  <si>
    <t>R-02252</t>
  </si>
  <si>
    <t>R-02253</t>
  </si>
  <si>
    <t>R-02254</t>
  </si>
  <si>
    <t>R-02255</t>
  </si>
  <si>
    <t>R-02256</t>
  </si>
  <si>
    <t>R-02257</t>
  </si>
  <si>
    <t>R-02258</t>
  </si>
  <si>
    <t>R-02259</t>
  </si>
  <si>
    <t>R-02260</t>
  </si>
  <si>
    <t>R-02261</t>
  </si>
  <si>
    <t>R-02262</t>
  </si>
  <si>
    <t>R-02263</t>
  </si>
  <si>
    <t>R-02264</t>
  </si>
  <si>
    <t>R-02265</t>
  </si>
  <si>
    <t>R-02266</t>
  </si>
  <si>
    <t>R-02267</t>
  </si>
  <si>
    <t>R-02268</t>
  </si>
  <si>
    <t>R-02269</t>
  </si>
  <si>
    <t>R-02270</t>
  </si>
  <si>
    <t>R-02271</t>
  </si>
  <si>
    <t>R-02272</t>
  </si>
  <si>
    <t>R-02273</t>
  </si>
  <si>
    <t>R-02274</t>
  </si>
  <si>
    <t>R-02275</t>
  </si>
  <si>
    <t>R-02276</t>
  </si>
  <si>
    <t>R-02277</t>
  </si>
  <si>
    <t>R-02278</t>
  </si>
  <si>
    <t>R-02279</t>
  </si>
  <si>
    <t>R-02280</t>
  </si>
  <si>
    <t>R-02281</t>
  </si>
  <si>
    <t>R-02282</t>
  </si>
  <si>
    <t>R-02283</t>
  </si>
  <si>
    <t>R-02284</t>
  </si>
  <si>
    <t>R-02285</t>
  </si>
  <si>
    <t>R-02286</t>
  </si>
  <si>
    <t>R-02287</t>
  </si>
  <si>
    <t>R-02288</t>
  </si>
  <si>
    <t>R-02289</t>
  </si>
  <si>
    <t>R-02290</t>
  </si>
  <si>
    <t>R-02291</t>
  </si>
  <si>
    <t>R-02292</t>
  </si>
  <si>
    <t>R-02293</t>
  </si>
  <si>
    <t>R-02294</t>
  </si>
  <si>
    <t>R-02295</t>
  </si>
  <si>
    <t>R-02296</t>
  </si>
  <si>
    <t>R-02297</t>
  </si>
  <si>
    <t>R-02298</t>
  </si>
  <si>
    <t>R-02299</t>
  </si>
  <si>
    <t>R-02300</t>
  </si>
  <si>
    <t>R-02301</t>
  </si>
  <si>
    <t>R-02302</t>
  </si>
  <si>
    <t>R-02303</t>
  </si>
  <si>
    <t>R-02304</t>
  </si>
  <si>
    <t>R-02305</t>
  </si>
  <si>
    <t>R-02306</t>
  </si>
  <si>
    <t>R-02307</t>
  </si>
  <si>
    <t>R-02308</t>
  </si>
  <si>
    <t>R-02309</t>
  </si>
  <si>
    <t>R-02310</t>
  </si>
  <si>
    <t>R-02311</t>
  </si>
  <si>
    <t>R-02312</t>
  </si>
  <si>
    <t>R-02313</t>
  </si>
  <si>
    <t>R-02314</t>
  </si>
  <si>
    <t>R-02315</t>
  </si>
  <si>
    <t>R-02316</t>
  </si>
  <si>
    <t>R-02317</t>
  </si>
  <si>
    <t>R-02318</t>
  </si>
  <si>
    <t>R-02319</t>
  </si>
  <si>
    <t>R-02320</t>
  </si>
  <si>
    <t>R-02321</t>
  </si>
  <si>
    <t>R-02322</t>
  </si>
  <si>
    <t>R-02323</t>
  </si>
  <si>
    <t>R-02324</t>
  </si>
  <si>
    <t>R-02325</t>
  </si>
  <si>
    <t>R-02326</t>
  </si>
  <si>
    <t>R-02327</t>
  </si>
  <si>
    <t>R-02328</t>
  </si>
  <si>
    <t>R-02329</t>
  </si>
  <si>
    <t>R-02330</t>
  </si>
  <si>
    <t>R-02331</t>
  </si>
  <si>
    <t>R-02332</t>
  </si>
  <si>
    <t>R-02333</t>
  </si>
  <si>
    <t>R-02334</t>
  </si>
  <si>
    <t>R-02335</t>
  </si>
  <si>
    <t>R-02336</t>
  </si>
  <si>
    <t>R-02337</t>
  </si>
  <si>
    <t>R-02338</t>
  </si>
  <si>
    <t>R-02339</t>
  </si>
  <si>
    <t>R-02340</t>
  </si>
  <si>
    <t>R-02341</t>
  </si>
  <si>
    <t>R-02342</t>
  </si>
  <si>
    <t>R-02343</t>
  </si>
  <si>
    <t>R-02344</t>
  </si>
  <si>
    <t>R-02345</t>
  </si>
  <si>
    <t>R-02346</t>
  </si>
  <si>
    <t>R-02347</t>
  </si>
  <si>
    <t>R-02348</t>
  </si>
  <si>
    <t>R-02349</t>
  </si>
  <si>
    <t>R-02350</t>
  </si>
  <si>
    <t>R-02351</t>
  </si>
  <si>
    <t>R-02352</t>
  </si>
  <si>
    <t>R-02353</t>
  </si>
  <si>
    <t>R-02354</t>
  </si>
  <si>
    <t>R-02355</t>
  </si>
  <si>
    <t>R-02356</t>
  </si>
  <si>
    <t>R-02357</t>
  </si>
  <si>
    <t>R-02358</t>
  </si>
  <si>
    <t>R-02359</t>
  </si>
  <si>
    <t>R-02360</t>
  </si>
  <si>
    <t>R-02361</t>
  </si>
  <si>
    <t>R-02362</t>
  </si>
  <si>
    <t>R-02363</t>
  </si>
  <si>
    <t>R-02364</t>
  </si>
  <si>
    <t>R-02365</t>
  </si>
  <si>
    <t>R-02366</t>
  </si>
  <si>
    <t>R-02367</t>
  </si>
  <si>
    <t>R-02368</t>
  </si>
  <si>
    <t>R-02369</t>
  </si>
  <si>
    <t>R-02370</t>
  </si>
  <si>
    <t>R-02371</t>
  </si>
  <si>
    <t>R-02372</t>
  </si>
  <si>
    <t>R-02373</t>
  </si>
  <si>
    <t>R-02374</t>
  </si>
  <si>
    <t>R-02375</t>
  </si>
  <si>
    <t>R-02376</t>
  </si>
  <si>
    <t>R-02377</t>
  </si>
  <si>
    <t>R-02378</t>
  </si>
  <si>
    <t>R-02379</t>
  </si>
  <si>
    <t>R-02380</t>
  </si>
  <si>
    <t>R-02381</t>
  </si>
  <si>
    <t>R-02382</t>
  </si>
  <si>
    <t>R-02383</t>
  </si>
  <si>
    <t>R-02384</t>
  </si>
  <si>
    <t>R-02385</t>
  </si>
  <si>
    <t>R-02386</t>
  </si>
  <si>
    <t>R-02387</t>
  </si>
  <si>
    <t>R-02388</t>
  </si>
  <si>
    <t>R-02389</t>
  </si>
  <si>
    <t>R-02390</t>
  </si>
  <si>
    <t>R-02391</t>
  </si>
  <si>
    <t>R-02392</t>
  </si>
  <si>
    <t>R-02393</t>
  </si>
  <si>
    <t>R-02394</t>
  </si>
  <si>
    <t>R-02395</t>
  </si>
  <si>
    <t>R-02396</t>
  </si>
  <si>
    <t>R-02397</t>
  </si>
  <si>
    <t>R-02398</t>
  </si>
  <si>
    <t>R-02399</t>
  </si>
  <si>
    <t>R-02400</t>
  </si>
  <si>
    <t>R-02401</t>
  </si>
  <si>
    <t>R-02402</t>
  </si>
  <si>
    <t>R-02403</t>
  </si>
  <si>
    <t>R-02404</t>
  </si>
  <si>
    <t>R-02405</t>
  </si>
  <si>
    <t>R-02406</t>
  </si>
  <si>
    <t>R-02407</t>
  </si>
  <si>
    <t>R-02408</t>
  </si>
  <si>
    <t>R-02409</t>
  </si>
  <si>
    <t>R-02410</t>
  </si>
  <si>
    <t>R-02411</t>
  </si>
  <si>
    <t>R-02412</t>
  </si>
  <si>
    <t>R-02413</t>
  </si>
  <si>
    <t>R-02414</t>
  </si>
  <si>
    <t>R-02415</t>
  </si>
  <si>
    <t>R-02416</t>
  </si>
  <si>
    <t>R-02417</t>
  </si>
  <si>
    <t>R-02418</t>
  </si>
  <si>
    <t>R-02419</t>
  </si>
  <si>
    <t>R-02420</t>
  </si>
  <si>
    <t>R-02421</t>
  </si>
  <si>
    <t>R-02422</t>
  </si>
  <si>
    <t>R-02423</t>
  </si>
  <si>
    <t>R-02424</t>
  </si>
  <si>
    <t>R-02425</t>
  </si>
  <si>
    <t>R-02426</t>
  </si>
  <si>
    <t>R-02427</t>
  </si>
  <si>
    <t>R-02428</t>
  </si>
  <si>
    <t>R-02429</t>
  </si>
  <si>
    <t>R-02430</t>
  </si>
  <si>
    <t>R-02431</t>
  </si>
  <si>
    <t>R-02432</t>
  </si>
  <si>
    <t>R-02433</t>
  </si>
  <si>
    <t>R-02434</t>
  </si>
  <si>
    <t>R-02435</t>
  </si>
  <si>
    <t>R-02436</t>
  </si>
  <si>
    <t>R-02437</t>
  </si>
  <si>
    <t>R-02438</t>
  </si>
  <si>
    <t>R-02439</t>
  </si>
  <si>
    <t>R-02440</t>
  </si>
  <si>
    <t>R-02441</t>
  </si>
  <si>
    <t>R-02442</t>
  </si>
  <si>
    <t>R-02443</t>
  </si>
  <si>
    <t>R-02444</t>
  </si>
  <si>
    <t>R-02445</t>
  </si>
  <si>
    <t>R-02446</t>
  </si>
  <si>
    <t>R-02447</t>
  </si>
  <si>
    <t>R-02448</t>
  </si>
  <si>
    <t>R-02449</t>
  </si>
  <si>
    <t>R-02450</t>
  </si>
  <si>
    <t>R-02451</t>
  </si>
  <si>
    <t>R-02452</t>
  </si>
  <si>
    <t>R-02453</t>
  </si>
  <si>
    <t>R-02454</t>
  </si>
  <si>
    <t>R-02455</t>
  </si>
  <si>
    <t>R-02456</t>
  </si>
  <si>
    <t>R-02457</t>
  </si>
  <si>
    <t>R-02458</t>
  </si>
  <si>
    <t>R-02459</t>
  </si>
  <si>
    <t>R-02460</t>
  </si>
  <si>
    <t>R-02461</t>
  </si>
  <si>
    <t>R-02462</t>
  </si>
  <si>
    <t>R-02463</t>
  </si>
  <si>
    <t>R-02464</t>
  </si>
  <si>
    <t>R-02465</t>
  </si>
  <si>
    <t>R-02466</t>
  </si>
  <si>
    <t>R-02467</t>
  </si>
  <si>
    <t>R-02468</t>
  </si>
  <si>
    <t>R-02469</t>
  </si>
  <si>
    <t>R-02470</t>
  </si>
  <si>
    <t>R-02471</t>
  </si>
  <si>
    <t>R-02472</t>
  </si>
  <si>
    <t>R-02473</t>
  </si>
  <si>
    <t>R-02474</t>
  </si>
  <si>
    <t>R-02475</t>
  </si>
  <si>
    <t>R-02476</t>
  </si>
  <si>
    <t>R-02477</t>
  </si>
  <si>
    <t>R-02478</t>
  </si>
  <si>
    <t>R-02479</t>
  </si>
  <si>
    <t>R-02480</t>
  </si>
  <si>
    <t>R-02481</t>
  </si>
  <si>
    <t>R-02482</t>
  </si>
  <si>
    <t>R-02483</t>
  </si>
  <si>
    <t>R-02484</t>
  </si>
  <si>
    <t>R-02485</t>
  </si>
  <si>
    <t>R-02486</t>
  </si>
  <si>
    <t>R-02487</t>
  </si>
  <si>
    <t>R-02488</t>
  </si>
  <si>
    <t>R-02489</t>
  </si>
  <si>
    <t>R-02490</t>
  </si>
  <si>
    <t>R-02491</t>
  </si>
  <si>
    <t>R-02492</t>
  </si>
  <si>
    <t>R-02493</t>
  </si>
  <si>
    <t>R-02494</t>
  </si>
  <si>
    <t>R-02495</t>
  </si>
  <si>
    <t>R-02496</t>
  </si>
  <si>
    <t>R-02497</t>
  </si>
  <si>
    <t>R-02498</t>
  </si>
  <si>
    <t>R-02499</t>
  </si>
  <si>
    <t>R-02500</t>
  </si>
  <si>
    <t>R-02501</t>
  </si>
  <si>
    <t>R-02502</t>
  </si>
  <si>
    <t>R-02503</t>
  </si>
  <si>
    <t>R-02504</t>
  </si>
  <si>
    <t>R-02505</t>
  </si>
  <si>
    <t>R-02506</t>
  </si>
  <si>
    <t>R-02507</t>
  </si>
  <si>
    <t>R-02508</t>
  </si>
  <si>
    <t>R-02509</t>
  </si>
  <si>
    <t>R-02510</t>
  </si>
  <si>
    <t>R-02511</t>
  </si>
  <si>
    <t>R-02512</t>
  </si>
  <si>
    <t>R-02513</t>
  </si>
  <si>
    <t>R-02514</t>
  </si>
  <si>
    <t>R-02515</t>
  </si>
  <si>
    <t>R-02516</t>
  </si>
  <si>
    <t>R-02517</t>
  </si>
  <si>
    <t>R-02518</t>
  </si>
  <si>
    <t>R-02519</t>
  </si>
  <si>
    <t>R-02520</t>
  </si>
  <si>
    <t>R-02521</t>
  </si>
  <si>
    <t>R-02522</t>
  </si>
  <si>
    <t>R-02523</t>
  </si>
  <si>
    <t>R-02524</t>
  </si>
  <si>
    <t>R-02525</t>
  </si>
  <si>
    <t>R-02526</t>
  </si>
  <si>
    <t>R-02527</t>
  </si>
  <si>
    <t>R-02528</t>
  </si>
  <si>
    <t>R-02529</t>
  </si>
  <si>
    <t>R-02530</t>
  </si>
  <si>
    <t>R-02531</t>
  </si>
  <si>
    <t>R-02532</t>
  </si>
  <si>
    <t>R-02533</t>
  </si>
  <si>
    <t>R-02534</t>
  </si>
  <si>
    <t>R-02535</t>
  </si>
  <si>
    <t>R-02536</t>
  </si>
  <si>
    <t>R-02537</t>
  </si>
  <si>
    <t>R-02538</t>
  </si>
  <si>
    <t>R-02539</t>
  </si>
  <si>
    <t>R-02540</t>
  </si>
  <si>
    <t>R-02541</t>
  </si>
  <si>
    <t>R-02542</t>
  </si>
  <si>
    <t>R-02543</t>
  </si>
  <si>
    <t>R-02544</t>
  </si>
  <si>
    <t>R-02545</t>
  </si>
  <si>
    <t>R-02546</t>
  </si>
  <si>
    <t>R-02547</t>
  </si>
  <si>
    <t>R-02548</t>
  </si>
  <si>
    <t>R-02549</t>
  </si>
  <si>
    <t>R-02550</t>
  </si>
  <si>
    <t>R-02551</t>
  </si>
  <si>
    <t>R-02552</t>
  </si>
  <si>
    <t>R-02553</t>
  </si>
  <si>
    <t>R-02554</t>
  </si>
  <si>
    <t>R-02555</t>
  </si>
  <si>
    <t>R-02556</t>
  </si>
  <si>
    <t>R-02557</t>
  </si>
  <si>
    <t>R-02558</t>
  </si>
  <si>
    <t>R-02559</t>
  </si>
  <si>
    <t>R-02560</t>
  </si>
  <si>
    <t>R-02561</t>
  </si>
  <si>
    <t>R-02562</t>
  </si>
  <si>
    <t>R-02563</t>
  </si>
  <si>
    <t>R-02564</t>
  </si>
  <si>
    <t>R-02565</t>
  </si>
  <si>
    <t>R-02566</t>
  </si>
  <si>
    <t>R-02567</t>
  </si>
  <si>
    <t>R-02568</t>
  </si>
  <si>
    <t>R-02569</t>
  </si>
  <si>
    <t>R-02570</t>
  </si>
  <si>
    <t>R-02571</t>
  </si>
  <si>
    <t>R-02572</t>
  </si>
  <si>
    <t>R-02573</t>
  </si>
  <si>
    <t>R-02574</t>
  </si>
  <si>
    <t>R-02575</t>
  </si>
  <si>
    <t>R-02576</t>
  </si>
  <si>
    <t>R-02577</t>
  </si>
  <si>
    <t>R-02578</t>
  </si>
  <si>
    <t>R-02579</t>
  </si>
  <si>
    <t>R-02580</t>
  </si>
  <si>
    <t>R-02581</t>
  </si>
  <si>
    <t>R-02582</t>
  </si>
  <si>
    <t>R-02583</t>
  </si>
  <si>
    <t>R-02584</t>
  </si>
  <si>
    <t>R-02585</t>
  </si>
  <si>
    <t>R-02586</t>
  </si>
  <si>
    <t>R-02587</t>
  </si>
  <si>
    <t>R-02588</t>
  </si>
  <si>
    <t>R-02589</t>
  </si>
  <si>
    <t>R-02590</t>
  </si>
  <si>
    <t>R-02591</t>
  </si>
  <si>
    <t>R-02592</t>
  </si>
  <si>
    <t>R-02593</t>
  </si>
  <si>
    <t>R-02594</t>
  </si>
  <si>
    <t>R-02595</t>
  </si>
  <si>
    <t>R-02596</t>
  </si>
  <si>
    <t>R-02597</t>
  </si>
  <si>
    <t>R-02598</t>
  </si>
  <si>
    <t>R-02599</t>
  </si>
  <si>
    <t>R-02600</t>
  </si>
  <si>
    <t>R-02601</t>
  </si>
  <si>
    <t>R-02602</t>
  </si>
  <si>
    <t>R-02603</t>
  </si>
  <si>
    <t>R-02604</t>
  </si>
  <si>
    <t>R-02605</t>
  </si>
  <si>
    <t>R-02606</t>
  </si>
  <si>
    <t>R-02607</t>
  </si>
  <si>
    <t>R-02608</t>
  </si>
  <si>
    <t>R-02609</t>
  </si>
  <si>
    <t>R-02610</t>
  </si>
  <si>
    <t>R-02611</t>
  </si>
  <si>
    <t>R-02612</t>
  </si>
  <si>
    <t>R-02613</t>
  </si>
  <si>
    <t>R-02614</t>
  </si>
  <si>
    <t>R-02615</t>
  </si>
  <si>
    <t>R-02616</t>
  </si>
  <si>
    <t>R-02617</t>
  </si>
  <si>
    <t>R-02618</t>
  </si>
  <si>
    <t>R-02619</t>
  </si>
  <si>
    <t>R-02620</t>
  </si>
  <si>
    <t>R-02621</t>
  </si>
  <si>
    <t>R-02622</t>
  </si>
  <si>
    <t>R-02623</t>
  </si>
  <si>
    <t>R-02624</t>
  </si>
  <si>
    <t>R-02625</t>
  </si>
  <si>
    <t>R-02626</t>
  </si>
  <si>
    <t>R-02627</t>
  </si>
  <si>
    <t>R-02628</t>
  </si>
  <si>
    <t>R-02629</t>
  </si>
  <si>
    <t>R-02630</t>
  </si>
  <si>
    <t>R-02631</t>
  </si>
  <si>
    <t>R-02632</t>
  </si>
  <si>
    <t>R-02633</t>
  </si>
  <si>
    <t>R-02634</t>
  </si>
  <si>
    <t>R-02635</t>
  </si>
  <si>
    <t>R-02636</t>
  </si>
  <si>
    <t>R-02637</t>
  </si>
  <si>
    <t>R-02638</t>
  </si>
  <si>
    <t>R-02639</t>
  </si>
  <si>
    <t>R-02640</t>
  </si>
  <si>
    <t>R-02641</t>
  </si>
  <si>
    <t>R-02642</t>
  </si>
  <si>
    <t>R-02643</t>
  </si>
  <si>
    <t>R-02644</t>
  </si>
  <si>
    <t>R-02645</t>
  </si>
  <si>
    <t>R-02646</t>
  </si>
  <si>
    <t>R-02647</t>
  </si>
  <si>
    <t>R-02648</t>
  </si>
  <si>
    <t>R-02649</t>
  </si>
  <si>
    <t>R-02650</t>
  </si>
  <si>
    <t>R-02651</t>
  </si>
  <si>
    <t>R-02652</t>
  </si>
  <si>
    <t>R-02653</t>
  </si>
  <si>
    <t>R-02654</t>
  </si>
  <si>
    <t>R-02655</t>
  </si>
  <si>
    <t>R-02656</t>
  </si>
  <si>
    <t>R-02657</t>
  </si>
  <si>
    <t>R-02658</t>
  </si>
  <si>
    <t>R-02659</t>
  </si>
  <si>
    <t>R-02660</t>
  </si>
  <si>
    <t>R-02661</t>
  </si>
  <si>
    <t>R-02662</t>
  </si>
  <si>
    <t>R-02663</t>
  </si>
  <si>
    <t>R-02664</t>
  </si>
  <si>
    <t>R-02665</t>
  </si>
  <si>
    <t>R-02666</t>
  </si>
  <si>
    <t>R-02667</t>
  </si>
  <si>
    <t>R-02668</t>
  </si>
  <si>
    <t>R-02669</t>
  </si>
  <si>
    <t>R-02670</t>
  </si>
  <si>
    <t>R-02671</t>
  </si>
  <si>
    <t>R-02672</t>
  </si>
  <si>
    <t>R-02673</t>
  </si>
  <si>
    <t>R-02674</t>
  </si>
  <si>
    <t>R-02675</t>
  </si>
  <si>
    <t>R-02676</t>
  </si>
  <si>
    <t>R-02677</t>
  </si>
  <si>
    <t>R-02678</t>
  </si>
  <si>
    <t>R-02679</t>
  </si>
  <si>
    <t>R-02680</t>
  </si>
  <si>
    <t>R-02681</t>
  </si>
  <si>
    <t>R-02682</t>
  </si>
  <si>
    <t>R-02683</t>
  </si>
  <si>
    <t>R-02684</t>
  </si>
  <si>
    <t>R-02685</t>
  </si>
  <si>
    <t>R-02686</t>
  </si>
  <si>
    <t>R-02687</t>
  </si>
  <si>
    <t>R-02688</t>
  </si>
  <si>
    <t>R-02689</t>
  </si>
  <si>
    <t>R-02690</t>
  </si>
  <si>
    <t>R-02691</t>
  </si>
  <si>
    <t>R-02692</t>
  </si>
  <si>
    <t>R-02693</t>
  </si>
  <si>
    <t>R-02694</t>
  </si>
  <si>
    <t>R-02695</t>
  </si>
  <si>
    <t>R-02696</t>
  </si>
  <si>
    <t>R-02697</t>
  </si>
  <si>
    <t>R-02698</t>
  </si>
  <si>
    <t>R-02699</t>
  </si>
  <si>
    <t>R-02700</t>
  </si>
  <si>
    <t>R-02701</t>
  </si>
  <si>
    <t>R-02702</t>
  </si>
  <si>
    <t>R-02703</t>
  </si>
  <si>
    <t>R-02704</t>
  </si>
  <si>
    <t>R-02705</t>
  </si>
  <si>
    <t>R-02706</t>
  </si>
  <si>
    <t>R-02707</t>
  </si>
  <si>
    <t>R-02708</t>
  </si>
  <si>
    <t>R-02709</t>
  </si>
  <si>
    <t>R-02710</t>
  </si>
  <si>
    <t>R-02711</t>
  </si>
  <si>
    <t>R-02712</t>
  </si>
  <si>
    <t>R-02713</t>
  </si>
  <si>
    <t>R-02714</t>
  </si>
  <si>
    <t>R-02715</t>
  </si>
  <si>
    <t>R-02716</t>
  </si>
  <si>
    <t>R-02717</t>
  </si>
  <si>
    <t>R-02718</t>
  </si>
  <si>
    <t>R-02719</t>
  </si>
  <si>
    <t>R-02720</t>
  </si>
  <si>
    <t>R-02721</t>
  </si>
  <si>
    <t>R-02722</t>
  </si>
  <si>
    <t>R-02723</t>
  </si>
  <si>
    <t>R-02724</t>
  </si>
  <si>
    <t>R-02725</t>
  </si>
  <si>
    <t>R-02726</t>
  </si>
  <si>
    <t>R-02727</t>
  </si>
  <si>
    <t>R-02728</t>
  </si>
  <si>
    <t>R-02729</t>
  </si>
  <si>
    <t>R-02730</t>
  </si>
  <si>
    <t>R-02731</t>
  </si>
  <si>
    <t>R-02732</t>
  </si>
  <si>
    <t>R-02733</t>
  </si>
  <si>
    <t>R-02734</t>
  </si>
  <si>
    <t>R-02735</t>
  </si>
  <si>
    <t>R-02736</t>
  </si>
  <si>
    <t>R-02737</t>
  </si>
  <si>
    <t>R-02738</t>
  </si>
  <si>
    <t>R-02739</t>
  </si>
  <si>
    <t>R-02740</t>
  </si>
  <si>
    <t>R-02741</t>
  </si>
  <si>
    <t>R-02742</t>
  </si>
  <si>
    <t>R-02743</t>
  </si>
  <si>
    <t>R-02744</t>
  </si>
  <si>
    <t>R-02745</t>
  </si>
  <si>
    <t>R-02746</t>
  </si>
  <si>
    <t>R-02747</t>
  </si>
  <si>
    <t>R-02748</t>
  </si>
  <si>
    <t>R-02749</t>
  </si>
  <si>
    <t>R-02750</t>
  </si>
  <si>
    <t>R-02751</t>
  </si>
  <si>
    <t>R-02752</t>
  </si>
  <si>
    <t>R-02753</t>
  </si>
  <si>
    <t>R-02754</t>
  </si>
  <si>
    <t>R-02755</t>
  </si>
  <si>
    <t>R-02756</t>
  </si>
  <si>
    <t>R-02757</t>
  </si>
  <si>
    <t>R-02758</t>
  </si>
  <si>
    <t>R-02759</t>
  </si>
  <si>
    <t>R-02760</t>
  </si>
  <si>
    <t>R-02761</t>
  </si>
  <si>
    <t>R-02762</t>
  </si>
  <si>
    <t>R-02763</t>
  </si>
  <si>
    <t>R-02764</t>
  </si>
  <si>
    <t>R-02765</t>
  </si>
  <si>
    <t>R-02766</t>
  </si>
  <si>
    <t>R-02767</t>
  </si>
  <si>
    <t>R-02768</t>
  </si>
  <si>
    <t>R-02769</t>
  </si>
  <si>
    <t>R-02770</t>
  </si>
  <si>
    <t>R-02771</t>
  </si>
  <si>
    <t>R-02772</t>
  </si>
  <si>
    <t>R-02773</t>
  </si>
  <si>
    <t>R-02774</t>
  </si>
  <si>
    <t>R-02775</t>
  </si>
  <si>
    <t>R-02776</t>
  </si>
  <si>
    <t>R-02777</t>
  </si>
  <si>
    <t>R-02778</t>
  </si>
  <si>
    <t>R-02779</t>
  </si>
  <si>
    <t>R-02780</t>
  </si>
  <si>
    <t>R-02781</t>
  </si>
  <si>
    <t>R-02782</t>
  </si>
  <si>
    <t>R-02783</t>
  </si>
  <si>
    <t>R-02784</t>
  </si>
  <si>
    <t>R-02785</t>
  </si>
  <si>
    <t>R-02786</t>
  </si>
  <si>
    <t>R-02787</t>
  </si>
  <si>
    <t>R-02788</t>
  </si>
  <si>
    <t>R-02789</t>
  </si>
  <si>
    <t>R-02790</t>
  </si>
  <si>
    <t>R-02791</t>
  </si>
  <si>
    <t>R-02792</t>
  </si>
  <si>
    <t>R-02793</t>
  </si>
  <si>
    <t>R-02794</t>
  </si>
  <si>
    <t>R-02795</t>
  </si>
  <si>
    <t>R-02796</t>
  </si>
  <si>
    <t>R-02797</t>
  </si>
  <si>
    <t>R-02798</t>
  </si>
  <si>
    <t>R-02799</t>
  </si>
  <si>
    <t>R-02800</t>
  </si>
  <si>
    <t>R-02801</t>
  </si>
  <si>
    <t>R-02802</t>
  </si>
  <si>
    <t>R-02803</t>
  </si>
  <si>
    <t>R-02804</t>
  </si>
  <si>
    <t>R-02805</t>
  </si>
  <si>
    <t>R-02806</t>
  </si>
  <si>
    <t>R-02807</t>
  </si>
  <si>
    <t>R-02808</t>
  </si>
  <si>
    <t>R-02809</t>
  </si>
  <si>
    <t>R-02810</t>
  </si>
  <si>
    <t>R-02811</t>
  </si>
  <si>
    <t>R-02812</t>
  </si>
  <si>
    <t>R-02813</t>
  </si>
  <si>
    <t>R-02814</t>
  </si>
  <si>
    <t>R-02815</t>
  </si>
  <si>
    <t>R-02816</t>
  </si>
  <si>
    <t>R-02817</t>
  </si>
  <si>
    <t>R-02818</t>
  </si>
  <si>
    <t>R-02819</t>
  </si>
  <si>
    <t>R-02820</t>
  </si>
  <si>
    <t>R-02821</t>
  </si>
  <si>
    <t>R-02822</t>
  </si>
  <si>
    <t>R-02823</t>
  </si>
  <si>
    <t>R-02824</t>
  </si>
  <si>
    <t>R-02825</t>
  </si>
  <si>
    <t>R-02826</t>
  </si>
  <si>
    <t>R-02827</t>
  </si>
  <si>
    <t>R-02828</t>
  </si>
  <si>
    <t>R-02829</t>
  </si>
  <si>
    <t>R-02830</t>
  </si>
  <si>
    <t>R-02831</t>
  </si>
  <si>
    <t>R-02832</t>
  </si>
  <si>
    <t>R-02833</t>
  </si>
  <si>
    <t>R-02834</t>
  </si>
  <si>
    <t>R-02835</t>
  </si>
  <si>
    <t>R-02836</t>
  </si>
  <si>
    <t>R-02837</t>
  </si>
  <si>
    <t>R-02838</t>
  </si>
  <si>
    <t>R-02839</t>
  </si>
  <si>
    <t>R-02840</t>
  </si>
  <si>
    <t>R-02841</t>
  </si>
  <si>
    <t>R-02842</t>
  </si>
  <si>
    <t>R-02843</t>
  </si>
  <si>
    <t>R-02844</t>
  </si>
  <si>
    <t>R-02845</t>
  </si>
  <si>
    <t>R-02846</t>
  </si>
  <si>
    <t>R-02847</t>
  </si>
  <si>
    <t>R-02848</t>
  </si>
  <si>
    <t>R-02849</t>
  </si>
  <si>
    <t>R-02850</t>
  </si>
  <si>
    <t>R-02851</t>
  </si>
  <si>
    <t>R-02852</t>
  </si>
  <si>
    <t>R-02853</t>
  </si>
  <si>
    <t>R-02854</t>
  </si>
  <si>
    <t>R-02855</t>
  </si>
  <si>
    <t>R-02856</t>
  </si>
  <si>
    <t>R-02857</t>
  </si>
  <si>
    <t>R-02858</t>
  </si>
  <si>
    <t>R-02859</t>
  </si>
  <si>
    <t>R-02860</t>
  </si>
  <si>
    <t>R-02861</t>
  </si>
  <si>
    <t>R-02862</t>
  </si>
  <si>
    <t>R-02863</t>
  </si>
  <si>
    <t>R-02864</t>
  </si>
  <si>
    <t>R-02865</t>
  </si>
  <si>
    <t>R-02866</t>
  </si>
  <si>
    <t>R-02867</t>
  </si>
  <si>
    <t>R-02868</t>
  </si>
  <si>
    <t>R-02869</t>
  </si>
  <si>
    <t>R-02870</t>
  </si>
  <si>
    <t>R-02871</t>
  </si>
  <si>
    <t>R-02872</t>
  </si>
  <si>
    <t>R-02873</t>
  </si>
  <si>
    <t>R-02874</t>
  </si>
  <si>
    <t>R-02875</t>
  </si>
  <si>
    <t>R-02876</t>
  </si>
  <si>
    <t>R-02877</t>
  </si>
  <si>
    <t>R-02878</t>
  </si>
  <si>
    <t>R-02879</t>
  </si>
  <si>
    <t>R-02880</t>
  </si>
  <si>
    <t>R-02881</t>
  </si>
  <si>
    <t>R-02882</t>
  </si>
  <si>
    <t>R-02883</t>
  </si>
  <si>
    <t>R-02884</t>
  </si>
  <si>
    <t>R-02885</t>
  </si>
  <si>
    <t>R-02886</t>
  </si>
  <si>
    <t>R-02887</t>
  </si>
  <si>
    <t>R-02888</t>
  </si>
  <si>
    <t>R-02889</t>
  </si>
  <si>
    <t>R-02890</t>
  </si>
  <si>
    <t>R-02891</t>
  </si>
  <si>
    <t>R-02892</t>
  </si>
  <si>
    <t>R-02893</t>
  </si>
  <si>
    <t>R-02894</t>
  </si>
  <si>
    <t>R-02895</t>
  </si>
  <si>
    <t>R-02896</t>
  </si>
  <si>
    <t>R-02897</t>
  </si>
  <si>
    <t>R-02898</t>
  </si>
  <si>
    <t>R-02899</t>
  </si>
  <si>
    <t>R-02900</t>
  </si>
  <si>
    <t>R-02901</t>
  </si>
  <si>
    <t>R-02902</t>
  </si>
  <si>
    <t>R-02903</t>
  </si>
  <si>
    <t>R-02904</t>
  </si>
  <si>
    <t>R-02905</t>
  </si>
  <si>
    <t>R-02906</t>
  </si>
  <si>
    <t>R-02907</t>
  </si>
  <si>
    <t>R-02908</t>
  </si>
  <si>
    <t>R-02909</t>
  </si>
  <si>
    <t>R-02910</t>
  </si>
  <si>
    <t>R-02911</t>
  </si>
  <si>
    <t>R-02912</t>
  </si>
  <si>
    <t>R-02913</t>
  </si>
  <si>
    <t>R-02914</t>
  </si>
  <si>
    <t>R-02915</t>
  </si>
  <si>
    <t>R-02916</t>
  </si>
  <si>
    <t>R-02917</t>
  </si>
  <si>
    <t>R-02918</t>
  </si>
  <si>
    <t>R-02919</t>
  </si>
  <si>
    <t>R-02920</t>
  </si>
  <si>
    <t>R-02921</t>
  </si>
  <si>
    <t>R-02922</t>
  </si>
  <si>
    <t>R-02923</t>
  </si>
  <si>
    <t>R-02924</t>
  </si>
  <si>
    <t>R-02925</t>
  </si>
  <si>
    <t>R-02926</t>
  </si>
  <si>
    <t>R-02927</t>
  </si>
  <si>
    <t>R-02928</t>
  </si>
  <si>
    <t>R-02929</t>
  </si>
  <si>
    <t>R-02930</t>
  </si>
  <si>
    <t>R-02931</t>
  </si>
  <si>
    <t>R-02932</t>
  </si>
  <si>
    <t>R-02933</t>
  </si>
  <si>
    <t>R-02934</t>
  </si>
  <si>
    <t>R-02935</t>
  </si>
  <si>
    <t>R-02936</t>
  </si>
  <si>
    <t>R-02937</t>
  </si>
  <si>
    <t>R-02938</t>
  </si>
  <si>
    <t>R-02939</t>
  </si>
  <si>
    <t>R-02940</t>
  </si>
  <si>
    <t>R-02941</t>
  </si>
  <si>
    <t>R-02942</t>
  </si>
  <si>
    <t>R-02943</t>
  </si>
  <si>
    <t>R-02944</t>
  </si>
  <si>
    <t>R-02945</t>
  </si>
  <si>
    <t>R-02946</t>
  </si>
  <si>
    <t>R-02947</t>
  </si>
  <si>
    <t>R-02948</t>
  </si>
  <si>
    <t>R-02949</t>
  </si>
  <si>
    <t>R-02950</t>
  </si>
  <si>
    <t>R-02951</t>
  </si>
  <si>
    <t>R-02952</t>
  </si>
  <si>
    <t>R-02953</t>
  </si>
  <si>
    <t>R-02954</t>
  </si>
  <si>
    <t>R-02955</t>
  </si>
  <si>
    <t>R-02956</t>
  </si>
  <si>
    <t>R-02957</t>
  </si>
  <si>
    <t>R-02958</t>
  </si>
  <si>
    <t>R-02959</t>
  </si>
  <si>
    <t>R-02960</t>
  </si>
  <si>
    <t>R-02961</t>
  </si>
  <si>
    <t>R-02962</t>
  </si>
  <si>
    <t>R-02963</t>
  </si>
  <si>
    <t>R-02964</t>
  </si>
  <si>
    <t>R-02965</t>
  </si>
  <si>
    <t>R-02966</t>
  </si>
  <si>
    <t>R-02967</t>
  </si>
  <si>
    <t>R-02968</t>
  </si>
  <si>
    <t>R-02969</t>
  </si>
  <si>
    <t>R-02970</t>
  </si>
  <si>
    <t>R-02971</t>
  </si>
  <si>
    <t>R-02972</t>
  </si>
  <si>
    <t>R-02973</t>
  </si>
  <si>
    <t>R-02974</t>
  </si>
  <si>
    <t>R-02975</t>
  </si>
  <si>
    <t>R-02976</t>
  </si>
  <si>
    <t>R-02977</t>
  </si>
  <si>
    <t>R-02978</t>
  </si>
  <si>
    <t>R-02979</t>
  </si>
  <si>
    <t>R-02980</t>
  </si>
  <si>
    <t>R-02981</t>
  </si>
  <si>
    <t>R-02982</t>
  </si>
  <si>
    <t>R-02983</t>
  </si>
  <si>
    <t>R-02984</t>
  </si>
  <si>
    <t>R-02985</t>
  </si>
  <si>
    <t>R-02986</t>
  </si>
  <si>
    <t>R-02987</t>
  </si>
  <si>
    <t>R-02988</t>
  </si>
  <si>
    <t>R-02989</t>
  </si>
  <si>
    <t>R-02990</t>
  </si>
  <si>
    <t>R-02991</t>
  </si>
  <si>
    <t>R-02992</t>
  </si>
  <si>
    <t>R-02993</t>
  </si>
  <si>
    <t>R-02994</t>
  </si>
  <si>
    <t>R-02995</t>
  </si>
  <si>
    <t>R-02996</t>
  </si>
  <si>
    <t>R-02997</t>
  </si>
  <si>
    <t>R-02998</t>
  </si>
  <si>
    <t>R-02999</t>
  </si>
  <si>
    <t>R-03000</t>
  </si>
  <si>
    <t>R-03001</t>
  </si>
  <si>
    <t>R-03002</t>
  </si>
  <si>
    <t>R-03003</t>
  </si>
  <si>
    <t>R-03004</t>
  </si>
  <si>
    <t>R-03005</t>
  </si>
  <si>
    <t>R-03006</t>
  </si>
  <si>
    <t>R-03007</t>
  </si>
  <si>
    <t>R-03008</t>
  </si>
  <si>
    <t>R-03009</t>
  </si>
  <si>
    <t>R-03010</t>
  </si>
  <si>
    <t>R-03011</t>
  </si>
  <si>
    <t>R-03012</t>
  </si>
  <si>
    <t>R-03013</t>
  </si>
  <si>
    <t>R-03014</t>
  </si>
  <si>
    <t>R-03015</t>
  </si>
  <si>
    <t>R-03016</t>
  </si>
  <si>
    <t>R-03017</t>
  </si>
  <si>
    <t>R-03018</t>
  </si>
  <si>
    <t>R-03019</t>
  </si>
  <si>
    <t>R-03020</t>
  </si>
  <si>
    <t>R-03021</t>
  </si>
  <si>
    <t>R-03022</t>
  </si>
  <si>
    <t>R-03023</t>
  </si>
  <si>
    <t>R-03024</t>
  </si>
  <si>
    <t>R-03025</t>
  </si>
  <si>
    <t>R-03026</t>
  </si>
  <si>
    <t>R-03027</t>
  </si>
  <si>
    <t>R-03028</t>
  </si>
  <si>
    <t>R-03029</t>
  </si>
  <si>
    <t>R-03030</t>
  </si>
  <si>
    <t>R-03031</t>
  </si>
  <si>
    <t>R-03032</t>
  </si>
  <si>
    <t>R-03033</t>
  </si>
  <si>
    <t>R-03034</t>
  </si>
  <si>
    <t>R-03035</t>
  </si>
  <si>
    <t>R-03036</t>
  </si>
  <si>
    <t>R-03037</t>
  </si>
  <si>
    <t>R-03038</t>
  </si>
  <si>
    <t>R-03039</t>
  </si>
  <si>
    <t>R-03040</t>
  </si>
  <si>
    <t>R-03041</t>
  </si>
  <si>
    <t>R-03042</t>
  </si>
  <si>
    <t>R-03043</t>
  </si>
  <si>
    <t>R-03044</t>
  </si>
  <si>
    <t>R-03045</t>
  </si>
  <si>
    <t>R-03046</t>
  </si>
  <si>
    <t>R-03047</t>
  </si>
  <si>
    <t>R-03048</t>
  </si>
  <si>
    <t>R-03049</t>
  </si>
  <si>
    <t>R-03050</t>
  </si>
  <si>
    <t>R-03051</t>
  </si>
  <si>
    <t>R-03052</t>
  </si>
  <si>
    <t>R-03053</t>
  </si>
  <si>
    <t>R-03054</t>
  </si>
  <si>
    <t>R-03055</t>
  </si>
  <si>
    <t>R-03056</t>
  </si>
  <si>
    <t>R-03057</t>
  </si>
  <si>
    <t>R-03058</t>
  </si>
  <si>
    <t>R-03059</t>
  </si>
  <si>
    <t>R-03060</t>
  </si>
  <si>
    <t>R-03061</t>
  </si>
  <si>
    <t>R-03062</t>
  </si>
  <si>
    <t>R-03063</t>
  </si>
  <si>
    <t>R-03064</t>
  </si>
  <si>
    <t>R-03065</t>
  </si>
  <si>
    <t>R-03066</t>
  </si>
  <si>
    <t>R-03067</t>
  </si>
  <si>
    <t>R-03068</t>
  </si>
  <si>
    <t>R-03069</t>
  </si>
  <si>
    <t>R-03070</t>
  </si>
  <si>
    <t>R-03071</t>
  </si>
  <si>
    <t>R-03072</t>
  </si>
  <si>
    <t>R-03073</t>
  </si>
  <si>
    <t>R-03074</t>
  </si>
  <si>
    <t>R-03075</t>
  </si>
  <si>
    <t>R-03076</t>
  </si>
  <si>
    <t>R-03077</t>
  </si>
  <si>
    <t>R-03078</t>
  </si>
  <si>
    <t>R-03079</t>
  </si>
  <si>
    <t>R-03080</t>
  </si>
  <si>
    <t>R-03081</t>
  </si>
  <si>
    <t>R-03082</t>
  </si>
  <si>
    <t>R-03083</t>
  </si>
  <si>
    <t>R-03084</t>
  </si>
  <si>
    <t>R-03085</t>
  </si>
  <si>
    <t>R-03086</t>
  </si>
  <si>
    <t>R-03087</t>
  </si>
  <si>
    <t>R-03088</t>
  </si>
  <si>
    <t>R-03089</t>
  </si>
  <si>
    <t>R-03090</t>
  </si>
  <si>
    <t>R-03091</t>
  </si>
  <si>
    <t>R-03092</t>
  </si>
  <si>
    <t>R-03093</t>
  </si>
  <si>
    <t>R-03094</t>
  </si>
  <si>
    <t>R-03095</t>
  </si>
  <si>
    <t>R-03096</t>
  </si>
  <si>
    <t>R-03097</t>
  </si>
  <si>
    <t>R-03098</t>
  </si>
  <si>
    <t>R-03099</t>
  </si>
  <si>
    <t>R-03100</t>
  </si>
  <si>
    <t>R-03101</t>
  </si>
  <si>
    <t>R-03102</t>
  </si>
  <si>
    <t>R-03103</t>
  </si>
  <si>
    <t>R-03104</t>
  </si>
  <si>
    <t>R-03105</t>
  </si>
  <si>
    <t>R-03106</t>
  </si>
  <si>
    <t>R-03107</t>
  </si>
  <si>
    <t>R-03108</t>
  </si>
  <si>
    <t>R-03109</t>
  </si>
  <si>
    <t>R-03110</t>
  </si>
  <si>
    <t>R-03111</t>
  </si>
  <si>
    <t>R-03112</t>
  </si>
  <si>
    <t>R-03113</t>
  </si>
  <si>
    <t>R-03114</t>
  </si>
  <si>
    <t>R-03115</t>
  </si>
  <si>
    <t>R-03116</t>
  </si>
  <si>
    <t>R-03117</t>
  </si>
  <si>
    <t>R-03118</t>
  </si>
  <si>
    <t>R-03119</t>
  </si>
  <si>
    <t>R-03120</t>
  </si>
  <si>
    <t>R-03121</t>
  </si>
  <si>
    <t>R-03122</t>
  </si>
  <si>
    <t>R-03123</t>
  </si>
  <si>
    <t>R-03124</t>
  </si>
  <si>
    <t>R-03125</t>
  </si>
  <si>
    <t>R-03126</t>
  </si>
  <si>
    <t>R-03127</t>
  </si>
  <si>
    <t>R-03128</t>
  </si>
  <si>
    <t>R-03129</t>
  </si>
  <si>
    <t>R-03130</t>
  </si>
  <si>
    <t>R-03131</t>
  </si>
  <si>
    <t>R-03132</t>
  </si>
  <si>
    <t>R-03133</t>
  </si>
  <si>
    <t>R-03134</t>
  </si>
  <si>
    <t>R-03135</t>
  </si>
  <si>
    <t>R-03136</t>
  </si>
  <si>
    <t>R-03137</t>
  </si>
  <si>
    <t>R-03138</t>
  </si>
  <si>
    <t>R-03139</t>
  </si>
  <si>
    <t>R-03140</t>
  </si>
  <si>
    <t>R-03141</t>
  </si>
  <si>
    <t>R-03142</t>
  </si>
  <si>
    <t>R-03143</t>
  </si>
  <si>
    <t>R-03144</t>
  </si>
  <si>
    <t>R-03145</t>
  </si>
  <si>
    <t>R-03146</t>
  </si>
  <si>
    <t>R-03147</t>
  </si>
  <si>
    <t>R-03148</t>
  </si>
  <si>
    <t>R-03149</t>
  </si>
  <si>
    <t>R-03150</t>
  </si>
  <si>
    <t>R-03151</t>
  </si>
  <si>
    <t>R-03152</t>
  </si>
  <si>
    <t>R-03153</t>
  </si>
  <si>
    <t>R-03154</t>
  </si>
  <si>
    <t>R-03155</t>
  </si>
  <si>
    <t>R-03156</t>
  </si>
  <si>
    <t>R-03157</t>
  </si>
  <si>
    <t>R-03158</t>
  </si>
  <si>
    <t>R-03159</t>
  </si>
  <si>
    <t>R-03160</t>
  </si>
  <si>
    <t>R-03161</t>
  </si>
  <si>
    <t>R-03162</t>
  </si>
  <si>
    <t>R-03163</t>
  </si>
  <si>
    <t>R-03164</t>
  </si>
  <si>
    <t>R-03165</t>
  </si>
  <si>
    <t>R-03166</t>
  </si>
  <si>
    <t>R-03167</t>
  </si>
  <si>
    <t>R-03168</t>
  </si>
  <si>
    <t>R-03169</t>
  </si>
  <si>
    <t>R-03170</t>
  </si>
  <si>
    <t>R-03171</t>
  </si>
  <si>
    <t>R-03172</t>
  </si>
  <si>
    <t>R-03173</t>
  </si>
  <si>
    <t>R-03174</t>
  </si>
  <si>
    <t>R-03175</t>
  </si>
  <si>
    <t>R-03176</t>
  </si>
  <si>
    <t>R-03177</t>
  </si>
  <si>
    <t>R-03178</t>
  </si>
  <si>
    <t>R-03179</t>
  </si>
  <si>
    <t>R-03180</t>
  </si>
  <si>
    <t>R-03181</t>
  </si>
  <si>
    <t>R-03182</t>
  </si>
  <si>
    <t>R-03183</t>
  </si>
  <si>
    <t>R-03184</t>
  </si>
  <si>
    <t>R-03185</t>
  </si>
  <si>
    <t>R-03186</t>
  </si>
  <si>
    <t>R-03187</t>
  </si>
  <si>
    <t>R-03188</t>
  </si>
  <si>
    <t>R-03189</t>
  </si>
  <si>
    <t>R-03190</t>
  </si>
  <si>
    <t>R-03191</t>
  </si>
  <si>
    <t>R-03192</t>
  </si>
  <si>
    <t>R-03193</t>
  </si>
  <si>
    <t>R-03194</t>
  </si>
  <si>
    <t>R-03195</t>
  </si>
  <si>
    <t>R-03196</t>
  </si>
  <si>
    <t>R-03197</t>
  </si>
  <si>
    <t>R-03198</t>
  </si>
  <si>
    <t>R-03199</t>
  </si>
  <si>
    <t>R-03200</t>
  </si>
  <si>
    <t>R-03201</t>
  </si>
  <si>
    <t>R-03202</t>
  </si>
  <si>
    <t>R-03203</t>
  </si>
  <si>
    <t>R-03204</t>
  </si>
  <si>
    <t>R-03205</t>
  </si>
  <si>
    <t>R-03206</t>
  </si>
  <si>
    <t>R-03207</t>
  </si>
  <si>
    <t>R-03208</t>
  </si>
  <si>
    <t>R-03209</t>
  </si>
  <si>
    <t>R-03210</t>
  </si>
  <si>
    <t>R-03211</t>
  </si>
  <si>
    <t>R-03212</t>
  </si>
  <si>
    <t>R-03213</t>
  </si>
  <si>
    <t>R-03214</t>
  </si>
  <si>
    <t>R-03215</t>
  </si>
  <si>
    <t>R-03216</t>
  </si>
  <si>
    <t>R-03217</t>
  </si>
  <si>
    <t>R-03218</t>
  </si>
  <si>
    <t>R-03219</t>
  </si>
  <si>
    <t>R-03220</t>
  </si>
  <si>
    <t>R-03221</t>
  </si>
  <si>
    <t>R-03222</t>
  </si>
  <si>
    <t>R-03223</t>
  </si>
  <si>
    <t>R-03224</t>
  </si>
  <si>
    <t>R-03225</t>
  </si>
  <si>
    <t>R-03226</t>
  </si>
  <si>
    <t>R-03227</t>
  </si>
  <si>
    <t>R-03228</t>
  </si>
  <si>
    <t>R-03229</t>
  </si>
  <si>
    <t>R-03230</t>
  </si>
  <si>
    <t>R-03231</t>
  </si>
  <si>
    <t>R-03232</t>
  </si>
  <si>
    <t>R-03233</t>
  </si>
  <si>
    <t>R-03234</t>
  </si>
  <si>
    <t>R-03235</t>
  </si>
  <si>
    <t>R-03236</t>
  </si>
  <si>
    <t>R-03237</t>
  </si>
  <si>
    <t>R-03238</t>
  </si>
  <si>
    <t>R-03239</t>
  </si>
  <si>
    <t>R-03240</t>
  </si>
  <si>
    <t>R-03241</t>
  </si>
  <si>
    <t>R-03242</t>
  </si>
  <si>
    <t>R-03243</t>
  </si>
  <si>
    <t>R-03244</t>
  </si>
  <si>
    <t>R-03245</t>
  </si>
  <si>
    <t>R-03246</t>
  </si>
  <si>
    <t>R-03247</t>
  </si>
  <si>
    <t>R-03248</t>
  </si>
  <si>
    <t>R-03249</t>
  </si>
  <si>
    <t>R-03250</t>
  </si>
  <si>
    <t>R-03251</t>
  </si>
  <si>
    <t>R-03252</t>
  </si>
  <si>
    <t>R-03253</t>
  </si>
  <si>
    <t>R-03254</t>
  </si>
  <si>
    <t>R-03255</t>
  </si>
  <si>
    <t>R-03256</t>
  </si>
  <si>
    <t>R-03257</t>
  </si>
  <si>
    <t>R-03258</t>
  </si>
  <si>
    <t>R-03259</t>
  </si>
  <si>
    <t>R-03260</t>
  </si>
  <si>
    <t>R-03261</t>
  </si>
  <si>
    <t>R-03262</t>
  </si>
  <si>
    <t>R-03263</t>
  </si>
  <si>
    <t>R-03264</t>
  </si>
  <si>
    <t>R-03265</t>
  </si>
  <si>
    <t>R-03266</t>
  </si>
  <si>
    <t>R-03267</t>
  </si>
  <si>
    <t>R-03268</t>
  </si>
  <si>
    <t>R-03269</t>
  </si>
  <si>
    <t>R-03270</t>
  </si>
  <si>
    <t>R-03271</t>
  </si>
  <si>
    <t>R-03272</t>
  </si>
  <si>
    <t>R-03273</t>
  </si>
  <si>
    <t>R-03274</t>
  </si>
  <si>
    <t>R-03275</t>
  </si>
  <si>
    <t>R-03276</t>
  </si>
  <si>
    <t>R-03277</t>
  </si>
  <si>
    <t>R-03278</t>
  </si>
  <si>
    <t>R-03279</t>
  </si>
  <si>
    <t>R-03280</t>
  </si>
  <si>
    <t>R-03281</t>
  </si>
  <si>
    <t>R-03282</t>
  </si>
  <si>
    <t>R-03283</t>
  </si>
  <si>
    <t>R-03284</t>
  </si>
  <si>
    <t>R-03285</t>
  </si>
  <si>
    <t>R-03286</t>
  </si>
  <si>
    <t>R-03287</t>
  </si>
  <si>
    <t>R-03288</t>
  </si>
  <si>
    <t>R-03289</t>
  </si>
  <si>
    <t>R-03290</t>
  </si>
  <si>
    <t>R-03291</t>
  </si>
  <si>
    <t>R-03292</t>
  </si>
  <si>
    <t>R-03293</t>
  </si>
  <si>
    <t>R-03294</t>
  </si>
  <si>
    <t>R-03295</t>
  </si>
  <si>
    <t>R-03296</t>
  </si>
  <si>
    <t>R-03297</t>
  </si>
  <si>
    <t>R-03298</t>
  </si>
  <si>
    <t>R-03299</t>
  </si>
  <si>
    <t>R-03300</t>
  </si>
  <si>
    <t>R-03301</t>
  </si>
  <si>
    <t>R-03302</t>
  </si>
  <si>
    <t>R-03303</t>
  </si>
  <si>
    <t>R-03304</t>
  </si>
  <si>
    <t>R-03305</t>
  </si>
  <si>
    <t>R-03306</t>
  </si>
  <si>
    <t>R-03307</t>
  </si>
  <si>
    <t>R-03308</t>
  </si>
  <si>
    <t>R-03309</t>
  </si>
  <si>
    <t>R-03310</t>
  </si>
  <si>
    <t>R-03311</t>
  </si>
  <si>
    <t>R-03312</t>
  </si>
  <si>
    <t>R-03313</t>
  </si>
  <si>
    <t>R-03314</t>
  </si>
  <si>
    <t>R-03315</t>
  </si>
  <si>
    <t>R-03316</t>
  </si>
  <si>
    <t>R-03317</t>
  </si>
  <si>
    <t>R-03318</t>
  </si>
  <si>
    <t>R-03319</t>
  </si>
  <si>
    <t>R-03320</t>
  </si>
  <si>
    <t>R-03321</t>
  </si>
  <si>
    <t>R-03322</t>
  </si>
  <si>
    <t>R-03323</t>
  </si>
  <si>
    <t>R-03324</t>
  </si>
  <si>
    <t>R-03325</t>
  </si>
  <si>
    <t>R-03326</t>
  </si>
  <si>
    <t>R-03327</t>
  </si>
  <si>
    <t>R-03328</t>
  </si>
  <si>
    <t>R-03329</t>
  </si>
  <si>
    <t>R-03330</t>
  </si>
  <si>
    <t>R-03331</t>
  </si>
  <si>
    <t>R-03332</t>
  </si>
  <si>
    <t>R-03333</t>
  </si>
  <si>
    <t>R-03334</t>
  </si>
  <si>
    <t>R-03335</t>
  </si>
  <si>
    <t>R-03336</t>
  </si>
  <si>
    <t>R-03337</t>
  </si>
  <si>
    <t>R-03338</t>
  </si>
  <si>
    <t>R-03339</t>
  </si>
  <si>
    <t>R-03340</t>
  </si>
  <si>
    <t>R-03341</t>
  </si>
  <si>
    <t>R-03342</t>
  </si>
  <si>
    <t>R-03343</t>
  </si>
  <si>
    <t>R-03344</t>
  </si>
  <si>
    <t>R-03345</t>
  </si>
  <si>
    <t>R-03346</t>
  </si>
  <si>
    <t>R-03347</t>
  </si>
  <si>
    <t>R-03348</t>
  </si>
  <si>
    <t>R-03349</t>
  </si>
  <si>
    <t>R-03350</t>
  </si>
  <si>
    <t>R-03351</t>
  </si>
  <si>
    <t>R-03352</t>
  </si>
  <si>
    <t>R-03353</t>
  </si>
  <si>
    <t>R-03354</t>
  </si>
  <si>
    <t>R-03355</t>
  </si>
  <si>
    <t>R-03356</t>
  </si>
  <si>
    <t>R-03357</t>
  </si>
  <si>
    <t>R-03358</t>
  </si>
  <si>
    <t>R-03359</t>
  </si>
  <si>
    <t>R-03360</t>
  </si>
  <si>
    <t>R-03361</t>
  </si>
  <si>
    <t>R-03362</t>
  </si>
  <si>
    <t>R-03363</t>
  </si>
  <si>
    <t>R-03364</t>
  </si>
  <si>
    <t>R-03365</t>
  </si>
  <si>
    <t>R-03366</t>
  </si>
  <si>
    <t>R-03367</t>
  </si>
  <si>
    <t>R-03368</t>
  </si>
  <si>
    <t>R-03369</t>
  </si>
  <si>
    <t>R-03370</t>
  </si>
  <si>
    <t>R-03371</t>
  </si>
  <si>
    <t>R-03372</t>
  </si>
  <si>
    <t>R-03373</t>
  </si>
  <si>
    <t>R-03374</t>
  </si>
  <si>
    <t>R-03375</t>
  </si>
  <si>
    <t>R-03376</t>
  </si>
  <si>
    <t>R-03377</t>
  </si>
  <si>
    <t>R-03378</t>
  </si>
  <si>
    <t>R-03379</t>
  </si>
  <si>
    <t>R-03380</t>
  </si>
  <si>
    <t>R-03381</t>
  </si>
  <si>
    <t>R-03382</t>
  </si>
  <si>
    <t>R-03383</t>
  </si>
  <si>
    <t>R-03384</t>
  </si>
  <si>
    <t>R-03385</t>
  </si>
  <si>
    <t>R-03386</t>
  </si>
  <si>
    <t>R-03387</t>
  </si>
  <si>
    <t>R-03388</t>
  </si>
  <si>
    <t>R-03389</t>
  </si>
  <si>
    <t>R-03390</t>
  </si>
  <si>
    <t>R-03391</t>
  </si>
  <si>
    <t>R-03392</t>
  </si>
  <si>
    <t>R-03393</t>
  </si>
  <si>
    <t>R-03394</t>
  </si>
  <si>
    <t>R-03395</t>
  </si>
  <si>
    <t>R-03396</t>
  </si>
  <si>
    <t>R-03397</t>
  </si>
  <si>
    <t>R-03398</t>
  </si>
  <si>
    <t>R-03399</t>
  </si>
  <si>
    <t>R-03400</t>
  </si>
  <si>
    <t>R-03401</t>
  </si>
  <si>
    <t>R-03402</t>
  </si>
  <si>
    <t>R-03403</t>
  </si>
  <si>
    <t>R-03404</t>
  </si>
  <si>
    <t>R-03405</t>
  </si>
  <si>
    <t>R-03406</t>
  </si>
  <si>
    <t>R-03407</t>
  </si>
  <si>
    <t>R-03408</t>
  </si>
  <si>
    <t>R-03409</t>
  </si>
  <si>
    <t>R-03410</t>
  </si>
  <si>
    <t>R-03411</t>
  </si>
  <si>
    <t>R-03412</t>
  </si>
  <si>
    <t>R-03413</t>
  </si>
  <si>
    <t>R-03414</t>
  </si>
  <si>
    <t>R-03415</t>
  </si>
  <si>
    <t>R-03416</t>
  </si>
  <si>
    <t>R-03417</t>
  </si>
  <si>
    <t>R-03418</t>
  </si>
  <si>
    <t>R-03419</t>
  </si>
  <si>
    <t>R-03420</t>
  </si>
  <si>
    <t>R-03421</t>
  </si>
  <si>
    <t>R-03422</t>
  </si>
  <si>
    <t>R-03423</t>
  </si>
  <si>
    <t>R-03424</t>
  </si>
  <si>
    <t>R-03425</t>
  </si>
  <si>
    <t>R-03426</t>
  </si>
  <si>
    <t>R-03427</t>
  </si>
  <si>
    <t>R-03428</t>
  </si>
  <si>
    <t>R-03429</t>
  </si>
  <si>
    <t>R-03430</t>
  </si>
  <si>
    <t>R-03431</t>
  </si>
  <si>
    <t>R-03432</t>
  </si>
  <si>
    <t>R-03433</t>
  </si>
  <si>
    <t>R-03434</t>
  </si>
  <si>
    <t>R-03435</t>
  </si>
  <si>
    <t>R-03436</t>
  </si>
  <si>
    <t>R-03437</t>
  </si>
  <si>
    <t>R-03438</t>
  </si>
  <si>
    <t>R-03439</t>
  </si>
  <si>
    <t>R-03440</t>
  </si>
  <si>
    <t>R-03441</t>
  </si>
  <si>
    <t>R-03442</t>
  </si>
  <si>
    <t>R-03443</t>
  </si>
  <si>
    <t>R-03444</t>
  </si>
  <si>
    <t>R-03445</t>
  </si>
  <si>
    <t>R-03446</t>
  </si>
  <si>
    <t>R-03447</t>
  </si>
  <si>
    <t>R-03448</t>
  </si>
  <si>
    <t>R-03449</t>
  </si>
  <si>
    <t>R-03450</t>
  </si>
  <si>
    <t>R-03451</t>
  </si>
  <si>
    <t>R-03452</t>
  </si>
  <si>
    <t>R-03453</t>
  </si>
  <si>
    <t>R-03454</t>
  </si>
  <si>
    <t>R-03455</t>
  </si>
  <si>
    <t>R-03456</t>
  </si>
  <si>
    <t>R-03457</t>
  </si>
  <si>
    <t>R-03458</t>
  </si>
  <si>
    <t>R-03459</t>
  </si>
  <si>
    <t>R-03460</t>
  </si>
  <si>
    <t>R-03461</t>
  </si>
  <si>
    <t>R-03462</t>
  </si>
  <si>
    <t>R-03463</t>
  </si>
  <si>
    <t>R-03464</t>
  </si>
  <si>
    <t>R-03465</t>
  </si>
  <si>
    <t>R-03466</t>
  </si>
  <si>
    <t>R-03467</t>
  </si>
  <si>
    <t>R-03468</t>
  </si>
  <si>
    <t>R-03469</t>
  </si>
  <si>
    <t>R-03470</t>
  </si>
  <si>
    <t>R-03471</t>
  </si>
  <si>
    <t>R-03472</t>
  </si>
  <si>
    <t>R-03473</t>
  </si>
  <si>
    <t>R-03474</t>
  </si>
  <si>
    <t>R-03475</t>
  </si>
  <si>
    <t>R-03476</t>
  </si>
  <si>
    <t>R-03477</t>
  </si>
  <si>
    <t>R-03478</t>
  </si>
  <si>
    <t>R-03479</t>
  </si>
  <si>
    <t>R-03480</t>
  </si>
  <si>
    <t>R-03481</t>
  </si>
  <si>
    <t>R-03482</t>
  </si>
  <si>
    <t>R-03483</t>
  </si>
  <si>
    <t>R-03484</t>
  </si>
  <si>
    <t>R-03485</t>
  </si>
  <si>
    <t>R-03486</t>
  </si>
  <si>
    <t>R-03487</t>
  </si>
  <si>
    <t>R-03488</t>
  </si>
  <si>
    <t>R-03489</t>
  </si>
  <si>
    <t>R-03490</t>
  </si>
  <si>
    <t>R-03491</t>
  </si>
  <si>
    <t>R-03492</t>
  </si>
  <si>
    <t>R-03493</t>
  </si>
  <si>
    <t>R-03494</t>
  </si>
  <si>
    <t>R-03495</t>
  </si>
  <si>
    <t>R-03496</t>
  </si>
  <si>
    <t>R-03497</t>
  </si>
  <si>
    <t>R-03498</t>
  </si>
  <si>
    <t>R-03499</t>
  </si>
  <si>
    <t>R-03500</t>
  </si>
  <si>
    <t>R-03501</t>
  </si>
  <si>
    <t>R-03502</t>
  </si>
  <si>
    <t>R-03503</t>
  </si>
  <si>
    <t>R-03504</t>
  </si>
  <si>
    <t>R-03505</t>
  </si>
  <si>
    <t>R-03506</t>
  </si>
  <si>
    <t>R-03507</t>
  </si>
  <si>
    <t>R-03508</t>
  </si>
  <si>
    <t>R-03509</t>
  </si>
  <si>
    <t>R-03510</t>
  </si>
  <si>
    <t>R-03511</t>
  </si>
  <si>
    <t>R-03512</t>
  </si>
  <si>
    <t>R-03513</t>
  </si>
  <si>
    <t>R-03514</t>
  </si>
  <si>
    <t>R-03515</t>
  </si>
  <si>
    <t>R-03516</t>
  </si>
  <si>
    <t>R-03517</t>
  </si>
  <si>
    <t>R-03518</t>
  </si>
  <si>
    <t>R-03519</t>
  </si>
  <si>
    <t>R-03520</t>
  </si>
  <si>
    <t>R-03521</t>
  </si>
  <si>
    <t>R-03522</t>
  </si>
  <si>
    <t>R-03523</t>
  </si>
  <si>
    <t>R-03524</t>
  </si>
  <si>
    <t>R-03525</t>
  </si>
  <si>
    <t>R-03526</t>
  </si>
  <si>
    <t>R-03527</t>
  </si>
  <si>
    <t>R-03528</t>
  </si>
  <si>
    <t>R-03529</t>
  </si>
  <si>
    <t>R-03530</t>
  </si>
  <si>
    <t>R-03531</t>
  </si>
  <si>
    <t>R-03532</t>
  </si>
  <si>
    <t>R-03533</t>
  </si>
  <si>
    <t>R-03534</t>
  </si>
  <si>
    <t>R-03535</t>
  </si>
  <si>
    <t>R-03536</t>
  </si>
  <si>
    <t>R-03537</t>
  </si>
  <si>
    <t>R-03538</t>
  </si>
  <si>
    <t>R-03539</t>
  </si>
  <si>
    <t>R-03540</t>
  </si>
  <si>
    <t>R-03541</t>
  </si>
  <si>
    <t>R-03542</t>
  </si>
  <si>
    <t>R-03543</t>
  </si>
  <si>
    <t>R-03544</t>
  </si>
  <si>
    <t>R-03545</t>
  </si>
  <si>
    <t>R-03546</t>
  </si>
  <si>
    <t>R-03547</t>
  </si>
  <si>
    <t>R-03548</t>
  </si>
  <si>
    <t>R-03549</t>
  </si>
  <si>
    <t>R-03550</t>
  </si>
  <si>
    <t>R-03551</t>
  </si>
  <si>
    <t>R-03552</t>
  </si>
  <si>
    <t>R-03553</t>
  </si>
  <si>
    <t>R-03554</t>
  </si>
  <si>
    <t>R-03555</t>
  </si>
  <si>
    <t>R-03556</t>
  </si>
  <si>
    <t>R-03557</t>
  </si>
  <si>
    <t>R-03558</t>
  </si>
  <si>
    <t>R-03559</t>
  </si>
  <si>
    <t>R-03560</t>
  </si>
  <si>
    <t>R-03561</t>
  </si>
  <si>
    <t>R-03562</t>
  </si>
  <si>
    <t>R-03563</t>
  </si>
  <si>
    <t>R-03564</t>
  </si>
  <si>
    <t>R-03565</t>
  </si>
  <si>
    <t>R-03566</t>
  </si>
  <si>
    <t>R-03567</t>
  </si>
  <si>
    <t>R-03568</t>
  </si>
  <si>
    <t>R-03569</t>
  </si>
  <si>
    <t>R-03570</t>
  </si>
  <si>
    <t>R-03571</t>
  </si>
  <si>
    <t>R-03572</t>
  </si>
  <si>
    <t>R-03573</t>
  </si>
  <si>
    <t>R-03574</t>
  </si>
  <si>
    <t>R-03575</t>
  </si>
  <si>
    <t>R-03576</t>
  </si>
  <si>
    <t>R-03577</t>
  </si>
  <si>
    <t>R-03578</t>
  </si>
  <si>
    <t>R-03579</t>
  </si>
  <si>
    <t>R-03580</t>
  </si>
  <si>
    <t>R-03581</t>
  </si>
  <si>
    <t>R-03582</t>
  </si>
  <si>
    <t>R-03583</t>
  </si>
  <si>
    <t>R-03584</t>
  </si>
  <si>
    <t>R-03585</t>
  </si>
  <si>
    <t>R-03586</t>
  </si>
  <si>
    <t>R-03587</t>
  </si>
  <si>
    <t>R-03588</t>
  </si>
  <si>
    <t>R-03589</t>
  </si>
  <si>
    <t>R-03590</t>
  </si>
  <si>
    <t>R-03591</t>
  </si>
  <si>
    <t>R-03592</t>
  </si>
  <si>
    <t>R-03593</t>
  </si>
  <si>
    <t>R-03594</t>
  </si>
  <si>
    <t>R-03595</t>
  </si>
  <si>
    <t>R-03596</t>
  </si>
  <si>
    <t>R-03597</t>
  </si>
  <si>
    <t>R-03598</t>
  </si>
  <si>
    <t>R-03599</t>
  </si>
  <si>
    <t>R-03600</t>
  </si>
  <si>
    <t>Rank</t>
  </si>
  <si>
    <t>Suitability Score</t>
  </si>
  <si>
    <t>High-Risk Record Count</t>
  </si>
  <si>
    <t>Overall Risk Level</t>
  </si>
  <si>
    <t>Recommendation</t>
  </si>
  <si>
    <t>Component</t>
  </si>
  <si>
    <t>Weight</t>
  </si>
  <si>
    <t>Driver KPIs</t>
  </si>
  <si>
    <t>Recruitment</t>
  </si>
  <si>
    <t>Enrollment rate, screen failure, time to FPI, start-up time</t>
  </si>
  <si>
    <t>Quality</t>
  </si>
  <si>
    <t>Data quality, query rate/resolution, data entry lag, protocol deviations</t>
  </si>
  <si>
    <t>Retention</t>
  </si>
  <si>
    <t>Dropout rate, staff turnover</t>
  </si>
  <si>
    <t>Diversity</t>
  </si>
  <si>
    <t>Diversity index of the site catchment</t>
  </si>
  <si>
    <t>Cost</t>
  </si>
  <si>
    <t>Site cost per patient, relative to the peer set</t>
  </si>
  <si>
    <t/>
  </si>
  <si>
    <t>NOTE</t>
  </si>
  <si>
    <t>Reference only. Live weights are DECK_WEIGHTS in src/scoring.ts — edit there and re-run this script.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</si>
</sst>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14" fontId="0" fillId="0" borderId="0" xfId="0" applyNumberFormat="1"/>
  </cellXfs>
  <cellStyles count="1">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2"/>
  <sheetViews>
    <sheetView workbookViewId="0"/>
  </sheetViews>
  <sheetFormatPr defaultRowHeight="15"/>
  <sheetData>
    <row r="1" spans="1:1">
      <c r="A1" t="s">
        <v>0</v>
      </c>
    </row>
    <row r="2" spans="1:1">
      <c r="A2" t="s">
        <v>1</v>
      </c>
    </row>
    <row r="4" spans="1:1">
      <c r="A4" t="s">
        <v>2</v>
      </c>
    </row>
    <row r="5" spans="1:1">
      <c r="A5" t="s">
        <v>3</v>
      </c>
    </row>
    <row r="7" spans="1:1">
      <c r="A7" t="s">
        <v>4</v>
      </c>
    </row>
    <row r="9" spans="1:1">
      <c r="A9" t="s">
        <v>5</v>
      </c>
    </row>
    <row r="10" spans="1:1">
      <c r="A10" t="s">
        <v>6</v>
      </c>
    </row>
    <row r="11" spans="1:1">
      <c r="A11" t="s">
        <v>7</v>
      </c>
    </row>
    <row r="12" spans="1:1">
      <c r="A12" t="s">
        <v>8</v>
      </c>
    </row>
    <row r="13" spans="1:1">
      <c r="A13" t="s">
        <v>9</v>
      </c>
    </row>
    <row r="14" spans="1:1">
      <c r="A14" t="s">
        <v>10</v>
      </c>
    </row>
    <row r="15" spans="1:1">
      <c r="A15" t="s">
        <v>11</v>
      </c>
    </row>
    <row r="16" spans="1:1">
      <c r="A16" t="s">
        <v>12</v>
      </c>
    </row>
    <row r="17" spans="1:1">
      <c r="A17" t="s">
        <v>13</v>
      </c>
    </row>
    <row r="18" spans="1:1">
      <c r="A18" t="s">
        <v>14</v>
      </c>
    </row>
    <row r="19" spans="1:1">
      <c r="A19" t="s">
        <v>15</v>
      </c>
    </row>
    <row r="21" spans="1:1">
      <c r="A21" t="s">
        <v>16</v>
      </c>
    </row>
    <row r="22" spans="1:1">
      <c r="A22" t="s">
        <v>17</v>
      </c>
    </row>
    <row r="23" spans="1:1">
      <c r="A23" t="s">
        <v>18</v>
      </c>
    </row>
    <row r="24" spans="1:1">
      <c r="A24" t="s">
        <v>19</v>
      </c>
    </row>
    <row r="25" spans="1:1">
      <c r="A25" t="s">
        <v>20</v>
      </c>
    </row>
    <row r="26" spans="1:1">
      <c r="A26" t="s">
        <v>21</v>
      </c>
    </row>
    <row r="27" spans="1:1">
      <c r="A27" t="s">
        <v>22</v>
      </c>
    </row>
    <row r="28" spans="1:1">
      <c r="A28" t="s">
        <v>23</v>
      </c>
    </row>
    <row r="30" spans="1:1">
      <c r="A30" t="s">
        <v>24</v>
      </c>
    </row>
    <row r="32" spans="1:1">
      <c r="A32" t="s">
        <v>25</v>
      </c>
    </row>
  </sheetData>
  <pageMargins left="0.75" right="0.75" top="1" bottom="1" header="0.511811023622047" footer="0.511811023622047"/>
  <ignoredErrors>
    <ignoredError sqref="A1:A3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85"/>
  <sheetViews>
    <sheetView workbookViewId="0"/>
  </sheetViews>
  <sheetFormatPr defaultRowHeight="15"/>
  <sheetData>
    <row r="1" spans="1:15">
      <c r="A1" t="s">
        <v>26</v>
      </c>
      <c r="B1" t="s">
        <v>27</v>
      </c>
      <c r="C1" t="s">
        <v>28</v>
      </c>
      <c r="D1" t="s">
        <v>29</v>
      </c>
      <c r="E1" t="s">
        <v>30</v>
      </c>
      <c r="F1" t="s">
        <v>31</v>
      </c>
      <c r="G1" t="s">
        <v>32</v>
      </c>
      <c r="H1" t="s">
        <v>33</v>
      </c>
      <c r="I1" t="s">
        <v>34</v>
      </c>
      <c r="J1" t="s">
        <v>35</v>
      </c>
      <c r="K1" t="s">
        <v>36</v>
      </c>
      <c r="L1" t="s">
        <v>37</v>
      </c>
      <c r="M1" t="s">
        <v>38</v>
      </c>
      <c r="N1" t="s">
        <v>39</v>
      </c>
      <c r="O1" t="s">
        <v>40</v>
      </c>
    </row>
    <row r="2" spans="1:15">
      <c r="A2" t="s">
        <v>41</v>
      </c>
      <c r="B2" t="s">
        <v>42</v>
      </c>
      <c r="C2" t="s">
        <v>43</v>
      </c>
      <c r="D2" t="s">
        <v>44</v>
      </c>
      <c r="E2" t="s">
        <v>45</v>
      </c>
      <c r="F2" t="s">
        <v>46</v>
      </c>
      <c r="G2">
        <v>697</v>
      </c>
      <c r="H2">
        <v>17</v>
      </c>
      <c r="I2" t="s">
        <v>47</v>
      </c>
      <c r="J2">
        <v>10.199999999999999</v>
      </c>
      <c r="K2">
        <v>11.9</v>
      </c>
      <c r="L2">
        <v>58</v>
      </c>
      <c r="M2">
        <v>33</v>
      </c>
      <c r="N2" t="s">
        <v>48</v>
      </c>
      <c r="O2" t="s">
        <v>49</v>
      </c>
    </row>
    <row r="3" spans="1:15">
      <c r="A3" t="s">
        <v>50</v>
      </c>
      <c r="B3" t="s">
        <v>42</v>
      </c>
      <c r="C3" t="s">
        <v>43</v>
      </c>
      <c r="D3" t="s">
        <v>51</v>
      </c>
      <c r="E3" t="s">
        <v>52</v>
      </c>
      <c r="F3" t="s">
        <v>53</v>
      </c>
      <c r="G3">
        <v>253</v>
      </c>
      <c r="H3">
        <v>17</v>
      </c>
      <c r="I3" t="s">
        <v>47</v>
      </c>
      <c r="J3">
        <v>10</v>
      </c>
      <c r="K3">
        <v>14.3</v>
      </c>
      <c r="L3">
        <v>56</v>
      </c>
      <c r="M3">
        <v>36</v>
      </c>
      <c r="N3" t="s">
        <v>48</v>
      </c>
      <c r="O3" t="s">
        <v>49</v>
      </c>
    </row>
    <row r="4" spans="1:15">
      <c r="A4" t="s">
        <v>54</v>
      </c>
      <c r="B4" t="s">
        <v>42</v>
      </c>
      <c r="C4" t="s">
        <v>43</v>
      </c>
      <c r="D4" t="s">
        <v>51</v>
      </c>
      <c r="E4" t="s">
        <v>55</v>
      </c>
      <c r="F4" t="s">
        <v>56</v>
      </c>
      <c r="G4">
        <v>71</v>
      </c>
      <c r="H4">
        <v>19</v>
      </c>
      <c r="I4" t="s">
        <v>57</v>
      </c>
      <c r="J4">
        <v>9</v>
      </c>
      <c r="K4">
        <v>14.7</v>
      </c>
      <c r="L4">
        <v>51</v>
      </c>
      <c r="M4">
        <v>36</v>
      </c>
      <c r="N4" t="s">
        <v>48</v>
      </c>
      <c r="O4" t="s">
        <v>49</v>
      </c>
    </row>
    <row r="5" spans="1:15">
      <c r="A5" t="s">
        <v>58</v>
      </c>
      <c r="B5" t="s">
        <v>42</v>
      </c>
      <c r="C5" t="s">
        <v>43</v>
      </c>
      <c r="D5" t="s">
        <v>51</v>
      </c>
      <c r="E5" t="s">
        <v>59</v>
      </c>
      <c r="F5" t="s">
        <v>60</v>
      </c>
      <c r="G5">
        <v>184</v>
      </c>
      <c r="H5">
        <v>12</v>
      </c>
      <c r="I5" t="s">
        <v>57</v>
      </c>
      <c r="J5">
        <v>8.9</v>
      </c>
      <c r="K5">
        <v>14.1</v>
      </c>
      <c r="L5">
        <v>55</v>
      </c>
      <c r="M5">
        <v>33</v>
      </c>
      <c r="N5" t="s">
        <v>61</v>
      </c>
      <c r="O5" t="s">
        <v>49</v>
      </c>
    </row>
    <row r="6" spans="1:15">
      <c r="A6" t="s">
        <v>62</v>
      </c>
      <c r="B6" t="s">
        <v>42</v>
      </c>
      <c r="C6" t="s">
        <v>43</v>
      </c>
      <c r="D6" t="s">
        <v>51</v>
      </c>
      <c r="E6" t="s">
        <v>63</v>
      </c>
      <c r="F6" t="s">
        <v>64</v>
      </c>
      <c r="G6">
        <v>1123</v>
      </c>
      <c r="H6">
        <v>13</v>
      </c>
      <c r="I6" t="s">
        <v>65</v>
      </c>
      <c r="J6">
        <v>10.3</v>
      </c>
      <c r="K6">
        <v>14.6</v>
      </c>
      <c r="L6">
        <v>56</v>
      </c>
      <c r="M6">
        <v>35</v>
      </c>
      <c r="N6" t="s">
        <v>48</v>
      </c>
      <c r="O6" t="s">
        <v>49</v>
      </c>
    </row>
    <row r="7" spans="1:15">
      <c r="A7" t="s">
        <v>66</v>
      </c>
      <c r="B7" t="s">
        <v>42</v>
      </c>
      <c r="C7" t="s">
        <v>43</v>
      </c>
      <c r="D7" t="s">
        <v>51</v>
      </c>
      <c r="E7" t="s">
        <v>59</v>
      </c>
      <c r="F7" t="s">
        <v>56</v>
      </c>
      <c r="G7">
        <v>66</v>
      </c>
      <c r="H7">
        <v>18</v>
      </c>
      <c r="I7" t="s">
        <v>65</v>
      </c>
      <c r="J7">
        <v>9.4</v>
      </c>
      <c r="K7">
        <v>13.1</v>
      </c>
      <c r="L7">
        <v>56</v>
      </c>
      <c r="M7">
        <v>36</v>
      </c>
      <c r="N7" t="s">
        <v>48</v>
      </c>
      <c r="O7" t="s">
        <v>49</v>
      </c>
    </row>
    <row r="8" spans="1:15">
      <c r="A8" t="s">
        <v>67</v>
      </c>
      <c r="B8" t="s">
        <v>42</v>
      </c>
      <c r="C8" t="s">
        <v>43</v>
      </c>
      <c r="D8" t="s">
        <v>51</v>
      </c>
      <c r="E8" t="s">
        <v>68</v>
      </c>
      <c r="F8" t="s">
        <v>46</v>
      </c>
      <c r="G8">
        <v>444</v>
      </c>
      <c r="H8">
        <v>14</v>
      </c>
      <c r="I8" t="s">
        <v>65</v>
      </c>
      <c r="J8">
        <v>10.199999999999999</v>
      </c>
      <c r="K8">
        <v>11.8</v>
      </c>
      <c r="L8">
        <v>57</v>
      </c>
      <c r="M8">
        <v>30</v>
      </c>
      <c r="N8" t="s">
        <v>61</v>
      </c>
      <c r="O8" t="s">
        <v>49</v>
      </c>
    </row>
    <row r="9" spans="1:15">
      <c r="A9" t="s">
        <v>69</v>
      </c>
      <c r="B9" t="s">
        <v>42</v>
      </c>
      <c r="C9" t="s">
        <v>43</v>
      </c>
      <c r="D9" t="s">
        <v>51</v>
      </c>
      <c r="E9" t="s">
        <v>70</v>
      </c>
      <c r="F9" t="s">
        <v>46</v>
      </c>
      <c r="G9">
        <v>456</v>
      </c>
      <c r="H9">
        <v>18</v>
      </c>
      <c r="I9" t="s">
        <v>57</v>
      </c>
      <c r="J9">
        <v>10.4</v>
      </c>
      <c r="K9">
        <v>11.8</v>
      </c>
      <c r="L9">
        <v>58</v>
      </c>
      <c r="M9">
        <v>30</v>
      </c>
      <c r="N9" t="s">
        <v>48</v>
      </c>
      <c r="O9" t="s">
        <v>49</v>
      </c>
    </row>
    <row r="10" spans="1:15">
      <c r="A10" t="s">
        <v>71</v>
      </c>
      <c r="B10" t="s">
        <v>42</v>
      </c>
      <c r="C10" t="s">
        <v>43</v>
      </c>
      <c r="D10" t="s">
        <v>51</v>
      </c>
      <c r="E10" t="s">
        <v>63</v>
      </c>
      <c r="F10" t="s">
        <v>64</v>
      </c>
      <c r="G10">
        <v>806</v>
      </c>
      <c r="H10">
        <v>8</v>
      </c>
      <c r="I10" t="s">
        <v>47</v>
      </c>
      <c r="J10">
        <v>10.3</v>
      </c>
      <c r="K10">
        <v>14.5</v>
      </c>
      <c r="L10">
        <v>56</v>
      </c>
      <c r="M10">
        <v>32</v>
      </c>
      <c r="N10" t="s">
        <v>48</v>
      </c>
      <c r="O10" t="s">
        <v>49</v>
      </c>
    </row>
    <row r="11" spans="1:15">
      <c r="A11" t="s">
        <v>72</v>
      </c>
      <c r="B11" t="s">
        <v>42</v>
      </c>
      <c r="C11" t="s">
        <v>43</v>
      </c>
      <c r="D11" t="s">
        <v>51</v>
      </c>
      <c r="E11" t="s">
        <v>73</v>
      </c>
      <c r="F11" t="s">
        <v>53</v>
      </c>
      <c r="G11">
        <v>267</v>
      </c>
      <c r="H11">
        <v>10</v>
      </c>
      <c r="I11" t="s">
        <v>57</v>
      </c>
      <c r="J11">
        <v>8.8000000000000007</v>
      </c>
      <c r="K11">
        <v>14.6</v>
      </c>
      <c r="L11">
        <v>52</v>
      </c>
      <c r="M11">
        <v>32</v>
      </c>
      <c r="N11" t="s">
        <v>48</v>
      </c>
      <c r="O11" t="s">
        <v>49</v>
      </c>
    </row>
    <row r="12" spans="1:15">
      <c r="A12" t="s">
        <v>74</v>
      </c>
      <c r="B12" t="s">
        <v>42</v>
      </c>
      <c r="C12" t="s">
        <v>43</v>
      </c>
      <c r="D12" t="s">
        <v>51</v>
      </c>
      <c r="E12" t="s">
        <v>75</v>
      </c>
      <c r="F12" t="s">
        <v>53</v>
      </c>
      <c r="G12">
        <v>234</v>
      </c>
      <c r="H12">
        <v>14</v>
      </c>
      <c r="I12" t="s">
        <v>47</v>
      </c>
      <c r="J12">
        <v>9.6</v>
      </c>
      <c r="K12">
        <v>13.2</v>
      </c>
      <c r="L12">
        <v>55</v>
      </c>
      <c r="M12">
        <v>32</v>
      </c>
      <c r="N12" t="s">
        <v>48</v>
      </c>
      <c r="O12" t="s">
        <v>49</v>
      </c>
    </row>
    <row r="13" spans="1:15">
      <c r="A13" t="s">
        <v>76</v>
      </c>
      <c r="B13" t="s">
        <v>42</v>
      </c>
      <c r="C13" t="s">
        <v>43</v>
      </c>
      <c r="D13" t="s">
        <v>51</v>
      </c>
      <c r="E13" t="s">
        <v>77</v>
      </c>
      <c r="F13" t="s">
        <v>53</v>
      </c>
      <c r="G13">
        <v>205</v>
      </c>
      <c r="H13">
        <v>17</v>
      </c>
      <c r="I13" t="s">
        <v>47</v>
      </c>
      <c r="J13">
        <v>9</v>
      </c>
      <c r="K13">
        <v>12.7</v>
      </c>
      <c r="L13">
        <v>55</v>
      </c>
      <c r="M13">
        <v>31</v>
      </c>
      <c r="N13" t="s">
        <v>48</v>
      </c>
      <c r="O13" t="s">
        <v>49</v>
      </c>
    </row>
    <row r="14" spans="1:15">
      <c r="A14" t="s">
        <v>78</v>
      </c>
      <c r="B14" t="s">
        <v>42</v>
      </c>
      <c r="C14" t="s">
        <v>43</v>
      </c>
      <c r="D14" t="s">
        <v>51</v>
      </c>
      <c r="E14" t="s">
        <v>79</v>
      </c>
      <c r="F14" t="s">
        <v>56</v>
      </c>
      <c r="G14">
        <v>43</v>
      </c>
      <c r="H14">
        <v>19</v>
      </c>
      <c r="I14" t="s">
        <v>57</v>
      </c>
      <c r="J14">
        <v>9.8000000000000007</v>
      </c>
      <c r="K14">
        <v>12.4</v>
      </c>
      <c r="L14">
        <v>54</v>
      </c>
      <c r="M14">
        <v>31</v>
      </c>
      <c r="N14" t="s">
        <v>48</v>
      </c>
      <c r="O14" t="s">
        <v>49</v>
      </c>
    </row>
    <row r="15" spans="1:15">
      <c r="A15" t="s">
        <v>80</v>
      </c>
      <c r="B15" t="s">
        <v>42</v>
      </c>
      <c r="C15" t="s">
        <v>43</v>
      </c>
      <c r="D15" t="s">
        <v>51</v>
      </c>
      <c r="E15" t="s">
        <v>81</v>
      </c>
      <c r="F15" t="s">
        <v>56</v>
      </c>
      <c r="G15">
        <v>47</v>
      </c>
      <c r="H15">
        <v>14</v>
      </c>
      <c r="I15" t="s">
        <v>57</v>
      </c>
      <c r="J15">
        <v>9.6</v>
      </c>
      <c r="K15">
        <v>12.3</v>
      </c>
      <c r="L15">
        <v>55</v>
      </c>
      <c r="M15">
        <v>33</v>
      </c>
      <c r="N15" t="s">
        <v>48</v>
      </c>
      <c r="O15" t="s">
        <v>49</v>
      </c>
    </row>
    <row r="16" spans="1:15">
      <c r="A16" t="s">
        <v>82</v>
      </c>
      <c r="B16" t="s">
        <v>42</v>
      </c>
      <c r="C16" t="s">
        <v>43</v>
      </c>
      <c r="D16" t="s">
        <v>51</v>
      </c>
      <c r="E16" t="s">
        <v>79</v>
      </c>
      <c r="F16" t="s">
        <v>56</v>
      </c>
      <c r="G16">
        <v>74</v>
      </c>
      <c r="H16">
        <v>21</v>
      </c>
      <c r="I16" t="s">
        <v>57</v>
      </c>
      <c r="J16">
        <v>9.1999999999999993</v>
      </c>
      <c r="K16">
        <v>13.9</v>
      </c>
      <c r="L16">
        <v>55</v>
      </c>
      <c r="M16">
        <v>34</v>
      </c>
      <c r="N16" t="s">
        <v>61</v>
      </c>
      <c r="O16" t="s">
        <v>49</v>
      </c>
    </row>
    <row r="17" spans="1:15">
      <c r="A17" t="s">
        <v>83</v>
      </c>
      <c r="B17" t="s">
        <v>42</v>
      </c>
      <c r="C17" t="s">
        <v>43</v>
      </c>
      <c r="D17" t="s">
        <v>51</v>
      </c>
      <c r="E17" t="s">
        <v>79</v>
      </c>
      <c r="F17" t="s">
        <v>46</v>
      </c>
      <c r="G17">
        <v>480</v>
      </c>
      <c r="H17">
        <v>14</v>
      </c>
      <c r="I17" t="s">
        <v>65</v>
      </c>
      <c r="J17">
        <v>10.8</v>
      </c>
      <c r="K17">
        <v>13.1</v>
      </c>
      <c r="L17">
        <v>56</v>
      </c>
      <c r="M17">
        <v>32</v>
      </c>
      <c r="N17" t="s">
        <v>61</v>
      </c>
      <c r="O17" t="s">
        <v>49</v>
      </c>
    </row>
    <row r="18" spans="1:15">
      <c r="A18" t="s">
        <v>84</v>
      </c>
      <c r="B18" t="s">
        <v>85</v>
      </c>
      <c r="C18" t="s">
        <v>43</v>
      </c>
      <c r="D18" t="s">
        <v>44</v>
      </c>
      <c r="E18" t="s">
        <v>45</v>
      </c>
      <c r="F18" t="s">
        <v>46</v>
      </c>
      <c r="G18">
        <v>640</v>
      </c>
      <c r="H18">
        <v>23</v>
      </c>
      <c r="I18" t="s">
        <v>65</v>
      </c>
      <c r="J18">
        <v>10.199999999999999</v>
      </c>
      <c r="K18">
        <v>11.7</v>
      </c>
      <c r="L18">
        <v>58</v>
      </c>
      <c r="M18">
        <v>33</v>
      </c>
      <c r="N18" t="s">
        <v>48</v>
      </c>
      <c r="O18" t="s">
        <v>49</v>
      </c>
    </row>
    <row r="19" spans="1:15">
      <c r="A19" t="s">
        <v>86</v>
      </c>
      <c r="B19" t="s">
        <v>85</v>
      </c>
      <c r="C19" t="s">
        <v>43</v>
      </c>
      <c r="D19" t="s">
        <v>51</v>
      </c>
      <c r="E19" t="s">
        <v>81</v>
      </c>
      <c r="F19" t="s">
        <v>53</v>
      </c>
      <c r="G19">
        <v>189</v>
      </c>
      <c r="H19">
        <v>24</v>
      </c>
      <c r="I19" t="s">
        <v>47</v>
      </c>
      <c r="J19">
        <v>9.6999999999999993</v>
      </c>
      <c r="K19">
        <v>14.5</v>
      </c>
      <c r="L19">
        <v>56</v>
      </c>
      <c r="M19">
        <v>36</v>
      </c>
      <c r="N19" t="s">
        <v>48</v>
      </c>
      <c r="O19" t="s">
        <v>49</v>
      </c>
    </row>
    <row r="20" spans="1:15">
      <c r="A20" t="s">
        <v>87</v>
      </c>
      <c r="B20" t="s">
        <v>85</v>
      </c>
      <c r="C20" t="s">
        <v>43</v>
      </c>
      <c r="D20" t="s">
        <v>51</v>
      </c>
      <c r="E20" t="s">
        <v>88</v>
      </c>
      <c r="F20" t="s">
        <v>56</v>
      </c>
      <c r="G20">
        <v>53</v>
      </c>
      <c r="H20">
        <v>11</v>
      </c>
      <c r="I20" t="s">
        <v>47</v>
      </c>
      <c r="J20">
        <v>9.6</v>
      </c>
      <c r="K20">
        <v>13.2</v>
      </c>
      <c r="L20">
        <v>51</v>
      </c>
      <c r="M20">
        <v>34</v>
      </c>
      <c r="N20" t="s">
        <v>48</v>
      </c>
      <c r="O20" t="s">
        <v>49</v>
      </c>
    </row>
    <row r="21" spans="1:15">
      <c r="A21" t="s">
        <v>89</v>
      </c>
      <c r="B21" t="s">
        <v>85</v>
      </c>
      <c r="C21" t="s">
        <v>43</v>
      </c>
      <c r="D21" t="s">
        <v>51</v>
      </c>
      <c r="E21" t="s">
        <v>63</v>
      </c>
      <c r="F21" t="s">
        <v>64</v>
      </c>
      <c r="G21">
        <v>1126</v>
      </c>
      <c r="H21">
        <v>12</v>
      </c>
      <c r="I21" t="s">
        <v>65</v>
      </c>
      <c r="J21">
        <v>9.3000000000000007</v>
      </c>
      <c r="K21">
        <v>12.4</v>
      </c>
      <c r="L21">
        <v>54</v>
      </c>
      <c r="M21">
        <v>34</v>
      </c>
      <c r="N21" t="s">
        <v>48</v>
      </c>
      <c r="O21" t="s">
        <v>49</v>
      </c>
    </row>
    <row r="22" spans="1:15">
      <c r="A22" t="s">
        <v>90</v>
      </c>
      <c r="B22" t="s">
        <v>85</v>
      </c>
      <c r="C22" t="s">
        <v>43</v>
      </c>
      <c r="D22" t="s">
        <v>51</v>
      </c>
      <c r="E22" t="s">
        <v>70</v>
      </c>
      <c r="F22" t="s">
        <v>56</v>
      </c>
      <c r="G22">
        <v>64</v>
      </c>
      <c r="H22">
        <v>15</v>
      </c>
      <c r="I22" t="s">
        <v>47</v>
      </c>
      <c r="J22">
        <v>9.9</v>
      </c>
      <c r="K22">
        <v>13</v>
      </c>
      <c r="L22">
        <v>56</v>
      </c>
      <c r="M22">
        <v>34</v>
      </c>
      <c r="N22" t="s">
        <v>48</v>
      </c>
      <c r="O22" t="s">
        <v>49</v>
      </c>
    </row>
    <row r="23" spans="1:15">
      <c r="A23" t="s">
        <v>91</v>
      </c>
      <c r="B23" t="s">
        <v>85</v>
      </c>
      <c r="C23" t="s">
        <v>43</v>
      </c>
      <c r="D23" t="s">
        <v>51</v>
      </c>
      <c r="E23" t="s">
        <v>68</v>
      </c>
      <c r="F23" t="s">
        <v>53</v>
      </c>
      <c r="G23">
        <v>207</v>
      </c>
      <c r="H23">
        <v>9</v>
      </c>
      <c r="I23" t="s">
        <v>47</v>
      </c>
      <c r="J23">
        <v>9</v>
      </c>
      <c r="K23">
        <v>14.2</v>
      </c>
      <c r="L23">
        <v>54</v>
      </c>
      <c r="M23">
        <v>33</v>
      </c>
      <c r="N23" t="s">
        <v>61</v>
      </c>
      <c r="O23" t="s">
        <v>49</v>
      </c>
    </row>
    <row r="24" spans="1:15">
      <c r="A24" t="s">
        <v>92</v>
      </c>
      <c r="B24" t="s">
        <v>85</v>
      </c>
      <c r="C24" t="s">
        <v>43</v>
      </c>
      <c r="D24" t="s">
        <v>51</v>
      </c>
      <c r="E24" t="s">
        <v>59</v>
      </c>
      <c r="F24" t="s">
        <v>46</v>
      </c>
      <c r="G24">
        <v>721</v>
      </c>
      <c r="H24">
        <v>16</v>
      </c>
      <c r="I24" t="s">
        <v>65</v>
      </c>
      <c r="J24">
        <v>9.6999999999999993</v>
      </c>
      <c r="K24">
        <v>12.4</v>
      </c>
      <c r="L24">
        <v>58</v>
      </c>
      <c r="M24">
        <v>31</v>
      </c>
      <c r="N24" t="s">
        <v>48</v>
      </c>
      <c r="O24" t="s">
        <v>49</v>
      </c>
    </row>
    <row r="25" spans="1:15">
      <c r="A25" t="s">
        <v>93</v>
      </c>
      <c r="B25" t="s">
        <v>85</v>
      </c>
      <c r="C25" t="s">
        <v>43</v>
      </c>
      <c r="D25" t="s">
        <v>51</v>
      </c>
      <c r="E25" t="s">
        <v>88</v>
      </c>
      <c r="F25" t="s">
        <v>64</v>
      </c>
      <c r="G25">
        <v>761</v>
      </c>
      <c r="H25">
        <v>14</v>
      </c>
      <c r="I25" t="s">
        <v>65</v>
      </c>
      <c r="J25">
        <v>8.6999999999999993</v>
      </c>
      <c r="K25">
        <v>13.3</v>
      </c>
      <c r="L25">
        <v>55</v>
      </c>
      <c r="M25">
        <v>31</v>
      </c>
      <c r="N25" t="s">
        <v>61</v>
      </c>
      <c r="O25" t="s">
        <v>49</v>
      </c>
    </row>
    <row r="26" spans="1:15">
      <c r="A26" t="s">
        <v>94</v>
      </c>
      <c r="B26" t="s">
        <v>85</v>
      </c>
      <c r="C26" t="s">
        <v>43</v>
      </c>
      <c r="D26" t="s">
        <v>51</v>
      </c>
      <c r="E26" t="s">
        <v>52</v>
      </c>
      <c r="F26" t="s">
        <v>56</v>
      </c>
      <c r="G26">
        <v>74</v>
      </c>
      <c r="H26">
        <v>20</v>
      </c>
      <c r="I26" t="s">
        <v>65</v>
      </c>
      <c r="J26">
        <v>9.6999999999999993</v>
      </c>
      <c r="K26">
        <v>13</v>
      </c>
      <c r="L26">
        <v>57</v>
      </c>
      <c r="M26">
        <v>35</v>
      </c>
      <c r="N26" t="s">
        <v>61</v>
      </c>
      <c r="O26" t="s">
        <v>49</v>
      </c>
    </row>
    <row r="27" spans="1:15">
      <c r="A27" t="s">
        <v>95</v>
      </c>
      <c r="B27" t="s">
        <v>85</v>
      </c>
      <c r="C27" t="s">
        <v>43</v>
      </c>
      <c r="D27" t="s">
        <v>51</v>
      </c>
      <c r="E27" t="s">
        <v>63</v>
      </c>
      <c r="F27" t="s">
        <v>56</v>
      </c>
      <c r="G27">
        <v>69</v>
      </c>
      <c r="H27">
        <v>11</v>
      </c>
      <c r="I27" t="s">
        <v>57</v>
      </c>
      <c r="J27">
        <v>9.5</v>
      </c>
      <c r="K27">
        <v>14.6</v>
      </c>
      <c r="L27">
        <v>52</v>
      </c>
      <c r="M27">
        <v>33</v>
      </c>
      <c r="N27" t="s">
        <v>61</v>
      </c>
      <c r="O27" t="s">
        <v>49</v>
      </c>
    </row>
    <row r="28" spans="1:15">
      <c r="A28" t="s">
        <v>96</v>
      </c>
      <c r="B28" t="s">
        <v>85</v>
      </c>
      <c r="C28" t="s">
        <v>43</v>
      </c>
      <c r="D28" t="s">
        <v>51</v>
      </c>
      <c r="E28" t="s">
        <v>81</v>
      </c>
      <c r="F28" t="s">
        <v>64</v>
      </c>
      <c r="G28">
        <v>1137</v>
      </c>
      <c r="H28">
        <v>6</v>
      </c>
      <c r="I28" t="s">
        <v>57</v>
      </c>
      <c r="J28">
        <v>9</v>
      </c>
      <c r="K28">
        <v>12.4</v>
      </c>
      <c r="L28">
        <v>56</v>
      </c>
      <c r="M28">
        <v>33</v>
      </c>
      <c r="N28" t="s">
        <v>48</v>
      </c>
      <c r="O28" t="s">
        <v>49</v>
      </c>
    </row>
    <row r="29" spans="1:15">
      <c r="A29" t="s">
        <v>97</v>
      </c>
      <c r="B29" t="s">
        <v>85</v>
      </c>
      <c r="C29" t="s">
        <v>43</v>
      </c>
      <c r="D29" t="s">
        <v>51</v>
      </c>
      <c r="E29" t="s">
        <v>75</v>
      </c>
      <c r="F29" t="s">
        <v>60</v>
      </c>
      <c r="G29">
        <v>152</v>
      </c>
      <c r="H29">
        <v>20</v>
      </c>
      <c r="I29" t="s">
        <v>47</v>
      </c>
      <c r="J29">
        <v>10</v>
      </c>
      <c r="K29">
        <v>13.7</v>
      </c>
      <c r="L29">
        <v>54</v>
      </c>
      <c r="M29">
        <v>33</v>
      </c>
      <c r="N29" t="s">
        <v>61</v>
      </c>
      <c r="O29" t="s">
        <v>49</v>
      </c>
    </row>
    <row r="30" spans="1:15">
      <c r="A30" t="s">
        <v>98</v>
      </c>
      <c r="B30" t="s">
        <v>85</v>
      </c>
      <c r="C30" t="s">
        <v>43</v>
      </c>
      <c r="D30" t="s">
        <v>51</v>
      </c>
      <c r="E30" t="s">
        <v>59</v>
      </c>
      <c r="F30" t="s">
        <v>46</v>
      </c>
      <c r="G30">
        <v>551</v>
      </c>
      <c r="H30">
        <v>11</v>
      </c>
      <c r="I30" t="s">
        <v>65</v>
      </c>
      <c r="J30">
        <v>10.3</v>
      </c>
      <c r="K30">
        <v>13.1</v>
      </c>
      <c r="L30">
        <v>55</v>
      </c>
      <c r="M30">
        <v>33</v>
      </c>
      <c r="N30" t="s">
        <v>61</v>
      </c>
      <c r="O30" t="s">
        <v>49</v>
      </c>
    </row>
    <row r="31" spans="1:15">
      <c r="A31" t="s">
        <v>99</v>
      </c>
      <c r="B31" t="s">
        <v>85</v>
      </c>
      <c r="C31" t="s">
        <v>43</v>
      </c>
      <c r="D31" t="s">
        <v>51</v>
      </c>
      <c r="E31" t="s">
        <v>100</v>
      </c>
      <c r="F31" t="s">
        <v>56</v>
      </c>
      <c r="G31">
        <v>50</v>
      </c>
      <c r="H31">
        <v>26</v>
      </c>
      <c r="I31" t="s">
        <v>57</v>
      </c>
      <c r="J31">
        <v>8.8000000000000007</v>
      </c>
      <c r="K31">
        <v>14.3</v>
      </c>
      <c r="L31">
        <v>52</v>
      </c>
      <c r="M31">
        <v>33</v>
      </c>
      <c r="N31" t="s">
        <v>61</v>
      </c>
      <c r="O31" t="s">
        <v>49</v>
      </c>
    </row>
    <row r="32" spans="1:15">
      <c r="A32" t="s">
        <v>101</v>
      </c>
      <c r="B32" t="s">
        <v>85</v>
      </c>
      <c r="C32" t="s">
        <v>43</v>
      </c>
      <c r="D32" t="s">
        <v>51</v>
      </c>
      <c r="E32" t="s">
        <v>73</v>
      </c>
      <c r="F32" t="s">
        <v>56</v>
      </c>
      <c r="G32">
        <v>77</v>
      </c>
      <c r="H32">
        <v>25</v>
      </c>
      <c r="I32" t="s">
        <v>65</v>
      </c>
      <c r="J32">
        <v>9.6999999999999993</v>
      </c>
      <c r="K32">
        <v>12.6</v>
      </c>
      <c r="L32">
        <v>54</v>
      </c>
      <c r="M32">
        <v>32</v>
      </c>
      <c r="N32" t="s">
        <v>48</v>
      </c>
      <c r="O32" t="s">
        <v>49</v>
      </c>
    </row>
    <row r="33" spans="1:15">
      <c r="A33" t="s">
        <v>102</v>
      </c>
      <c r="B33" t="s">
        <v>85</v>
      </c>
      <c r="C33" t="s">
        <v>43</v>
      </c>
      <c r="D33" t="s">
        <v>51</v>
      </c>
      <c r="E33" t="s">
        <v>52</v>
      </c>
      <c r="F33" t="s">
        <v>46</v>
      </c>
      <c r="G33">
        <v>427</v>
      </c>
      <c r="H33">
        <v>23</v>
      </c>
      <c r="I33" t="s">
        <v>65</v>
      </c>
      <c r="J33">
        <v>11</v>
      </c>
      <c r="K33">
        <v>13.1</v>
      </c>
      <c r="L33">
        <v>55</v>
      </c>
      <c r="M33">
        <v>32</v>
      </c>
      <c r="N33" t="s">
        <v>48</v>
      </c>
      <c r="O33" t="s">
        <v>49</v>
      </c>
    </row>
    <row r="34" spans="1:15">
      <c r="A34" t="s">
        <v>103</v>
      </c>
      <c r="B34" t="s">
        <v>104</v>
      </c>
      <c r="C34" t="s">
        <v>105</v>
      </c>
      <c r="D34" t="s">
        <v>44</v>
      </c>
      <c r="E34" t="s">
        <v>45</v>
      </c>
      <c r="F34" t="s">
        <v>46</v>
      </c>
      <c r="G34">
        <v>593</v>
      </c>
      <c r="H34">
        <v>27</v>
      </c>
      <c r="I34" t="s">
        <v>47</v>
      </c>
      <c r="J34">
        <v>9.5</v>
      </c>
      <c r="K34">
        <v>11.9</v>
      </c>
      <c r="L34">
        <v>58</v>
      </c>
      <c r="M34">
        <v>30</v>
      </c>
      <c r="N34" t="s">
        <v>48</v>
      </c>
      <c r="O34" t="s">
        <v>106</v>
      </c>
    </row>
    <row r="35" spans="1:15">
      <c r="A35" t="s">
        <v>107</v>
      </c>
      <c r="B35" t="s">
        <v>104</v>
      </c>
      <c r="C35" t="s">
        <v>105</v>
      </c>
      <c r="D35" t="s">
        <v>51</v>
      </c>
      <c r="E35" t="s">
        <v>70</v>
      </c>
      <c r="F35" t="s">
        <v>56</v>
      </c>
      <c r="G35">
        <v>74</v>
      </c>
      <c r="H35">
        <v>18</v>
      </c>
      <c r="I35" t="s">
        <v>47</v>
      </c>
      <c r="J35">
        <v>8.8000000000000007</v>
      </c>
      <c r="K35">
        <v>14.6</v>
      </c>
      <c r="L35">
        <v>56</v>
      </c>
      <c r="M35">
        <v>34</v>
      </c>
      <c r="N35" t="s">
        <v>61</v>
      </c>
      <c r="O35" t="s">
        <v>106</v>
      </c>
    </row>
    <row r="36" spans="1:15">
      <c r="A36" t="s">
        <v>108</v>
      </c>
      <c r="B36" t="s">
        <v>104</v>
      </c>
      <c r="C36" t="s">
        <v>105</v>
      </c>
      <c r="D36" t="s">
        <v>51</v>
      </c>
      <c r="E36" t="s">
        <v>100</v>
      </c>
      <c r="F36" t="s">
        <v>64</v>
      </c>
      <c r="G36">
        <v>968</v>
      </c>
      <c r="H36">
        <v>18</v>
      </c>
      <c r="I36" t="s">
        <v>65</v>
      </c>
      <c r="J36">
        <v>9.9</v>
      </c>
      <c r="K36">
        <v>13</v>
      </c>
      <c r="L36">
        <v>55</v>
      </c>
      <c r="M36">
        <v>31</v>
      </c>
      <c r="N36" t="s">
        <v>48</v>
      </c>
      <c r="O36" t="s">
        <v>106</v>
      </c>
    </row>
    <row r="37" spans="1:15">
      <c r="A37" t="s">
        <v>109</v>
      </c>
      <c r="B37" t="s">
        <v>104</v>
      </c>
      <c r="C37" t="s">
        <v>105</v>
      </c>
      <c r="D37" t="s">
        <v>51</v>
      </c>
      <c r="E37" t="s">
        <v>110</v>
      </c>
      <c r="F37" t="s">
        <v>56</v>
      </c>
      <c r="G37">
        <v>64</v>
      </c>
      <c r="H37">
        <v>13</v>
      </c>
      <c r="I37" t="s">
        <v>57</v>
      </c>
      <c r="J37">
        <v>10</v>
      </c>
      <c r="K37">
        <v>13.1</v>
      </c>
      <c r="L37">
        <v>56</v>
      </c>
      <c r="M37">
        <v>35</v>
      </c>
      <c r="N37" t="s">
        <v>48</v>
      </c>
      <c r="O37" t="s">
        <v>106</v>
      </c>
    </row>
    <row r="38" spans="1:15">
      <c r="A38" t="s">
        <v>111</v>
      </c>
      <c r="B38" t="s">
        <v>104</v>
      </c>
      <c r="C38" t="s">
        <v>105</v>
      </c>
      <c r="D38" t="s">
        <v>51</v>
      </c>
      <c r="E38" t="s">
        <v>68</v>
      </c>
      <c r="F38" t="s">
        <v>46</v>
      </c>
      <c r="G38">
        <v>722</v>
      </c>
      <c r="H38">
        <v>19</v>
      </c>
      <c r="I38" t="s">
        <v>47</v>
      </c>
      <c r="J38">
        <v>10</v>
      </c>
      <c r="K38">
        <v>13</v>
      </c>
      <c r="L38">
        <v>58</v>
      </c>
      <c r="M38">
        <v>31</v>
      </c>
      <c r="N38" t="s">
        <v>61</v>
      </c>
      <c r="O38" t="s">
        <v>106</v>
      </c>
    </row>
    <row r="39" spans="1:15">
      <c r="A39" t="s">
        <v>112</v>
      </c>
      <c r="B39" t="s">
        <v>104</v>
      </c>
      <c r="C39" t="s">
        <v>105</v>
      </c>
      <c r="D39" t="s">
        <v>51</v>
      </c>
      <c r="E39" t="s">
        <v>55</v>
      </c>
      <c r="F39" t="s">
        <v>53</v>
      </c>
      <c r="G39">
        <v>266</v>
      </c>
      <c r="H39">
        <v>26</v>
      </c>
      <c r="I39" t="s">
        <v>47</v>
      </c>
      <c r="J39">
        <v>9.1</v>
      </c>
      <c r="K39">
        <v>13.2</v>
      </c>
      <c r="L39">
        <v>55</v>
      </c>
      <c r="M39">
        <v>33</v>
      </c>
      <c r="N39" t="s">
        <v>61</v>
      </c>
      <c r="O39" t="s">
        <v>106</v>
      </c>
    </row>
    <row r="40" spans="1:15">
      <c r="A40" t="s">
        <v>113</v>
      </c>
      <c r="B40" t="s">
        <v>104</v>
      </c>
      <c r="C40" t="s">
        <v>105</v>
      </c>
      <c r="D40" t="s">
        <v>51</v>
      </c>
      <c r="E40" t="s">
        <v>59</v>
      </c>
      <c r="F40" t="s">
        <v>53</v>
      </c>
      <c r="G40">
        <v>197</v>
      </c>
      <c r="H40">
        <v>19</v>
      </c>
      <c r="I40" t="s">
        <v>47</v>
      </c>
      <c r="J40">
        <v>8.8000000000000007</v>
      </c>
      <c r="K40">
        <v>13.2</v>
      </c>
      <c r="L40">
        <v>52</v>
      </c>
      <c r="M40">
        <v>36</v>
      </c>
      <c r="N40" t="s">
        <v>48</v>
      </c>
      <c r="O40" t="s">
        <v>106</v>
      </c>
    </row>
    <row r="41" spans="1:15">
      <c r="A41" t="s">
        <v>114</v>
      </c>
      <c r="B41" t="s">
        <v>104</v>
      </c>
      <c r="C41" t="s">
        <v>105</v>
      </c>
      <c r="D41" t="s">
        <v>51</v>
      </c>
      <c r="E41" t="s">
        <v>79</v>
      </c>
      <c r="F41" t="s">
        <v>46</v>
      </c>
      <c r="G41">
        <v>502</v>
      </c>
      <c r="H41">
        <v>12</v>
      </c>
      <c r="I41" t="s">
        <v>47</v>
      </c>
      <c r="J41">
        <v>10.4</v>
      </c>
      <c r="K41">
        <v>13.2</v>
      </c>
      <c r="L41">
        <v>59</v>
      </c>
      <c r="M41">
        <v>30</v>
      </c>
      <c r="N41" t="s">
        <v>61</v>
      </c>
      <c r="O41" t="s">
        <v>106</v>
      </c>
    </row>
    <row r="42" spans="1:15">
      <c r="A42" t="s">
        <v>115</v>
      </c>
      <c r="B42" t="s">
        <v>104</v>
      </c>
      <c r="C42" t="s">
        <v>105</v>
      </c>
      <c r="D42" t="s">
        <v>51</v>
      </c>
      <c r="E42" t="s">
        <v>81</v>
      </c>
      <c r="F42" t="s">
        <v>60</v>
      </c>
      <c r="G42">
        <v>225</v>
      </c>
      <c r="H42">
        <v>13</v>
      </c>
      <c r="I42" t="s">
        <v>47</v>
      </c>
      <c r="J42">
        <v>8.9</v>
      </c>
      <c r="K42">
        <v>13.3</v>
      </c>
      <c r="L42">
        <v>53</v>
      </c>
      <c r="M42">
        <v>31</v>
      </c>
      <c r="N42" t="s">
        <v>48</v>
      </c>
      <c r="O42" t="s">
        <v>106</v>
      </c>
    </row>
    <row r="43" spans="1:15">
      <c r="A43" t="s">
        <v>116</v>
      </c>
      <c r="B43" t="s">
        <v>104</v>
      </c>
      <c r="C43" t="s">
        <v>105</v>
      </c>
      <c r="D43" t="s">
        <v>51</v>
      </c>
      <c r="E43" t="s">
        <v>55</v>
      </c>
      <c r="F43" t="s">
        <v>60</v>
      </c>
      <c r="G43">
        <v>221</v>
      </c>
      <c r="H43">
        <v>24</v>
      </c>
      <c r="I43" t="s">
        <v>65</v>
      </c>
      <c r="J43">
        <v>9</v>
      </c>
      <c r="K43">
        <v>13.3</v>
      </c>
      <c r="L43">
        <v>54</v>
      </c>
      <c r="M43">
        <v>31</v>
      </c>
      <c r="N43" t="s">
        <v>48</v>
      </c>
      <c r="O43" t="s">
        <v>106</v>
      </c>
    </row>
    <row r="44" spans="1:15">
      <c r="A44" t="s">
        <v>117</v>
      </c>
      <c r="B44" t="s">
        <v>104</v>
      </c>
      <c r="C44" t="s">
        <v>105</v>
      </c>
      <c r="D44" t="s">
        <v>51</v>
      </c>
      <c r="E44" t="s">
        <v>55</v>
      </c>
      <c r="F44" t="s">
        <v>56</v>
      </c>
      <c r="G44">
        <v>44</v>
      </c>
      <c r="H44">
        <v>15</v>
      </c>
      <c r="I44" t="s">
        <v>57</v>
      </c>
      <c r="J44">
        <v>10</v>
      </c>
      <c r="K44">
        <v>13.3</v>
      </c>
      <c r="L44">
        <v>55</v>
      </c>
      <c r="M44">
        <v>31</v>
      </c>
      <c r="N44" t="s">
        <v>48</v>
      </c>
      <c r="O44" t="s">
        <v>106</v>
      </c>
    </row>
    <row r="45" spans="1:15">
      <c r="A45" t="s">
        <v>118</v>
      </c>
      <c r="B45" t="s">
        <v>104</v>
      </c>
      <c r="C45" t="s">
        <v>105</v>
      </c>
      <c r="D45" t="s">
        <v>51</v>
      </c>
      <c r="E45" t="s">
        <v>59</v>
      </c>
      <c r="F45" t="s">
        <v>46</v>
      </c>
      <c r="G45">
        <v>461</v>
      </c>
      <c r="H45">
        <v>18</v>
      </c>
      <c r="I45" t="s">
        <v>47</v>
      </c>
      <c r="J45">
        <v>9.6999999999999993</v>
      </c>
      <c r="K45">
        <v>11.5</v>
      </c>
      <c r="L45">
        <v>58</v>
      </c>
      <c r="M45">
        <v>33</v>
      </c>
      <c r="N45" t="s">
        <v>61</v>
      </c>
      <c r="O45" t="s">
        <v>106</v>
      </c>
    </row>
    <row r="46" spans="1:15">
      <c r="A46" t="s">
        <v>119</v>
      </c>
      <c r="B46" t="s">
        <v>104</v>
      </c>
      <c r="C46" t="s">
        <v>105</v>
      </c>
      <c r="D46" t="s">
        <v>51</v>
      </c>
      <c r="E46" t="s">
        <v>70</v>
      </c>
      <c r="F46" t="s">
        <v>60</v>
      </c>
      <c r="G46">
        <v>152</v>
      </c>
      <c r="H46">
        <v>17</v>
      </c>
      <c r="I46" t="s">
        <v>65</v>
      </c>
      <c r="J46">
        <v>9.6</v>
      </c>
      <c r="K46">
        <v>12.6</v>
      </c>
      <c r="L46">
        <v>56</v>
      </c>
      <c r="M46">
        <v>34</v>
      </c>
      <c r="N46" t="s">
        <v>48</v>
      </c>
      <c r="O46" t="s">
        <v>106</v>
      </c>
    </row>
    <row r="47" spans="1:15">
      <c r="A47" t="s">
        <v>120</v>
      </c>
      <c r="B47" t="s">
        <v>104</v>
      </c>
      <c r="C47" t="s">
        <v>105</v>
      </c>
      <c r="D47" t="s">
        <v>51</v>
      </c>
      <c r="E47" t="s">
        <v>100</v>
      </c>
      <c r="F47" t="s">
        <v>60</v>
      </c>
      <c r="G47">
        <v>237</v>
      </c>
      <c r="H47">
        <v>26</v>
      </c>
      <c r="I47" t="s">
        <v>65</v>
      </c>
      <c r="J47">
        <v>9.3000000000000007</v>
      </c>
      <c r="K47">
        <v>13.9</v>
      </c>
      <c r="L47">
        <v>52</v>
      </c>
      <c r="M47">
        <v>31</v>
      </c>
      <c r="N47" t="s">
        <v>61</v>
      </c>
      <c r="O47" t="s">
        <v>106</v>
      </c>
    </row>
    <row r="48" spans="1:15">
      <c r="A48" t="s">
        <v>121</v>
      </c>
      <c r="B48" t="s">
        <v>104</v>
      </c>
      <c r="C48" t="s">
        <v>105</v>
      </c>
      <c r="D48" t="s">
        <v>51</v>
      </c>
      <c r="E48" t="s">
        <v>68</v>
      </c>
      <c r="F48" t="s">
        <v>64</v>
      </c>
      <c r="G48">
        <v>949</v>
      </c>
      <c r="H48">
        <v>19</v>
      </c>
      <c r="I48" t="s">
        <v>47</v>
      </c>
      <c r="J48">
        <v>9.1</v>
      </c>
      <c r="K48">
        <v>13.1</v>
      </c>
      <c r="L48">
        <v>56</v>
      </c>
      <c r="M48">
        <v>33</v>
      </c>
      <c r="N48" t="s">
        <v>61</v>
      </c>
      <c r="O48" t="s">
        <v>106</v>
      </c>
    </row>
    <row r="49" spans="1:15">
      <c r="A49" t="s">
        <v>122</v>
      </c>
      <c r="B49" t="s">
        <v>104</v>
      </c>
      <c r="C49" t="s">
        <v>105</v>
      </c>
      <c r="D49" t="s">
        <v>51</v>
      </c>
      <c r="E49" t="s">
        <v>68</v>
      </c>
      <c r="F49" t="s">
        <v>60</v>
      </c>
      <c r="G49">
        <v>233</v>
      </c>
      <c r="H49">
        <v>17</v>
      </c>
      <c r="I49" t="s">
        <v>65</v>
      </c>
      <c r="J49">
        <v>10.199999999999999</v>
      </c>
      <c r="K49">
        <v>13.2</v>
      </c>
      <c r="L49">
        <v>54</v>
      </c>
      <c r="M49">
        <v>32</v>
      </c>
      <c r="N49" t="s">
        <v>61</v>
      </c>
      <c r="O49" t="s">
        <v>106</v>
      </c>
    </row>
    <row r="50" spans="1:15">
      <c r="A50" t="s">
        <v>123</v>
      </c>
      <c r="B50" t="s">
        <v>124</v>
      </c>
      <c r="C50" t="s">
        <v>105</v>
      </c>
      <c r="D50" t="s">
        <v>44</v>
      </c>
      <c r="E50" t="s">
        <v>45</v>
      </c>
      <c r="F50" t="s">
        <v>46</v>
      </c>
      <c r="G50">
        <v>773</v>
      </c>
      <c r="H50">
        <v>15</v>
      </c>
      <c r="I50" t="s">
        <v>47</v>
      </c>
      <c r="J50">
        <v>10.4</v>
      </c>
      <c r="K50">
        <v>11.7</v>
      </c>
      <c r="L50">
        <v>56</v>
      </c>
      <c r="M50">
        <v>33</v>
      </c>
      <c r="N50" t="s">
        <v>61</v>
      </c>
      <c r="O50" t="s">
        <v>106</v>
      </c>
    </row>
    <row r="51" spans="1:15">
      <c r="A51" t="s">
        <v>125</v>
      </c>
      <c r="B51" t="s">
        <v>124</v>
      </c>
      <c r="C51" t="s">
        <v>105</v>
      </c>
      <c r="D51" t="s">
        <v>51</v>
      </c>
      <c r="E51" t="s">
        <v>73</v>
      </c>
      <c r="F51" t="s">
        <v>56</v>
      </c>
      <c r="G51">
        <v>76</v>
      </c>
      <c r="H51">
        <v>27</v>
      </c>
      <c r="I51" t="s">
        <v>57</v>
      </c>
      <c r="J51">
        <v>9.4</v>
      </c>
      <c r="K51">
        <v>12.7</v>
      </c>
      <c r="L51">
        <v>55</v>
      </c>
      <c r="M51">
        <v>32</v>
      </c>
      <c r="N51" t="s">
        <v>61</v>
      </c>
      <c r="O51" t="s">
        <v>106</v>
      </c>
    </row>
    <row r="52" spans="1:15">
      <c r="A52" t="s">
        <v>126</v>
      </c>
      <c r="B52" t="s">
        <v>124</v>
      </c>
      <c r="C52" t="s">
        <v>105</v>
      </c>
      <c r="D52" t="s">
        <v>51</v>
      </c>
      <c r="E52" t="s">
        <v>127</v>
      </c>
      <c r="F52" t="s">
        <v>46</v>
      </c>
      <c r="G52">
        <v>553</v>
      </c>
      <c r="H52">
        <v>24</v>
      </c>
      <c r="I52" t="s">
        <v>57</v>
      </c>
      <c r="J52">
        <v>10.8</v>
      </c>
      <c r="K52">
        <v>13.1</v>
      </c>
      <c r="L52">
        <v>56</v>
      </c>
      <c r="M52">
        <v>33</v>
      </c>
      <c r="N52" t="s">
        <v>61</v>
      </c>
      <c r="O52" t="s">
        <v>106</v>
      </c>
    </row>
    <row r="53" spans="1:15">
      <c r="A53" t="s">
        <v>128</v>
      </c>
      <c r="B53" t="s">
        <v>124</v>
      </c>
      <c r="C53" t="s">
        <v>105</v>
      </c>
      <c r="D53" t="s">
        <v>51</v>
      </c>
      <c r="E53" t="s">
        <v>88</v>
      </c>
      <c r="F53" t="s">
        <v>56</v>
      </c>
      <c r="G53">
        <v>55</v>
      </c>
      <c r="H53">
        <v>25</v>
      </c>
      <c r="I53" t="s">
        <v>57</v>
      </c>
      <c r="J53">
        <v>9.1999999999999993</v>
      </c>
      <c r="K53">
        <v>13.7</v>
      </c>
      <c r="L53">
        <v>57</v>
      </c>
      <c r="M53">
        <v>34</v>
      </c>
      <c r="N53" t="s">
        <v>61</v>
      </c>
      <c r="O53" t="s">
        <v>106</v>
      </c>
    </row>
    <row r="54" spans="1:15">
      <c r="A54" t="s">
        <v>129</v>
      </c>
      <c r="B54" t="s">
        <v>124</v>
      </c>
      <c r="C54" t="s">
        <v>105</v>
      </c>
      <c r="D54" t="s">
        <v>51</v>
      </c>
      <c r="E54" t="s">
        <v>127</v>
      </c>
      <c r="F54" t="s">
        <v>64</v>
      </c>
      <c r="G54">
        <v>1050</v>
      </c>
      <c r="H54">
        <v>28</v>
      </c>
      <c r="I54" t="s">
        <v>65</v>
      </c>
      <c r="J54">
        <v>10.199999999999999</v>
      </c>
      <c r="K54">
        <v>14</v>
      </c>
      <c r="L54">
        <v>54</v>
      </c>
      <c r="M54">
        <v>35</v>
      </c>
      <c r="N54" t="s">
        <v>48</v>
      </c>
      <c r="O54" t="s">
        <v>106</v>
      </c>
    </row>
    <row r="55" spans="1:15">
      <c r="A55" t="s">
        <v>130</v>
      </c>
      <c r="B55" t="s">
        <v>124</v>
      </c>
      <c r="C55" t="s">
        <v>105</v>
      </c>
      <c r="D55" t="s">
        <v>51</v>
      </c>
      <c r="E55" t="s">
        <v>55</v>
      </c>
      <c r="F55" t="s">
        <v>64</v>
      </c>
      <c r="G55">
        <v>824</v>
      </c>
      <c r="H55">
        <v>29</v>
      </c>
      <c r="I55" t="s">
        <v>65</v>
      </c>
      <c r="J55">
        <v>10</v>
      </c>
      <c r="K55">
        <v>12.7</v>
      </c>
      <c r="L55">
        <v>54</v>
      </c>
      <c r="M55">
        <v>34</v>
      </c>
      <c r="N55" t="s">
        <v>48</v>
      </c>
      <c r="O55" t="s">
        <v>106</v>
      </c>
    </row>
    <row r="56" spans="1:15">
      <c r="A56" t="s">
        <v>131</v>
      </c>
      <c r="B56" t="s">
        <v>124</v>
      </c>
      <c r="C56" t="s">
        <v>105</v>
      </c>
      <c r="D56" t="s">
        <v>51</v>
      </c>
      <c r="E56" t="s">
        <v>55</v>
      </c>
      <c r="F56" t="s">
        <v>56</v>
      </c>
      <c r="G56">
        <v>75</v>
      </c>
      <c r="H56">
        <v>17</v>
      </c>
      <c r="I56" t="s">
        <v>57</v>
      </c>
      <c r="J56">
        <v>9.3000000000000007</v>
      </c>
      <c r="K56">
        <v>12.4</v>
      </c>
      <c r="L56">
        <v>52</v>
      </c>
      <c r="M56">
        <v>32</v>
      </c>
      <c r="N56" t="s">
        <v>48</v>
      </c>
      <c r="O56" t="s">
        <v>106</v>
      </c>
    </row>
    <row r="57" spans="1:15">
      <c r="A57" t="s">
        <v>132</v>
      </c>
      <c r="B57" t="s">
        <v>124</v>
      </c>
      <c r="C57" t="s">
        <v>105</v>
      </c>
      <c r="D57" t="s">
        <v>51</v>
      </c>
      <c r="E57" t="s">
        <v>55</v>
      </c>
      <c r="F57" t="s">
        <v>64</v>
      </c>
      <c r="G57">
        <v>796</v>
      </c>
      <c r="H57">
        <v>20</v>
      </c>
      <c r="I57" t="s">
        <v>65</v>
      </c>
      <c r="J57">
        <v>10.3</v>
      </c>
      <c r="K57">
        <v>14.2</v>
      </c>
      <c r="L57">
        <v>55</v>
      </c>
      <c r="M57">
        <v>33</v>
      </c>
      <c r="N57" t="s">
        <v>48</v>
      </c>
      <c r="O57" t="s">
        <v>106</v>
      </c>
    </row>
    <row r="58" spans="1:15">
      <c r="A58" t="s">
        <v>133</v>
      </c>
      <c r="B58" t="s">
        <v>124</v>
      </c>
      <c r="C58" t="s">
        <v>105</v>
      </c>
      <c r="D58" t="s">
        <v>51</v>
      </c>
      <c r="E58" t="s">
        <v>110</v>
      </c>
      <c r="F58" t="s">
        <v>56</v>
      </c>
      <c r="G58">
        <v>57</v>
      </c>
      <c r="H58">
        <v>20</v>
      </c>
      <c r="I58" t="s">
        <v>65</v>
      </c>
      <c r="J58">
        <v>8.8000000000000007</v>
      </c>
      <c r="K58">
        <v>14.1</v>
      </c>
      <c r="L58">
        <v>56</v>
      </c>
      <c r="M58">
        <v>34</v>
      </c>
      <c r="N58" t="s">
        <v>48</v>
      </c>
      <c r="O58" t="s">
        <v>106</v>
      </c>
    </row>
    <row r="59" spans="1:15">
      <c r="A59" t="s">
        <v>134</v>
      </c>
      <c r="B59" t="s">
        <v>124</v>
      </c>
      <c r="C59" t="s">
        <v>105</v>
      </c>
      <c r="D59" t="s">
        <v>51</v>
      </c>
      <c r="E59" t="s">
        <v>73</v>
      </c>
      <c r="F59" t="s">
        <v>56</v>
      </c>
      <c r="G59">
        <v>72</v>
      </c>
      <c r="H59">
        <v>14</v>
      </c>
      <c r="I59" t="s">
        <v>65</v>
      </c>
      <c r="J59">
        <v>9.1999999999999993</v>
      </c>
      <c r="K59">
        <v>14.3</v>
      </c>
      <c r="L59">
        <v>54</v>
      </c>
      <c r="M59">
        <v>36</v>
      </c>
      <c r="N59" t="s">
        <v>61</v>
      </c>
      <c r="O59" t="s">
        <v>106</v>
      </c>
    </row>
    <row r="60" spans="1:15">
      <c r="A60" t="s">
        <v>135</v>
      </c>
      <c r="B60" t="s">
        <v>124</v>
      </c>
      <c r="C60" t="s">
        <v>105</v>
      </c>
      <c r="D60" t="s">
        <v>51</v>
      </c>
      <c r="E60" t="s">
        <v>77</v>
      </c>
      <c r="F60" t="s">
        <v>53</v>
      </c>
      <c r="G60">
        <v>258</v>
      </c>
      <c r="H60">
        <v>28</v>
      </c>
      <c r="I60" t="s">
        <v>47</v>
      </c>
      <c r="J60">
        <v>8.9</v>
      </c>
      <c r="K60">
        <v>12.7</v>
      </c>
      <c r="L60">
        <v>57</v>
      </c>
      <c r="M60">
        <v>32</v>
      </c>
      <c r="N60" t="s">
        <v>61</v>
      </c>
      <c r="O60" t="s">
        <v>106</v>
      </c>
    </row>
    <row r="61" spans="1:15">
      <c r="A61" t="s">
        <v>136</v>
      </c>
      <c r="B61" t="s">
        <v>124</v>
      </c>
      <c r="C61" t="s">
        <v>105</v>
      </c>
      <c r="D61" t="s">
        <v>51</v>
      </c>
      <c r="E61" t="s">
        <v>63</v>
      </c>
      <c r="F61" t="s">
        <v>53</v>
      </c>
      <c r="G61">
        <v>218</v>
      </c>
      <c r="H61">
        <v>30</v>
      </c>
      <c r="I61" t="s">
        <v>47</v>
      </c>
      <c r="J61">
        <v>9.1</v>
      </c>
      <c r="K61">
        <v>13</v>
      </c>
      <c r="L61">
        <v>55</v>
      </c>
      <c r="M61">
        <v>32</v>
      </c>
      <c r="N61" t="s">
        <v>48</v>
      </c>
      <c r="O61" t="s">
        <v>106</v>
      </c>
    </row>
    <row r="62" spans="1:15">
      <c r="A62" t="s">
        <v>137</v>
      </c>
      <c r="B62" t="s">
        <v>124</v>
      </c>
      <c r="C62" t="s">
        <v>105</v>
      </c>
      <c r="D62" t="s">
        <v>51</v>
      </c>
      <c r="E62" t="s">
        <v>68</v>
      </c>
      <c r="F62" t="s">
        <v>64</v>
      </c>
      <c r="G62">
        <v>1136</v>
      </c>
      <c r="H62">
        <v>18</v>
      </c>
      <c r="I62" t="s">
        <v>57</v>
      </c>
      <c r="J62">
        <v>9.9</v>
      </c>
      <c r="K62">
        <v>13.7</v>
      </c>
      <c r="L62">
        <v>53</v>
      </c>
      <c r="M62">
        <v>32</v>
      </c>
      <c r="N62" t="s">
        <v>61</v>
      </c>
      <c r="O62" t="s">
        <v>106</v>
      </c>
    </row>
    <row r="63" spans="1:15">
      <c r="A63" t="s">
        <v>138</v>
      </c>
      <c r="B63" t="s">
        <v>124</v>
      </c>
      <c r="C63" t="s">
        <v>105</v>
      </c>
      <c r="D63" t="s">
        <v>51</v>
      </c>
      <c r="E63" t="s">
        <v>77</v>
      </c>
      <c r="F63" t="s">
        <v>64</v>
      </c>
      <c r="G63">
        <v>812</v>
      </c>
      <c r="H63">
        <v>31</v>
      </c>
      <c r="I63" t="s">
        <v>65</v>
      </c>
      <c r="J63">
        <v>8.6999999999999993</v>
      </c>
      <c r="K63">
        <v>14.3</v>
      </c>
      <c r="L63">
        <v>54</v>
      </c>
      <c r="M63">
        <v>33</v>
      </c>
      <c r="N63" t="s">
        <v>61</v>
      </c>
      <c r="O63" t="s">
        <v>106</v>
      </c>
    </row>
    <row r="64" spans="1:15">
      <c r="A64" t="s">
        <v>139</v>
      </c>
      <c r="B64" t="s">
        <v>124</v>
      </c>
      <c r="C64" t="s">
        <v>105</v>
      </c>
      <c r="D64" t="s">
        <v>51</v>
      </c>
      <c r="E64" t="s">
        <v>52</v>
      </c>
      <c r="F64" t="s">
        <v>56</v>
      </c>
      <c r="G64">
        <v>65</v>
      </c>
      <c r="H64">
        <v>14</v>
      </c>
      <c r="I64" t="s">
        <v>47</v>
      </c>
      <c r="J64">
        <v>8.9</v>
      </c>
      <c r="K64">
        <v>14.3</v>
      </c>
      <c r="L64">
        <v>52</v>
      </c>
      <c r="M64">
        <v>32</v>
      </c>
      <c r="N64" t="s">
        <v>61</v>
      </c>
      <c r="O64" t="s">
        <v>106</v>
      </c>
    </row>
    <row r="65" spans="1:15">
      <c r="A65" t="s">
        <v>140</v>
      </c>
      <c r="B65" t="s">
        <v>124</v>
      </c>
      <c r="C65" t="s">
        <v>105</v>
      </c>
      <c r="D65" t="s">
        <v>51</v>
      </c>
      <c r="E65" t="s">
        <v>77</v>
      </c>
      <c r="F65" t="s">
        <v>56</v>
      </c>
      <c r="G65">
        <v>46</v>
      </c>
      <c r="H65">
        <v>17</v>
      </c>
      <c r="I65" t="s">
        <v>65</v>
      </c>
      <c r="J65">
        <v>9.3000000000000007</v>
      </c>
      <c r="K65">
        <v>13.4</v>
      </c>
      <c r="L65">
        <v>54</v>
      </c>
      <c r="M65">
        <v>34</v>
      </c>
      <c r="N65" t="s">
        <v>48</v>
      </c>
      <c r="O65" t="s">
        <v>106</v>
      </c>
    </row>
    <row r="66" spans="1:15">
      <c r="A66" t="s">
        <v>141</v>
      </c>
      <c r="B66" t="s">
        <v>142</v>
      </c>
      <c r="C66" t="s">
        <v>105</v>
      </c>
      <c r="D66" t="s">
        <v>44</v>
      </c>
      <c r="E66" t="s">
        <v>45</v>
      </c>
      <c r="F66" t="s">
        <v>46</v>
      </c>
      <c r="G66">
        <v>641</v>
      </c>
      <c r="H66">
        <v>14</v>
      </c>
      <c r="I66" t="s">
        <v>47</v>
      </c>
      <c r="J66">
        <v>10.199999999999999</v>
      </c>
      <c r="K66">
        <v>13.1</v>
      </c>
      <c r="L66">
        <v>56</v>
      </c>
      <c r="M66">
        <v>30</v>
      </c>
      <c r="N66" t="s">
        <v>48</v>
      </c>
      <c r="O66" t="s">
        <v>106</v>
      </c>
    </row>
    <row r="67" spans="1:15">
      <c r="A67" t="s">
        <v>143</v>
      </c>
      <c r="B67" t="s">
        <v>142</v>
      </c>
      <c r="C67" t="s">
        <v>105</v>
      </c>
      <c r="D67" t="s">
        <v>51</v>
      </c>
      <c r="E67" t="s">
        <v>127</v>
      </c>
      <c r="F67" t="s">
        <v>60</v>
      </c>
      <c r="G67">
        <v>209</v>
      </c>
      <c r="H67">
        <v>17</v>
      </c>
      <c r="I67" t="s">
        <v>65</v>
      </c>
      <c r="J67">
        <v>10.199999999999999</v>
      </c>
      <c r="K67">
        <v>13</v>
      </c>
      <c r="L67">
        <v>53</v>
      </c>
      <c r="M67">
        <v>34</v>
      </c>
      <c r="N67" t="s">
        <v>48</v>
      </c>
      <c r="O67" t="s">
        <v>106</v>
      </c>
    </row>
    <row r="68" spans="1:15">
      <c r="A68" t="s">
        <v>144</v>
      </c>
      <c r="B68" t="s">
        <v>142</v>
      </c>
      <c r="C68" t="s">
        <v>105</v>
      </c>
      <c r="D68" t="s">
        <v>51</v>
      </c>
      <c r="E68" t="s">
        <v>81</v>
      </c>
      <c r="F68" t="s">
        <v>64</v>
      </c>
      <c r="G68">
        <v>702</v>
      </c>
      <c r="H68">
        <v>22</v>
      </c>
      <c r="I68" t="s">
        <v>57</v>
      </c>
      <c r="J68">
        <v>8.9</v>
      </c>
      <c r="K68">
        <v>12.5</v>
      </c>
      <c r="L68">
        <v>57</v>
      </c>
      <c r="M68">
        <v>32</v>
      </c>
      <c r="N68" t="s">
        <v>48</v>
      </c>
      <c r="O68" t="s">
        <v>106</v>
      </c>
    </row>
    <row r="69" spans="1:15">
      <c r="A69" t="s">
        <v>145</v>
      </c>
      <c r="B69" t="s">
        <v>142</v>
      </c>
      <c r="C69" t="s">
        <v>105</v>
      </c>
      <c r="D69" t="s">
        <v>51</v>
      </c>
      <c r="E69" t="s">
        <v>73</v>
      </c>
      <c r="F69" t="s">
        <v>46</v>
      </c>
      <c r="G69">
        <v>775</v>
      </c>
      <c r="H69">
        <v>29</v>
      </c>
      <c r="I69" t="s">
        <v>47</v>
      </c>
      <c r="J69">
        <v>9.9</v>
      </c>
      <c r="K69">
        <v>12.5</v>
      </c>
      <c r="L69">
        <v>55</v>
      </c>
      <c r="M69">
        <v>29</v>
      </c>
      <c r="N69" t="s">
        <v>61</v>
      </c>
      <c r="O69" t="s">
        <v>106</v>
      </c>
    </row>
    <row r="70" spans="1:15">
      <c r="A70" t="s">
        <v>146</v>
      </c>
      <c r="B70" t="s">
        <v>142</v>
      </c>
      <c r="C70" t="s">
        <v>105</v>
      </c>
      <c r="D70" t="s">
        <v>51</v>
      </c>
      <c r="E70" t="s">
        <v>88</v>
      </c>
      <c r="F70" t="s">
        <v>64</v>
      </c>
      <c r="G70">
        <v>694</v>
      </c>
      <c r="H70">
        <v>22</v>
      </c>
      <c r="I70" t="s">
        <v>47</v>
      </c>
      <c r="J70">
        <v>9.5</v>
      </c>
      <c r="K70">
        <v>12.6</v>
      </c>
      <c r="L70">
        <v>52</v>
      </c>
      <c r="M70">
        <v>33</v>
      </c>
      <c r="N70" t="s">
        <v>48</v>
      </c>
      <c r="O70" t="s">
        <v>106</v>
      </c>
    </row>
    <row r="71" spans="1:15">
      <c r="A71" t="s">
        <v>147</v>
      </c>
      <c r="B71" t="s">
        <v>142</v>
      </c>
      <c r="C71" t="s">
        <v>105</v>
      </c>
      <c r="D71" t="s">
        <v>51</v>
      </c>
      <c r="E71" t="s">
        <v>70</v>
      </c>
      <c r="F71" t="s">
        <v>64</v>
      </c>
      <c r="G71">
        <v>984</v>
      </c>
      <c r="H71">
        <v>19</v>
      </c>
      <c r="I71" t="s">
        <v>47</v>
      </c>
      <c r="J71">
        <v>9.6</v>
      </c>
      <c r="K71">
        <v>13.3</v>
      </c>
      <c r="L71">
        <v>53</v>
      </c>
      <c r="M71">
        <v>31</v>
      </c>
      <c r="N71" t="s">
        <v>48</v>
      </c>
      <c r="O71" t="s">
        <v>106</v>
      </c>
    </row>
    <row r="72" spans="1:15">
      <c r="A72" t="s">
        <v>148</v>
      </c>
      <c r="B72" t="s">
        <v>142</v>
      </c>
      <c r="C72" t="s">
        <v>105</v>
      </c>
      <c r="D72" t="s">
        <v>51</v>
      </c>
      <c r="E72" t="s">
        <v>75</v>
      </c>
      <c r="F72" t="s">
        <v>64</v>
      </c>
      <c r="G72">
        <v>1015</v>
      </c>
      <c r="H72">
        <v>21</v>
      </c>
      <c r="I72" t="s">
        <v>65</v>
      </c>
      <c r="J72">
        <v>10.3</v>
      </c>
      <c r="K72">
        <v>13.1</v>
      </c>
      <c r="L72">
        <v>53</v>
      </c>
      <c r="M72">
        <v>34</v>
      </c>
      <c r="N72" t="s">
        <v>48</v>
      </c>
      <c r="O72" t="s">
        <v>106</v>
      </c>
    </row>
    <row r="73" spans="1:15">
      <c r="A73" t="s">
        <v>149</v>
      </c>
      <c r="B73" t="s">
        <v>142</v>
      </c>
      <c r="C73" t="s">
        <v>105</v>
      </c>
      <c r="D73" t="s">
        <v>51</v>
      </c>
      <c r="E73" t="s">
        <v>75</v>
      </c>
      <c r="F73" t="s">
        <v>64</v>
      </c>
      <c r="G73">
        <v>1132</v>
      </c>
      <c r="H73">
        <v>16</v>
      </c>
      <c r="I73" t="s">
        <v>65</v>
      </c>
      <c r="J73">
        <v>9.3000000000000007</v>
      </c>
      <c r="K73">
        <v>12.7</v>
      </c>
      <c r="L73">
        <v>56</v>
      </c>
      <c r="M73">
        <v>37</v>
      </c>
      <c r="N73" t="s">
        <v>48</v>
      </c>
      <c r="O73" t="s">
        <v>106</v>
      </c>
    </row>
    <row r="74" spans="1:15">
      <c r="A74" t="s">
        <v>150</v>
      </c>
      <c r="B74" t="s">
        <v>142</v>
      </c>
      <c r="C74" t="s">
        <v>105</v>
      </c>
      <c r="D74" t="s">
        <v>51</v>
      </c>
      <c r="E74" t="s">
        <v>88</v>
      </c>
      <c r="F74" t="s">
        <v>60</v>
      </c>
      <c r="G74">
        <v>236</v>
      </c>
      <c r="H74">
        <v>19</v>
      </c>
      <c r="I74" t="s">
        <v>47</v>
      </c>
      <c r="J74">
        <v>10.1</v>
      </c>
      <c r="K74">
        <v>14.3</v>
      </c>
      <c r="L74">
        <v>52</v>
      </c>
      <c r="M74">
        <v>35</v>
      </c>
      <c r="N74" t="s">
        <v>48</v>
      </c>
      <c r="O74" t="s">
        <v>106</v>
      </c>
    </row>
    <row r="75" spans="1:15">
      <c r="A75" t="s">
        <v>151</v>
      </c>
      <c r="B75" t="s">
        <v>142</v>
      </c>
      <c r="C75" t="s">
        <v>105</v>
      </c>
      <c r="D75" t="s">
        <v>51</v>
      </c>
      <c r="E75" t="s">
        <v>110</v>
      </c>
      <c r="F75" t="s">
        <v>46</v>
      </c>
      <c r="G75">
        <v>490</v>
      </c>
      <c r="H75">
        <v>22</v>
      </c>
      <c r="I75" t="s">
        <v>65</v>
      </c>
      <c r="J75">
        <v>10.6</v>
      </c>
      <c r="K75">
        <v>13.4</v>
      </c>
      <c r="L75">
        <v>55</v>
      </c>
      <c r="M75">
        <v>32</v>
      </c>
      <c r="N75" t="s">
        <v>48</v>
      </c>
      <c r="O75" t="s">
        <v>106</v>
      </c>
    </row>
    <row r="76" spans="1:15">
      <c r="A76" t="s">
        <v>152</v>
      </c>
      <c r="B76" t="s">
        <v>142</v>
      </c>
      <c r="C76" t="s">
        <v>105</v>
      </c>
      <c r="D76" t="s">
        <v>51</v>
      </c>
      <c r="E76" t="s">
        <v>110</v>
      </c>
      <c r="F76" t="s">
        <v>64</v>
      </c>
      <c r="G76">
        <v>1028</v>
      </c>
      <c r="H76">
        <v>15</v>
      </c>
      <c r="I76" t="s">
        <v>47</v>
      </c>
      <c r="J76">
        <v>9.4</v>
      </c>
      <c r="K76">
        <v>14.6</v>
      </c>
      <c r="L76">
        <v>51</v>
      </c>
      <c r="M76">
        <v>35</v>
      </c>
      <c r="N76" t="s">
        <v>48</v>
      </c>
      <c r="O76" t="s">
        <v>106</v>
      </c>
    </row>
    <row r="77" spans="1:15">
      <c r="A77" t="s">
        <v>153</v>
      </c>
      <c r="B77" t="s">
        <v>142</v>
      </c>
      <c r="C77" t="s">
        <v>105</v>
      </c>
      <c r="D77" t="s">
        <v>51</v>
      </c>
      <c r="E77" t="s">
        <v>73</v>
      </c>
      <c r="F77" t="s">
        <v>56</v>
      </c>
      <c r="G77">
        <v>51</v>
      </c>
      <c r="H77">
        <v>21</v>
      </c>
      <c r="I77" t="s">
        <v>47</v>
      </c>
      <c r="J77">
        <v>9.6999999999999993</v>
      </c>
      <c r="K77">
        <v>12.9</v>
      </c>
      <c r="L77">
        <v>52</v>
      </c>
      <c r="M77">
        <v>33</v>
      </c>
      <c r="N77" t="s">
        <v>61</v>
      </c>
      <c r="O77" t="s">
        <v>106</v>
      </c>
    </row>
    <row r="78" spans="1:15">
      <c r="A78" t="s">
        <v>154</v>
      </c>
      <c r="B78" t="s">
        <v>142</v>
      </c>
      <c r="C78" t="s">
        <v>105</v>
      </c>
      <c r="D78" t="s">
        <v>51</v>
      </c>
      <c r="E78" t="s">
        <v>88</v>
      </c>
      <c r="F78" t="s">
        <v>60</v>
      </c>
      <c r="G78">
        <v>214</v>
      </c>
      <c r="H78">
        <v>16</v>
      </c>
      <c r="I78" t="s">
        <v>47</v>
      </c>
      <c r="J78">
        <v>9.9</v>
      </c>
      <c r="K78">
        <v>12.5</v>
      </c>
      <c r="L78">
        <v>54</v>
      </c>
      <c r="M78">
        <v>34</v>
      </c>
      <c r="N78" t="s">
        <v>48</v>
      </c>
      <c r="O78" t="s">
        <v>106</v>
      </c>
    </row>
    <row r="79" spans="1:15">
      <c r="A79" t="s">
        <v>155</v>
      </c>
      <c r="B79" t="s">
        <v>142</v>
      </c>
      <c r="C79" t="s">
        <v>105</v>
      </c>
      <c r="D79" t="s">
        <v>51</v>
      </c>
      <c r="E79" t="s">
        <v>68</v>
      </c>
      <c r="F79" t="s">
        <v>46</v>
      </c>
      <c r="G79">
        <v>434</v>
      </c>
      <c r="H79">
        <v>27</v>
      </c>
      <c r="I79" t="s">
        <v>65</v>
      </c>
      <c r="J79">
        <v>9.8000000000000007</v>
      </c>
      <c r="K79">
        <v>12</v>
      </c>
      <c r="L79">
        <v>57</v>
      </c>
      <c r="M79">
        <v>31</v>
      </c>
      <c r="N79" t="s">
        <v>61</v>
      </c>
      <c r="O79" t="s">
        <v>106</v>
      </c>
    </row>
    <row r="80" spans="1:15">
      <c r="A80" t="s">
        <v>156</v>
      </c>
      <c r="B80" t="s">
        <v>142</v>
      </c>
      <c r="C80" t="s">
        <v>105</v>
      </c>
      <c r="D80" t="s">
        <v>51</v>
      </c>
      <c r="E80" t="s">
        <v>88</v>
      </c>
      <c r="F80" t="s">
        <v>53</v>
      </c>
      <c r="G80">
        <v>204</v>
      </c>
      <c r="H80">
        <v>19</v>
      </c>
      <c r="I80" t="s">
        <v>47</v>
      </c>
      <c r="J80">
        <v>8.9</v>
      </c>
      <c r="K80">
        <v>14.3</v>
      </c>
      <c r="L80">
        <v>54</v>
      </c>
      <c r="M80">
        <v>37</v>
      </c>
      <c r="N80" t="s">
        <v>48</v>
      </c>
      <c r="O80" t="s">
        <v>106</v>
      </c>
    </row>
    <row r="81" spans="1:15">
      <c r="A81" t="s">
        <v>157</v>
      </c>
      <c r="B81" t="s">
        <v>142</v>
      </c>
      <c r="C81" t="s">
        <v>105</v>
      </c>
      <c r="D81" t="s">
        <v>51</v>
      </c>
      <c r="E81" t="s">
        <v>68</v>
      </c>
      <c r="F81" t="s">
        <v>56</v>
      </c>
      <c r="G81">
        <v>74</v>
      </c>
      <c r="H81">
        <v>22</v>
      </c>
      <c r="I81" t="s">
        <v>57</v>
      </c>
      <c r="J81">
        <v>9.6999999999999993</v>
      </c>
      <c r="K81">
        <v>12.7</v>
      </c>
      <c r="L81">
        <v>55</v>
      </c>
      <c r="M81">
        <v>32</v>
      </c>
      <c r="N81" t="s">
        <v>61</v>
      </c>
      <c r="O81" t="s">
        <v>106</v>
      </c>
    </row>
    <row r="82" spans="1:15">
      <c r="A82" t="s">
        <v>158</v>
      </c>
      <c r="B82" t="s">
        <v>159</v>
      </c>
      <c r="C82" t="s">
        <v>105</v>
      </c>
      <c r="D82" t="s">
        <v>44</v>
      </c>
      <c r="E82" t="s">
        <v>45</v>
      </c>
      <c r="F82" t="s">
        <v>46</v>
      </c>
      <c r="G82">
        <v>636</v>
      </c>
      <c r="H82">
        <v>28</v>
      </c>
      <c r="I82" t="s">
        <v>47</v>
      </c>
      <c r="J82">
        <v>10.9</v>
      </c>
      <c r="K82">
        <v>12</v>
      </c>
      <c r="L82">
        <v>59</v>
      </c>
      <c r="M82">
        <v>32</v>
      </c>
      <c r="N82" t="s">
        <v>48</v>
      </c>
      <c r="O82" t="s">
        <v>106</v>
      </c>
    </row>
    <row r="83" spans="1:15">
      <c r="A83" t="s">
        <v>160</v>
      </c>
      <c r="B83" t="s">
        <v>159</v>
      </c>
      <c r="C83" t="s">
        <v>105</v>
      </c>
      <c r="D83" t="s">
        <v>51</v>
      </c>
      <c r="E83" t="s">
        <v>127</v>
      </c>
      <c r="F83" t="s">
        <v>56</v>
      </c>
      <c r="G83">
        <v>53</v>
      </c>
      <c r="H83">
        <v>19</v>
      </c>
      <c r="I83" t="s">
        <v>65</v>
      </c>
      <c r="J83">
        <v>10.1</v>
      </c>
      <c r="K83">
        <v>14.6</v>
      </c>
      <c r="L83">
        <v>54</v>
      </c>
      <c r="M83">
        <v>31</v>
      </c>
      <c r="N83" t="s">
        <v>48</v>
      </c>
      <c r="O83" t="s">
        <v>106</v>
      </c>
    </row>
    <row r="84" spans="1:15">
      <c r="A84" t="s">
        <v>161</v>
      </c>
      <c r="B84" t="s">
        <v>159</v>
      </c>
      <c r="C84" t="s">
        <v>105</v>
      </c>
      <c r="D84" t="s">
        <v>51</v>
      </c>
      <c r="E84" t="s">
        <v>63</v>
      </c>
      <c r="F84" t="s">
        <v>53</v>
      </c>
      <c r="G84">
        <v>258</v>
      </c>
      <c r="H84">
        <v>15</v>
      </c>
      <c r="I84" t="s">
        <v>57</v>
      </c>
      <c r="J84">
        <v>8.9</v>
      </c>
      <c r="K84">
        <v>13.5</v>
      </c>
      <c r="L84">
        <v>56</v>
      </c>
      <c r="M84">
        <v>35</v>
      </c>
      <c r="N84" t="s">
        <v>48</v>
      </c>
      <c r="O84" t="s">
        <v>106</v>
      </c>
    </row>
    <row r="85" spans="1:15">
      <c r="A85" t="s">
        <v>162</v>
      </c>
      <c r="B85" t="s">
        <v>159</v>
      </c>
      <c r="C85" t="s">
        <v>105</v>
      </c>
      <c r="D85" t="s">
        <v>51</v>
      </c>
      <c r="E85" t="s">
        <v>79</v>
      </c>
      <c r="F85" t="s">
        <v>56</v>
      </c>
      <c r="G85">
        <v>73</v>
      </c>
      <c r="H85">
        <v>14</v>
      </c>
      <c r="I85" t="s">
        <v>47</v>
      </c>
      <c r="J85">
        <v>10.199999999999999</v>
      </c>
      <c r="K85">
        <v>13</v>
      </c>
      <c r="L85">
        <v>56</v>
      </c>
      <c r="M85">
        <v>34</v>
      </c>
      <c r="N85" t="s">
        <v>61</v>
      </c>
      <c r="O85" t="s">
        <v>106</v>
      </c>
    </row>
    <row r="86" spans="1:15">
      <c r="A86" t="s">
        <v>163</v>
      </c>
      <c r="B86" t="s">
        <v>159</v>
      </c>
      <c r="C86" t="s">
        <v>105</v>
      </c>
      <c r="D86" t="s">
        <v>51</v>
      </c>
      <c r="E86" t="s">
        <v>88</v>
      </c>
      <c r="F86" t="s">
        <v>64</v>
      </c>
      <c r="G86">
        <v>700</v>
      </c>
      <c r="H86">
        <v>20</v>
      </c>
      <c r="I86" t="s">
        <v>65</v>
      </c>
      <c r="J86">
        <v>10.3</v>
      </c>
      <c r="K86">
        <v>13.4</v>
      </c>
      <c r="L86">
        <v>55</v>
      </c>
      <c r="M86">
        <v>31</v>
      </c>
      <c r="N86" t="s">
        <v>48</v>
      </c>
      <c r="O86" t="s">
        <v>106</v>
      </c>
    </row>
    <row r="87" spans="1:15">
      <c r="A87" t="s">
        <v>164</v>
      </c>
      <c r="B87" t="s">
        <v>159</v>
      </c>
      <c r="C87" t="s">
        <v>105</v>
      </c>
      <c r="D87" t="s">
        <v>51</v>
      </c>
      <c r="E87" t="s">
        <v>68</v>
      </c>
      <c r="F87" t="s">
        <v>64</v>
      </c>
      <c r="G87">
        <v>700</v>
      </c>
      <c r="H87">
        <v>15</v>
      </c>
      <c r="I87" t="s">
        <v>65</v>
      </c>
      <c r="J87">
        <v>9.9</v>
      </c>
      <c r="K87">
        <v>13.8</v>
      </c>
      <c r="L87">
        <v>55</v>
      </c>
      <c r="M87">
        <v>31</v>
      </c>
      <c r="N87" t="s">
        <v>61</v>
      </c>
      <c r="O87" t="s">
        <v>106</v>
      </c>
    </row>
    <row r="88" spans="1:15">
      <c r="A88" t="s">
        <v>165</v>
      </c>
      <c r="B88" t="s">
        <v>159</v>
      </c>
      <c r="C88" t="s">
        <v>105</v>
      </c>
      <c r="D88" t="s">
        <v>51</v>
      </c>
      <c r="E88" t="s">
        <v>63</v>
      </c>
      <c r="F88" t="s">
        <v>53</v>
      </c>
      <c r="G88">
        <v>183</v>
      </c>
      <c r="H88">
        <v>25</v>
      </c>
      <c r="I88" t="s">
        <v>65</v>
      </c>
      <c r="J88">
        <v>9.6</v>
      </c>
      <c r="K88">
        <v>13.2</v>
      </c>
      <c r="L88">
        <v>57</v>
      </c>
      <c r="M88">
        <v>34</v>
      </c>
      <c r="N88" t="s">
        <v>48</v>
      </c>
      <c r="O88" t="s">
        <v>106</v>
      </c>
    </row>
    <row r="89" spans="1:15">
      <c r="A89" t="s">
        <v>166</v>
      </c>
      <c r="B89" t="s">
        <v>159</v>
      </c>
      <c r="C89" t="s">
        <v>105</v>
      </c>
      <c r="D89" t="s">
        <v>51</v>
      </c>
      <c r="E89" t="s">
        <v>110</v>
      </c>
      <c r="F89" t="s">
        <v>56</v>
      </c>
      <c r="G89">
        <v>64</v>
      </c>
      <c r="H89">
        <v>14</v>
      </c>
      <c r="I89" t="s">
        <v>47</v>
      </c>
      <c r="J89">
        <v>9.4</v>
      </c>
      <c r="K89">
        <v>13.3</v>
      </c>
      <c r="L89">
        <v>53</v>
      </c>
      <c r="M89">
        <v>36</v>
      </c>
      <c r="N89" t="s">
        <v>48</v>
      </c>
      <c r="O89" t="s">
        <v>106</v>
      </c>
    </row>
    <row r="90" spans="1:15">
      <c r="A90" t="s">
        <v>167</v>
      </c>
      <c r="B90" t="s">
        <v>159</v>
      </c>
      <c r="C90" t="s">
        <v>105</v>
      </c>
      <c r="D90" t="s">
        <v>51</v>
      </c>
      <c r="E90" t="s">
        <v>75</v>
      </c>
      <c r="F90" t="s">
        <v>64</v>
      </c>
      <c r="G90">
        <v>834</v>
      </c>
      <c r="H90">
        <v>22</v>
      </c>
      <c r="I90" t="s">
        <v>65</v>
      </c>
      <c r="J90">
        <v>9.6</v>
      </c>
      <c r="K90">
        <v>13.1</v>
      </c>
      <c r="L90">
        <v>55</v>
      </c>
      <c r="M90">
        <v>31</v>
      </c>
      <c r="N90" t="s">
        <v>61</v>
      </c>
      <c r="O90" t="s">
        <v>106</v>
      </c>
    </row>
    <row r="91" spans="1:15">
      <c r="A91" t="s">
        <v>168</v>
      </c>
      <c r="B91" t="s">
        <v>159</v>
      </c>
      <c r="C91" t="s">
        <v>105</v>
      </c>
      <c r="D91" t="s">
        <v>51</v>
      </c>
      <c r="E91" t="s">
        <v>100</v>
      </c>
      <c r="F91" t="s">
        <v>64</v>
      </c>
      <c r="G91">
        <v>1120</v>
      </c>
      <c r="H91">
        <v>29</v>
      </c>
      <c r="I91" t="s">
        <v>65</v>
      </c>
      <c r="J91">
        <v>9.3000000000000007</v>
      </c>
      <c r="K91">
        <v>14.1</v>
      </c>
      <c r="L91">
        <v>55</v>
      </c>
      <c r="M91">
        <v>34</v>
      </c>
      <c r="N91" t="s">
        <v>61</v>
      </c>
      <c r="O91" t="s">
        <v>106</v>
      </c>
    </row>
    <row r="92" spans="1:15">
      <c r="A92" t="s">
        <v>169</v>
      </c>
      <c r="B92" t="s">
        <v>159</v>
      </c>
      <c r="C92" t="s">
        <v>105</v>
      </c>
      <c r="D92" t="s">
        <v>51</v>
      </c>
      <c r="E92" t="s">
        <v>88</v>
      </c>
      <c r="F92" t="s">
        <v>64</v>
      </c>
      <c r="G92">
        <v>786</v>
      </c>
      <c r="H92">
        <v>24</v>
      </c>
      <c r="I92" t="s">
        <v>65</v>
      </c>
      <c r="J92">
        <v>9</v>
      </c>
      <c r="K92">
        <v>14.3</v>
      </c>
      <c r="L92">
        <v>56</v>
      </c>
      <c r="M92">
        <v>32</v>
      </c>
      <c r="N92" t="s">
        <v>48</v>
      </c>
      <c r="O92" t="s">
        <v>106</v>
      </c>
    </row>
    <row r="93" spans="1:15">
      <c r="A93" t="s">
        <v>170</v>
      </c>
      <c r="B93" t="s">
        <v>159</v>
      </c>
      <c r="C93" t="s">
        <v>105</v>
      </c>
      <c r="D93" t="s">
        <v>51</v>
      </c>
      <c r="E93" t="s">
        <v>81</v>
      </c>
      <c r="F93" t="s">
        <v>64</v>
      </c>
      <c r="G93">
        <v>1113</v>
      </c>
      <c r="H93">
        <v>23</v>
      </c>
      <c r="I93" t="s">
        <v>47</v>
      </c>
      <c r="J93">
        <v>10.1</v>
      </c>
      <c r="K93">
        <v>12.4</v>
      </c>
      <c r="L93">
        <v>57</v>
      </c>
      <c r="M93">
        <v>34</v>
      </c>
      <c r="N93" t="s">
        <v>48</v>
      </c>
      <c r="O93" t="s">
        <v>106</v>
      </c>
    </row>
    <row r="94" spans="1:15">
      <c r="A94" t="s">
        <v>171</v>
      </c>
      <c r="B94" t="s">
        <v>159</v>
      </c>
      <c r="C94" t="s">
        <v>105</v>
      </c>
      <c r="D94" t="s">
        <v>51</v>
      </c>
      <c r="E94" t="s">
        <v>110</v>
      </c>
      <c r="F94" t="s">
        <v>46</v>
      </c>
      <c r="G94">
        <v>630</v>
      </c>
      <c r="H94">
        <v>28</v>
      </c>
      <c r="I94" t="s">
        <v>47</v>
      </c>
      <c r="J94">
        <v>10.8</v>
      </c>
      <c r="K94">
        <v>11.5</v>
      </c>
      <c r="L94">
        <v>58</v>
      </c>
      <c r="M94">
        <v>30</v>
      </c>
      <c r="N94" t="s">
        <v>48</v>
      </c>
      <c r="O94" t="s">
        <v>106</v>
      </c>
    </row>
    <row r="95" spans="1:15">
      <c r="A95" t="s">
        <v>172</v>
      </c>
      <c r="B95" t="s">
        <v>159</v>
      </c>
      <c r="C95" t="s">
        <v>105</v>
      </c>
      <c r="D95" t="s">
        <v>51</v>
      </c>
      <c r="E95" t="s">
        <v>75</v>
      </c>
      <c r="F95" t="s">
        <v>60</v>
      </c>
      <c r="G95">
        <v>192</v>
      </c>
      <c r="H95">
        <v>24</v>
      </c>
      <c r="I95" t="s">
        <v>57</v>
      </c>
      <c r="J95">
        <v>10.3</v>
      </c>
      <c r="K95">
        <v>13.5</v>
      </c>
      <c r="L95">
        <v>56</v>
      </c>
      <c r="M95">
        <v>31</v>
      </c>
      <c r="N95" t="s">
        <v>61</v>
      </c>
      <c r="O95" t="s">
        <v>106</v>
      </c>
    </row>
    <row r="96" spans="1:15">
      <c r="A96" t="s">
        <v>173</v>
      </c>
      <c r="B96" t="s">
        <v>159</v>
      </c>
      <c r="C96" t="s">
        <v>105</v>
      </c>
      <c r="D96" t="s">
        <v>51</v>
      </c>
      <c r="E96" t="s">
        <v>52</v>
      </c>
      <c r="F96" t="s">
        <v>56</v>
      </c>
      <c r="G96">
        <v>44</v>
      </c>
      <c r="H96">
        <v>17</v>
      </c>
      <c r="I96" t="s">
        <v>47</v>
      </c>
      <c r="J96">
        <v>9.3000000000000007</v>
      </c>
      <c r="K96">
        <v>13.5</v>
      </c>
      <c r="L96">
        <v>55</v>
      </c>
      <c r="M96">
        <v>31</v>
      </c>
      <c r="N96" t="s">
        <v>48</v>
      </c>
      <c r="O96" t="s">
        <v>106</v>
      </c>
    </row>
    <row r="97" spans="1:15">
      <c r="A97" t="s">
        <v>174</v>
      </c>
      <c r="B97" t="s">
        <v>159</v>
      </c>
      <c r="C97" t="s">
        <v>105</v>
      </c>
      <c r="D97" t="s">
        <v>51</v>
      </c>
      <c r="E97" t="s">
        <v>68</v>
      </c>
      <c r="F97" t="s">
        <v>53</v>
      </c>
      <c r="G97">
        <v>310</v>
      </c>
      <c r="H97">
        <v>19</v>
      </c>
      <c r="I97" t="s">
        <v>65</v>
      </c>
      <c r="J97">
        <v>8.9</v>
      </c>
      <c r="K97">
        <v>13.5</v>
      </c>
      <c r="L97">
        <v>51</v>
      </c>
      <c r="M97">
        <v>32</v>
      </c>
      <c r="N97" t="s">
        <v>48</v>
      </c>
      <c r="O97" t="s">
        <v>106</v>
      </c>
    </row>
    <row r="98" spans="1:15">
      <c r="A98" t="s">
        <v>175</v>
      </c>
      <c r="B98" t="s">
        <v>176</v>
      </c>
      <c r="C98" t="s">
        <v>177</v>
      </c>
      <c r="D98" t="s">
        <v>44</v>
      </c>
      <c r="E98" t="s">
        <v>45</v>
      </c>
      <c r="F98" t="s">
        <v>46</v>
      </c>
      <c r="G98">
        <v>552</v>
      </c>
      <c r="H98">
        <v>19</v>
      </c>
      <c r="I98" t="s">
        <v>47</v>
      </c>
      <c r="J98">
        <v>10.9</v>
      </c>
      <c r="K98">
        <v>12.4</v>
      </c>
      <c r="L98">
        <v>57</v>
      </c>
      <c r="M98">
        <v>33</v>
      </c>
      <c r="N98" t="s">
        <v>61</v>
      </c>
      <c r="O98" t="s">
        <v>178</v>
      </c>
    </row>
    <row r="99" spans="1:15">
      <c r="A99" t="s">
        <v>179</v>
      </c>
      <c r="B99" t="s">
        <v>176</v>
      </c>
      <c r="C99" t="s">
        <v>177</v>
      </c>
      <c r="D99" t="s">
        <v>51</v>
      </c>
      <c r="E99" t="s">
        <v>79</v>
      </c>
      <c r="F99" t="s">
        <v>64</v>
      </c>
      <c r="G99">
        <v>859</v>
      </c>
      <c r="H99">
        <v>22</v>
      </c>
      <c r="I99" t="s">
        <v>57</v>
      </c>
      <c r="J99">
        <v>9.6</v>
      </c>
      <c r="K99">
        <v>13.2</v>
      </c>
      <c r="L99">
        <v>53</v>
      </c>
      <c r="M99">
        <v>32</v>
      </c>
      <c r="N99" t="s">
        <v>48</v>
      </c>
      <c r="O99" t="s">
        <v>178</v>
      </c>
    </row>
    <row r="100" spans="1:15">
      <c r="A100" t="s">
        <v>180</v>
      </c>
      <c r="B100" t="s">
        <v>176</v>
      </c>
      <c r="C100" t="s">
        <v>177</v>
      </c>
      <c r="D100" t="s">
        <v>51</v>
      </c>
      <c r="E100" t="s">
        <v>68</v>
      </c>
      <c r="F100" t="s">
        <v>60</v>
      </c>
      <c r="G100">
        <v>222</v>
      </c>
      <c r="H100">
        <v>16</v>
      </c>
      <c r="I100" t="s">
        <v>65</v>
      </c>
      <c r="J100">
        <v>9.1999999999999993</v>
      </c>
      <c r="K100">
        <v>13.4</v>
      </c>
      <c r="L100">
        <v>54</v>
      </c>
      <c r="M100">
        <v>33</v>
      </c>
      <c r="N100" t="s">
        <v>48</v>
      </c>
      <c r="O100" t="s">
        <v>178</v>
      </c>
    </row>
    <row r="101" spans="1:15">
      <c r="A101" t="s">
        <v>181</v>
      </c>
      <c r="B101" t="s">
        <v>176</v>
      </c>
      <c r="C101" t="s">
        <v>177</v>
      </c>
      <c r="D101" t="s">
        <v>51</v>
      </c>
      <c r="E101" t="s">
        <v>59</v>
      </c>
      <c r="F101" t="s">
        <v>46</v>
      </c>
      <c r="G101">
        <v>575</v>
      </c>
      <c r="H101">
        <v>14</v>
      </c>
      <c r="I101" t="s">
        <v>65</v>
      </c>
      <c r="J101">
        <v>10.4</v>
      </c>
      <c r="K101">
        <v>12.2</v>
      </c>
      <c r="L101">
        <v>56</v>
      </c>
      <c r="M101">
        <v>29</v>
      </c>
      <c r="N101" t="s">
        <v>48</v>
      </c>
      <c r="O101" t="s">
        <v>178</v>
      </c>
    </row>
    <row r="102" spans="1:15">
      <c r="A102" t="s">
        <v>182</v>
      </c>
      <c r="B102" t="s">
        <v>176</v>
      </c>
      <c r="C102" t="s">
        <v>177</v>
      </c>
      <c r="D102" t="s">
        <v>51</v>
      </c>
      <c r="E102" t="s">
        <v>70</v>
      </c>
      <c r="F102" t="s">
        <v>56</v>
      </c>
      <c r="G102">
        <v>66</v>
      </c>
      <c r="H102">
        <v>18</v>
      </c>
      <c r="I102" t="s">
        <v>47</v>
      </c>
      <c r="J102">
        <v>9.9</v>
      </c>
      <c r="K102">
        <v>14.3</v>
      </c>
      <c r="L102">
        <v>55</v>
      </c>
      <c r="M102">
        <v>34</v>
      </c>
      <c r="N102" t="s">
        <v>61</v>
      </c>
      <c r="O102" t="s">
        <v>178</v>
      </c>
    </row>
    <row r="103" spans="1:15">
      <c r="A103" t="s">
        <v>183</v>
      </c>
      <c r="B103" t="s">
        <v>176</v>
      </c>
      <c r="C103" t="s">
        <v>177</v>
      </c>
      <c r="D103" t="s">
        <v>51</v>
      </c>
      <c r="E103" t="s">
        <v>75</v>
      </c>
      <c r="F103" t="s">
        <v>46</v>
      </c>
      <c r="G103">
        <v>737</v>
      </c>
      <c r="H103">
        <v>18</v>
      </c>
      <c r="I103" t="s">
        <v>47</v>
      </c>
      <c r="J103">
        <v>9.6</v>
      </c>
      <c r="K103">
        <v>12.7</v>
      </c>
      <c r="L103">
        <v>56</v>
      </c>
      <c r="M103">
        <v>32</v>
      </c>
      <c r="N103" t="s">
        <v>48</v>
      </c>
      <c r="O103" t="s">
        <v>178</v>
      </c>
    </row>
    <row r="104" spans="1:15">
      <c r="A104" t="s">
        <v>184</v>
      </c>
      <c r="B104" t="s">
        <v>176</v>
      </c>
      <c r="C104" t="s">
        <v>177</v>
      </c>
      <c r="D104" t="s">
        <v>51</v>
      </c>
      <c r="E104" t="s">
        <v>88</v>
      </c>
      <c r="F104" t="s">
        <v>56</v>
      </c>
      <c r="G104">
        <v>65</v>
      </c>
      <c r="H104">
        <v>17</v>
      </c>
      <c r="I104" t="s">
        <v>57</v>
      </c>
      <c r="J104">
        <v>9.3000000000000007</v>
      </c>
      <c r="K104">
        <v>14.2</v>
      </c>
      <c r="L104">
        <v>54</v>
      </c>
      <c r="M104">
        <v>33</v>
      </c>
      <c r="N104" t="s">
        <v>48</v>
      </c>
      <c r="O104" t="s">
        <v>178</v>
      </c>
    </row>
    <row r="105" spans="1:15">
      <c r="A105" t="s">
        <v>185</v>
      </c>
      <c r="B105" t="s">
        <v>176</v>
      </c>
      <c r="C105" t="s">
        <v>177</v>
      </c>
      <c r="D105" t="s">
        <v>51</v>
      </c>
      <c r="E105" t="s">
        <v>79</v>
      </c>
      <c r="F105" t="s">
        <v>56</v>
      </c>
      <c r="G105">
        <v>54</v>
      </c>
      <c r="H105">
        <v>8</v>
      </c>
      <c r="I105" t="s">
        <v>57</v>
      </c>
      <c r="J105">
        <v>10.1</v>
      </c>
      <c r="K105">
        <v>12.7</v>
      </c>
      <c r="L105">
        <v>55</v>
      </c>
      <c r="M105">
        <v>32</v>
      </c>
      <c r="N105" t="s">
        <v>48</v>
      </c>
      <c r="O105" t="s">
        <v>178</v>
      </c>
    </row>
    <row r="106" spans="1:15">
      <c r="A106" t="s">
        <v>186</v>
      </c>
      <c r="B106" t="s">
        <v>176</v>
      </c>
      <c r="C106" t="s">
        <v>177</v>
      </c>
      <c r="D106" t="s">
        <v>51</v>
      </c>
      <c r="E106" t="s">
        <v>81</v>
      </c>
      <c r="F106" t="s">
        <v>60</v>
      </c>
      <c r="G106">
        <v>216</v>
      </c>
      <c r="H106">
        <v>19</v>
      </c>
      <c r="I106" t="s">
        <v>57</v>
      </c>
      <c r="J106">
        <v>8.6999999999999993</v>
      </c>
      <c r="K106">
        <v>14.2</v>
      </c>
      <c r="L106">
        <v>54</v>
      </c>
      <c r="M106">
        <v>36</v>
      </c>
      <c r="N106" t="s">
        <v>48</v>
      </c>
      <c r="O106" t="s">
        <v>178</v>
      </c>
    </row>
    <row r="107" spans="1:15">
      <c r="A107" t="s">
        <v>187</v>
      </c>
      <c r="B107" t="s">
        <v>176</v>
      </c>
      <c r="C107" t="s">
        <v>177</v>
      </c>
      <c r="D107" t="s">
        <v>51</v>
      </c>
      <c r="E107" t="s">
        <v>73</v>
      </c>
      <c r="F107" t="s">
        <v>46</v>
      </c>
      <c r="G107">
        <v>725</v>
      </c>
      <c r="H107">
        <v>16</v>
      </c>
      <c r="I107" t="s">
        <v>47</v>
      </c>
      <c r="J107">
        <v>10.8</v>
      </c>
      <c r="K107">
        <v>11.5</v>
      </c>
      <c r="L107">
        <v>58</v>
      </c>
      <c r="M107">
        <v>32</v>
      </c>
      <c r="N107" t="s">
        <v>48</v>
      </c>
      <c r="O107" t="s">
        <v>178</v>
      </c>
    </row>
    <row r="108" spans="1:15">
      <c r="A108" t="s">
        <v>188</v>
      </c>
      <c r="B108" t="s">
        <v>176</v>
      </c>
      <c r="C108" t="s">
        <v>177</v>
      </c>
      <c r="D108" t="s">
        <v>51</v>
      </c>
      <c r="E108" t="s">
        <v>68</v>
      </c>
      <c r="F108" t="s">
        <v>64</v>
      </c>
      <c r="G108">
        <v>1149</v>
      </c>
      <c r="H108">
        <v>18</v>
      </c>
      <c r="I108" t="s">
        <v>47</v>
      </c>
      <c r="J108">
        <v>9.1</v>
      </c>
      <c r="K108">
        <v>13.9</v>
      </c>
      <c r="L108">
        <v>55</v>
      </c>
      <c r="M108">
        <v>36</v>
      </c>
      <c r="N108" t="s">
        <v>48</v>
      </c>
      <c r="O108" t="s">
        <v>178</v>
      </c>
    </row>
    <row r="109" spans="1:15">
      <c r="A109" t="s">
        <v>189</v>
      </c>
      <c r="B109" t="s">
        <v>176</v>
      </c>
      <c r="C109" t="s">
        <v>177</v>
      </c>
      <c r="D109" t="s">
        <v>51</v>
      </c>
      <c r="E109" t="s">
        <v>59</v>
      </c>
      <c r="F109" t="s">
        <v>64</v>
      </c>
      <c r="G109">
        <v>1179</v>
      </c>
      <c r="H109">
        <v>20</v>
      </c>
      <c r="I109" t="s">
        <v>47</v>
      </c>
      <c r="J109">
        <v>9.1999999999999993</v>
      </c>
      <c r="K109">
        <v>13.9</v>
      </c>
      <c r="L109">
        <v>56</v>
      </c>
      <c r="M109">
        <v>33</v>
      </c>
      <c r="N109" t="s">
        <v>61</v>
      </c>
      <c r="O109" t="s">
        <v>178</v>
      </c>
    </row>
    <row r="110" spans="1:15">
      <c r="A110" t="s">
        <v>190</v>
      </c>
      <c r="B110" t="s">
        <v>176</v>
      </c>
      <c r="C110" t="s">
        <v>177</v>
      </c>
      <c r="D110" t="s">
        <v>51</v>
      </c>
      <c r="E110" t="s">
        <v>59</v>
      </c>
      <c r="F110" t="s">
        <v>56</v>
      </c>
      <c r="G110">
        <v>66</v>
      </c>
      <c r="H110">
        <v>12</v>
      </c>
      <c r="I110" t="s">
        <v>47</v>
      </c>
      <c r="J110">
        <v>8.9</v>
      </c>
      <c r="K110">
        <v>14.6</v>
      </c>
      <c r="L110">
        <v>53</v>
      </c>
      <c r="M110">
        <v>36</v>
      </c>
      <c r="N110" t="s">
        <v>48</v>
      </c>
      <c r="O110" t="s">
        <v>178</v>
      </c>
    </row>
    <row r="111" spans="1:15">
      <c r="A111" t="s">
        <v>191</v>
      </c>
      <c r="B111" t="s">
        <v>176</v>
      </c>
      <c r="C111" t="s">
        <v>177</v>
      </c>
      <c r="D111" t="s">
        <v>51</v>
      </c>
      <c r="E111" t="s">
        <v>88</v>
      </c>
      <c r="F111" t="s">
        <v>56</v>
      </c>
      <c r="G111">
        <v>66</v>
      </c>
      <c r="H111">
        <v>12</v>
      </c>
      <c r="I111" t="s">
        <v>57</v>
      </c>
      <c r="J111">
        <v>9</v>
      </c>
      <c r="K111">
        <v>13.9</v>
      </c>
      <c r="L111">
        <v>54</v>
      </c>
      <c r="M111">
        <v>32</v>
      </c>
      <c r="N111" t="s">
        <v>48</v>
      </c>
      <c r="O111" t="s">
        <v>178</v>
      </c>
    </row>
    <row r="112" spans="1:15">
      <c r="A112" t="s">
        <v>192</v>
      </c>
      <c r="B112" t="s">
        <v>176</v>
      </c>
      <c r="C112" t="s">
        <v>177</v>
      </c>
      <c r="D112" t="s">
        <v>51</v>
      </c>
      <c r="E112" t="s">
        <v>75</v>
      </c>
      <c r="F112" t="s">
        <v>53</v>
      </c>
      <c r="G112">
        <v>219</v>
      </c>
      <c r="H112">
        <v>13</v>
      </c>
      <c r="I112" t="s">
        <v>65</v>
      </c>
      <c r="J112">
        <v>9.3000000000000007</v>
      </c>
      <c r="K112">
        <v>14.4</v>
      </c>
      <c r="L112">
        <v>54</v>
      </c>
      <c r="M112">
        <v>34</v>
      </c>
      <c r="N112" t="s">
        <v>61</v>
      </c>
      <c r="O112" t="s">
        <v>178</v>
      </c>
    </row>
    <row r="113" spans="1:15">
      <c r="A113" t="s">
        <v>193</v>
      </c>
      <c r="B113" t="s">
        <v>176</v>
      </c>
      <c r="C113" t="s">
        <v>177</v>
      </c>
      <c r="D113" t="s">
        <v>51</v>
      </c>
      <c r="E113" t="s">
        <v>70</v>
      </c>
      <c r="F113" t="s">
        <v>64</v>
      </c>
      <c r="G113">
        <v>664</v>
      </c>
      <c r="H113">
        <v>15</v>
      </c>
      <c r="I113" t="s">
        <v>65</v>
      </c>
      <c r="J113">
        <v>9.9</v>
      </c>
      <c r="K113">
        <v>13.1</v>
      </c>
      <c r="L113">
        <v>51</v>
      </c>
      <c r="M113">
        <v>36</v>
      </c>
      <c r="N113" t="s">
        <v>61</v>
      </c>
      <c r="O113" t="s">
        <v>178</v>
      </c>
    </row>
    <row r="114" spans="1:15">
      <c r="A114" t="s">
        <v>194</v>
      </c>
      <c r="B114" t="s">
        <v>195</v>
      </c>
      <c r="C114" t="s">
        <v>177</v>
      </c>
      <c r="D114" t="s">
        <v>44</v>
      </c>
      <c r="E114" t="s">
        <v>45</v>
      </c>
      <c r="F114" t="s">
        <v>46</v>
      </c>
      <c r="G114">
        <v>772</v>
      </c>
      <c r="H114">
        <v>16</v>
      </c>
      <c r="I114" t="s">
        <v>47</v>
      </c>
      <c r="J114">
        <v>10.5</v>
      </c>
      <c r="K114">
        <v>12.3</v>
      </c>
      <c r="L114">
        <v>57</v>
      </c>
      <c r="M114">
        <v>30</v>
      </c>
      <c r="N114" t="s">
        <v>48</v>
      </c>
      <c r="O114" t="s">
        <v>178</v>
      </c>
    </row>
    <row r="115" spans="1:15">
      <c r="A115" t="s">
        <v>196</v>
      </c>
      <c r="B115" t="s">
        <v>195</v>
      </c>
      <c r="C115" t="s">
        <v>177</v>
      </c>
      <c r="D115" t="s">
        <v>51</v>
      </c>
      <c r="E115" t="s">
        <v>70</v>
      </c>
      <c r="F115" t="s">
        <v>64</v>
      </c>
      <c r="G115">
        <v>641</v>
      </c>
      <c r="H115">
        <v>19</v>
      </c>
      <c r="I115" t="s">
        <v>47</v>
      </c>
      <c r="J115">
        <v>10.3</v>
      </c>
      <c r="K115">
        <v>13.2</v>
      </c>
      <c r="L115">
        <v>53</v>
      </c>
      <c r="M115">
        <v>32</v>
      </c>
      <c r="N115" t="s">
        <v>61</v>
      </c>
      <c r="O115" t="s">
        <v>178</v>
      </c>
    </row>
    <row r="116" spans="1:15">
      <c r="A116" t="s">
        <v>197</v>
      </c>
      <c r="B116" t="s">
        <v>195</v>
      </c>
      <c r="C116" t="s">
        <v>177</v>
      </c>
      <c r="D116" t="s">
        <v>51</v>
      </c>
      <c r="E116" t="s">
        <v>127</v>
      </c>
      <c r="F116" t="s">
        <v>56</v>
      </c>
      <c r="G116">
        <v>44</v>
      </c>
      <c r="H116">
        <v>15</v>
      </c>
      <c r="I116" t="s">
        <v>57</v>
      </c>
      <c r="J116">
        <v>9</v>
      </c>
      <c r="K116">
        <v>12.3</v>
      </c>
      <c r="L116">
        <v>52</v>
      </c>
      <c r="M116">
        <v>32</v>
      </c>
      <c r="N116" t="s">
        <v>48</v>
      </c>
      <c r="O116" t="s">
        <v>178</v>
      </c>
    </row>
    <row r="117" spans="1:15">
      <c r="A117" t="s">
        <v>198</v>
      </c>
      <c r="B117" t="s">
        <v>195</v>
      </c>
      <c r="C117" t="s">
        <v>177</v>
      </c>
      <c r="D117" t="s">
        <v>51</v>
      </c>
      <c r="E117" t="s">
        <v>52</v>
      </c>
      <c r="F117" t="s">
        <v>60</v>
      </c>
      <c r="G117">
        <v>243</v>
      </c>
      <c r="H117">
        <v>15</v>
      </c>
      <c r="I117" t="s">
        <v>57</v>
      </c>
      <c r="J117">
        <v>8.6999999999999993</v>
      </c>
      <c r="K117">
        <v>13.2</v>
      </c>
      <c r="L117">
        <v>55</v>
      </c>
      <c r="M117">
        <v>31</v>
      </c>
      <c r="N117" t="s">
        <v>48</v>
      </c>
      <c r="O117" t="s">
        <v>178</v>
      </c>
    </row>
    <row r="118" spans="1:15">
      <c r="A118" t="s">
        <v>199</v>
      </c>
      <c r="B118" t="s">
        <v>195</v>
      </c>
      <c r="C118" t="s">
        <v>177</v>
      </c>
      <c r="D118" t="s">
        <v>51</v>
      </c>
      <c r="E118" t="s">
        <v>127</v>
      </c>
      <c r="F118" t="s">
        <v>53</v>
      </c>
      <c r="G118">
        <v>304</v>
      </c>
      <c r="H118">
        <v>6</v>
      </c>
      <c r="I118" t="s">
        <v>57</v>
      </c>
      <c r="J118">
        <v>10.1</v>
      </c>
      <c r="K118">
        <v>13.1</v>
      </c>
      <c r="L118">
        <v>52</v>
      </c>
      <c r="M118">
        <v>36</v>
      </c>
      <c r="N118" t="s">
        <v>48</v>
      </c>
      <c r="O118" t="s">
        <v>178</v>
      </c>
    </row>
    <row r="119" spans="1:15">
      <c r="A119" t="s">
        <v>200</v>
      </c>
      <c r="B119" t="s">
        <v>195</v>
      </c>
      <c r="C119" t="s">
        <v>177</v>
      </c>
      <c r="D119" t="s">
        <v>51</v>
      </c>
      <c r="E119" t="s">
        <v>81</v>
      </c>
      <c r="F119" t="s">
        <v>64</v>
      </c>
      <c r="G119">
        <v>1144</v>
      </c>
      <c r="H119">
        <v>17</v>
      </c>
      <c r="I119" t="s">
        <v>65</v>
      </c>
      <c r="J119">
        <v>10</v>
      </c>
      <c r="K119">
        <v>14</v>
      </c>
      <c r="L119">
        <v>55</v>
      </c>
      <c r="M119">
        <v>31</v>
      </c>
      <c r="N119" t="s">
        <v>48</v>
      </c>
      <c r="O119" t="s">
        <v>178</v>
      </c>
    </row>
    <row r="120" spans="1:15">
      <c r="A120" t="s">
        <v>201</v>
      </c>
      <c r="B120" t="s">
        <v>195</v>
      </c>
      <c r="C120" t="s">
        <v>177</v>
      </c>
      <c r="D120" t="s">
        <v>51</v>
      </c>
      <c r="E120" t="s">
        <v>75</v>
      </c>
      <c r="F120" t="s">
        <v>64</v>
      </c>
      <c r="G120">
        <v>657</v>
      </c>
      <c r="H120">
        <v>15</v>
      </c>
      <c r="I120" t="s">
        <v>57</v>
      </c>
      <c r="J120">
        <v>9.4</v>
      </c>
      <c r="K120">
        <v>14</v>
      </c>
      <c r="L120">
        <v>54</v>
      </c>
      <c r="M120">
        <v>31</v>
      </c>
      <c r="N120" t="s">
        <v>61</v>
      </c>
      <c r="O120" t="s">
        <v>178</v>
      </c>
    </row>
    <row r="121" spans="1:15">
      <c r="A121" t="s">
        <v>202</v>
      </c>
      <c r="B121" t="s">
        <v>195</v>
      </c>
      <c r="C121" t="s">
        <v>177</v>
      </c>
      <c r="D121" t="s">
        <v>51</v>
      </c>
      <c r="E121" t="s">
        <v>110</v>
      </c>
      <c r="F121" t="s">
        <v>64</v>
      </c>
      <c r="G121">
        <v>727</v>
      </c>
      <c r="H121">
        <v>18</v>
      </c>
      <c r="I121" t="s">
        <v>57</v>
      </c>
      <c r="J121">
        <v>9.9</v>
      </c>
      <c r="K121">
        <v>13.1</v>
      </c>
      <c r="L121">
        <v>53</v>
      </c>
      <c r="M121">
        <v>32</v>
      </c>
      <c r="N121" t="s">
        <v>48</v>
      </c>
      <c r="O121" t="s">
        <v>178</v>
      </c>
    </row>
    <row r="122" spans="1:15">
      <c r="A122" t="s">
        <v>203</v>
      </c>
      <c r="B122" t="s">
        <v>195</v>
      </c>
      <c r="C122" t="s">
        <v>177</v>
      </c>
      <c r="D122" t="s">
        <v>51</v>
      </c>
      <c r="E122" t="s">
        <v>110</v>
      </c>
      <c r="F122" t="s">
        <v>64</v>
      </c>
      <c r="G122">
        <v>775</v>
      </c>
      <c r="H122">
        <v>23</v>
      </c>
      <c r="I122" t="s">
        <v>47</v>
      </c>
      <c r="J122">
        <v>10.199999999999999</v>
      </c>
      <c r="K122">
        <v>14.2</v>
      </c>
      <c r="L122">
        <v>55</v>
      </c>
      <c r="M122">
        <v>32</v>
      </c>
      <c r="N122" t="s">
        <v>48</v>
      </c>
      <c r="O122" t="s">
        <v>178</v>
      </c>
    </row>
    <row r="123" spans="1:15">
      <c r="A123" t="s">
        <v>204</v>
      </c>
      <c r="B123" t="s">
        <v>195</v>
      </c>
      <c r="C123" t="s">
        <v>177</v>
      </c>
      <c r="D123" t="s">
        <v>51</v>
      </c>
      <c r="E123" t="s">
        <v>110</v>
      </c>
      <c r="F123" t="s">
        <v>56</v>
      </c>
      <c r="G123">
        <v>53</v>
      </c>
      <c r="H123">
        <v>11</v>
      </c>
      <c r="I123" t="s">
        <v>47</v>
      </c>
      <c r="J123">
        <v>9.9</v>
      </c>
      <c r="K123">
        <v>13.7</v>
      </c>
      <c r="L123">
        <v>57</v>
      </c>
      <c r="M123">
        <v>35</v>
      </c>
      <c r="N123" t="s">
        <v>48</v>
      </c>
      <c r="O123" t="s">
        <v>178</v>
      </c>
    </row>
    <row r="124" spans="1:15">
      <c r="A124" t="s">
        <v>205</v>
      </c>
      <c r="B124" t="s">
        <v>195</v>
      </c>
      <c r="C124" t="s">
        <v>177</v>
      </c>
      <c r="D124" t="s">
        <v>51</v>
      </c>
      <c r="E124" t="s">
        <v>70</v>
      </c>
      <c r="F124" t="s">
        <v>53</v>
      </c>
      <c r="G124">
        <v>271</v>
      </c>
      <c r="H124">
        <v>13</v>
      </c>
      <c r="I124" t="s">
        <v>47</v>
      </c>
      <c r="J124">
        <v>10</v>
      </c>
      <c r="K124">
        <v>13.5</v>
      </c>
      <c r="L124">
        <v>55</v>
      </c>
      <c r="M124">
        <v>36</v>
      </c>
      <c r="N124" t="s">
        <v>48</v>
      </c>
      <c r="O124" t="s">
        <v>178</v>
      </c>
    </row>
    <row r="125" spans="1:15">
      <c r="A125" t="s">
        <v>206</v>
      </c>
      <c r="B125" t="s">
        <v>195</v>
      </c>
      <c r="C125" t="s">
        <v>177</v>
      </c>
      <c r="D125" t="s">
        <v>51</v>
      </c>
      <c r="E125" t="s">
        <v>52</v>
      </c>
      <c r="F125" t="s">
        <v>60</v>
      </c>
      <c r="G125">
        <v>179</v>
      </c>
      <c r="H125">
        <v>18</v>
      </c>
      <c r="I125" t="s">
        <v>57</v>
      </c>
      <c r="J125">
        <v>10.1</v>
      </c>
      <c r="K125">
        <v>13.8</v>
      </c>
      <c r="L125">
        <v>52</v>
      </c>
      <c r="M125">
        <v>35</v>
      </c>
      <c r="N125" t="s">
        <v>48</v>
      </c>
      <c r="O125" t="s">
        <v>178</v>
      </c>
    </row>
    <row r="126" spans="1:15">
      <c r="A126" t="s">
        <v>207</v>
      </c>
      <c r="B126" t="s">
        <v>195</v>
      </c>
      <c r="C126" t="s">
        <v>177</v>
      </c>
      <c r="D126" t="s">
        <v>51</v>
      </c>
      <c r="E126" t="s">
        <v>77</v>
      </c>
      <c r="F126" t="s">
        <v>56</v>
      </c>
      <c r="G126">
        <v>65</v>
      </c>
      <c r="H126">
        <v>13</v>
      </c>
      <c r="I126" t="s">
        <v>57</v>
      </c>
      <c r="J126">
        <v>9.6999999999999993</v>
      </c>
      <c r="K126">
        <v>14.6</v>
      </c>
      <c r="L126">
        <v>52</v>
      </c>
      <c r="M126">
        <v>31</v>
      </c>
      <c r="N126" t="s">
        <v>61</v>
      </c>
      <c r="O126" t="s">
        <v>178</v>
      </c>
    </row>
    <row r="127" spans="1:15">
      <c r="A127" t="s">
        <v>208</v>
      </c>
      <c r="B127" t="s">
        <v>195</v>
      </c>
      <c r="C127" t="s">
        <v>177</v>
      </c>
      <c r="D127" t="s">
        <v>51</v>
      </c>
      <c r="E127" t="s">
        <v>70</v>
      </c>
      <c r="F127" t="s">
        <v>53</v>
      </c>
      <c r="G127">
        <v>230</v>
      </c>
      <c r="H127">
        <v>10</v>
      </c>
      <c r="I127" t="s">
        <v>57</v>
      </c>
      <c r="J127">
        <v>9.5</v>
      </c>
      <c r="K127">
        <v>12.6</v>
      </c>
      <c r="L127">
        <v>55</v>
      </c>
      <c r="M127">
        <v>34</v>
      </c>
      <c r="N127" t="s">
        <v>48</v>
      </c>
      <c r="O127" t="s">
        <v>178</v>
      </c>
    </row>
    <row r="128" spans="1:15">
      <c r="A128" t="s">
        <v>209</v>
      </c>
      <c r="B128" t="s">
        <v>195</v>
      </c>
      <c r="C128" t="s">
        <v>177</v>
      </c>
      <c r="D128" t="s">
        <v>51</v>
      </c>
      <c r="E128" t="s">
        <v>63</v>
      </c>
      <c r="F128" t="s">
        <v>60</v>
      </c>
      <c r="G128">
        <v>158</v>
      </c>
      <c r="H128">
        <v>13</v>
      </c>
      <c r="I128" t="s">
        <v>47</v>
      </c>
      <c r="J128">
        <v>10.3</v>
      </c>
      <c r="K128">
        <v>13.4</v>
      </c>
      <c r="L128">
        <v>56</v>
      </c>
      <c r="M128">
        <v>33</v>
      </c>
      <c r="N128" t="s">
        <v>48</v>
      </c>
      <c r="O128" t="s">
        <v>178</v>
      </c>
    </row>
    <row r="129" spans="1:15">
      <c r="A129" t="s">
        <v>210</v>
      </c>
      <c r="B129" t="s">
        <v>195</v>
      </c>
      <c r="C129" t="s">
        <v>177</v>
      </c>
      <c r="D129" t="s">
        <v>51</v>
      </c>
      <c r="E129" t="s">
        <v>77</v>
      </c>
      <c r="F129" t="s">
        <v>46</v>
      </c>
      <c r="G129">
        <v>772</v>
      </c>
      <c r="H129">
        <v>6</v>
      </c>
      <c r="I129" t="s">
        <v>65</v>
      </c>
      <c r="J129">
        <v>10.8</v>
      </c>
      <c r="K129">
        <v>13</v>
      </c>
      <c r="L129">
        <v>57</v>
      </c>
      <c r="M129">
        <v>30</v>
      </c>
      <c r="N129" t="s">
        <v>48</v>
      </c>
      <c r="O129" t="s">
        <v>178</v>
      </c>
    </row>
    <row r="130" spans="1:15">
      <c r="A130" t="s">
        <v>211</v>
      </c>
      <c r="B130" t="s">
        <v>212</v>
      </c>
      <c r="C130" t="s">
        <v>177</v>
      </c>
      <c r="D130" t="s">
        <v>44</v>
      </c>
      <c r="E130" t="s">
        <v>45</v>
      </c>
      <c r="F130" t="s">
        <v>46</v>
      </c>
      <c r="G130">
        <v>640</v>
      </c>
      <c r="H130">
        <v>14</v>
      </c>
      <c r="I130" t="s">
        <v>57</v>
      </c>
      <c r="J130">
        <v>10.8</v>
      </c>
      <c r="K130">
        <v>12.6</v>
      </c>
      <c r="L130">
        <v>55</v>
      </c>
      <c r="M130">
        <v>33</v>
      </c>
      <c r="N130" t="s">
        <v>61</v>
      </c>
      <c r="O130" t="s">
        <v>178</v>
      </c>
    </row>
    <row r="131" spans="1:15">
      <c r="A131" t="s">
        <v>213</v>
      </c>
      <c r="B131" t="s">
        <v>212</v>
      </c>
      <c r="C131" t="s">
        <v>177</v>
      </c>
      <c r="D131" t="s">
        <v>51</v>
      </c>
      <c r="E131" t="s">
        <v>55</v>
      </c>
      <c r="F131" t="s">
        <v>46</v>
      </c>
      <c r="G131">
        <v>455</v>
      </c>
      <c r="H131">
        <v>15</v>
      </c>
      <c r="I131" t="s">
        <v>47</v>
      </c>
      <c r="J131">
        <v>10.3</v>
      </c>
      <c r="K131">
        <v>11.5</v>
      </c>
      <c r="L131">
        <v>57</v>
      </c>
      <c r="M131">
        <v>31</v>
      </c>
      <c r="N131" t="s">
        <v>48</v>
      </c>
      <c r="O131" t="s">
        <v>178</v>
      </c>
    </row>
    <row r="132" spans="1:15">
      <c r="A132" t="s">
        <v>214</v>
      </c>
      <c r="B132" t="s">
        <v>212</v>
      </c>
      <c r="C132" t="s">
        <v>177</v>
      </c>
      <c r="D132" t="s">
        <v>51</v>
      </c>
      <c r="E132" t="s">
        <v>59</v>
      </c>
      <c r="F132" t="s">
        <v>46</v>
      </c>
      <c r="G132">
        <v>726</v>
      </c>
      <c r="H132">
        <v>10</v>
      </c>
      <c r="I132" t="s">
        <v>65</v>
      </c>
      <c r="J132">
        <v>10.6</v>
      </c>
      <c r="K132">
        <v>13</v>
      </c>
      <c r="L132">
        <v>57</v>
      </c>
      <c r="M132">
        <v>32</v>
      </c>
      <c r="N132" t="s">
        <v>48</v>
      </c>
      <c r="O132" t="s">
        <v>178</v>
      </c>
    </row>
    <row r="133" spans="1:15">
      <c r="A133" t="s">
        <v>215</v>
      </c>
      <c r="B133" t="s">
        <v>212</v>
      </c>
      <c r="C133" t="s">
        <v>177</v>
      </c>
      <c r="D133" t="s">
        <v>51</v>
      </c>
      <c r="E133" t="s">
        <v>75</v>
      </c>
      <c r="F133" t="s">
        <v>56</v>
      </c>
      <c r="G133">
        <v>45</v>
      </c>
      <c r="H133">
        <v>21</v>
      </c>
      <c r="I133" t="s">
        <v>47</v>
      </c>
      <c r="J133">
        <v>10.3</v>
      </c>
      <c r="K133">
        <v>13.7</v>
      </c>
      <c r="L133">
        <v>56</v>
      </c>
      <c r="M133">
        <v>33</v>
      </c>
      <c r="N133" t="s">
        <v>48</v>
      </c>
      <c r="O133" t="s">
        <v>178</v>
      </c>
    </row>
    <row r="134" spans="1:15">
      <c r="A134" t="s">
        <v>216</v>
      </c>
      <c r="B134" t="s">
        <v>212</v>
      </c>
      <c r="C134" t="s">
        <v>177</v>
      </c>
      <c r="D134" t="s">
        <v>51</v>
      </c>
      <c r="E134" t="s">
        <v>100</v>
      </c>
      <c r="F134" t="s">
        <v>56</v>
      </c>
      <c r="G134">
        <v>64</v>
      </c>
      <c r="H134">
        <v>7</v>
      </c>
      <c r="I134" t="s">
        <v>57</v>
      </c>
      <c r="J134">
        <v>10.1</v>
      </c>
      <c r="K134">
        <v>14</v>
      </c>
      <c r="L134">
        <v>54</v>
      </c>
      <c r="M134">
        <v>33</v>
      </c>
      <c r="N134" t="s">
        <v>48</v>
      </c>
      <c r="O134" t="s">
        <v>178</v>
      </c>
    </row>
    <row r="135" spans="1:15">
      <c r="A135" t="s">
        <v>217</v>
      </c>
      <c r="B135" t="s">
        <v>212</v>
      </c>
      <c r="C135" t="s">
        <v>177</v>
      </c>
      <c r="D135" t="s">
        <v>51</v>
      </c>
      <c r="E135" t="s">
        <v>77</v>
      </c>
      <c r="F135" t="s">
        <v>53</v>
      </c>
      <c r="G135">
        <v>224</v>
      </c>
      <c r="H135">
        <v>12</v>
      </c>
      <c r="I135" t="s">
        <v>65</v>
      </c>
      <c r="J135">
        <v>9.1999999999999993</v>
      </c>
      <c r="K135">
        <v>13</v>
      </c>
      <c r="L135">
        <v>56</v>
      </c>
      <c r="M135">
        <v>34</v>
      </c>
      <c r="N135" t="s">
        <v>61</v>
      </c>
      <c r="O135" t="s">
        <v>178</v>
      </c>
    </row>
    <row r="136" spans="1:15">
      <c r="A136" t="s">
        <v>218</v>
      </c>
      <c r="B136" t="s">
        <v>212</v>
      </c>
      <c r="C136" t="s">
        <v>177</v>
      </c>
      <c r="D136" t="s">
        <v>51</v>
      </c>
      <c r="E136" t="s">
        <v>88</v>
      </c>
      <c r="F136" t="s">
        <v>46</v>
      </c>
      <c r="G136">
        <v>458</v>
      </c>
      <c r="H136">
        <v>9</v>
      </c>
      <c r="I136" t="s">
        <v>47</v>
      </c>
      <c r="J136">
        <v>11</v>
      </c>
      <c r="K136">
        <v>11.4</v>
      </c>
      <c r="L136">
        <v>56</v>
      </c>
      <c r="M136">
        <v>32</v>
      </c>
      <c r="N136" t="s">
        <v>48</v>
      </c>
      <c r="O136" t="s">
        <v>178</v>
      </c>
    </row>
    <row r="137" spans="1:15">
      <c r="A137" t="s">
        <v>219</v>
      </c>
      <c r="B137" t="s">
        <v>212</v>
      </c>
      <c r="C137" t="s">
        <v>177</v>
      </c>
      <c r="D137" t="s">
        <v>51</v>
      </c>
      <c r="E137" t="s">
        <v>88</v>
      </c>
      <c r="F137" t="s">
        <v>46</v>
      </c>
      <c r="G137">
        <v>666</v>
      </c>
      <c r="H137">
        <v>17</v>
      </c>
      <c r="I137" t="s">
        <v>57</v>
      </c>
      <c r="J137">
        <v>10.1</v>
      </c>
      <c r="K137">
        <v>11.9</v>
      </c>
      <c r="L137">
        <v>55</v>
      </c>
      <c r="M137">
        <v>31</v>
      </c>
      <c r="N137" t="s">
        <v>48</v>
      </c>
      <c r="O137" t="s">
        <v>178</v>
      </c>
    </row>
    <row r="138" spans="1:15">
      <c r="A138" t="s">
        <v>220</v>
      </c>
      <c r="B138" t="s">
        <v>212</v>
      </c>
      <c r="C138" t="s">
        <v>177</v>
      </c>
      <c r="D138" t="s">
        <v>51</v>
      </c>
      <c r="E138" t="s">
        <v>77</v>
      </c>
      <c r="F138" t="s">
        <v>53</v>
      </c>
      <c r="G138">
        <v>246</v>
      </c>
      <c r="H138">
        <v>10</v>
      </c>
      <c r="I138" t="s">
        <v>65</v>
      </c>
      <c r="J138">
        <v>9.1</v>
      </c>
      <c r="K138">
        <v>13.1</v>
      </c>
      <c r="L138">
        <v>54</v>
      </c>
      <c r="M138">
        <v>31</v>
      </c>
      <c r="N138" t="s">
        <v>61</v>
      </c>
      <c r="O138" t="s">
        <v>178</v>
      </c>
    </row>
    <row r="139" spans="1:15">
      <c r="A139" t="s">
        <v>221</v>
      </c>
      <c r="B139" t="s">
        <v>212</v>
      </c>
      <c r="C139" t="s">
        <v>177</v>
      </c>
      <c r="D139" t="s">
        <v>51</v>
      </c>
      <c r="E139" t="s">
        <v>75</v>
      </c>
      <c r="F139" t="s">
        <v>56</v>
      </c>
      <c r="G139">
        <v>72</v>
      </c>
      <c r="H139">
        <v>22</v>
      </c>
      <c r="I139" t="s">
        <v>65</v>
      </c>
      <c r="J139">
        <v>9</v>
      </c>
      <c r="K139">
        <v>14.6</v>
      </c>
      <c r="L139">
        <v>56</v>
      </c>
      <c r="M139">
        <v>32</v>
      </c>
      <c r="N139" t="s">
        <v>48</v>
      </c>
      <c r="O139" t="s">
        <v>178</v>
      </c>
    </row>
    <row r="140" spans="1:15">
      <c r="A140" t="s">
        <v>222</v>
      </c>
      <c r="B140" t="s">
        <v>212</v>
      </c>
      <c r="C140" t="s">
        <v>177</v>
      </c>
      <c r="D140" t="s">
        <v>51</v>
      </c>
      <c r="E140" t="s">
        <v>73</v>
      </c>
      <c r="F140" t="s">
        <v>64</v>
      </c>
      <c r="G140">
        <v>1112</v>
      </c>
      <c r="H140">
        <v>7</v>
      </c>
      <c r="I140" t="s">
        <v>57</v>
      </c>
      <c r="J140">
        <v>10.3</v>
      </c>
      <c r="K140">
        <v>14.2</v>
      </c>
      <c r="L140">
        <v>57</v>
      </c>
      <c r="M140">
        <v>36</v>
      </c>
      <c r="N140" t="s">
        <v>61</v>
      </c>
      <c r="O140" t="s">
        <v>178</v>
      </c>
    </row>
    <row r="141" spans="1:15">
      <c r="A141" t="s">
        <v>223</v>
      </c>
      <c r="B141" t="s">
        <v>212</v>
      </c>
      <c r="C141" t="s">
        <v>177</v>
      </c>
      <c r="D141" t="s">
        <v>51</v>
      </c>
      <c r="E141" t="s">
        <v>75</v>
      </c>
      <c r="F141" t="s">
        <v>46</v>
      </c>
      <c r="G141">
        <v>668</v>
      </c>
      <c r="H141">
        <v>19</v>
      </c>
      <c r="I141" t="s">
        <v>57</v>
      </c>
      <c r="J141">
        <v>9.8000000000000007</v>
      </c>
      <c r="K141">
        <v>13.2</v>
      </c>
      <c r="L141">
        <v>59</v>
      </c>
      <c r="M141">
        <v>29</v>
      </c>
      <c r="N141" t="s">
        <v>61</v>
      </c>
      <c r="O141" t="s">
        <v>178</v>
      </c>
    </row>
    <row r="142" spans="1:15">
      <c r="A142" t="s">
        <v>224</v>
      </c>
      <c r="B142" t="s">
        <v>212</v>
      </c>
      <c r="C142" t="s">
        <v>177</v>
      </c>
      <c r="D142" t="s">
        <v>51</v>
      </c>
      <c r="E142" t="s">
        <v>55</v>
      </c>
      <c r="F142" t="s">
        <v>60</v>
      </c>
      <c r="G142">
        <v>167</v>
      </c>
      <c r="H142">
        <v>12</v>
      </c>
      <c r="I142" t="s">
        <v>57</v>
      </c>
      <c r="J142">
        <v>10</v>
      </c>
      <c r="K142">
        <v>12.4</v>
      </c>
      <c r="L142">
        <v>51</v>
      </c>
      <c r="M142">
        <v>35</v>
      </c>
      <c r="N142" t="s">
        <v>61</v>
      </c>
      <c r="O142" t="s">
        <v>178</v>
      </c>
    </row>
    <row r="143" spans="1:15">
      <c r="A143" t="s">
        <v>225</v>
      </c>
      <c r="B143" t="s">
        <v>212</v>
      </c>
      <c r="C143" t="s">
        <v>177</v>
      </c>
      <c r="D143" t="s">
        <v>51</v>
      </c>
      <c r="E143" t="s">
        <v>59</v>
      </c>
      <c r="F143" t="s">
        <v>64</v>
      </c>
      <c r="G143">
        <v>657</v>
      </c>
      <c r="H143">
        <v>13</v>
      </c>
      <c r="I143" t="s">
        <v>47</v>
      </c>
      <c r="J143">
        <v>8.9</v>
      </c>
      <c r="K143">
        <v>13.2</v>
      </c>
      <c r="L143">
        <v>54</v>
      </c>
      <c r="M143">
        <v>32</v>
      </c>
      <c r="N143" t="s">
        <v>48</v>
      </c>
      <c r="O143" t="s">
        <v>178</v>
      </c>
    </row>
    <row r="144" spans="1:15">
      <c r="A144" t="s">
        <v>226</v>
      </c>
      <c r="B144" t="s">
        <v>212</v>
      </c>
      <c r="C144" t="s">
        <v>177</v>
      </c>
      <c r="D144" t="s">
        <v>51</v>
      </c>
      <c r="E144" t="s">
        <v>88</v>
      </c>
      <c r="F144" t="s">
        <v>46</v>
      </c>
      <c r="G144">
        <v>565</v>
      </c>
      <c r="H144">
        <v>10</v>
      </c>
      <c r="I144" t="s">
        <v>47</v>
      </c>
      <c r="J144">
        <v>10.8</v>
      </c>
      <c r="K144">
        <v>13.4</v>
      </c>
      <c r="L144">
        <v>59</v>
      </c>
      <c r="M144">
        <v>32</v>
      </c>
      <c r="N144" t="s">
        <v>48</v>
      </c>
      <c r="O144" t="s">
        <v>178</v>
      </c>
    </row>
    <row r="145" spans="1:15">
      <c r="A145" t="s">
        <v>227</v>
      </c>
      <c r="B145" t="s">
        <v>212</v>
      </c>
      <c r="C145" t="s">
        <v>177</v>
      </c>
      <c r="D145" t="s">
        <v>51</v>
      </c>
      <c r="E145" t="s">
        <v>79</v>
      </c>
      <c r="F145" t="s">
        <v>53</v>
      </c>
      <c r="G145">
        <v>231</v>
      </c>
      <c r="H145">
        <v>9</v>
      </c>
      <c r="I145" t="s">
        <v>57</v>
      </c>
      <c r="J145">
        <v>8.6999999999999993</v>
      </c>
      <c r="K145">
        <v>12.9</v>
      </c>
      <c r="L145">
        <v>52</v>
      </c>
      <c r="M145">
        <v>35</v>
      </c>
      <c r="N145" t="s">
        <v>48</v>
      </c>
      <c r="O145" t="s">
        <v>178</v>
      </c>
    </row>
    <row r="146" spans="1:15">
      <c r="A146" t="s">
        <v>228</v>
      </c>
      <c r="B146" t="s">
        <v>229</v>
      </c>
      <c r="C146" t="s">
        <v>230</v>
      </c>
      <c r="D146" t="s">
        <v>44</v>
      </c>
      <c r="E146" t="s">
        <v>45</v>
      </c>
      <c r="F146" t="s">
        <v>46</v>
      </c>
      <c r="G146">
        <v>614</v>
      </c>
      <c r="H146">
        <v>16</v>
      </c>
      <c r="I146" t="s">
        <v>47</v>
      </c>
      <c r="J146">
        <v>10.8</v>
      </c>
      <c r="K146">
        <v>12.1</v>
      </c>
      <c r="L146">
        <v>58</v>
      </c>
      <c r="M146">
        <v>29</v>
      </c>
      <c r="N146" t="s">
        <v>48</v>
      </c>
      <c r="O146" t="s">
        <v>231</v>
      </c>
    </row>
    <row r="147" spans="1:15">
      <c r="A147" t="s">
        <v>232</v>
      </c>
      <c r="B147" t="s">
        <v>229</v>
      </c>
      <c r="C147" t="s">
        <v>230</v>
      </c>
      <c r="D147" t="s">
        <v>51</v>
      </c>
      <c r="E147" t="s">
        <v>55</v>
      </c>
      <c r="F147" t="s">
        <v>53</v>
      </c>
      <c r="G147">
        <v>348</v>
      </c>
      <c r="H147">
        <v>18</v>
      </c>
      <c r="I147" t="s">
        <v>47</v>
      </c>
      <c r="J147">
        <v>8.6999999999999993</v>
      </c>
      <c r="K147">
        <v>12.9</v>
      </c>
      <c r="L147">
        <v>57</v>
      </c>
      <c r="M147">
        <v>32</v>
      </c>
      <c r="N147" t="s">
        <v>61</v>
      </c>
      <c r="O147" t="s">
        <v>231</v>
      </c>
    </row>
    <row r="148" spans="1:15">
      <c r="A148" t="s">
        <v>233</v>
      </c>
      <c r="B148" t="s">
        <v>229</v>
      </c>
      <c r="C148" t="s">
        <v>230</v>
      </c>
      <c r="D148" t="s">
        <v>51</v>
      </c>
      <c r="E148" t="s">
        <v>73</v>
      </c>
      <c r="F148" t="s">
        <v>64</v>
      </c>
      <c r="G148">
        <v>748</v>
      </c>
      <c r="H148">
        <v>23</v>
      </c>
      <c r="I148" t="s">
        <v>47</v>
      </c>
      <c r="J148">
        <v>10</v>
      </c>
      <c r="K148">
        <v>13.7</v>
      </c>
      <c r="L148">
        <v>55</v>
      </c>
      <c r="M148">
        <v>35</v>
      </c>
      <c r="N148" t="s">
        <v>48</v>
      </c>
      <c r="O148" t="s">
        <v>231</v>
      </c>
    </row>
    <row r="149" spans="1:15">
      <c r="A149" t="s">
        <v>234</v>
      </c>
      <c r="B149" t="s">
        <v>229</v>
      </c>
      <c r="C149" t="s">
        <v>230</v>
      </c>
      <c r="D149" t="s">
        <v>51</v>
      </c>
      <c r="E149" t="s">
        <v>70</v>
      </c>
      <c r="F149" t="s">
        <v>46</v>
      </c>
      <c r="G149">
        <v>637</v>
      </c>
      <c r="H149">
        <v>18</v>
      </c>
      <c r="I149" t="s">
        <v>47</v>
      </c>
      <c r="J149">
        <v>10.6</v>
      </c>
      <c r="K149">
        <v>12</v>
      </c>
      <c r="L149">
        <v>56</v>
      </c>
      <c r="M149">
        <v>30</v>
      </c>
      <c r="N149" t="s">
        <v>61</v>
      </c>
      <c r="O149" t="s">
        <v>231</v>
      </c>
    </row>
    <row r="150" spans="1:15">
      <c r="A150" t="s">
        <v>235</v>
      </c>
      <c r="B150" t="s">
        <v>229</v>
      </c>
      <c r="C150" t="s">
        <v>230</v>
      </c>
      <c r="D150" t="s">
        <v>51</v>
      </c>
      <c r="E150" t="s">
        <v>68</v>
      </c>
      <c r="F150" t="s">
        <v>53</v>
      </c>
      <c r="G150">
        <v>341</v>
      </c>
      <c r="H150">
        <v>22</v>
      </c>
      <c r="I150" t="s">
        <v>57</v>
      </c>
      <c r="J150">
        <v>9</v>
      </c>
      <c r="K150">
        <v>13.2</v>
      </c>
      <c r="L150">
        <v>57</v>
      </c>
      <c r="M150">
        <v>37</v>
      </c>
      <c r="N150" t="s">
        <v>48</v>
      </c>
      <c r="O150" t="s">
        <v>231</v>
      </c>
    </row>
    <row r="151" spans="1:15">
      <c r="A151" t="s">
        <v>236</v>
      </c>
      <c r="B151" t="s">
        <v>229</v>
      </c>
      <c r="C151" t="s">
        <v>230</v>
      </c>
      <c r="D151" t="s">
        <v>51</v>
      </c>
      <c r="E151" t="s">
        <v>68</v>
      </c>
      <c r="F151" t="s">
        <v>60</v>
      </c>
      <c r="G151">
        <v>162</v>
      </c>
      <c r="H151">
        <v>18</v>
      </c>
      <c r="I151" t="s">
        <v>65</v>
      </c>
      <c r="J151">
        <v>9.9</v>
      </c>
      <c r="K151">
        <v>12.7</v>
      </c>
      <c r="L151">
        <v>53</v>
      </c>
      <c r="M151">
        <v>35</v>
      </c>
      <c r="N151" t="s">
        <v>48</v>
      </c>
      <c r="O151" t="s">
        <v>231</v>
      </c>
    </row>
    <row r="152" spans="1:15">
      <c r="A152" t="s">
        <v>237</v>
      </c>
      <c r="B152" t="s">
        <v>229</v>
      </c>
      <c r="C152" t="s">
        <v>230</v>
      </c>
      <c r="D152" t="s">
        <v>51</v>
      </c>
      <c r="E152" t="s">
        <v>59</v>
      </c>
      <c r="F152" t="s">
        <v>64</v>
      </c>
      <c r="G152">
        <v>943</v>
      </c>
      <c r="H152">
        <v>17</v>
      </c>
      <c r="I152" t="s">
        <v>47</v>
      </c>
      <c r="J152">
        <v>8.9</v>
      </c>
      <c r="K152">
        <v>14.4</v>
      </c>
      <c r="L152">
        <v>56</v>
      </c>
      <c r="M152">
        <v>31</v>
      </c>
      <c r="N152" t="s">
        <v>48</v>
      </c>
      <c r="O152" t="s">
        <v>231</v>
      </c>
    </row>
    <row r="153" spans="1:15">
      <c r="A153" t="s">
        <v>238</v>
      </c>
      <c r="B153" t="s">
        <v>229</v>
      </c>
      <c r="C153" t="s">
        <v>230</v>
      </c>
      <c r="D153" t="s">
        <v>51</v>
      </c>
      <c r="E153" t="s">
        <v>110</v>
      </c>
      <c r="F153" t="s">
        <v>60</v>
      </c>
      <c r="G153">
        <v>193</v>
      </c>
      <c r="H153">
        <v>22</v>
      </c>
      <c r="I153" t="s">
        <v>65</v>
      </c>
      <c r="J153">
        <v>9.5</v>
      </c>
      <c r="K153">
        <v>13.1</v>
      </c>
      <c r="L153">
        <v>54</v>
      </c>
      <c r="M153">
        <v>31</v>
      </c>
      <c r="N153" t="s">
        <v>61</v>
      </c>
      <c r="O153" t="s">
        <v>231</v>
      </c>
    </row>
    <row r="154" spans="1:15">
      <c r="A154" t="s">
        <v>239</v>
      </c>
      <c r="B154" t="s">
        <v>229</v>
      </c>
      <c r="C154" t="s">
        <v>230</v>
      </c>
      <c r="D154" t="s">
        <v>51</v>
      </c>
      <c r="E154" t="s">
        <v>73</v>
      </c>
      <c r="F154" t="s">
        <v>46</v>
      </c>
      <c r="G154">
        <v>700</v>
      </c>
      <c r="H154">
        <v>19</v>
      </c>
      <c r="I154" t="s">
        <v>65</v>
      </c>
      <c r="J154">
        <v>10.6</v>
      </c>
      <c r="K154">
        <v>12.2</v>
      </c>
      <c r="L154">
        <v>58</v>
      </c>
      <c r="M154">
        <v>32</v>
      </c>
      <c r="N154" t="s">
        <v>61</v>
      </c>
      <c r="O154" t="s">
        <v>231</v>
      </c>
    </row>
    <row r="155" spans="1:15">
      <c r="A155" t="s">
        <v>240</v>
      </c>
      <c r="B155" t="s">
        <v>229</v>
      </c>
      <c r="C155" t="s">
        <v>230</v>
      </c>
      <c r="D155" t="s">
        <v>51</v>
      </c>
      <c r="E155" t="s">
        <v>110</v>
      </c>
      <c r="F155" t="s">
        <v>64</v>
      </c>
      <c r="G155">
        <v>883</v>
      </c>
      <c r="H155">
        <v>33</v>
      </c>
      <c r="I155" t="s">
        <v>47</v>
      </c>
      <c r="J155">
        <v>8.9</v>
      </c>
      <c r="K155">
        <v>14</v>
      </c>
      <c r="L155">
        <v>56</v>
      </c>
      <c r="M155">
        <v>31</v>
      </c>
      <c r="N155" t="s">
        <v>61</v>
      </c>
      <c r="O155" t="s">
        <v>231</v>
      </c>
    </row>
    <row r="156" spans="1:15">
      <c r="A156" t="s">
        <v>241</v>
      </c>
      <c r="B156" t="s">
        <v>229</v>
      </c>
      <c r="C156" t="s">
        <v>230</v>
      </c>
      <c r="D156" t="s">
        <v>51</v>
      </c>
      <c r="E156" t="s">
        <v>68</v>
      </c>
      <c r="F156" t="s">
        <v>64</v>
      </c>
      <c r="G156">
        <v>1162</v>
      </c>
      <c r="H156">
        <v>18</v>
      </c>
      <c r="I156" t="s">
        <v>57</v>
      </c>
      <c r="J156">
        <v>9.6</v>
      </c>
      <c r="K156">
        <v>12.6</v>
      </c>
      <c r="L156">
        <v>54</v>
      </c>
      <c r="M156">
        <v>35</v>
      </c>
      <c r="N156" t="s">
        <v>61</v>
      </c>
      <c r="O156" t="s">
        <v>231</v>
      </c>
    </row>
    <row r="157" spans="1:15">
      <c r="A157" t="s">
        <v>242</v>
      </c>
      <c r="B157" t="s">
        <v>229</v>
      </c>
      <c r="C157" t="s">
        <v>230</v>
      </c>
      <c r="D157" t="s">
        <v>51</v>
      </c>
      <c r="E157" t="s">
        <v>55</v>
      </c>
      <c r="F157" t="s">
        <v>46</v>
      </c>
      <c r="G157">
        <v>494</v>
      </c>
      <c r="H157">
        <v>14</v>
      </c>
      <c r="I157" t="s">
        <v>57</v>
      </c>
      <c r="J157">
        <v>10.9</v>
      </c>
      <c r="K157">
        <v>12.2</v>
      </c>
      <c r="L157">
        <v>57</v>
      </c>
      <c r="M157">
        <v>29</v>
      </c>
      <c r="N157" t="s">
        <v>48</v>
      </c>
      <c r="O157" t="s">
        <v>231</v>
      </c>
    </row>
    <row r="158" spans="1:15">
      <c r="A158" t="s">
        <v>243</v>
      </c>
      <c r="B158" t="s">
        <v>229</v>
      </c>
      <c r="C158" t="s">
        <v>230</v>
      </c>
      <c r="D158" t="s">
        <v>51</v>
      </c>
      <c r="E158" t="s">
        <v>110</v>
      </c>
      <c r="F158" t="s">
        <v>46</v>
      </c>
      <c r="G158">
        <v>726</v>
      </c>
      <c r="H158">
        <v>15</v>
      </c>
      <c r="I158" t="s">
        <v>57</v>
      </c>
      <c r="J158">
        <v>10</v>
      </c>
      <c r="K158">
        <v>11.5</v>
      </c>
      <c r="L158">
        <v>56</v>
      </c>
      <c r="M158">
        <v>33</v>
      </c>
      <c r="N158" t="s">
        <v>48</v>
      </c>
      <c r="O158" t="s">
        <v>231</v>
      </c>
    </row>
    <row r="159" spans="1:15">
      <c r="A159" t="s">
        <v>244</v>
      </c>
      <c r="B159" t="s">
        <v>229</v>
      </c>
      <c r="C159" t="s">
        <v>230</v>
      </c>
      <c r="D159" t="s">
        <v>51</v>
      </c>
      <c r="E159" t="s">
        <v>127</v>
      </c>
      <c r="F159" t="s">
        <v>56</v>
      </c>
      <c r="G159">
        <v>53</v>
      </c>
      <c r="H159">
        <v>20</v>
      </c>
      <c r="I159" t="s">
        <v>47</v>
      </c>
      <c r="J159">
        <v>9.6999999999999993</v>
      </c>
      <c r="K159">
        <v>12.4</v>
      </c>
      <c r="L159">
        <v>56</v>
      </c>
      <c r="M159">
        <v>35</v>
      </c>
      <c r="N159" t="s">
        <v>48</v>
      </c>
      <c r="O159" t="s">
        <v>231</v>
      </c>
    </row>
    <row r="160" spans="1:15">
      <c r="A160" t="s">
        <v>245</v>
      </c>
      <c r="B160" t="s">
        <v>229</v>
      </c>
      <c r="C160" t="s">
        <v>230</v>
      </c>
      <c r="D160" t="s">
        <v>51</v>
      </c>
      <c r="E160" t="s">
        <v>88</v>
      </c>
      <c r="F160" t="s">
        <v>56</v>
      </c>
      <c r="G160">
        <v>48</v>
      </c>
      <c r="H160">
        <v>17</v>
      </c>
      <c r="I160" t="s">
        <v>65</v>
      </c>
      <c r="J160">
        <v>8.6999999999999993</v>
      </c>
      <c r="K160">
        <v>14.6</v>
      </c>
      <c r="L160">
        <v>56</v>
      </c>
      <c r="M160">
        <v>33</v>
      </c>
      <c r="N160" t="s">
        <v>48</v>
      </c>
      <c r="O160" t="s">
        <v>231</v>
      </c>
    </row>
    <row r="161" spans="1:15">
      <c r="A161" t="s">
        <v>246</v>
      </c>
      <c r="B161" t="s">
        <v>229</v>
      </c>
      <c r="C161" t="s">
        <v>230</v>
      </c>
      <c r="D161" t="s">
        <v>51</v>
      </c>
      <c r="E161" t="s">
        <v>55</v>
      </c>
      <c r="F161" t="s">
        <v>56</v>
      </c>
      <c r="G161">
        <v>71</v>
      </c>
      <c r="H161">
        <v>16</v>
      </c>
      <c r="I161" t="s">
        <v>65</v>
      </c>
      <c r="J161">
        <v>9.1999999999999993</v>
      </c>
      <c r="K161">
        <v>13.4</v>
      </c>
      <c r="L161">
        <v>56</v>
      </c>
      <c r="M161">
        <v>33</v>
      </c>
      <c r="N161" t="s">
        <v>61</v>
      </c>
      <c r="O161" t="s">
        <v>231</v>
      </c>
    </row>
    <row r="162" spans="1:15">
      <c r="A162" t="s">
        <v>247</v>
      </c>
      <c r="B162" t="s">
        <v>248</v>
      </c>
      <c r="C162" t="s">
        <v>230</v>
      </c>
      <c r="D162" t="s">
        <v>44</v>
      </c>
      <c r="E162" t="s">
        <v>45</v>
      </c>
      <c r="F162" t="s">
        <v>46</v>
      </c>
      <c r="G162">
        <v>494</v>
      </c>
      <c r="H162">
        <v>29</v>
      </c>
      <c r="I162" t="s">
        <v>47</v>
      </c>
      <c r="J162">
        <v>10.199999999999999</v>
      </c>
      <c r="K162">
        <v>13.1</v>
      </c>
      <c r="L162">
        <v>55</v>
      </c>
      <c r="M162">
        <v>31</v>
      </c>
      <c r="N162" t="s">
        <v>48</v>
      </c>
      <c r="O162" t="s">
        <v>231</v>
      </c>
    </row>
    <row r="163" spans="1:15">
      <c r="A163" t="s">
        <v>249</v>
      </c>
      <c r="B163" t="s">
        <v>248</v>
      </c>
      <c r="C163" t="s">
        <v>230</v>
      </c>
      <c r="D163" t="s">
        <v>51</v>
      </c>
      <c r="E163" t="s">
        <v>110</v>
      </c>
      <c r="F163" t="s">
        <v>53</v>
      </c>
      <c r="G163">
        <v>239</v>
      </c>
      <c r="H163">
        <v>14</v>
      </c>
      <c r="I163" t="s">
        <v>57</v>
      </c>
      <c r="J163">
        <v>9.6999999999999993</v>
      </c>
      <c r="K163">
        <v>13.3</v>
      </c>
      <c r="L163">
        <v>52</v>
      </c>
      <c r="M163">
        <v>36</v>
      </c>
      <c r="N163" t="s">
        <v>48</v>
      </c>
      <c r="O163" t="s">
        <v>231</v>
      </c>
    </row>
    <row r="164" spans="1:15">
      <c r="A164" t="s">
        <v>250</v>
      </c>
      <c r="B164" t="s">
        <v>248</v>
      </c>
      <c r="C164" t="s">
        <v>230</v>
      </c>
      <c r="D164" t="s">
        <v>51</v>
      </c>
      <c r="E164" t="s">
        <v>59</v>
      </c>
      <c r="F164" t="s">
        <v>46</v>
      </c>
      <c r="G164">
        <v>531</v>
      </c>
      <c r="H164">
        <v>12</v>
      </c>
      <c r="I164" t="s">
        <v>65</v>
      </c>
      <c r="J164">
        <v>9.6999999999999993</v>
      </c>
      <c r="K164">
        <v>12.4</v>
      </c>
      <c r="L164">
        <v>56</v>
      </c>
      <c r="M164">
        <v>32</v>
      </c>
      <c r="N164" t="s">
        <v>61</v>
      </c>
      <c r="O164" t="s">
        <v>231</v>
      </c>
    </row>
    <row r="165" spans="1:15">
      <c r="A165" t="s">
        <v>251</v>
      </c>
      <c r="B165" t="s">
        <v>248</v>
      </c>
      <c r="C165" t="s">
        <v>230</v>
      </c>
      <c r="D165" t="s">
        <v>51</v>
      </c>
      <c r="E165" t="s">
        <v>127</v>
      </c>
      <c r="F165" t="s">
        <v>53</v>
      </c>
      <c r="G165">
        <v>209</v>
      </c>
      <c r="H165">
        <v>21</v>
      </c>
      <c r="I165" t="s">
        <v>65</v>
      </c>
      <c r="J165">
        <v>10.199999999999999</v>
      </c>
      <c r="K165">
        <v>14</v>
      </c>
      <c r="L165">
        <v>56</v>
      </c>
      <c r="M165">
        <v>31</v>
      </c>
      <c r="N165" t="s">
        <v>48</v>
      </c>
      <c r="O165" t="s">
        <v>231</v>
      </c>
    </row>
    <row r="166" spans="1:15">
      <c r="A166" t="s">
        <v>252</v>
      </c>
      <c r="B166" t="s">
        <v>248</v>
      </c>
      <c r="C166" t="s">
        <v>230</v>
      </c>
      <c r="D166" t="s">
        <v>51</v>
      </c>
      <c r="E166" t="s">
        <v>77</v>
      </c>
      <c r="F166" t="s">
        <v>53</v>
      </c>
      <c r="G166">
        <v>278</v>
      </c>
      <c r="H166">
        <v>26</v>
      </c>
      <c r="I166" t="s">
        <v>65</v>
      </c>
      <c r="J166">
        <v>9.3000000000000007</v>
      </c>
      <c r="K166">
        <v>12.8</v>
      </c>
      <c r="L166">
        <v>55</v>
      </c>
      <c r="M166">
        <v>35</v>
      </c>
      <c r="N166" t="s">
        <v>48</v>
      </c>
      <c r="O166" t="s">
        <v>231</v>
      </c>
    </row>
    <row r="167" spans="1:15">
      <c r="A167" t="s">
        <v>253</v>
      </c>
      <c r="B167" t="s">
        <v>248</v>
      </c>
      <c r="C167" t="s">
        <v>230</v>
      </c>
      <c r="D167" t="s">
        <v>51</v>
      </c>
      <c r="E167" t="s">
        <v>77</v>
      </c>
      <c r="F167" t="s">
        <v>56</v>
      </c>
      <c r="G167">
        <v>78</v>
      </c>
      <c r="H167">
        <v>20</v>
      </c>
      <c r="I167" t="s">
        <v>57</v>
      </c>
      <c r="J167">
        <v>9.5</v>
      </c>
      <c r="K167">
        <v>12.5</v>
      </c>
      <c r="L167">
        <v>57</v>
      </c>
      <c r="M167">
        <v>32</v>
      </c>
      <c r="N167" t="s">
        <v>48</v>
      </c>
      <c r="O167" t="s">
        <v>231</v>
      </c>
    </row>
    <row r="168" spans="1:15">
      <c r="A168" t="s">
        <v>254</v>
      </c>
      <c r="B168" t="s">
        <v>248</v>
      </c>
      <c r="C168" t="s">
        <v>230</v>
      </c>
      <c r="D168" t="s">
        <v>51</v>
      </c>
      <c r="E168" t="s">
        <v>68</v>
      </c>
      <c r="F168" t="s">
        <v>46</v>
      </c>
      <c r="G168">
        <v>427</v>
      </c>
      <c r="H168">
        <v>17</v>
      </c>
      <c r="I168" t="s">
        <v>47</v>
      </c>
      <c r="J168">
        <v>9.6999999999999993</v>
      </c>
      <c r="K168">
        <v>12.2</v>
      </c>
      <c r="L168">
        <v>55</v>
      </c>
      <c r="M168">
        <v>32</v>
      </c>
      <c r="N168" t="s">
        <v>48</v>
      </c>
      <c r="O168" t="s">
        <v>231</v>
      </c>
    </row>
    <row r="169" spans="1:15">
      <c r="A169" t="s">
        <v>255</v>
      </c>
      <c r="B169" t="s">
        <v>248</v>
      </c>
      <c r="C169" t="s">
        <v>230</v>
      </c>
      <c r="D169" t="s">
        <v>51</v>
      </c>
      <c r="E169" t="s">
        <v>63</v>
      </c>
      <c r="F169" t="s">
        <v>46</v>
      </c>
      <c r="G169">
        <v>447</v>
      </c>
      <c r="H169">
        <v>17</v>
      </c>
      <c r="I169" t="s">
        <v>65</v>
      </c>
      <c r="J169">
        <v>10.5</v>
      </c>
      <c r="K169">
        <v>13</v>
      </c>
      <c r="L169">
        <v>55</v>
      </c>
      <c r="M169">
        <v>33</v>
      </c>
      <c r="N169" t="s">
        <v>48</v>
      </c>
      <c r="O169" t="s">
        <v>231</v>
      </c>
    </row>
    <row r="170" spans="1:15">
      <c r="A170" t="s">
        <v>256</v>
      </c>
      <c r="B170" t="s">
        <v>248</v>
      </c>
      <c r="C170" t="s">
        <v>230</v>
      </c>
      <c r="D170" t="s">
        <v>51</v>
      </c>
      <c r="E170" t="s">
        <v>81</v>
      </c>
      <c r="F170" t="s">
        <v>64</v>
      </c>
      <c r="G170">
        <v>643</v>
      </c>
      <c r="H170">
        <v>12</v>
      </c>
      <c r="I170" t="s">
        <v>57</v>
      </c>
      <c r="J170">
        <v>9</v>
      </c>
      <c r="K170">
        <v>12.4</v>
      </c>
      <c r="L170">
        <v>55</v>
      </c>
      <c r="M170">
        <v>36</v>
      </c>
      <c r="N170" t="s">
        <v>48</v>
      </c>
      <c r="O170" t="s">
        <v>231</v>
      </c>
    </row>
    <row r="171" spans="1:15">
      <c r="A171" t="s">
        <v>257</v>
      </c>
      <c r="B171" t="s">
        <v>248</v>
      </c>
      <c r="C171" t="s">
        <v>230</v>
      </c>
      <c r="D171" t="s">
        <v>51</v>
      </c>
      <c r="E171" t="s">
        <v>68</v>
      </c>
      <c r="F171" t="s">
        <v>46</v>
      </c>
      <c r="G171">
        <v>790</v>
      </c>
      <c r="H171">
        <v>19</v>
      </c>
      <c r="I171" t="s">
        <v>47</v>
      </c>
      <c r="J171">
        <v>9.6</v>
      </c>
      <c r="K171">
        <v>12.7</v>
      </c>
      <c r="L171">
        <v>58</v>
      </c>
      <c r="M171">
        <v>31</v>
      </c>
      <c r="N171" t="s">
        <v>48</v>
      </c>
      <c r="O171" t="s">
        <v>231</v>
      </c>
    </row>
    <row r="172" spans="1:15">
      <c r="A172" t="s">
        <v>258</v>
      </c>
      <c r="B172" t="s">
        <v>248</v>
      </c>
      <c r="C172" t="s">
        <v>230</v>
      </c>
      <c r="D172" t="s">
        <v>51</v>
      </c>
      <c r="E172" t="s">
        <v>52</v>
      </c>
      <c r="F172" t="s">
        <v>60</v>
      </c>
      <c r="G172">
        <v>157</v>
      </c>
      <c r="H172">
        <v>21</v>
      </c>
      <c r="I172" t="s">
        <v>57</v>
      </c>
      <c r="J172">
        <v>8.8000000000000007</v>
      </c>
      <c r="K172">
        <v>12.6</v>
      </c>
      <c r="L172">
        <v>53</v>
      </c>
      <c r="M172">
        <v>31</v>
      </c>
      <c r="N172" t="s">
        <v>48</v>
      </c>
      <c r="O172" t="s">
        <v>231</v>
      </c>
    </row>
    <row r="173" spans="1:15">
      <c r="A173" t="s">
        <v>259</v>
      </c>
      <c r="B173" t="s">
        <v>248</v>
      </c>
      <c r="C173" t="s">
        <v>230</v>
      </c>
      <c r="D173" t="s">
        <v>51</v>
      </c>
      <c r="E173" t="s">
        <v>59</v>
      </c>
      <c r="F173" t="s">
        <v>60</v>
      </c>
      <c r="G173">
        <v>128</v>
      </c>
      <c r="H173">
        <v>23</v>
      </c>
      <c r="I173" t="s">
        <v>65</v>
      </c>
      <c r="J173">
        <v>10</v>
      </c>
      <c r="K173">
        <v>14.3</v>
      </c>
      <c r="L173">
        <v>54</v>
      </c>
      <c r="M173">
        <v>34</v>
      </c>
      <c r="N173" t="s">
        <v>61</v>
      </c>
      <c r="O173" t="s">
        <v>231</v>
      </c>
    </row>
    <row r="174" spans="1:15">
      <c r="A174" t="s">
        <v>260</v>
      </c>
      <c r="B174" t="s">
        <v>248</v>
      </c>
      <c r="C174" t="s">
        <v>230</v>
      </c>
      <c r="D174" t="s">
        <v>51</v>
      </c>
      <c r="E174" t="s">
        <v>110</v>
      </c>
      <c r="F174" t="s">
        <v>60</v>
      </c>
      <c r="G174">
        <v>212</v>
      </c>
      <c r="H174">
        <v>19</v>
      </c>
      <c r="I174" t="s">
        <v>47</v>
      </c>
      <c r="J174">
        <v>10.1</v>
      </c>
      <c r="K174">
        <v>14.4</v>
      </c>
      <c r="L174">
        <v>54</v>
      </c>
      <c r="M174">
        <v>36</v>
      </c>
      <c r="N174" t="s">
        <v>61</v>
      </c>
      <c r="O174" t="s">
        <v>231</v>
      </c>
    </row>
    <row r="175" spans="1:15">
      <c r="A175" t="s">
        <v>261</v>
      </c>
      <c r="B175" t="s">
        <v>248</v>
      </c>
      <c r="C175" t="s">
        <v>230</v>
      </c>
      <c r="D175" t="s">
        <v>51</v>
      </c>
      <c r="E175" t="s">
        <v>77</v>
      </c>
      <c r="F175" t="s">
        <v>64</v>
      </c>
      <c r="G175">
        <v>1150</v>
      </c>
      <c r="H175">
        <v>25</v>
      </c>
      <c r="I175" t="s">
        <v>57</v>
      </c>
      <c r="J175">
        <v>9.1999999999999993</v>
      </c>
      <c r="K175">
        <v>13</v>
      </c>
      <c r="L175">
        <v>55</v>
      </c>
      <c r="M175">
        <v>34</v>
      </c>
      <c r="N175" t="s">
        <v>48</v>
      </c>
      <c r="O175" t="s">
        <v>231</v>
      </c>
    </row>
    <row r="176" spans="1:15">
      <c r="A176" t="s">
        <v>262</v>
      </c>
      <c r="B176" t="s">
        <v>248</v>
      </c>
      <c r="C176" t="s">
        <v>230</v>
      </c>
      <c r="D176" t="s">
        <v>51</v>
      </c>
      <c r="E176" t="s">
        <v>79</v>
      </c>
      <c r="F176" t="s">
        <v>64</v>
      </c>
      <c r="G176">
        <v>1066</v>
      </c>
      <c r="H176">
        <v>20</v>
      </c>
      <c r="I176" t="s">
        <v>47</v>
      </c>
      <c r="J176">
        <v>9.6999999999999993</v>
      </c>
      <c r="K176">
        <v>13.8</v>
      </c>
      <c r="L176">
        <v>52</v>
      </c>
      <c r="M176">
        <v>35</v>
      </c>
      <c r="N176" t="s">
        <v>48</v>
      </c>
      <c r="O176" t="s">
        <v>231</v>
      </c>
    </row>
    <row r="177" spans="1:15">
      <c r="A177" t="s">
        <v>263</v>
      </c>
      <c r="B177" t="s">
        <v>248</v>
      </c>
      <c r="C177" t="s">
        <v>230</v>
      </c>
      <c r="D177" t="s">
        <v>51</v>
      </c>
      <c r="E177" t="s">
        <v>88</v>
      </c>
      <c r="F177" t="s">
        <v>46</v>
      </c>
      <c r="G177">
        <v>422</v>
      </c>
      <c r="H177">
        <v>13</v>
      </c>
      <c r="I177" t="s">
        <v>47</v>
      </c>
      <c r="J177">
        <v>9.6</v>
      </c>
      <c r="K177">
        <v>11.6</v>
      </c>
      <c r="L177">
        <v>57</v>
      </c>
      <c r="M177">
        <v>33</v>
      </c>
      <c r="N177" t="s">
        <v>48</v>
      </c>
      <c r="O177" t="s">
        <v>231</v>
      </c>
    </row>
    <row r="178" spans="1:15">
      <c r="A178" t="s">
        <v>264</v>
      </c>
      <c r="B178" t="s">
        <v>265</v>
      </c>
      <c r="C178" t="s">
        <v>230</v>
      </c>
      <c r="D178" t="s">
        <v>44</v>
      </c>
      <c r="E178" t="s">
        <v>45</v>
      </c>
      <c r="F178" t="s">
        <v>46</v>
      </c>
      <c r="G178">
        <v>705</v>
      </c>
      <c r="H178">
        <v>15</v>
      </c>
      <c r="I178" t="s">
        <v>47</v>
      </c>
      <c r="J178">
        <v>10.4</v>
      </c>
      <c r="K178">
        <v>11.9</v>
      </c>
      <c r="L178">
        <v>58</v>
      </c>
      <c r="M178">
        <v>32</v>
      </c>
      <c r="N178" t="s">
        <v>61</v>
      </c>
      <c r="O178" t="s">
        <v>231</v>
      </c>
    </row>
    <row r="179" spans="1:15">
      <c r="A179" t="s">
        <v>266</v>
      </c>
      <c r="B179" t="s">
        <v>265</v>
      </c>
      <c r="C179" t="s">
        <v>230</v>
      </c>
      <c r="D179" t="s">
        <v>51</v>
      </c>
      <c r="E179" t="s">
        <v>79</v>
      </c>
      <c r="F179" t="s">
        <v>60</v>
      </c>
      <c r="G179">
        <v>133</v>
      </c>
      <c r="H179">
        <v>14</v>
      </c>
      <c r="I179" t="s">
        <v>47</v>
      </c>
      <c r="J179">
        <v>10</v>
      </c>
      <c r="K179">
        <v>13.2</v>
      </c>
      <c r="L179">
        <v>55</v>
      </c>
      <c r="M179">
        <v>31</v>
      </c>
      <c r="N179" t="s">
        <v>48</v>
      </c>
      <c r="O179" t="s">
        <v>231</v>
      </c>
    </row>
    <row r="180" spans="1:15">
      <c r="A180" t="s">
        <v>267</v>
      </c>
      <c r="B180" t="s">
        <v>265</v>
      </c>
      <c r="C180" t="s">
        <v>230</v>
      </c>
      <c r="D180" t="s">
        <v>51</v>
      </c>
      <c r="E180" t="s">
        <v>73</v>
      </c>
      <c r="F180" t="s">
        <v>56</v>
      </c>
      <c r="G180">
        <v>59</v>
      </c>
      <c r="H180">
        <v>12</v>
      </c>
      <c r="I180" t="s">
        <v>65</v>
      </c>
      <c r="J180">
        <v>9</v>
      </c>
      <c r="K180">
        <v>13.5</v>
      </c>
      <c r="L180">
        <v>55</v>
      </c>
      <c r="M180">
        <v>35</v>
      </c>
      <c r="N180" t="s">
        <v>61</v>
      </c>
      <c r="O180" t="s">
        <v>231</v>
      </c>
    </row>
    <row r="181" spans="1:15">
      <c r="A181" t="s">
        <v>268</v>
      </c>
      <c r="B181" t="s">
        <v>265</v>
      </c>
      <c r="C181" t="s">
        <v>230</v>
      </c>
      <c r="D181" t="s">
        <v>51</v>
      </c>
      <c r="E181" t="s">
        <v>75</v>
      </c>
      <c r="F181" t="s">
        <v>60</v>
      </c>
      <c r="G181">
        <v>178</v>
      </c>
      <c r="H181">
        <v>16</v>
      </c>
      <c r="I181" t="s">
        <v>57</v>
      </c>
      <c r="J181">
        <v>10.3</v>
      </c>
      <c r="K181">
        <v>14.1</v>
      </c>
      <c r="L181">
        <v>57</v>
      </c>
      <c r="M181">
        <v>36</v>
      </c>
      <c r="N181" t="s">
        <v>48</v>
      </c>
      <c r="O181" t="s">
        <v>231</v>
      </c>
    </row>
    <row r="182" spans="1:15">
      <c r="A182" t="s">
        <v>269</v>
      </c>
      <c r="B182" t="s">
        <v>265</v>
      </c>
      <c r="C182" t="s">
        <v>230</v>
      </c>
      <c r="D182" t="s">
        <v>51</v>
      </c>
      <c r="E182" t="s">
        <v>59</v>
      </c>
      <c r="F182" t="s">
        <v>56</v>
      </c>
      <c r="G182">
        <v>63</v>
      </c>
      <c r="H182">
        <v>22</v>
      </c>
      <c r="I182" t="s">
        <v>65</v>
      </c>
      <c r="J182">
        <v>8.8000000000000007</v>
      </c>
      <c r="K182">
        <v>14.1</v>
      </c>
      <c r="L182">
        <v>56</v>
      </c>
      <c r="M182">
        <v>34</v>
      </c>
      <c r="N182" t="s">
        <v>61</v>
      </c>
      <c r="O182" t="s">
        <v>231</v>
      </c>
    </row>
    <row r="183" spans="1:15">
      <c r="A183" t="s">
        <v>270</v>
      </c>
      <c r="B183" t="s">
        <v>265</v>
      </c>
      <c r="C183" t="s">
        <v>230</v>
      </c>
      <c r="D183" t="s">
        <v>51</v>
      </c>
      <c r="E183" t="s">
        <v>88</v>
      </c>
      <c r="F183" t="s">
        <v>53</v>
      </c>
      <c r="G183">
        <v>290</v>
      </c>
      <c r="H183">
        <v>22</v>
      </c>
      <c r="I183" t="s">
        <v>47</v>
      </c>
      <c r="J183">
        <v>8.9</v>
      </c>
      <c r="K183">
        <v>13.3</v>
      </c>
      <c r="L183">
        <v>55</v>
      </c>
      <c r="M183">
        <v>31</v>
      </c>
      <c r="N183" t="s">
        <v>48</v>
      </c>
      <c r="O183" t="s">
        <v>231</v>
      </c>
    </row>
    <row r="184" spans="1:15">
      <c r="A184" t="s">
        <v>271</v>
      </c>
      <c r="B184" t="s">
        <v>265</v>
      </c>
      <c r="C184" t="s">
        <v>230</v>
      </c>
      <c r="D184" t="s">
        <v>51</v>
      </c>
      <c r="E184" t="s">
        <v>63</v>
      </c>
      <c r="F184" t="s">
        <v>60</v>
      </c>
      <c r="G184">
        <v>233</v>
      </c>
      <c r="H184">
        <v>19</v>
      </c>
      <c r="I184" t="s">
        <v>65</v>
      </c>
      <c r="J184">
        <v>10.199999999999999</v>
      </c>
      <c r="K184">
        <v>14.3</v>
      </c>
      <c r="L184">
        <v>54</v>
      </c>
      <c r="M184">
        <v>36</v>
      </c>
      <c r="N184" t="s">
        <v>61</v>
      </c>
      <c r="O184" t="s">
        <v>231</v>
      </c>
    </row>
    <row r="185" spans="1:15">
      <c r="A185" t="s">
        <v>272</v>
      </c>
      <c r="B185" t="s">
        <v>265</v>
      </c>
      <c r="C185" t="s">
        <v>230</v>
      </c>
      <c r="D185" t="s">
        <v>51</v>
      </c>
      <c r="E185" t="s">
        <v>110</v>
      </c>
      <c r="F185" t="s">
        <v>53</v>
      </c>
      <c r="G185">
        <v>203</v>
      </c>
      <c r="H185">
        <v>24</v>
      </c>
      <c r="I185" t="s">
        <v>65</v>
      </c>
      <c r="J185">
        <v>9</v>
      </c>
      <c r="K185">
        <v>14.2</v>
      </c>
      <c r="L185">
        <v>52</v>
      </c>
      <c r="M185">
        <v>35</v>
      </c>
      <c r="N185" t="s">
        <v>48</v>
      </c>
      <c r="O185" t="s">
        <v>231</v>
      </c>
    </row>
    <row r="186" spans="1:15">
      <c r="A186" t="s">
        <v>273</v>
      </c>
      <c r="B186" t="s">
        <v>265</v>
      </c>
      <c r="C186" t="s">
        <v>230</v>
      </c>
      <c r="D186" t="s">
        <v>51</v>
      </c>
      <c r="E186" t="s">
        <v>68</v>
      </c>
      <c r="F186" t="s">
        <v>64</v>
      </c>
      <c r="G186">
        <v>1170</v>
      </c>
      <c r="H186">
        <v>25</v>
      </c>
      <c r="I186" t="s">
        <v>47</v>
      </c>
      <c r="J186">
        <v>9.6</v>
      </c>
      <c r="K186">
        <v>13.6</v>
      </c>
      <c r="L186">
        <v>55</v>
      </c>
      <c r="M186">
        <v>31</v>
      </c>
      <c r="N186" t="s">
        <v>48</v>
      </c>
      <c r="O186" t="s">
        <v>231</v>
      </c>
    </row>
    <row r="187" spans="1:15">
      <c r="A187" t="s">
        <v>274</v>
      </c>
      <c r="B187" t="s">
        <v>265</v>
      </c>
      <c r="C187" t="s">
        <v>230</v>
      </c>
      <c r="D187" t="s">
        <v>51</v>
      </c>
      <c r="E187" t="s">
        <v>81</v>
      </c>
      <c r="F187" t="s">
        <v>64</v>
      </c>
      <c r="G187">
        <v>664</v>
      </c>
      <c r="H187">
        <v>23</v>
      </c>
      <c r="I187" t="s">
        <v>65</v>
      </c>
      <c r="J187">
        <v>9.5</v>
      </c>
      <c r="K187">
        <v>14.5</v>
      </c>
      <c r="L187">
        <v>57</v>
      </c>
      <c r="M187">
        <v>31</v>
      </c>
      <c r="N187" t="s">
        <v>61</v>
      </c>
      <c r="O187" t="s">
        <v>231</v>
      </c>
    </row>
    <row r="188" spans="1:15">
      <c r="A188" t="s">
        <v>275</v>
      </c>
      <c r="B188" t="s">
        <v>265</v>
      </c>
      <c r="C188" t="s">
        <v>230</v>
      </c>
      <c r="D188" t="s">
        <v>51</v>
      </c>
      <c r="E188" t="s">
        <v>110</v>
      </c>
      <c r="F188" t="s">
        <v>53</v>
      </c>
      <c r="G188">
        <v>316</v>
      </c>
      <c r="H188">
        <v>26</v>
      </c>
      <c r="I188" t="s">
        <v>47</v>
      </c>
      <c r="J188">
        <v>10.3</v>
      </c>
      <c r="K188">
        <v>14.4</v>
      </c>
      <c r="L188">
        <v>54</v>
      </c>
      <c r="M188">
        <v>31</v>
      </c>
      <c r="N188" t="s">
        <v>61</v>
      </c>
      <c r="O188" t="s">
        <v>231</v>
      </c>
    </row>
    <row r="189" spans="1:15">
      <c r="A189" t="s">
        <v>276</v>
      </c>
      <c r="B189" t="s">
        <v>265</v>
      </c>
      <c r="C189" t="s">
        <v>230</v>
      </c>
      <c r="D189" t="s">
        <v>51</v>
      </c>
      <c r="E189" t="s">
        <v>73</v>
      </c>
      <c r="F189" t="s">
        <v>56</v>
      </c>
      <c r="G189">
        <v>56</v>
      </c>
      <c r="H189">
        <v>18</v>
      </c>
      <c r="I189" t="s">
        <v>47</v>
      </c>
      <c r="J189">
        <v>8.6999999999999993</v>
      </c>
      <c r="K189">
        <v>13.3</v>
      </c>
      <c r="L189">
        <v>53</v>
      </c>
      <c r="M189">
        <v>33</v>
      </c>
      <c r="N189" t="s">
        <v>61</v>
      </c>
      <c r="O189" t="s">
        <v>231</v>
      </c>
    </row>
    <row r="190" spans="1:15">
      <c r="A190" t="s">
        <v>277</v>
      </c>
      <c r="B190" t="s">
        <v>265</v>
      </c>
      <c r="C190" t="s">
        <v>230</v>
      </c>
      <c r="D190" t="s">
        <v>51</v>
      </c>
      <c r="E190" t="s">
        <v>70</v>
      </c>
      <c r="F190" t="s">
        <v>53</v>
      </c>
      <c r="G190">
        <v>246</v>
      </c>
      <c r="H190">
        <v>17</v>
      </c>
      <c r="I190" t="s">
        <v>57</v>
      </c>
      <c r="J190">
        <v>8.8000000000000007</v>
      </c>
      <c r="K190">
        <v>13.9</v>
      </c>
      <c r="L190">
        <v>53</v>
      </c>
      <c r="M190">
        <v>34</v>
      </c>
      <c r="N190" t="s">
        <v>48</v>
      </c>
      <c r="O190" t="s">
        <v>231</v>
      </c>
    </row>
    <row r="191" spans="1:15">
      <c r="A191" t="s">
        <v>278</v>
      </c>
      <c r="B191" t="s">
        <v>265</v>
      </c>
      <c r="C191" t="s">
        <v>230</v>
      </c>
      <c r="D191" t="s">
        <v>51</v>
      </c>
      <c r="E191" t="s">
        <v>75</v>
      </c>
      <c r="F191" t="s">
        <v>46</v>
      </c>
      <c r="G191">
        <v>727</v>
      </c>
      <c r="H191">
        <v>23</v>
      </c>
      <c r="I191" t="s">
        <v>65</v>
      </c>
      <c r="J191">
        <v>9.9</v>
      </c>
      <c r="K191">
        <v>11.4</v>
      </c>
      <c r="L191">
        <v>57</v>
      </c>
      <c r="M191">
        <v>31</v>
      </c>
      <c r="N191" t="s">
        <v>48</v>
      </c>
      <c r="O191" t="s">
        <v>231</v>
      </c>
    </row>
    <row r="192" spans="1:15">
      <c r="A192" t="s">
        <v>279</v>
      </c>
      <c r="B192" t="s">
        <v>265</v>
      </c>
      <c r="C192" t="s">
        <v>230</v>
      </c>
      <c r="D192" t="s">
        <v>51</v>
      </c>
      <c r="E192" t="s">
        <v>73</v>
      </c>
      <c r="F192" t="s">
        <v>46</v>
      </c>
      <c r="G192">
        <v>767</v>
      </c>
      <c r="H192">
        <v>26</v>
      </c>
      <c r="I192" t="s">
        <v>47</v>
      </c>
      <c r="J192">
        <v>10.7</v>
      </c>
      <c r="K192">
        <v>12.6</v>
      </c>
      <c r="L192">
        <v>55</v>
      </c>
      <c r="M192">
        <v>29</v>
      </c>
      <c r="N192" t="s">
        <v>48</v>
      </c>
      <c r="O192" t="s">
        <v>231</v>
      </c>
    </row>
    <row r="193" spans="1:15">
      <c r="A193" t="s">
        <v>280</v>
      </c>
      <c r="B193" t="s">
        <v>265</v>
      </c>
      <c r="C193" t="s">
        <v>230</v>
      </c>
      <c r="D193" t="s">
        <v>51</v>
      </c>
      <c r="E193" t="s">
        <v>73</v>
      </c>
      <c r="F193" t="s">
        <v>56</v>
      </c>
      <c r="G193">
        <v>73</v>
      </c>
      <c r="H193">
        <v>25</v>
      </c>
      <c r="I193" t="s">
        <v>65</v>
      </c>
      <c r="J193">
        <v>9.3000000000000007</v>
      </c>
      <c r="K193">
        <v>12.5</v>
      </c>
      <c r="L193">
        <v>56</v>
      </c>
      <c r="M193">
        <v>33</v>
      </c>
      <c r="N193" t="s">
        <v>48</v>
      </c>
      <c r="O193" t="s">
        <v>231</v>
      </c>
    </row>
    <row r="194" spans="1:15">
      <c r="A194" t="s">
        <v>281</v>
      </c>
      <c r="B194" t="s">
        <v>282</v>
      </c>
      <c r="C194" t="s">
        <v>230</v>
      </c>
      <c r="D194" t="s">
        <v>44</v>
      </c>
      <c r="E194" t="s">
        <v>45</v>
      </c>
      <c r="F194" t="s">
        <v>46</v>
      </c>
      <c r="G194">
        <v>644</v>
      </c>
      <c r="H194">
        <v>13</v>
      </c>
      <c r="I194" t="s">
        <v>47</v>
      </c>
      <c r="J194">
        <v>10.199999999999999</v>
      </c>
      <c r="K194">
        <v>11.9</v>
      </c>
      <c r="L194">
        <v>57</v>
      </c>
      <c r="M194">
        <v>33</v>
      </c>
      <c r="N194" t="s">
        <v>61</v>
      </c>
      <c r="O194" t="s">
        <v>231</v>
      </c>
    </row>
    <row r="195" spans="1:15">
      <c r="A195" t="s">
        <v>283</v>
      </c>
      <c r="B195" t="s">
        <v>282</v>
      </c>
      <c r="C195" t="s">
        <v>230</v>
      </c>
      <c r="D195" t="s">
        <v>51</v>
      </c>
      <c r="E195" t="s">
        <v>79</v>
      </c>
      <c r="F195" t="s">
        <v>64</v>
      </c>
      <c r="G195">
        <v>700</v>
      </c>
      <c r="H195">
        <v>29</v>
      </c>
      <c r="I195" t="s">
        <v>47</v>
      </c>
      <c r="J195">
        <v>9.5</v>
      </c>
      <c r="K195">
        <v>12.7</v>
      </c>
      <c r="L195">
        <v>54</v>
      </c>
      <c r="M195">
        <v>36</v>
      </c>
      <c r="N195" t="s">
        <v>48</v>
      </c>
      <c r="O195" t="s">
        <v>231</v>
      </c>
    </row>
    <row r="196" spans="1:15">
      <c r="A196" t="s">
        <v>284</v>
      </c>
      <c r="B196" t="s">
        <v>282</v>
      </c>
      <c r="C196" t="s">
        <v>230</v>
      </c>
      <c r="D196" t="s">
        <v>51</v>
      </c>
      <c r="E196" t="s">
        <v>68</v>
      </c>
      <c r="F196" t="s">
        <v>60</v>
      </c>
      <c r="G196">
        <v>186</v>
      </c>
      <c r="H196">
        <v>17</v>
      </c>
      <c r="I196" t="s">
        <v>47</v>
      </c>
      <c r="J196">
        <v>8.8000000000000007</v>
      </c>
      <c r="K196">
        <v>14.3</v>
      </c>
      <c r="L196">
        <v>55</v>
      </c>
      <c r="M196">
        <v>34</v>
      </c>
      <c r="N196" t="s">
        <v>61</v>
      </c>
      <c r="O196" t="s">
        <v>231</v>
      </c>
    </row>
    <row r="197" spans="1:15">
      <c r="A197" t="s">
        <v>285</v>
      </c>
      <c r="B197" t="s">
        <v>282</v>
      </c>
      <c r="C197" t="s">
        <v>230</v>
      </c>
      <c r="D197" t="s">
        <v>51</v>
      </c>
      <c r="E197" t="s">
        <v>79</v>
      </c>
      <c r="F197" t="s">
        <v>60</v>
      </c>
      <c r="G197">
        <v>203</v>
      </c>
      <c r="H197">
        <v>10</v>
      </c>
      <c r="I197" t="s">
        <v>47</v>
      </c>
      <c r="J197">
        <v>10</v>
      </c>
      <c r="K197">
        <v>13.4</v>
      </c>
      <c r="L197">
        <v>56</v>
      </c>
      <c r="M197">
        <v>35</v>
      </c>
      <c r="N197" t="s">
        <v>48</v>
      </c>
      <c r="O197" t="s">
        <v>231</v>
      </c>
    </row>
    <row r="198" spans="1:15">
      <c r="A198" t="s">
        <v>286</v>
      </c>
      <c r="B198" t="s">
        <v>282</v>
      </c>
      <c r="C198" t="s">
        <v>230</v>
      </c>
      <c r="D198" t="s">
        <v>51</v>
      </c>
      <c r="E198" t="s">
        <v>127</v>
      </c>
      <c r="F198" t="s">
        <v>56</v>
      </c>
      <c r="G198">
        <v>54</v>
      </c>
      <c r="H198">
        <v>29</v>
      </c>
      <c r="I198" t="s">
        <v>57</v>
      </c>
      <c r="J198">
        <v>10.199999999999999</v>
      </c>
      <c r="K198">
        <v>13.8</v>
      </c>
      <c r="L198">
        <v>53</v>
      </c>
      <c r="M198">
        <v>32</v>
      </c>
      <c r="N198" t="s">
        <v>61</v>
      </c>
      <c r="O198" t="s">
        <v>231</v>
      </c>
    </row>
    <row r="199" spans="1:15">
      <c r="A199" t="s">
        <v>287</v>
      </c>
      <c r="B199" t="s">
        <v>282</v>
      </c>
      <c r="C199" t="s">
        <v>230</v>
      </c>
      <c r="D199" t="s">
        <v>51</v>
      </c>
      <c r="E199" t="s">
        <v>73</v>
      </c>
      <c r="F199" t="s">
        <v>46</v>
      </c>
      <c r="G199">
        <v>474</v>
      </c>
      <c r="H199">
        <v>18</v>
      </c>
      <c r="I199" t="s">
        <v>65</v>
      </c>
      <c r="J199">
        <v>9.6999999999999993</v>
      </c>
      <c r="K199">
        <v>12.4</v>
      </c>
      <c r="L199">
        <v>59</v>
      </c>
      <c r="M199">
        <v>31</v>
      </c>
      <c r="N199" t="s">
        <v>61</v>
      </c>
      <c r="O199" t="s">
        <v>231</v>
      </c>
    </row>
    <row r="200" spans="1:15">
      <c r="A200" t="s">
        <v>288</v>
      </c>
      <c r="B200" t="s">
        <v>282</v>
      </c>
      <c r="C200" t="s">
        <v>230</v>
      </c>
      <c r="D200" t="s">
        <v>51</v>
      </c>
      <c r="E200" t="s">
        <v>68</v>
      </c>
      <c r="F200" t="s">
        <v>46</v>
      </c>
      <c r="G200">
        <v>488</v>
      </c>
      <c r="H200">
        <v>19</v>
      </c>
      <c r="I200" t="s">
        <v>65</v>
      </c>
      <c r="J200">
        <v>10.8</v>
      </c>
      <c r="K200">
        <v>12.4</v>
      </c>
      <c r="L200">
        <v>56</v>
      </c>
      <c r="M200">
        <v>30</v>
      </c>
      <c r="N200" t="s">
        <v>48</v>
      </c>
      <c r="O200" t="s">
        <v>231</v>
      </c>
    </row>
    <row r="201" spans="1:15">
      <c r="A201" t="s">
        <v>289</v>
      </c>
      <c r="B201" t="s">
        <v>282</v>
      </c>
      <c r="C201" t="s">
        <v>230</v>
      </c>
      <c r="D201" t="s">
        <v>51</v>
      </c>
      <c r="E201" t="s">
        <v>52</v>
      </c>
      <c r="F201" t="s">
        <v>56</v>
      </c>
      <c r="G201">
        <v>64</v>
      </c>
      <c r="H201">
        <v>20</v>
      </c>
      <c r="I201" t="s">
        <v>65</v>
      </c>
      <c r="J201">
        <v>10</v>
      </c>
      <c r="K201">
        <v>12.4</v>
      </c>
      <c r="L201">
        <v>53</v>
      </c>
      <c r="M201">
        <v>34</v>
      </c>
      <c r="N201" t="s">
        <v>48</v>
      </c>
      <c r="O201" t="s">
        <v>231</v>
      </c>
    </row>
    <row r="202" spans="1:15">
      <c r="A202" t="s">
        <v>290</v>
      </c>
      <c r="B202" t="s">
        <v>282</v>
      </c>
      <c r="C202" t="s">
        <v>230</v>
      </c>
      <c r="D202" t="s">
        <v>51</v>
      </c>
      <c r="E202" t="s">
        <v>63</v>
      </c>
      <c r="F202" t="s">
        <v>46</v>
      </c>
      <c r="G202">
        <v>755</v>
      </c>
      <c r="H202">
        <v>18</v>
      </c>
      <c r="I202" t="s">
        <v>57</v>
      </c>
      <c r="J202">
        <v>9.4</v>
      </c>
      <c r="K202">
        <v>11.6</v>
      </c>
      <c r="L202">
        <v>55</v>
      </c>
      <c r="M202">
        <v>29</v>
      </c>
      <c r="N202" t="s">
        <v>48</v>
      </c>
      <c r="O202" t="s">
        <v>231</v>
      </c>
    </row>
    <row r="203" spans="1:15">
      <c r="A203" t="s">
        <v>291</v>
      </c>
      <c r="B203" t="s">
        <v>282</v>
      </c>
      <c r="C203" t="s">
        <v>230</v>
      </c>
      <c r="D203" t="s">
        <v>51</v>
      </c>
      <c r="E203" t="s">
        <v>77</v>
      </c>
      <c r="F203" t="s">
        <v>46</v>
      </c>
      <c r="G203">
        <v>781</v>
      </c>
      <c r="H203">
        <v>26</v>
      </c>
      <c r="I203" t="s">
        <v>47</v>
      </c>
      <c r="J203">
        <v>10.5</v>
      </c>
      <c r="K203">
        <v>12.1</v>
      </c>
      <c r="L203">
        <v>59</v>
      </c>
      <c r="M203">
        <v>33</v>
      </c>
      <c r="N203" t="s">
        <v>48</v>
      </c>
      <c r="O203" t="s">
        <v>231</v>
      </c>
    </row>
    <row r="204" spans="1:15">
      <c r="A204" t="s">
        <v>292</v>
      </c>
      <c r="B204" t="s">
        <v>282</v>
      </c>
      <c r="C204" t="s">
        <v>230</v>
      </c>
      <c r="D204" t="s">
        <v>51</v>
      </c>
      <c r="E204" t="s">
        <v>77</v>
      </c>
      <c r="F204" t="s">
        <v>53</v>
      </c>
      <c r="G204">
        <v>235</v>
      </c>
      <c r="H204">
        <v>25</v>
      </c>
      <c r="I204" t="s">
        <v>57</v>
      </c>
      <c r="J204">
        <v>9.3000000000000007</v>
      </c>
      <c r="K204">
        <v>12.6</v>
      </c>
      <c r="L204">
        <v>55</v>
      </c>
      <c r="M204">
        <v>33</v>
      </c>
      <c r="N204" t="s">
        <v>61</v>
      </c>
      <c r="O204" t="s">
        <v>231</v>
      </c>
    </row>
    <row r="205" spans="1:15">
      <c r="A205" t="s">
        <v>293</v>
      </c>
      <c r="B205" t="s">
        <v>282</v>
      </c>
      <c r="C205" t="s">
        <v>230</v>
      </c>
      <c r="D205" t="s">
        <v>51</v>
      </c>
      <c r="E205" t="s">
        <v>75</v>
      </c>
      <c r="F205" t="s">
        <v>56</v>
      </c>
      <c r="G205">
        <v>67</v>
      </c>
      <c r="H205">
        <v>25</v>
      </c>
      <c r="I205" t="s">
        <v>65</v>
      </c>
      <c r="J205">
        <v>9.6999999999999993</v>
      </c>
      <c r="K205">
        <v>13.1</v>
      </c>
      <c r="L205">
        <v>56</v>
      </c>
      <c r="M205">
        <v>31</v>
      </c>
      <c r="N205" t="s">
        <v>48</v>
      </c>
      <c r="O205" t="s">
        <v>231</v>
      </c>
    </row>
    <row r="206" spans="1:15">
      <c r="A206" t="s">
        <v>294</v>
      </c>
      <c r="B206" t="s">
        <v>282</v>
      </c>
      <c r="C206" t="s">
        <v>230</v>
      </c>
      <c r="D206" t="s">
        <v>51</v>
      </c>
      <c r="E206" t="s">
        <v>79</v>
      </c>
      <c r="F206" t="s">
        <v>53</v>
      </c>
      <c r="G206">
        <v>317</v>
      </c>
      <c r="H206">
        <v>15</v>
      </c>
      <c r="I206" t="s">
        <v>47</v>
      </c>
      <c r="J206">
        <v>9.8000000000000007</v>
      </c>
      <c r="K206">
        <v>12.4</v>
      </c>
      <c r="L206">
        <v>57</v>
      </c>
      <c r="M206">
        <v>31</v>
      </c>
      <c r="N206" t="s">
        <v>48</v>
      </c>
      <c r="O206" t="s">
        <v>231</v>
      </c>
    </row>
    <row r="207" spans="1:15">
      <c r="A207" t="s">
        <v>295</v>
      </c>
      <c r="B207" t="s">
        <v>282</v>
      </c>
      <c r="C207" t="s">
        <v>230</v>
      </c>
      <c r="D207" t="s">
        <v>51</v>
      </c>
      <c r="E207" t="s">
        <v>59</v>
      </c>
      <c r="F207" t="s">
        <v>46</v>
      </c>
      <c r="G207">
        <v>684</v>
      </c>
      <c r="H207">
        <v>29</v>
      </c>
      <c r="I207" t="s">
        <v>47</v>
      </c>
      <c r="J207">
        <v>10</v>
      </c>
      <c r="K207">
        <v>13</v>
      </c>
      <c r="L207">
        <v>56</v>
      </c>
      <c r="M207">
        <v>30</v>
      </c>
      <c r="N207" t="s">
        <v>48</v>
      </c>
      <c r="O207" t="s">
        <v>231</v>
      </c>
    </row>
    <row r="208" spans="1:15">
      <c r="A208" t="s">
        <v>296</v>
      </c>
      <c r="B208" t="s">
        <v>282</v>
      </c>
      <c r="C208" t="s">
        <v>230</v>
      </c>
      <c r="D208" t="s">
        <v>51</v>
      </c>
      <c r="E208" t="s">
        <v>100</v>
      </c>
      <c r="F208" t="s">
        <v>53</v>
      </c>
      <c r="G208">
        <v>244</v>
      </c>
      <c r="H208">
        <v>12</v>
      </c>
      <c r="I208" t="s">
        <v>65</v>
      </c>
      <c r="J208">
        <v>9.9</v>
      </c>
      <c r="K208">
        <v>12.4</v>
      </c>
      <c r="L208">
        <v>52</v>
      </c>
      <c r="M208">
        <v>35</v>
      </c>
      <c r="N208" t="s">
        <v>48</v>
      </c>
      <c r="O208" t="s">
        <v>231</v>
      </c>
    </row>
    <row r="209" spans="1:15">
      <c r="A209" t="s">
        <v>297</v>
      </c>
      <c r="B209" t="s">
        <v>282</v>
      </c>
      <c r="C209" t="s">
        <v>230</v>
      </c>
      <c r="D209" t="s">
        <v>51</v>
      </c>
      <c r="E209" t="s">
        <v>59</v>
      </c>
      <c r="F209" t="s">
        <v>60</v>
      </c>
      <c r="G209">
        <v>169</v>
      </c>
      <c r="H209">
        <v>19</v>
      </c>
      <c r="I209" t="s">
        <v>57</v>
      </c>
      <c r="J209">
        <v>9</v>
      </c>
      <c r="K209">
        <v>14</v>
      </c>
      <c r="L209">
        <v>55</v>
      </c>
      <c r="M209">
        <v>35</v>
      </c>
      <c r="N209" t="s">
        <v>48</v>
      </c>
      <c r="O209" t="s">
        <v>231</v>
      </c>
    </row>
    <row r="210" spans="1:15">
      <c r="A210" t="s">
        <v>298</v>
      </c>
      <c r="B210" t="s">
        <v>299</v>
      </c>
      <c r="C210" t="s">
        <v>300</v>
      </c>
      <c r="D210" t="s">
        <v>44</v>
      </c>
      <c r="E210" t="s">
        <v>45</v>
      </c>
      <c r="F210" t="s">
        <v>46</v>
      </c>
      <c r="G210">
        <v>540</v>
      </c>
      <c r="H210">
        <v>11</v>
      </c>
      <c r="I210" t="s">
        <v>65</v>
      </c>
      <c r="J210">
        <v>10.5</v>
      </c>
      <c r="K210">
        <v>12.2</v>
      </c>
      <c r="L210">
        <v>59</v>
      </c>
      <c r="M210">
        <v>29</v>
      </c>
      <c r="N210" t="s">
        <v>61</v>
      </c>
      <c r="O210" t="s">
        <v>301</v>
      </c>
    </row>
    <row r="211" spans="1:15">
      <c r="A211" t="s">
        <v>302</v>
      </c>
      <c r="B211" t="s">
        <v>299</v>
      </c>
      <c r="C211" t="s">
        <v>300</v>
      </c>
      <c r="D211" t="s">
        <v>51</v>
      </c>
      <c r="E211" t="s">
        <v>77</v>
      </c>
      <c r="F211" t="s">
        <v>64</v>
      </c>
      <c r="G211">
        <v>690</v>
      </c>
      <c r="H211">
        <v>12</v>
      </c>
      <c r="I211" t="s">
        <v>47</v>
      </c>
      <c r="J211">
        <v>9.1</v>
      </c>
      <c r="K211">
        <v>12.7</v>
      </c>
      <c r="L211">
        <v>56</v>
      </c>
      <c r="M211">
        <v>36</v>
      </c>
      <c r="N211" t="s">
        <v>61</v>
      </c>
      <c r="O211" t="s">
        <v>301</v>
      </c>
    </row>
    <row r="212" spans="1:15">
      <c r="A212" t="s">
        <v>303</v>
      </c>
      <c r="B212" t="s">
        <v>299</v>
      </c>
      <c r="C212" t="s">
        <v>300</v>
      </c>
      <c r="D212" t="s">
        <v>51</v>
      </c>
      <c r="E212" t="s">
        <v>68</v>
      </c>
      <c r="F212" t="s">
        <v>64</v>
      </c>
      <c r="G212">
        <v>1173</v>
      </c>
      <c r="H212">
        <v>21</v>
      </c>
      <c r="I212" t="s">
        <v>65</v>
      </c>
      <c r="J212">
        <v>10</v>
      </c>
      <c r="K212">
        <v>13.2</v>
      </c>
      <c r="L212">
        <v>55</v>
      </c>
      <c r="M212">
        <v>31</v>
      </c>
      <c r="N212" t="s">
        <v>48</v>
      </c>
      <c r="O212" t="s">
        <v>301</v>
      </c>
    </row>
    <row r="213" spans="1:15">
      <c r="A213" t="s">
        <v>304</v>
      </c>
      <c r="B213" t="s">
        <v>299</v>
      </c>
      <c r="C213" t="s">
        <v>300</v>
      </c>
      <c r="D213" t="s">
        <v>51</v>
      </c>
      <c r="E213" t="s">
        <v>127</v>
      </c>
      <c r="F213" t="s">
        <v>64</v>
      </c>
      <c r="G213">
        <v>730</v>
      </c>
      <c r="H213">
        <v>14</v>
      </c>
      <c r="I213" t="s">
        <v>57</v>
      </c>
      <c r="J213">
        <v>9.3000000000000007</v>
      </c>
      <c r="K213">
        <v>12.6</v>
      </c>
      <c r="L213">
        <v>56</v>
      </c>
      <c r="M213">
        <v>32</v>
      </c>
      <c r="N213" t="s">
        <v>61</v>
      </c>
      <c r="O213" t="s">
        <v>301</v>
      </c>
    </row>
    <row r="214" spans="1:15">
      <c r="A214" t="s">
        <v>305</v>
      </c>
      <c r="B214" t="s">
        <v>299</v>
      </c>
      <c r="C214" t="s">
        <v>300</v>
      </c>
      <c r="D214" t="s">
        <v>51</v>
      </c>
      <c r="E214" t="s">
        <v>63</v>
      </c>
      <c r="F214" t="s">
        <v>46</v>
      </c>
      <c r="G214">
        <v>654</v>
      </c>
      <c r="H214">
        <v>10</v>
      </c>
      <c r="I214" t="s">
        <v>47</v>
      </c>
      <c r="J214">
        <v>10.4</v>
      </c>
      <c r="K214">
        <v>12.1</v>
      </c>
      <c r="L214">
        <v>59</v>
      </c>
      <c r="M214">
        <v>32</v>
      </c>
      <c r="N214" t="s">
        <v>48</v>
      </c>
      <c r="O214" t="s">
        <v>301</v>
      </c>
    </row>
    <row r="215" spans="1:15">
      <c r="A215" t="s">
        <v>306</v>
      </c>
      <c r="B215" t="s">
        <v>299</v>
      </c>
      <c r="C215" t="s">
        <v>300</v>
      </c>
      <c r="D215" t="s">
        <v>51</v>
      </c>
      <c r="E215" t="s">
        <v>73</v>
      </c>
      <c r="F215" t="s">
        <v>56</v>
      </c>
      <c r="G215">
        <v>80</v>
      </c>
      <c r="H215">
        <v>14</v>
      </c>
      <c r="I215" t="s">
        <v>57</v>
      </c>
      <c r="J215">
        <v>9.1999999999999993</v>
      </c>
      <c r="K215">
        <v>13.4</v>
      </c>
      <c r="L215">
        <v>53</v>
      </c>
      <c r="M215">
        <v>37</v>
      </c>
      <c r="N215" t="s">
        <v>48</v>
      </c>
      <c r="O215" t="s">
        <v>301</v>
      </c>
    </row>
    <row r="216" spans="1:15">
      <c r="A216" t="s">
        <v>307</v>
      </c>
      <c r="B216" t="s">
        <v>299</v>
      </c>
      <c r="C216" t="s">
        <v>300</v>
      </c>
      <c r="D216" t="s">
        <v>51</v>
      </c>
      <c r="E216" t="s">
        <v>59</v>
      </c>
      <c r="F216" t="s">
        <v>64</v>
      </c>
      <c r="G216">
        <v>757</v>
      </c>
      <c r="H216">
        <v>17</v>
      </c>
      <c r="I216" t="s">
        <v>57</v>
      </c>
      <c r="J216">
        <v>10.3</v>
      </c>
      <c r="K216">
        <v>12.4</v>
      </c>
      <c r="L216">
        <v>53</v>
      </c>
      <c r="M216">
        <v>31</v>
      </c>
      <c r="N216" t="s">
        <v>48</v>
      </c>
      <c r="O216" t="s">
        <v>301</v>
      </c>
    </row>
    <row r="217" spans="1:15">
      <c r="A217" t="s">
        <v>308</v>
      </c>
      <c r="B217" t="s">
        <v>299</v>
      </c>
      <c r="C217" t="s">
        <v>300</v>
      </c>
      <c r="D217" t="s">
        <v>51</v>
      </c>
      <c r="E217" t="s">
        <v>110</v>
      </c>
      <c r="F217" t="s">
        <v>60</v>
      </c>
      <c r="G217">
        <v>159</v>
      </c>
      <c r="H217">
        <v>14</v>
      </c>
      <c r="I217" t="s">
        <v>57</v>
      </c>
      <c r="J217">
        <v>9</v>
      </c>
      <c r="K217">
        <v>12.4</v>
      </c>
      <c r="L217">
        <v>57</v>
      </c>
      <c r="M217">
        <v>31</v>
      </c>
      <c r="N217" t="s">
        <v>61</v>
      </c>
      <c r="O217" t="s">
        <v>301</v>
      </c>
    </row>
    <row r="218" spans="1:15">
      <c r="A218" t="s">
        <v>309</v>
      </c>
      <c r="B218" t="s">
        <v>299</v>
      </c>
      <c r="C218" t="s">
        <v>300</v>
      </c>
      <c r="D218" t="s">
        <v>51</v>
      </c>
      <c r="E218" t="s">
        <v>110</v>
      </c>
      <c r="F218" t="s">
        <v>64</v>
      </c>
      <c r="G218">
        <v>1159</v>
      </c>
      <c r="H218">
        <v>16</v>
      </c>
      <c r="I218" t="s">
        <v>65</v>
      </c>
      <c r="J218">
        <v>9</v>
      </c>
      <c r="K218">
        <v>14.6</v>
      </c>
      <c r="L218">
        <v>56</v>
      </c>
      <c r="M218">
        <v>33</v>
      </c>
      <c r="N218" t="s">
        <v>61</v>
      </c>
      <c r="O218" t="s">
        <v>301</v>
      </c>
    </row>
    <row r="219" spans="1:15">
      <c r="A219" t="s">
        <v>310</v>
      </c>
      <c r="B219" t="s">
        <v>299</v>
      </c>
      <c r="C219" t="s">
        <v>300</v>
      </c>
      <c r="D219" t="s">
        <v>51</v>
      </c>
      <c r="E219" t="s">
        <v>59</v>
      </c>
      <c r="F219" t="s">
        <v>53</v>
      </c>
      <c r="G219">
        <v>243</v>
      </c>
      <c r="H219">
        <v>9</v>
      </c>
      <c r="I219" t="s">
        <v>57</v>
      </c>
      <c r="J219">
        <v>10</v>
      </c>
      <c r="K219">
        <v>13.8</v>
      </c>
      <c r="L219">
        <v>52</v>
      </c>
      <c r="M219">
        <v>34</v>
      </c>
      <c r="N219" t="s">
        <v>48</v>
      </c>
      <c r="O219" t="s">
        <v>301</v>
      </c>
    </row>
    <row r="220" spans="1:15">
      <c r="A220" t="s">
        <v>311</v>
      </c>
      <c r="B220" t="s">
        <v>299</v>
      </c>
      <c r="C220" t="s">
        <v>300</v>
      </c>
      <c r="D220" t="s">
        <v>51</v>
      </c>
      <c r="E220" t="s">
        <v>110</v>
      </c>
      <c r="F220" t="s">
        <v>56</v>
      </c>
      <c r="G220">
        <v>69</v>
      </c>
      <c r="H220">
        <v>23</v>
      </c>
      <c r="I220" t="s">
        <v>65</v>
      </c>
      <c r="J220">
        <v>9.3000000000000007</v>
      </c>
      <c r="K220">
        <v>12.4</v>
      </c>
      <c r="L220">
        <v>56</v>
      </c>
      <c r="M220">
        <v>31</v>
      </c>
      <c r="N220" t="s">
        <v>61</v>
      </c>
      <c r="O220" t="s">
        <v>301</v>
      </c>
    </row>
    <row r="221" spans="1:15">
      <c r="A221" t="s">
        <v>312</v>
      </c>
      <c r="B221" t="s">
        <v>299</v>
      </c>
      <c r="C221" t="s">
        <v>300</v>
      </c>
      <c r="D221" t="s">
        <v>51</v>
      </c>
      <c r="E221" t="s">
        <v>100</v>
      </c>
      <c r="F221" t="s">
        <v>56</v>
      </c>
      <c r="G221">
        <v>47</v>
      </c>
      <c r="H221">
        <v>12</v>
      </c>
      <c r="I221" t="s">
        <v>47</v>
      </c>
      <c r="J221">
        <v>9.1999999999999993</v>
      </c>
      <c r="K221">
        <v>14.2</v>
      </c>
      <c r="L221">
        <v>54</v>
      </c>
      <c r="M221">
        <v>31</v>
      </c>
      <c r="N221" t="s">
        <v>48</v>
      </c>
      <c r="O221" t="s">
        <v>301</v>
      </c>
    </row>
    <row r="222" spans="1:15">
      <c r="A222" t="s">
        <v>313</v>
      </c>
      <c r="B222" t="s">
        <v>299</v>
      </c>
      <c r="C222" t="s">
        <v>300</v>
      </c>
      <c r="D222" t="s">
        <v>51</v>
      </c>
      <c r="E222" t="s">
        <v>110</v>
      </c>
      <c r="F222" t="s">
        <v>56</v>
      </c>
      <c r="G222">
        <v>56</v>
      </c>
      <c r="H222">
        <v>24</v>
      </c>
      <c r="I222" t="s">
        <v>47</v>
      </c>
      <c r="J222">
        <v>9.1999999999999993</v>
      </c>
      <c r="K222">
        <v>14.4</v>
      </c>
      <c r="L222">
        <v>54</v>
      </c>
      <c r="M222">
        <v>34</v>
      </c>
      <c r="N222" t="s">
        <v>48</v>
      </c>
      <c r="O222" t="s">
        <v>301</v>
      </c>
    </row>
    <row r="223" spans="1:15">
      <c r="A223" t="s">
        <v>314</v>
      </c>
      <c r="B223" t="s">
        <v>299</v>
      </c>
      <c r="C223" t="s">
        <v>300</v>
      </c>
      <c r="D223" t="s">
        <v>51</v>
      </c>
      <c r="E223" t="s">
        <v>77</v>
      </c>
      <c r="F223" t="s">
        <v>56</v>
      </c>
      <c r="G223">
        <v>52</v>
      </c>
      <c r="H223">
        <v>10</v>
      </c>
      <c r="I223" t="s">
        <v>47</v>
      </c>
      <c r="J223">
        <v>10.3</v>
      </c>
      <c r="K223">
        <v>13.9</v>
      </c>
      <c r="L223">
        <v>55</v>
      </c>
      <c r="M223">
        <v>32</v>
      </c>
      <c r="N223" t="s">
        <v>48</v>
      </c>
      <c r="O223" t="s">
        <v>301</v>
      </c>
    </row>
    <row r="224" spans="1:15">
      <c r="A224" t="s">
        <v>315</v>
      </c>
      <c r="B224" t="s">
        <v>299</v>
      </c>
      <c r="C224" t="s">
        <v>300</v>
      </c>
      <c r="D224" t="s">
        <v>51</v>
      </c>
      <c r="E224" t="s">
        <v>68</v>
      </c>
      <c r="F224" t="s">
        <v>56</v>
      </c>
      <c r="G224">
        <v>43</v>
      </c>
      <c r="H224">
        <v>18</v>
      </c>
      <c r="I224" t="s">
        <v>47</v>
      </c>
      <c r="J224">
        <v>9</v>
      </c>
      <c r="K224">
        <v>14.1</v>
      </c>
      <c r="L224">
        <v>55</v>
      </c>
      <c r="M224">
        <v>34</v>
      </c>
      <c r="N224" t="s">
        <v>48</v>
      </c>
      <c r="O224" t="s">
        <v>301</v>
      </c>
    </row>
    <row r="225" spans="1:15">
      <c r="A225" t="s">
        <v>316</v>
      </c>
      <c r="B225" t="s">
        <v>299</v>
      </c>
      <c r="C225" t="s">
        <v>300</v>
      </c>
      <c r="D225" t="s">
        <v>51</v>
      </c>
      <c r="E225" t="s">
        <v>100</v>
      </c>
      <c r="F225" t="s">
        <v>56</v>
      </c>
      <c r="G225">
        <v>62</v>
      </c>
      <c r="H225">
        <v>12</v>
      </c>
      <c r="I225" t="s">
        <v>57</v>
      </c>
      <c r="J225">
        <v>8.9</v>
      </c>
      <c r="K225">
        <v>13.8</v>
      </c>
      <c r="L225">
        <v>56</v>
      </c>
      <c r="M225">
        <v>31</v>
      </c>
      <c r="N225" t="s">
        <v>61</v>
      </c>
      <c r="O225" t="s">
        <v>301</v>
      </c>
    </row>
    <row r="226" spans="1:15">
      <c r="A226" t="s">
        <v>317</v>
      </c>
      <c r="B226" t="s">
        <v>318</v>
      </c>
      <c r="C226" t="s">
        <v>300</v>
      </c>
      <c r="D226" t="s">
        <v>44</v>
      </c>
      <c r="E226" t="s">
        <v>45</v>
      </c>
      <c r="F226" t="s">
        <v>46</v>
      </c>
      <c r="G226">
        <v>577</v>
      </c>
      <c r="H226">
        <v>10</v>
      </c>
      <c r="I226" t="s">
        <v>65</v>
      </c>
      <c r="J226">
        <v>10.199999999999999</v>
      </c>
      <c r="K226">
        <v>11.9</v>
      </c>
      <c r="L226">
        <v>59</v>
      </c>
      <c r="M226">
        <v>31</v>
      </c>
      <c r="N226" t="s">
        <v>48</v>
      </c>
      <c r="O226" t="s">
        <v>301</v>
      </c>
    </row>
    <row r="227" spans="1:15">
      <c r="A227" t="s">
        <v>319</v>
      </c>
      <c r="B227" t="s">
        <v>318</v>
      </c>
      <c r="C227" t="s">
        <v>300</v>
      </c>
      <c r="D227" t="s">
        <v>51</v>
      </c>
      <c r="E227" t="s">
        <v>79</v>
      </c>
      <c r="F227" t="s">
        <v>53</v>
      </c>
      <c r="G227">
        <v>212</v>
      </c>
      <c r="H227">
        <v>13</v>
      </c>
      <c r="I227" t="s">
        <v>47</v>
      </c>
      <c r="J227">
        <v>9</v>
      </c>
      <c r="K227">
        <v>13.5</v>
      </c>
      <c r="L227">
        <v>54</v>
      </c>
      <c r="M227">
        <v>34</v>
      </c>
      <c r="N227" t="s">
        <v>48</v>
      </c>
      <c r="O227" t="s">
        <v>301</v>
      </c>
    </row>
    <row r="228" spans="1:15">
      <c r="A228" t="s">
        <v>320</v>
      </c>
      <c r="B228" t="s">
        <v>318</v>
      </c>
      <c r="C228" t="s">
        <v>300</v>
      </c>
      <c r="D228" t="s">
        <v>51</v>
      </c>
      <c r="E228" t="s">
        <v>100</v>
      </c>
      <c r="F228" t="s">
        <v>64</v>
      </c>
      <c r="G228">
        <v>731</v>
      </c>
      <c r="H228">
        <v>13</v>
      </c>
      <c r="I228" t="s">
        <v>57</v>
      </c>
      <c r="J228">
        <v>10</v>
      </c>
      <c r="K228">
        <v>13.7</v>
      </c>
      <c r="L228">
        <v>55</v>
      </c>
      <c r="M228">
        <v>32</v>
      </c>
      <c r="N228" t="s">
        <v>61</v>
      </c>
      <c r="O228" t="s">
        <v>301</v>
      </c>
    </row>
    <row r="229" spans="1:15">
      <c r="A229" t="s">
        <v>321</v>
      </c>
      <c r="B229" t="s">
        <v>318</v>
      </c>
      <c r="C229" t="s">
        <v>300</v>
      </c>
      <c r="D229" t="s">
        <v>51</v>
      </c>
      <c r="E229" t="s">
        <v>75</v>
      </c>
      <c r="F229" t="s">
        <v>53</v>
      </c>
      <c r="G229">
        <v>297</v>
      </c>
      <c r="H229">
        <v>18</v>
      </c>
      <c r="I229" t="s">
        <v>65</v>
      </c>
      <c r="J229">
        <v>10.3</v>
      </c>
      <c r="K229">
        <v>13.1</v>
      </c>
      <c r="L229">
        <v>53</v>
      </c>
      <c r="M229">
        <v>32</v>
      </c>
      <c r="N229" t="s">
        <v>61</v>
      </c>
      <c r="O229" t="s">
        <v>301</v>
      </c>
    </row>
    <row r="230" spans="1:15">
      <c r="A230" t="s">
        <v>322</v>
      </c>
      <c r="B230" t="s">
        <v>318</v>
      </c>
      <c r="C230" t="s">
        <v>300</v>
      </c>
      <c r="D230" t="s">
        <v>51</v>
      </c>
      <c r="E230" t="s">
        <v>68</v>
      </c>
      <c r="F230" t="s">
        <v>60</v>
      </c>
      <c r="G230">
        <v>131</v>
      </c>
      <c r="H230">
        <v>17</v>
      </c>
      <c r="I230" t="s">
        <v>57</v>
      </c>
      <c r="J230">
        <v>9.1</v>
      </c>
      <c r="K230">
        <v>14.9</v>
      </c>
      <c r="L230">
        <v>52</v>
      </c>
      <c r="M230">
        <v>34</v>
      </c>
      <c r="N230" t="s">
        <v>48</v>
      </c>
      <c r="O230" t="s">
        <v>301</v>
      </c>
    </row>
    <row r="231" spans="1:15">
      <c r="A231" t="s">
        <v>323</v>
      </c>
      <c r="B231" t="s">
        <v>318</v>
      </c>
      <c r="C231" t="s">
        <v>300</v>
      </c>
      <c r="D231" t="s">
        <v>51</v>
      </c>
      <c r="E231" t="s">
        <v>68</v>
      </c>
      <c r="F231" t="s">
        <v>53</v>
      </c>
      <c r="G231">
        <v>221</v>
      </c>
      <c r="H231">
        <v>16</v>
      </c>
      <c r="I231" t="s">
        <v>65</v>
      </c>
      <c r="J231">
        <v>10.1</v>
      </c>
      <c r="K231">
        <v>12.6</v>
      </c>
      <c r="L231">
        <v>52</v>
      </c>
      <c r="M231">
        <v>35</v>
      </c>
      <c r="N231" t="s">
        <v>48</v>
      </c>
      <c r="O231" t="s">
        <v>301</v>
      </c>
    </row>
    <row r="232" spans="1:15">
      <c r="A232" t="s">
        <v>324</v>
      </c>
      <c r="B232" t="s">
        <v>318</v>
      </c>
      <c r="C232" t="s">
        <v>300</v>
      </c>
      <c r="D232" t="s">
        <v>51</v>
      </c>
      <c r="E232" t="s">
        <v>55</v>
      </c>
      <c r="F232" t="s">
        <v>64</v>
      </c>
      <c r="G232">
        <v>1201</v>
      </c>
      <c r="H232">
        <v>20</v>
      </c>
      <c r="I232" t="s">
        <v>47</v>
      </c>
      <c r="J232">
        <v>8.9</v>
      </c>
      <c r="K232">
        <v>14.1</v>
      </c>
      <c r="L232">
        <v>53</v>
      </c>
      <c r="M232">
        <v>33</v>
      </c>
      <c r="N232" t="s">
        <v>48</v>
      </c>
      <c r="O232" t="s">
        <v>301</v>
      </c>
    </row>
    <row r="233" spans="1:15">
      <c r="A233" t="s">
        <v>325</v>
      </c>
      <c r="B233" t="s">
        <v>318</v>
      </c>
      <c r="C233" t="s">
        <v>300</v>
      </c>
      <c r="D233" t="s">
        <v>51</v>
      </c>
      <c r="E233" t="s">
        <v>110</v>
      </c>
      <c r="F233" t="s">
        <v>46</v>
      </c>
      <c r="G233">
        <v>719</v>
      </c>
      <c r="H233">
        <v>6</v>
      </c>
      <c r="I233" t="s">
        <v>47</v>
      </c>
      <c r="J233">
        <v>10.9</v>
      </c>
      <c r="K233">
        <v>12.6</v>
      </c>
      <c r="L233">
        <v>58</v>
      </c>
      <c r="M233">
        <v>33</v>
      </c>
      <c r="N233" t="s">
        <v>48</v>
      </c>
      <c r="O233" t="s">
        <v>301</v>
      </c>
    </row>
    <row r="234" spans="1:15">
      <c r="A234" t="s">
        <v>326</v>
      </c>
      <c r="B234" t="s">
        <v>318</v>
      </c>
      <c r="C234" t="s">
        <v>300</v>
      </c>
      <c r="D234" t="s">
        <v>51</v>
      </c>
      <c r="E234" t="s">
        <v>68</v>
      </c>
      <c r="F234" t="s">
        <v>53</v>
      </c>
      <c r="G234">
        <v>283</v>
      </c>
      <c r="H234">
        <v>14</v>
      </c>
      <c r="I234" t="s">
        <v>47</v>
      </c>
      <c r="J234">
        <v>9.1999999999999993</v>
      </c>
      <c r="K234">
        <v>13.2</v>
      </c>
      <c r="L234">
        <v>56</v>
      </c>
      <c r="M234">
        <v>32</v>
      </c>
      <c r="N234" t="s">
        <v>48</v>
      </c>
      <c r="O234" t="s">
        <v>301</v>
      </c>
    </row>
    <row r="235" spans="1:15">
      <c r="A235" t="s">
        <v>327</v>
      </c>
      <c r="B235" t="s">
        <v>318</v>
      </c>
      <c r="C235" t="s">
        <v>300</v>
      </c>
      <c r="D235" t="s">
        <v>51</v>
      </c>
      <c r="E235" t="s">
        <v>100</v>
      </c>
      <c r="F235" t="s">
        <v>46</v>
      </c>
      <c r="G235">
        <v>659</v>
      </c>
      <c r="H235">
        <v>23</v>
      </c>
      <c r="I235" t="s">
        <v>47</v>
      </c>
      <c r="J235">
        <v>10.4</v>
      </c>
      <c r="K235">
        <v>11.5</v>
      </c>
      <c r="L235">
        <v>56</v>
      </c>
      <c r="M235">
        <v>31</v>
      </c>
      <c r="N235" t="s">
        <v>48</v>
      </c>
      <c r="O235" t="s">
        <v>301</v>
      </c>
    </row>
    <row r="236" spans="1:15">
      <c r="A236" t="s">
        <v>328</v>
      </c>
      <c r="B236" t="s">
        <v>318</v>
      </c>
      <c r="C236" t="s">
        <v>300</v>
      </c>
      <c r="D236" t="s">
        <v>51</v>
      </c>
      <c r="E236" t="s">
        <v>73</v>
      </c>
      <c r="F236" t="s">
        <v>56</v>
      </c>
      <c r="G236">
        <v>63</v>
      </c>
      <c r="H236">
        <v>9</v>
      </c>
      <c r="I236" t="s">
        <v>57</v>
      </c>
      <c r="J236">
        <v>9.1999999999999993</v>
      </c>
      <c r="K236">
        <v>13.5</v>
      </c>
      <c r="L236">
        <v>52</v>
      </c>
      <c r="M236">
        <v>36</v>
      </c>
      <c r="N236" t="s">
        <v>48</v>
      </c>
      <c r="O236" t="s">
        <v>301</v>
      </c>
    </row>
    <row r="237" spans="1:15">
      <c r="A237" t="s">
        <v>329</v>
      </c>
      <c r="B237" t="s">
        <v>318</v>
      </c>
      <c r="C237" t="s">
        <v>300</v>
      </c>
      <c r="D237" t="s">
        <v>51</v>
      </c>
      <c r="E237" t="s">
        <v>70</v>
      </c>
      <c r="F237" t="s">
        <v>53</v>
      </c>
      <c r="G237">
        <v>221</v>
      </c>
      <c r="H237">
        <v>10</v>
      </c>
      <c r="I237" t="s">
        <v>65</v>
      </c>
      <c r="J237">
        <v>10.1</v>
      </c>
      <c r="K237">
        <v>13</v>
      </c>
      <c r="L237">
        <v>56</v>
      </c>
      <c r="M237">
        <v>33</v>
      </c>
      <c r="N237" t="s">
        <v>48</v>
      </c>
      <c r="O237" t="s">
        <v>301</v>
      </c>
    </row>
    <row r="238" spans="1:15">
      <c r="A238" t="s">
        <v>330</v>
      </c>
      <c r="B238" t="s">
        <v>318</v>
      </c>
      <c r="C238" t="s">
        <v>300</v>
      </c>
      <c r="D238" t="s">
        <v>51</v>
      </c>
      <c r="E238" t="s">
        <v>75</v>
      </c>
      <c r="F238" t="s">
        <v>64</v>
      </c>
      <c r="G238">
        <v>1069</v>
      </c>
      <c r="H238">
        <v>15</v>
      </c>
      <c r="I238" t="s">
        <v>47</v>
      </c>
      <c r="J238">
        <v>10</v>
      </c>
      <c r="K238">
        <v>13.2</v>
      </c>
      <c r="L238">
        <v>56</v>
      </c>
      <c r="M238">
        <v>36</v>
      </c>
      <c r="N238" t="s">
        <v>48</v>
      </c>
      <c r="O238" t="s">
        <v>301</v>
      </c>
    </row>
    <row r="239" spans="1:15">
      <c r="A239" t="s">
        <v>331</v>
      </c>
      <c r="B239" t="s">
        <v>318</v>
      </c>
      <c r="C239" t="s">
        <v>300</v>
      </c>
      <c r="D239" t="s">
        <v>51</v>
      </c>
      <c r="E239" t="s">
        <v>79</v>
      </c>
      <c r="F239" t="s">
        <v>56</v>
      </c>
      <c r="G239">
        <v>43</v>
      </c>
      <c r="H239">
        <v>16</v>
      </c>
      <c r="I239" t="s">
        <v>57</v>
      </c>
      <c r="J239">
        <v>9.3000000000000007</v>
      </c>
      <c r="K239">
        <v>14.2</v>
      </c>
      <c r="L239">
        <v>57</v>
      </c>
      <c r="M239">
        <v>32</v>
      </c>
      <c r="N239" t="s">
        <v>48</v>
      </c>
      <c r="O239" t="s">
        <v>301</v>
      </c>
    </row>
    <row r="240" spans="1:15">
      <c r="A240" t="s">
        <v>332</v>
      </c>
      <c r="B240" t="s">
        <v>318</v>
      </c>
      <c r="C240" t="s">
        <v>300</v>
      </c>
      <c r="D240" t="s">
        <v>51</v>
      </c>
      <c r="E240" t="s">
        <v>79</v>
      </c>
      <c r="F240" t="s">
        <v>60</v>
      </c>
      <c r="G240">
        <v>222</v>
      </c>
      <c r="H240">
        <v>17</v>
      </c>
      <c r="I240" t="s">
        <v>47</v>
      </c>
      <c r="J240">
        <v>9.6999999999999993</v>
      </c>
      <c r="K240">
        <v>13.2</v>
      </c>
      <c r="L240">
        <v>57</v>
      </c>
      <c r="M240">
        <v>32</v>
      </c>
      <c r="N240" t="s">
        <v>61</v>
      </c>
      <c r="O240" t="s">
        <v>301</v>
      </c>
    </row>
    <row r="241" spans="1:15">
      <c r="A241" t="s">
        <v>333</v>
      </c>
      <c r="B241" t="s">
        <v>318</v>
      </c>
      <c r="C241" t="s">
        <v>300</v>
      </c>
      <c r="D241" t="s">
        <v>51</v>
      </c>
      <c r="E241" t="s">
        <v>88</v>
      </c>
      <c r="F241" t="s">
        <v>53</v>
      </c>
      <c r="G241">
        <v>292</v>
      </c>
      <c r="H241">
        <v>19</v>
      </c>
      <c r="I241" t="s">
        <v>47</v>
      </c>
      <c r="J241">
        <v>8.9</v>
      </c>
      <c r="K241">
        <v>12.4</v>
      </c>
      <c r="L241">
        <v>56</v>
      </c>
      <c r="M241">
        <v>31</v>
      </c>
      <c r="N241" t="s">
        <v>48</v>
      </c>
      <c r="O241" t="s">
        <v>301</v>
      </c>
    </row>
    <row r="242" spans="1:15">
      <c r="A242" t="s">
        <v>334</v>
      </c>
      <c r="B242" t="s">
        <v>335</v>
      </c>
      <c r="C242" t="s">
        <v>300</v>
      </c>
      <c r="D242" t="s">
        <v>44</v>
      </c>
      <c r="E242" t="s">
        <v>45</v>
      </c>
      <c r="F242" t="s">
        <v>46</v>
      </c>
      <c r="G242">
        <v>737</v>
      </c>
      <c r="H242">
        <v>17</v>
      </c>
      <c r="I242" t="s">
        <v>57</v>
      </c>
      <c r="J242">
        <v>10.3</v>
      </c>
      <c r="K242">
        <v>13.1</v>
      </c>
      <c r="L242">
        <v>59</v>
      </c>
      <c r="M242">
        <v>31</v>
      </c>
      <c r="N242" t="s">
        <v>48</v>
      </c>
      <c r="O242" t="s">
        <v>301</v>
      </c>
    </row>
    <row r="243" spans="1:15">
      <c r="A243" t="s">
        <v>336</v>
      </c>
      <c r="B243" t="s">
        <v>335</v>
      </c>
      <c r="C243" t="s">
        <v>300</v>
      </c>
      <c r="D243" t="s">
        <v>51</v>
      </c>
      <c r="E243" t="s">
        <v>55</v>
      </c>
      <c r="F243" t="s">
        <v>60</v>
      </c>
      <c r="G243">
        <v>171</v>
      </c>
      <c r="H243">
        <v>10</v>
      </c>
      <c r="I243" t="s">
        <v>57</v>
      </c>
      <c r="J243">
        <v>9.6</v>
      </c>
      <c r="K243">
        <v>13.5</v>
      </c>
      <c r="L243">
        <v>56</v>
      </c>
      <c r="M243">
        <v>34</v>
      </c>
      <c r="N243" t="s">
        <v>48</v>
      </c>
      <c r="O243" t="s">
        <v>301</v>
      </c>
    </row>
    <row r="244" spans="1:15">
      <c r="A244" t="s">
        <v>337</v>
      </c>
      <c r="B244" t="s">
        <v>335</v>
      </c>
      <c r="C244" t="s">
        <v>300</v>
      </c>
      <c r="D244" t="s">
        <v>51</v>
      </c>
      <c r="E244" t="s">
        <v>77</v>
      </c>
      <c r="F244" t="s">
        <v>46</v>
      </c>
      <c r="G244">
        <v>691</v>
      </c>
      <c r="H244">
        <v>19</v>
      </c>
      <c r="I244" t="s">
        <v>65</v>
      </c>
      <c r="J244">
        <v>10.8</v>
      </c>
      <c r="K244">
        <v>13.3</v>
      </c>
      <c r="L244">
        <v>58</v>
      </c>
      <c r="M244">
        <v>31</v>
      </c>
      <c r="N244" t="s">
        <v>48</v>
      </c>
      <c r="O244" t="s">
        <v>301</v>
      </c>
    </row>
    <row r="245" spans="1:15">
      <c r="A245" t="s">
        <v>338</v>
      </c>
      <c r="B245" t="s">
        <v>335</v>
      </c>
      <c r="C245" t="s">
        <v>300</v>
      </c>
      <c r="D245" t="s">
        <v>51</v>
      </c>
      <c r="E245" t="s">
        <v>77</v>
      </c>
      <c r="F245" t="s">
        <v>56</v>
      </c>
      <c r="G245">
        <v>79</v>
      </c>
      <c r="H245">
        <v>9</v>
      </c>
      <c r="I245" t="s">
        <v>65</v>
      </c>
      <c r="J245">
        <v>9</v>
      </c>
      <c r="K245">
        <v>13.7</v>
      </c>
      <c r="L245">
        <v>55</v>
      </c>
      <c r="M245">
        <v>33</v>
      </c>
      <c r="N245" t="s">
        <v>48</v>
      </c>
      <c r="O245" t="s">
        <v>301</v>
      </c>
    </row>
    <row r="246" spans="1:15">
      <c r="A246" t="s">
        <v>339</v>
      </c>
      <c r="B246" t="s">
        <v>335</v>
      </c>
      <c r="C246" t="s">
        <v>300</v>
      </c>
      <c r="D246" t="s">
        <v>51</v>
      </c>
      <c r="E246" t="s">
        <v>79</v>
      </c>
      <c r="F246" t="s">
        <v>64</v>
      </c>
      <c r="G246">
        <v>981</v>
      </c>
      <c r="H246">
        <v>23</v>
      </c>
      <c r="I246" t="s">
        <v>65</v>
      </c>
      <c r="J246">
        <v>9.4</v>
      </c>
      <c r="K246">
        <v>14.1</v>
      </c>
      <c r="L246">
        <v>56</v>
      </c>
      <c r="M246">
        <v>32</v>
      </c>
      <c r="N246" t="s">
        <v>48</v>
      </c>
      <c r="O246" t="s">
        <v>301</v>
      </c>
    </row>
    <row r="247" spans="1:15">
      <c r="A247" t="s">
        <v>340</v>
      </c>
      <c r="B247" t="s">
        <v>335</v>
      </c>
      <c r="C247" t="s">
        <v>300</v>
      </c>
      <c r="D247" t="s">
        <v>51</v>
      </c>
      <c r="E247" t="s">
        <v>73</v>
      </c>
      <c r="F247" t="s">
        <v>46</v>
      </c>
      <c r="G247">
        <v>743</v>
      </c>
      <c r="H247">
        <v>10</v>
      </c>
      <c r="I247" t="s">
        <v>57</v>
      </c>
      <c r="J247">
        <v>10</v>
      </c>
      <c r="K247">
        <v>12.6</v>
      </c>
      <c r="L247">
        <v>56</v>
      </c>
      <c r="M247">
        <v>31</v>
      </c>
      <c r="N247" t="s">
        <v>61</v>
      </c>
      <c r="O247" t="s">
        <v>301</v>
      </c>
    </row>
    <row r="248" spans="1:15">
      <c r="A248" t="s">
        <v>341</v>
      </c>
      <c r="B248" t="s">
        <v>335</v>
      </c>
      <c r="C248" t="s">
        <v>300</v>
      </c>
      <c r="D248" t="s">
        <v>51</v>
      </c>
      <c r="E248" t="s">
        <v>68</v>
      </c>
      <c r="F248" t="s">
        <v>46</v>
      </c>
      <c r="G248">
        <v>462</v>
      </c>
      <c r="H248">
        <v>15</v>
      </c>
      <c r="I248" t="s">
        <v>57</v>
      </c>
      <c r="J248">
        <v>10.7</v>
      </c>
      <c r="K248">
        <v>11.7</v>
      </c>
      <c r="L248">
        <v>57</v>
      </c>
      <c r="M248">
        <v>31</v>
      </c>
      <c r="N248" t="s">
        <v>48</v>
      </c>
      <c r="O248" t="s">
        <v>301</v>
      </c>
    </row>
    <row r="249" spans="1:15">
      <c r="A249" t="s">
        <v>342</v>
      </c>
      <c r="B249" t="s">
        <v>335</v>
      </c>
      <c r="C249" t="s">
        <v>300</v>
      </c>
      <c r="D249" t="s">
        <v>51</v>
      </c>
      <c r="E249" t="s">
        <v>59</v>
      </c>
      <c r="F249" t="s">
        <v>64</v>
      </c>
      <c r="G249">
        <v>688</v>
      </c>
      <c r="H249">
        <v>13</v>
      </c>
      <c r="I249" t="s">
        <v>47</v>
      </c>
      <c r="J249">
        <v>8.6999999999999993</v>
      </c>
      <c r="K249">
        <v>14.7</v>
      </c>
      <c r="L249">
        <v>53</v>
      </c>
      <c r="M249">
        <v>35</v>
      </c>
      <c r="N249" t="s">
        <v>61</v>
      </c>
      <c r="O249" t="s">
        <v>301</v>
      </c>
    </row>
    <row r="250" spans="1:15">
      <c r="A250" t="s">
        <v>343</v>
      </c>
      <c r="B250" t="s">
        <v>335</v>
      </c>
      <c r="C250" t="s">
        <v>300</v>
      </c>
      <c r="D250" t="s">
        <v>51</v>
      </c>
      <c r="E250" t="s">
        <v>68</v>
      </c>
      <c r="F250" t="s">
        <v>60</v>
      </c>
      <c r="G250">
        <v>220</v>
      </c>
      <c r="H250">
        <v>16</v>
      </c>
      <c r="I250" t="s">
        <v>65</v>
      </c>
      <c r="J250">
        <v>9.1</v>
      </c>
      <c r="K250">
        <v>14.6</v>
      </c>
      <c r="L250">
        <v>55</v>
      </c>
      <c r="M250">
        <v>35</v>
      </c>
      <c r="N250" t="s">
        <v>61</v>
      </c>
      <c r="O250" t="s">
        <v>301</v>
      </c>
    </row>
    <row r="251" spans="1:15">
      <c r="A251" t="s">
        <v>344</v>
      </c>
      <c r="B251" t="s">
        <v>335</v>
      </c>
      <c r="C251" t="s">
        <v>300</v>
      </c>
      <c r="D251" t="s">
        <v>51</v>
      </c>
      <c r="E251" t="s">
        <v>59</v>
      </c>
      <c r="F251" t="s">
        <v>53</v>
      </c>
      <c r="G251">
        <v>312</v>
      </c>
      <c r="H251">
        <v>9</v>
      </c>
      <c r="I251" t="s">
        <v>57</v>
      </c>
      <c r="J251">
        <v>9.3000000000000007</v>
      </c>
      <c r="K251">
        <v>14.4</v>
      </c>
      <c r="L251">
        <v>56</v>
      </c>
      <c r="M251">
        <v>32</v>
      </c>
      <c r="N251" t="s">
        <v>48</v>
      </c>
      <c r="O251" t="s">
        <v>301</v>
      </c>
    </row>
    <row r="252" spans="1:15">
      <c r="A252" t="s">
        <v>345</v>
      </c>
      <c r="B252" t="s">
        <v>335</v>
      </c>
      <c r="C252" t="s">
        <v>300</v>
      </c>
      <c r="D252" t="s">
        <v>51</v>
      </c>
      <c r="E252" t="s">
        <v>55</v>
      </c>
      <c r="F252" t="s">
        <v>64</v>
      </c>
      <c r="G252">
        <v>765</v>
      </c>
      <c r="H252">
        <v>15</v>
      </c>
      <c r="I252" t="s">
        <v>47</v>
      </c>
      <c r="J252">
        <v>10.199999999999999</v>
      </c>
      <c r="K252">
        <v>13.4</v>
      </c>
      <c r="L252">
        <v>55</v>
      </c>
      <c r="M252">
        <v>32</v>
      </c>
      <c r="N252" t="s">
        <v>48</v>
      </c>
      <c r="O252" t="s">
        <v>301</v>
      </c>
    </row>
    <row r="253" spans="1:15">
      <c r="A253" t="s">
        <v>346</v>
      </c>
      <c r="B253" t="s">
        <v>335</v>
      </c>
      <c r="C253" t="s">
        <v>300</v>
      </c>
      <c r="D253" t="s">
        <v>51</v>
      </c>
      <c r="E253" t="s">
        <v>127</v>
      </c>
      <c r="F253" t="s">
        <v>64</v>
      </c>
      <c r="G253">
        <v>998</v>
      </c>
      <c r="H253">
        <v>24</v>
      </c>
      <c r="I253" t="s">
        <v>65</v>
      </c>
      <c r="J253">
        <v>10.199999999999999</v>
      </c>
      <c r="K253">
        <v>14.1</v>
      </c>
      <c r="L253">
        <v>55</v>
      </c>
      <c r="M253">
        <v>32</v>
      </c>
      <c r="N253" t="s">
        <v>48</v>
      </c>
      <c r="O253" t="s">
        <v>301</v>
      </c>
    </row>
    <row r="254" spans="1:15">
      <c r="A254" t="s">
        <v>347</v>
      </c>
      <c r="B254" t="s">
        <v>335</v>
      </c>
      <c r="C254" t="s">
        <v>300</v>
      </c>
      <c r="D254" t="s">
        <v>51</v>
      </c>
      <c r="E254" t="s">
        <v>77</v>
      </c>
      <c r="F254" t="s">
        <v>53</v>
      </c>
      <c r="G254">
        <v>226</v>
      </c>
      <c r="H254">
        <v>25</v>
      </c>
      <c r="I254" t="s">
        <v>47</v>
      </c>
      <c r="J254">
        <v>9.5</v>
      </c>
      <c r="K254">
        <v>13.2</v>
      </c>
      <c r="L254">
        <v>54</v>
      </c>
      <c r="M254">
        <v>34</v>
      </c>
      <c r="N254" t="s">
        <v>61</v>
      </c>
      <c r="O254" t="s">
        <v>301</v>
      </c>
    </row>
    <row r="255" spans="1:15">
      <c r="A255" t="s">
        <v>348</v>
      </c>
      <c r="B255" t="s">
        <v>335</v>
      </c>
      <c r="C255" t="s">
        <v>300</v>
      </c>
      <c r="D255" t="s">
        <v>51</v>
      </c>
      <c r="E255" t="s">
        <v>63</v>
      </c>
      <c r="F255" t="s">
        <v>53</v>
      </c>
      <c r="G255">
        <v>227</v>
      </c>
      <c r="H255">
        <v>16</v>
      </c>
      <c r="I255" t="s">
        <v>47</v>
      </c>
      <c r="J255">
        <v>9.4</v>
      </c>
      <c r="K255">
        <v>12.4</v>
      </c>
      <c r="L255">
        <v>56</v>
      </c>
      <c r="M255">
        <v>33</v>
      </c>
      <c r="N255" t="s">
        <v>48</v>
      </c>
      <c r="O255" t="s">
        <v>301</v>
      </c>
    </row>
    <row r="256" spans="1:15">
      <c r="A256" t="s">
        <v>349</v>
      </c>
      <c r="B256" t="s">
        <v>335</v>
      </c>
      <c r="C256" t="s">
        <v>300</v>
      </c>
      <c r="D256" t="s">
        <v>51</v>
      </c>
      <c r="E256" t="s">
        <v>100</v>
      </c>
      <c r="F256" t="s">
        <v>64</v>
      </c>
      <c r="G256">
        <v>995</v>
      </c>
      <c r="H256">
        <v>13</v>
      </c>
      <c r="I256" t="s">
        <v>47</v>
      </c>
      <c r="J256">
        <v>10.3</v>
      </c>
      <c r="K256">
        <v>12.4</v>
      </c>
      <c r="L256">
        <v>53</v>
      </c>
      <c r="M256">
        <v>32</v>
      </c>
      <c r="N256" t="s">
        <v>48</v>
      </c>
      <c r="O256" t="s">
        <v>301</v>
      </c>
    </row>
    <row r="257" spans="1:15">
      <c r="A257" t="s">
        <v>350</v>
      </c>
      <c r="B257" t="s">
        <v>335</v>
      </c>
      <c r="C257" t="s">
        <v>300</v>
      </c>
      <c r="D257" t="s">
        <v>51</v>
      </c>
      <c r="E257" t="s">
        <v>52</v>
      </c>
      <c r="F257" t="s">
        <v>46</v>
      </c>
      <c r="G257">
        <v>571</v>
      </c>
      <c r="H257">
        <v>15</v>
      </c>
      <c r="I257" t="s">
        <v>57</v>
      </c>
      <c r="J257">
        <v>9.9</v>
      </c>
      <c r="K257">
        <v>12.2</v>
      </c>
      <c r="L257">
        <v>56</v>
      </c>
      <c r="M257">
        <v>30</v>
      </c>
      <c r="N257" t="s">
        <v>61</v>
      </c>
      <c r="O257" t="s">
        <v>301</v>
      </c>
    </row>
    <row r="258" spans="1:15">
      <c r="A258" t="s">
        <v>351</v>
      </c>
      <c r="B258" t="s">
        <v>352</v>
      </c>
      <c r="C258" t="s">
        <v>353</v>
      </c>
      <c r="D258" t="s">
        <v>44</v>
      </c>
      <c r="E258" t="s">
        <v>45</v>
      </c>
      <c r="F258" t="s">
        <v>46</v>
      </c>
      <c r="G258">
        <v>797</v>
      </c>
      <c r="H258">
        <v>23</v>
      </c>
      <c r="I258" t="s">
        <v>47</v>
      </c>
      <c r="J258">
        <v>9.6999999999999993</v>
      </c>
      <c r="K258">
        <v>12.7</v>
      </c>
      <c r="L258">
        <v>58</v>
      </c>
      <c r="M258">
        <v>33</v>
      </c>
      <c r="N258" t="s">
        <v>48</v>
      </c>
      <c r="O258" t="s">
        <v>354</v>
      </c>
    </row>
    <row r="259" spans="1:15">
      <c r="A259" t="s">
        <v>355</v>
      </c>
      <c r="B259" t="s">
        <v>352</v>
      </c>
      <c r="C259" t="s">
        <v>353</v>
      </c>
      <c r="D259" t="s">
        <v>51</v>
      </c>
      <c r="E259" t="s">
        <v>70</v>
      </c>
      <c r="F259" t="s">
        <v>46</v>
      </c>
      <c r="G259">
        <v>623</v>
      </c>
      <c r="H259">
        <v>20</v>
      </c>
      <c r="I259" t="s">
        <v>65</v>
      </c>
      <c r="J259">
        <v>10.3</v>
      </c>
      <c r="K259">
        <v>11.9</v>
      </c>
      <c r="L259">
        <v>59</v>
      </c>
      <c r="M259">
        <v>32</v>
      </c>
      <c r="N259" t="s">
        <v>61</v>
      </c>
      <c r="O259" t="s">
        <v>354</v>
      </c>
    </row>
    <row r="260" spans="1:15">
      <c r="A260" t="s">
        <v>356</v>
      </c>
      <c r="B260" t="s">
        <v>352</v>
      </c>
      <c r="C260" t="s">
        <v>353</v>
      </c>
      <c r="D260" t="s">
        <v>51</v>
      </c>
      <c r="E260" t="s">
        <v>52</v>
      </c>
      <c r="F260" t="s">
        <v>53</v>
      </c>
      <c r="G260">
        <v>311</v>
      </c>
      <c r="H260">
        <v>19</v>
      </c>
      <c r="I260" t="s">
        <v>65</v>
      </c>
      <c r="J260">
        <v>9.1999999999999993</v>
      </c>
      <c r="K260">
        <v>14.3</v>
      </c>
      <c r="L260">
        <v>55</v>
      </c>
      <c r="M260">
        <v>35</v>
      </c>
      <c r="N260" t="s">
        <v>61</v>
      </c>
      <c r="O260" t="s">
        <v>354</v>
      </c>
    </row>
    <row r="261" spans="1:15">
      <c r="A261" t="s">
        <v>357</v>
      </c>
      <c r="B261" t="s">
        <v>352</v>
      </c>
      <c r="C261" t="s">
        <v>353</v>
      </c>
      <c r="D261" t="s">
        <v>51</v>
      </c>
      <c r="E261" t="s">
        <v>55</v>
      </c>
      <c r="F261" t="s">
        <v>60</v>
      </c>
      <c r="G261">
        <v>239</v>
      </c>
      <c r="H261">
        <v>24</v>
      </c>
      <c r="I261" t="s">
        <v>57</v>
      </c>
      <c r="J261">
        <v>9.9</v>
      </c>
      <c r="K261">
        <v>13.2</v>
      </c>
      <c r="L261">
        <v>52</v>
      </c>
      <c r="M261">
        <v>33</v>
      </c>
      <c r="N261" t="s">
        <v>48</v>
      </c>
      <c r="O261" t="s">
        <v>354</v>
      </c>
    </row>
    <row r="262" spans="1:15">
      <c r="A262" t="s">
        <v>358</v>
      </c>
      <c r="B262" t="s">
        <v>352</v>
      </c>
      <c r="C262" t="s">
        <v>353</v>
      </c>
      <c r="D262" t="s">
        <v>51</v>
      </c>
      <c r="E262" t="s">
        <v>81</v>
      </c>
      <c r="F262" t="s">
        <v>46</v>
      </c>
      <c r="G262">
        <v>633</v>
      </c>
      <c r="H262">
        <v>11</v>
      </c>
      <c r="I262" t="s">
        <v>47</v>
      </c>
      <c r="J262">
        <v>10.7</v>
      </c>
      <c r="K262">
        <v>12.7</v>
      </c>
      <c r="L262">
        <v>55</v>
      </c>
      <c r="M262">
        <v>30</v>
      </c>
      <c r="N262" t="s">
        <v>48</v>
      </c>
      <c r="O262" t="s">
        <v>354</v>
      </c>
    </row>
    <row r="263" spans="1:15">
      <c r="A263" t="s">
        <v>359</v>
      </c>
      <c r="B263" t="s">
        <v>352</v>
      </c>
      <c r="C263" t="s">
        <v>353</v>
      </c>
      <c r="D263" t="s">
        <v>51</v>
      </c>
      <c r="E263" t="s">
        <v>110</v>
      </c>
      <c r="F263" t="s">
        <v>60</v>
      </c>
      <c r="G263">
        <v>176</v>
      </c>
      <c r="H263">
        <v>19</v>
      </c>
      <c r="I263" t="s">
        <v>57</v>
      </c>
      <c r="J263">
        <v>10.1</v>
      </c>
      <c r="K263">
        <v>12.4</v>
      </c>
      <c r="L263">
        <v>51</v>
      </c>
      <c r="M263">
        <v>36</v>
      </c>
      <c r="N263" t="s">
        <v>48</v>
      </c>
      <c r="O263" t="s">
        <v>354</v>
      </c>
    </row>
    <row r="264" spans="1:15">
      <c r="A264" t="s">
        <v>360</v>
      </c>
      <c r="B264" t="s">
        <v>352</v>
      </c>
      <c r="C264" t="s">
        <v>353</v>
      </c>
      <c r="D264" t="s">
        <v>51</v>
      </c>
      <c r="E264" t="s">
        <v>63</v>
      </c>
      <c r="F264" t="s">
        <v>60</v>
      </c>
      <c r="G264">
        <v>153</v>
      </c>
      <c r="H264">
        <v>10</v>
      </c>
      <c r="I264" t="s">
        <v>57</v>
      </c>
      <c r="J264">
        <v>9.6999999999999993</v>
      </c>
      <c r="K264">
        <v>12.6</v>
      </c>
      <c r="L264">
        <v>53</v>
      </c>
      <c r="M264">
        <v>37</v>
      </c>
      <c r="N264" t="s">
        <v>61</v>
      </c>
      <c r="O264" t="s">
        <v>354</v>
      </c>
    </row>
    <row r="265" spans="1:15">
      <c r="A265" t="s">
        <v>361</v>
      </c>
      <c r="B265" t="s">
        <v>352</v>
      </c>
      <c r="C265" t="s">
        <v>353</v>
      </c>
      <c r="D265" t="s">
        <v>51</v>
      </c>
      <c r="E265" t="s">
        <v>110</v>
      </c>
      <c r="F265" t="s">
        <v>53</v>
      </c>
      <c r="G265">
        <v>215</v>
      </c>
      <c r="H265">
        <v>20</v>
      </c>
      <c r="I265" t="s">
        <v>47</v>
      </c>
      <c r="J265">
        <v>9</v>
      </c>
      <c r="K265">
        <v>13.4</v>
      </c>
      <c r="L265">
        <v>55</v>
      </c>
      <c r="M265">
        <v>34</v>
      </c>
      <c r="N265" t="s">
        <v>48</v>
      </c>
      <c r="O265" t="s">
        <v>354</v>
      </c>
    </row>
    <row r="266" spans="1:15">
      <c r="A266" t="s">
        <v>362</v>
      </c>
      <c r="B266" t="s">
        <v>352</v>
      </c>
      <c r="C266" t="s">
        <v>353</v>
      </c>
      <c r="D266" t="s">
        <v>51</v>
      </c>
      <c r="E266" t="s">
        <v>127</v>
      </c>
      <c r="F266" t="s">
        <v>46</v>
      </c>
      <c r="G266">
        <v>497</v>
      </c>
      <c r="H266">
        <v>6</v>
      </c>
      <c r="I266" t="s">
        <v>65</v>
      </c>
      <c r="J266">
        <v>10</v>
      </c>
      <c r="K266">
        <v>13.1</v>
      </c>
      <c r="L266">
        <v>56</v>
      </c>
      <c r="M266">
        <v>29</v>
      </c>
      <c r="N266" t="s">
        <v>61</v>
      </c>
      <c r="O266" t="s">
        <v>354</v>
      </c>
    </row>
    <row r="267" spans="1:15">
      <c r="A267" t="s">
        <v>363</v>
      </c>
      <c r="B267" t="s">
        <v>352</v>
      </c>
      <c r="C267" t="s">
        <v>353</v>
      </c>
      <c r="D267" t="s">
        <v>51</v>
      </c>
      <c r="E267" t="s">
        <v>52</v>
      </c>
      <c r="F267" t="s">
        <v>56</v>
      </c>
      <c r="G267">
        <v>45</v>
      </c>
      <c r="H267">
        <v>17</v>
      </c>
      <c r="I267" t="s">
        <v>47</v>
      </c>
      <c r="J267">
        <v>9.1999999999999993</v>
      </c>
      <c r="K267">
        <v>12.6</v>
      </c>
      <c r="L267">
        <v>54</v>
      </c>
      <c r="M267">
        <v>32</v>
      </c>
      <c r="N267" t="s">
        <v>48</v>
      </c>
      <c r="O267" t="s">
        <v>354</v>
      </c>
    </row>
    <row r="268" spans="1:15">
      <c r="A268" t="s">
        <v>364</v>
      </c>
      <c r="B268" t="s">
        <v>352</v>
      </c>
      <c r="C268" t="s">
        <v>353</v>
      </c>
      <c r="D268" t="s">
        <v>51</v>
      </c>
      <c r="E268" t="s">
        <v>81</v>
      </c>
      <c r="F268" t="s">
        <v>60</v>
      </c>
      <c r="G268">
        <v>234</v>
      </c>
      <c r="H268">
        <v>16</v>
      </c>
      <c r="I268" t="s">
        <v>65</v>
      </c>
      <c r="J268">
        <v>10</v>
      </c>
      <c r="K268">
        <v>13.7</v>
      </c>
      <c r="L268">
        <v>56</v>
      </c>
      <c r="M268">
        <v>32</v>
      </c>
      <c r="N268" t="s">
        <v>61</v>
      </c>
      <c r="O268" t="s">
        <v>354</v>
      </c>
    </row>
    <row r="269" spans="1:15">
      <c r="A269" t="s">
        <v>365</v>
      </c>
      <c r="B269" t="s">
        <v>352</v>
      </c>
      <c r="C269" t="s">
        <v>353</v>
      </c>
      <c r="D269" t="s">
        <v>51</v>
      </c>
      <c r="E269" t="s">
        <v>75</v>
      </c>
      <c r="F269" t="s">
        <v>46</v>
      </c>
      <c r="G269">
        <v>493</v>
      </c>
      <c r="H269">
        <v>24</v>
      </c>
      <c r="I269" t="s">
        <v>65</v>
      </c>
      <c r="J269">
        <v>10.4</v>
      </c>
      <c r="K269">
        <v>13</v>
      </c>
      <c r="L269">
        <v>55</v>
      </c>
      <c r="M269">
        <v>32</v>
      </c>
      <c r="N269" t="s">
        <v>48</v>
      </c>
      <c r="O269" t="s">
        <v>354</v>
      </c>
    </row>
    <row r="270" spans="1:15">
      <c r="A270" t="s">
        <v>366</v>
      </c>
      <c r="B270" t="s">
        <v>352</v>
      </c>
      <c r="C270" t="s">
        <v>353</v>
      </c>
      <c r="D270" t="s">
        <v>51</v>
      </c>
      <c r="E270" t="s">
        <v>81</v>
      </c>
      <c r="F270" t="s">
        <v>46</v>
      </c>
      <c r="G270">
        <v>534</v>
      </c>
      <c r="H270">
        <v>13</v>
      </c>
      <c r="I270" t="s">
        <v>65</v>
      </c>
      <c r="J270">
        <v>10.7</v>
      </c>
      <c r="K270">
        <v>12</v>
      </c>
      <c r="L270">
        <v>57</v>
      </c>
      <c r="M270">
        <v>30</v>
      </c>
      <c r="N270" t="s">
        <v>48</v>
      </c>
      <c r="O270" t="s">
        <v>354</v>
      </c>
    </row>
    <row r="271" spans="1:15">
      <c r="A271" t="s">
        <v>367</v>
      </c>
      <c r="B271" t="s">
        <v>352</v>
      </c>
      <c r="C271" t="s">
        <v>353</v>
      </c>
      <c r="D271" t="s">
        <v>51</v>
      </c>
      <c r="E271" t="s">
        <v>70</v>
      </c>
      <c r="F271" t="s">
        <v>60</v>
      </c>
      <c r="G271">
        <v>196</v>
      </c>
      <c r="H271">
        <v>15</v>
      </c>
      <c r="I271" t="s">
        <v>47</v>
      </c>
      <c r="J271">
        <v>10.199999999999999</v>
      </c>
      <c r="K271">
        <v>14.3</v>
      </c>
      <c r="L271">
        <v>54</v>
      </c>
      <c r="M271">
        <v>36</v>
      </c>
      <c r="N271" t="s">
        <v>61</v>
      </c>
      <c r="O271" t="s">
        <v>354</v>
      </c>
    </row>
    <row r="272" spans="1:15">
      <c r="A272" t="s">
        <v>368</v>
      </c>
      <c r="B272" t="s">
        <v>352</v>
      </c>
      <c r="C272" t="s">
        <v>353</v>
      </c>
      <c r="D272" t="s">
        <v>51</v>
      </c>
      <c r="E272" t="s">
        <v>81</v>
      </c>
      <c r="F272" t="s">
        <v>53</v>
      </c>
      <c r="G272">
        <v>251</v>
      </c>
      <c r="H272">
        <v>24</v>
      </c>
      <c r="I272" t="s">
        <v>65</v>
      </c>
      <c r="J272">
        <v>9.1999999999999993</v>
      </c>
      <c r="K272">
        <v>13.2</v>
      </c>
      <c r="L272">
        <v>53</v>
      </c>
      <c r="M272">
        <v>37</v>
      </c>
      <c r="N272" t="s">
        <v>48</v>
      </c>
      <c r="O272" t="s">
        <v>354</v>
      </c>
    </row>
    <row r="273" spans="1:15">
      <c r="A273" t="s">
        <v>369</v>
      </c>
      <c r="B273" t="s">
        <v>352</v>
      </c>
      <c r="C273" t="s">
        <v>353</v>
      </c>
      <c r="D273" t="s">
        <v>51</v>
      </c>
      <c r="E273" t="s">
        <v>81</v>
      </c>
      <c r="F273" t="s">
        <v>60</v>
      </c>
      <c r="G273">
        <v>157</v>
      </c>
      <c r="H273">
        <v>15</v>
      </c>
      <c r="I273" t="s">
        <v>65</v>
      </c>
      <c r="J273">
        <v>10</v>
      </c>
      <c r="K273">
        <v>13.2</v>
      </c>
      <c r="L273">
        <v>55</v>
      </c>
      <c r="M273">
        <v>34</v>
      </c>
      <c r="N273" t="s">
        <v>48</v>
      </c>
      <c r="O273" t="s">
        <v>354</v>
      </c>
    </row>
    <row r="274" spans="1:15">
      <c r="A274" t="s">
        <v>370</v>
      </c>
      <c r="B274" t="s">
        <v>371</v>
      </c>
      <c r="C274" t="s">
        <v>353</v>
      </c>
      <c r="D274" t="s">
        <v>44</v>
      </c>
      <c r="E274" t="s">
        <v>45</v>
      </c>
      <c r="F274" t="s">
        <v>46</v>
      </c>
      <c r="G274">
        <v>603</v>
      </c>
      <c r="H274">
        <v>10</v>
      </c>
      <c r="I274" t="s">
        <v>57</v>
      </c>
      <c r="J274">
        <v>9.9</v>
      </c>
      <c r="K274">
        <v>12.2</v>
      </c>
      <c r="L274">
        <v>56</v>
      </c>
      <c r="M274">
        <v>30</v>
      </c>
      <c r="N274" t="s">
        <v>61</v>
      </c>
      <c r="O274" t="s">
        <v>354</v>
      </c>
    </row>
    <row r="275" spans="1:15">
      <c r="A275" t="s">
        <v>372</v>
      </c>
      <c r="B275" t="s">
        <v>371</v>
      </c>
      <c r="C275" t="s">
        <v>353</v>
      </c>
      <c r="D275" t="s">
        <v>51</v>
      </c>
      <c r="E275" t="s">
        <v>70</v>
      </c>
      <c r="F275" t="s">
        <v>46</v>
      </c>
      <c r="G275">
        <v>451</v>
      </c>
      <c r="H275">
        <v>11</v>
      </c>
      <c r="I275" t="s">
        <v>47</v>
      </c>
      <c r="J275">
        <v>10.8</v>
      </c>
      <c r="K275">
        <v>11.5</v>
      </c>
      <c r="L275">
        <v>57</v>
      </c>
      <c r="M275">
        <v>30</v>
      </c>
      <c r="N275" t="s">
        <v>48</v>
      </c>
      <c r="O275" t="s">
        <v>354</v>
      </c>
    </row>
    <row r="276" spans="1:15">
      <c r="A276" t="s">
        <v>373</v>
      </c>
      <c r="B276" t="s">
        <v>371</v>
      </c>
      <c r="C276" t="s">
        <v>353</v>
      </c>
      <c r="D276" t="s">
        <v>51</v>
      </c>
      <c r="E276" t="s">
        <v>73</v>
      </c>
      <c r="F276" t="s">
        <v>46</v>
      </c>
      <c r="G276">
        <v>436</v>
      </c>
      <c r="H276">
        <v>7</v>
      </c>
      <c r="I276" t="s">
        <v>65</v>
      </c>
      <c r="J276">
        <v>9.6999999999999993</v>
      </c>
      <c r="K276">
        <v>12.7</v>
      </c>
      <c r="L276">
        <v>55</v>
      </c>
      <c r="M276">
        <v>32</v>
      </c>
      <c r="N276" t="s">
        <v>61</v>
      </c>
      <c r="O276" t="s">
        <v>354</v>
      </c>
    </row>
    <row r="277" spans="1:15">
      <c r="A277" t="s">
        <v>374</v>
      </c>
      <c r="B277" t="s">
        <v>371</v>
      </c>
      <c r="C277" t="s">
        <v>353</v>
      </c>
      <c r="D277" t="s">
        <v>51</v>
      </c>
      <c r="E277" t="s">
        <v>59</v>
      </c>
      <c r="F277" t="s">
        <v>56</v>
      </c>
      <c r="G277">
        <v>42</v>
      </c>
      <c r="H277">
        <v>12</v>
      </c>
      <c r="I277" t="s">
        <v>57</v>
      </c>
      <c r="J277">
        <v>9.9</v>
      </c>
      <c r="K277">
        <v>14.3</v>
      </c>
      <c r="L277">
        <v>56</v>
      </c>
      <c r="M277">
        <v>31</v>
      </c>
      <c r="N277" t="s">
        <v>48</v>
      </c>
      <c r="O277" t="s">
        <v>354</v>
      </c>
    </row>
    <row r="278" spans="1:15">
      <c r="A278" t="s">
        <v>375</v>
      </c>
      <c r="B278" t="s">
        <v>371</v>
      </c>
      <c r="C278" t="s">
        <v>353</v>
      </c>
      <c r="D278" t="s">
        <v>51</v>
      </c>
      <c r="E278" t="s">
        <v>68</v>
      </c>
      <c r="F278" t="s">
        <v>53</v>
      </c>
      <c r="G278">
        <v>323</v>
      </c>
      <c r="H278">
        <v>22</v>
      </c>
      <c r="I278" t="s">
        <v>65</v>
      </c>
      <c r="J278">
        <v>9.9</v>
      </c>
      <c r="K278">
        <v>13.9</v>
      </c>
      <c r="L278">
        <v>55</v>
      </c>
      <c r="M278">
        <v>34</v>
      </c>
      <c r="N278" t="s">
        <v>61</v>
      </c>
      <c r="O278" t="s">
        <v>354</v>
      </c>
    </row>
    <row r="279" spans="1:15">
      <c r="A279" t="s">
        <v>376</v>
      </c>
      <c r="B279" t="s">
        <v>371</v>
      </c>
      <c r="C279" t="s">
        <v>353</v>
      </c>
      <c r="D279" t="s">
        <v>51</v>
      </c>
      <c r="E279" t="s">
        <v>79</v>
      </c>
      <c r="F279" t="s">
        <v>46</v>
      </c>
      <c r="G279">
        <v>471</v>
      </c>
      <c r="H279">
        <v>24</v>
      </c>
      <c r="I279" t="s">
        <v>47</v>
      </c>
      <c r="J279">
        <v>9.8000000000000007</v>
      </c>
      <c r="K279">
        <v>11.6</v>
      </c>
      <c r="L279">
        <v>56</v>
      </c>
      <c r="M279">
        <v>30</v>
      </c>
      <c r="N279" t="s">
        <v>48</v>
      </c>
      <c r="O279" t="s">
        <v>354</v>
      </c>
    </row>
    <row r="280" spans="1:15">
      <c r="A280" t="s">
        <v>377</v>
      </c>
      <c r="B280" t="s">
        <v>371</v>
      </c>
      <c r="C280" t="s">
        <v>353</v>
      </c>
      <c r="D280" t="s">
        <v>51</v>
      </c>
      <c r="E280" t="s">
        <v>55</v>
      </c>
      <c r="F280" t="s">
        <v>53</v>
      </c>
      <c r="G280">
        <v>292</v>
      </c>
      <c r="H280">
        <v>11</v>
      </c>
      <c r="I280" t="s">
        <v>65</v>
      </c>
      <c r="J280">
        <v>8.9</v>
      </c>
      <c r="K280">
        <v>13.3</v>
      </c>
      <c r="L280">
        <v>54</v>
      </c>
      <c r="M280">
        <v>35</v>
      </c>
      <c r="N280" t="s">
        <v>48</v>
      </c>
      <c r="O280" t="s">
        <v>354</v>
      </c>
    </row>
    <row r="281" spans="1:15">
      <c r="A281" t="s">
        <v>378</v>
      </c>
      <c r="B281" t="s">
        <v>371</v>
      </c>
      <c r="C281" t="s">
        <v>353</v>
      </c>
      <c r="D281" t="s">
        <v>51</v>
      </c>
      <c r="E281" t="s">
        <v>70</v>
      </c>
      <c r="F281" t="s">
        <v>46</v>
      </c>
      <c r="G281">
        <v>582</v>
      </c>
      <c r="H281">
        <v>15</v>
      </c>
      <c r="I281" t="s">
        <v>57</v>
      </c>
      <c r="J281">
        <v>10.7</v>
      </c>
      <c r="K281">
        <v>12.8</v>
      </c>
      <c r="L281">
        <v>57</v>
      </c>
      <c r="M281">
        <v>31</v>
      </c>
      <c r="N281" t="s">
        <v>61</v>
      </c>
      <c r="O281" t="s">
        <v>354</v>
      </c>
    </row>
    <row r="282" spans="1:15">
      <c r="A282" t="s">
        <v>379</v>
      </c>
      <c r="B282" t="s">
        <v>371</v>
      </c>
      <c r="C282" t="s">
        <v>353</v>
      </c>
      <c r="D282" t="s">
        <v>51</v>
      </c>
      <c r="E282" t="s">
        <v>68</v>
      </c>
      <c r="F282" t="s">
        <v>53</v>
      </c>
      <c r="G282">
        <v>292</v>
      </c>
      <c r="H282">
        <v>17</v>
      </c>
      <c r="I282" t="s">
        <v>57</v>
      </c>
      <c r="J282">
        <v>8.9</v>
      </c>
      <c r="K282">
        <v>13.3</v>
      </c>
      <c r="L282">
        <v>53</v>
      </c>
      <c r="M282">
        <v>31</v>
      </c>
      <c r="N282" t="s">
        <v>61</v>
      </c>
      <c r="O282" t="s">
        <v>354</v>
      </c>
    </row>
    <row r="283" spans="1:15">
      <c r="A283" t="s">
        <v>380</v>
      </c>
      <c r="B283" t="s">
        <v>371</v>
      </c>
      <c r="C283" t="s">
        <v>353</v>
      </c>
      <c r="D283" t="s">
        <v>51</v>
      </c>
      <c r="E283" t="s">
        <v>70</v>
      </c>
      <c r="F283" t="s">
        <v>56</v>
      </c>
      <c r="G283">
        <v>62</v>
      </c>
      <c r="H283">
        <v>11</v>
      </c>
      <c r="I283" t="s">
        <v>57</v>
      </c>
      <c r="J283">
        <v>9.1</v>
      </c>
      <c r="K283">
        <v>12.6</v>
      </c>
      <c r="L283">
        <v>56</v>
      </c>
      <c r="M283">
        <v>31</v>
      </c>
      <c r="N283" t="s">
        <v>48</v>
      </c>
      <c r="O283" t="s">
        <v>354</v>
      </c>
    </row>
    <row r="284" spans="1:15">
      <c r="A284" t="s">
        <v>381</v>
      </c>
      <c r="B284" t="s">
        <v>371</v>
      </c>
      <c r="C284" t="s">
        <v>353</v>
      </c>
      <c r="D284" t="s">
        <v>51</v>
      </c>
      <c r="E284" t="s">
        <v>75</v>
      </c>
      <c r="F284" t="s">
        <v>64</v>
      </c>
      <c r="G284">
        <v>1043</v>
      </c>
      <c r="H284">
        <v>12</v>
      </c>
      <c r="I284" t="s">
        <v>65</v>
      </c>
      <c r="J284">
        <v>8.8000000000000007</v>
      </c>
      <c r="K284">
        <v>13</v>
      </c>
      <c r="L284">
        <v>56</v>
      </c>
      <c r="M284">
        <v>34</v>
      </c>
      <c r="N284" t="s">
        <v>48</v>
      </c>
      <c r="O284" t="s">
        <v>354</v>
      </c>
    </row>
    <row r="285" spans="1:15">
      <c r="A285" t="s">
        <v>382</v>
      </c>
      <c r="B285" t="s">
        <v>371</v>
      </c>
      <c r="C285" t="s">
        <v>353</v>
      </c>
      <c r="D285" t="s">
        <v>51</v>
      </c>
      <c r="E285" t="s">
        <v>77</v>
      </c>
      <c r="F285" t="s">
        <v>64</v>
      </c>
      <c r="G285">
        <v>1172</v>
      </c>
      <c r="H285">
        <v>14</v>
      </c>
      <c r="I285" t="s">
        <v>47</v>
      </c>
      <c r="J285">
        <v>9.6999999999999993</v>
      </c>
      <c r="K285">
        <v>14.1</v>
      </c>
      <c r="L285">
        <v>53</v>
      </c>
      <c r="M285">
        <v>31</v>
      </c>
      <c r="N285" t="s">
        <v>48</v>
      </c>
      <c r="O285" t="s">
        <v>354</v>
      </c>
    </row>
    <row r="286" spans="1:15">
      <c r="A286" t="s">
        <v>383</v>
      </c>
      <c r="B286" t="s">
        <v>371</v>
      </c>
      <c r="C286" t="s">
        <v>353</v>
      </c>
      <c r="D286" t="s">
        <v>51</v>
      </c>
      <c r="E286" t="s">
        <v>68</v>
      </c>
      <c r="F286" t="s">
        <v>56</v>
      </c>
      <c r="G286">
        <v>56</v>
      </c>
      <c r="H286">
        <v>16</v>
      </c>
      <c r="I286" t="s">
        <v>47</v>
      </c>
      <c r="J286">
        <v>9.6</v>
      </c>
      <c r="K286">
        <v>12.7</v>
      </c>
      <c r="L286">
        <v>52</v>
      </c>
      <c r="M286">
        <v>33</v>
      </c>
      <c r="N286" t="s">
        <v>61</v>
      </c>
      <c r="O286" t="s">
        <v>354</v>
      </c>
    </row>
    <row r="287" spans="1:15">
      <c r="A287" t="s">
        <v>384</v>
      </c>
      <c r="B287" t="s">
        <v>371</v>
      </c>
      <c r="C287" t="s">
        <v>353</v>
      </c>
      <c r="D287" t="s">
        <v>51</v>
      </c>
      <c r="E287" t="s">
        <v>75</v>
      </c>
      <c r="F287" t="s">
        <v>53</v>
      </c>
      <c r="G287">
        <v>339</v>
      </c>
      <c r="H287">
        <v>13</v>
      </c>
      <c r="I287" t="s">
        <v>47</v>
      </c>
      <c r="J287">
        <v>9</v>
      </c>
      <c r="K287">
        <v>13.1</v>
      </c>
      <c r="L287">
        <v>51</v>
      </c>
      <c r="M287">
        <v>34</v>
      </c>
      <c r="N287" t="s">
        <v>61</v>
      </c>
      <c r="O287" t="s">
        <v>354</v>
      </c>
    </row>
    <row r="288" spans="1:15">
      <c r="A288" t="s">
        <v>385</v>
      </c>
      <c r="B288" t="s">
        <v>371</v>
      </c>
      <c r="C288" t="s">
        <v>353</v>
      </c>
      <c r="D288" t="s">
        <v>51</v>
      </c>
      <c r="E288" t="s">
        <v>75</v>
      </c>
      <c r="F288" t="s">
        <v>60</v>
      </c>
      <c r="G288">
        <v>185</v>
      </c>
      <c r="H288">
        <v>21</v>
      </c>
      <c r="I288" t="s">
        <v>47</v>
      </c>
      <c r="J288">
        <v>9.8000000000000007</v>
      </c>
      <c r="K288">
        <v>14.6</v>
      </c>
      <c r="L288">
        <v>57</v>
      </c>
      <c r="M288">
        <v>31</v>
      </c>
      <c r="N288" t="s">
        <v>48</v>
      </c>
      <c r="O288" t="s">
        <v>354</v>
      </c>
    </row>
    <row r="289" spans="1:15">
      <c r="A289" t="s">
        <v>386</v>
      </c>
      <c r="B289" t="s">
        <v>371</v>
      </c>
      <c r="C289" t="s">
        <v>353</v>
      </c>
      <c r="D289" t="s">
        <v>51</v>
      </c>
      <c r="E289" t="s">
        <v>81</v>
      </c>
      <c r="F289" t="s">
        <v>56</v>
      </c>
      <c r="G289">
        <v>80</v>
      </c>
      <c r="H289">
        <v>18</v>
      </c>
      <c r="I289" t="s">
        <v>57</v>
      </c>
      <c r="J289">
        <v>10</v>
      </c>
      <c r="K289">
        <v>14</v>
      </c>
      <c r="L289">
        <v>56</v>
      </c>
      <c r="M289">
        <v>33</v>
      </c>
      <c r="N289" t="s">
        <v>61</v>
      </c>
      <c r="O289" t="s">
        <v>354</v>
      </c>
    </row>
    <row r="290" spans="1:15">
      <c r="A290" t="s">
        <v>387</v>
      </c>
      <c r="B290" t="s">
        <v>388</v>
      </c>
      <c r="C290" t="s">
        <v>389</v>
      </c>
      <c r="D290" t="s">
        <v>44</v>
      </c>
      <c r="E290" t="s">
        <v>45</v>
      </c>
      <c r="F290" t="s">
        <v>46</v>
      </c>
      <c r="G290">
        <v>686</v>
      </c>
      <c r="H290">
        <v>18</v>
      </c>
      <c r="I290" t="s">
        <v>65</v>
      </c>
      <c r="J290">
        <v>9.9</v>
      </c>
      <c r="K290">
        <v>11.6</v>
      </c>
      <c r="L290">
        <v>58</v>
      </c>
      <c r="M290">
        <v>31</v>
      </c>
      <c r="N290" t="s">
        <v>48</v>
      </c>
      <c r="O290" t="s">
        <v>390</v>
      </c>
    </row>
    <row r="291" spans="1:15">
      <c r="A291" t="s">
        <v>391</v>
      </c>
      <c r="B291" t="s">
        <v>388</v>
      </c>
      <c r="C291" t="s">
        <v>389</v>
      </c>
      <c r="D291" t="s">
        <v>51</v>
      </c>
      <c r="E291" t="s">
        <v>52</v>
      </c>
      <c r="F291" t="s">
        <v>46</v>
      </c>
      <c r="G291">
        <v>762</v>
      </c>
      <c r="H291">
        <v>9</v>
      </c>
      <c r="I291" t="s">
        <v>47</v>
      </c>
      <c r="J291">
        <v>9.6999999999999993</v>
      </c>
      <c r="K291">
        <v>11.6</v>
      </c>
      <c r="L291">
        <v>55</v>
      </c>
      <c r="M291">
        <v>30</v>
      </c>
      <c r="N291" t="s">
        <v>61</v>
      </c>
      <c r="O291" t="s">
        <v>390</v>
      </c>
    </row>
    <row r="292" spans="1:15">
      <c r="A292" t="s">
        <v>392</v>
      </c>
      <c r="B292" t="s">
        <v>388</v>
      </c>
      <c r="C292" t="s">
        <v>389</v>
      </c>
      <c r="D292" t="s">
        <v>51</v>
      </c>
      <c r="E292" t="s">
        <v>100</v>
      </c>
      <c r="F292" t="s">
        <v>53</v>
      </c>
      <c r="G292">
        <v>284</v>
      </c>
      <c r="H292">
        <v>12</v>
      </c>
      <c r="I292" t="s">
        <v>57</v>
      </c>
      <c r="J292">
        <v>9.6999999999999993</v>
      </c>
      <c r="K292">
        <v>14.3</v>
      </c>
      <c r="L292">
        <v>55</v>
      </c>
      <c r="M292">
        <v>31</v>
      </c>
      <c r="N292" t="s">
        <v>61</v>
      </c>
      <c r="O292" t="s">
        <v>390</v>
      </c>
    </row>
    <row r="293" spans="1:15">
      <c r="A293" t="s">
        <v>393</v>
      </c>
      <c r="B293" t="s">
        <v>388</v>
      </c>
      <c r="C293" t="s">
        <v>389</v>
      </c>
      <c r="D293" t="s">
        <v>51</v>
      </c>
      <c r="E293" t="s">
        <v>110</v>
      </c>
      <c r="F293" t="s">
        <v>46</v>
      </c>
      <c r="G293">
        <v>687</v>
      </c>
      <c r="H293">
        <v>9</v>
      </c>
      <c r="I293" t="s">
        <v>47</v>
      </c>
      <c r="J293">
        <v>10.9</v>
      </c>
      <c r="K293">
        <v>11.7</v>
      </c>
      <c r="L293">
        <v>56</v>
      </c>
      <c r="M293">
        <v>32</v>
      </c>
      <c r="N293" t="s">
        <v>48</v>
      </c>
      <c r="O293" t="s">
        <v>390</v>
      </c>
    </row>
    <row r="294" spans="1:15">
      <c r="A294" t="s">
        <v>394</v>
      </c>
      <c r="B294" t="s">
        <v>388</v>
      </c>
      <c r="C294" t="s">
        <v>389</v>
      </c>
      <c r="D294" t="s">
        <v>51</v>
      </c>
      <c r="E294" t="s">
        <v>70</v>
      </c>
      <c r="F294" t="s">
        <v>53</v>
      </c>
      <c r="G294">
        <v>212</v>
      </c>
      <c r="H294">
        <v>16</v>
      </c>
      <c r="I294" t="s">
        <v>47</v>
      </c>
      <c r="J294">
        <v>9.1</v>
      </c>
      <c r="K294">
        <v>13.9</v>
      </c>
      <c r="L294">
        <v>55</v>
      </c>
      <c r="M294">
        <v>32</v>
      </c>
      <c r="N294" t="s">
        <v>48</v>
      </c>
      <c r="O294" t="s">
        <v>390</v>
      </c>
    </row>
    <row r="295" spans="1:15">
      <c r="A295" t="s">
        <v>395</v>
      </c>
      <c r="B295" t="s">
        <v>388</v>
      </c>
      <c r="C295" t="s">
        <v>389</v>
      </c>
      <c r="D295" t="s">
        <v>51</v>
      </c>
      <c r="E295" t="s">
        <v>68</v>
      </c>
      <c r="F295" t="s">
        <v>56</v>
      </c>
      <c r="G295">
        <v>60</v>
      </c>
      <c r="H295">
        <v>16</v>
      </c>
      <c r="I295" t="s">
        <v>65</v>
      </c>
      <c r="J295">
        <v>9.1999999999999993</v>
      </c>
      <c r="K295">
        <v>14.1</v>
      </c>
      <c r="L295">
        <v>57</v>
      </c>
      <c r="M295">
        <v>33</v>
      </c>
      <c r="N295" t="s">
        <v>48</v>
      </c>
      <c r="O295" t="s">
        <v>390</v>
      </c>
    </row>
    <row r="296" spans="1:15">
      <c r="A296" t="s">
        <v>396</v>
      </c>
      <c r="B296" t="s">
        <v>388</v>
      </c>
      <c r="C296" t="s">
        <v>389</v>
      </c>
      <c r="D296" t="s">
        <v>51</v>
      </c>
      <c r="E296" t="s">
        <v>59</v>
      </c>
      <c r="F296" t="s">
        <v>46</v>
      </c>
      <c r="G296">
        <v>719</v>
      </c>
      <c r="H296">
        <v>14</v>
      </c>
      <c r="I296" t="s">
        <v>47</v>
      </c>
      <c r="J296">
        <v>9.6999999999999993</v>
      </c>
      <c r="K296">
        <v>12.4</v>
      </c>
      <c r="L296">
        <v>55</v>
      </c>
      <c r="M296">
        <v>29</v>
      </c>
      <c r="N296" t="s">
        <v>48</v>
      </c>
      <c r="O296" t="s">
        <v>390</v>
      </c>
    </row>
    <row r="297" spans="1:15">
      <c r="A297" t="s">
        <v>397</v>
      </c>
      <c r="B297" t="s">
        <v>388</v>
      </c>
      <c r="C297" t="s">
        <v>389</v>
      </c>
      <c r="D297" t="s">
        <v>51</v>
      </c>
      <c r="E297" t="s">
        <v>88</v>
      </c>
      <c r="F297" t="s">
        <v>64</v>
      </c>
      <c r="G297">
        <v>869</v>
      </c>
      <c r="H297">
        <v>12</v>
      </c>
      <c r="I297" t="s">
        <v>57</v>
      </c>
      <c r="J297">
        <v>9.6</v>
      </c>
      <c r="K297">
        <v>13.3</v>
      </c>
      <c r="L297">
        <v>54</v>
      </c>
      <c r="M297">
        <v>35</v>
      </c>
      <c r="N297" t="s">
        <v>48</v>
      </c>
      <c r="O297" t="s">
        <v>390</v>
      </c>
    </row>
    <row r="298" spans="1:15">
      <c r="A298" t="s">
        <v>398</v>
      </c>
      <c r="B298" t="s">
        <v>388</v>
      </c>
      <c r="C298" t="s">
        <v>389</v>
      </c>
      <c r="D298" t="s">
        <v>51</v>
      </c>
      <c r="E298" t="s">
        <v>73</v>
      </c>
      <c r="F298" t="s">
        <v>64</v>
      </c>
      <c r="G298">
        <v>920</v>
      </c>
      <c r="H298">
        <v>18</v>
      </c>
      <c r="I298" t="s">
        <v>57</v>
      </c>
      <c r="J298">
        <v>10.3</v>
      </c>
      <c r="K298">
        <v>13.9</v>
      </c>
      <c r="L298">
        <v>52</v>
      </c>
      <c r="M298">
        <v>36</v>
      </c>
      <c r="N298" t="s">
        <v>61</v>
      </c>
      <c r="O298" t="s">
        <v>390</v>
      </c>
    </row>
    <row r="299" spans="1:15">
      <c r="A299" t="s">
        <v>399</v>
      </c>
      <c r="B299" t="s">
        <v>388</v>
      </c>
      <c r="C299" t="s">
        <v>389</v>
      </c>
      <c r="D299" t="s">
        <v>51</v>
      </c>
      <c r="E299" t="s">
        <v>77</v>
      </c>
      <c r="F299" t="s">
        <v>60</v>
      </c>
      <c r="G299">
        <v>135</v>
      </c>
      <c r="H299">
        <v>10</v>
      </c>
      <c r="I299" t="s">
        <v>47</v>
      </c>
      <c r="J299">
        <v>9.3000000000000007</v>
      </c>
      <c r="K299">
        <v>14.2</v>
      </c>
      <c r="L299">
        <v>56</v>
      </c>
      <c r="M299">
        <v>31</v>
      </c>
      <c r="N299" t="s">
        <v>48</v>
      </c>
      <c r="O299" t="s">
        <v>390</v>
      </c>
    </row>
    <row r="300" spans="1:15">
      <c r="A300" t="s">
        <v>400</v>
      </c>
      <c r="B300" t="s">
        <v>388</v>
      </c>
      <c r="C300" t="s">
        <v>389</v>
      </c>
      <c r="D300" t="s">
        <v>51</v>
      </c>
      <c r="E300" t="s">
        <v>59</v>
      </c>
      <c r="F300" t="s">
        <v>56</v>
      </c>
      <c r="G300">
        <v>64</v>
      </c>
      <c r="H300">
        <v>13</v>
      </c>
      <c r="I300" t="s">
        <v>65</v>
      </c>
      <c r="J300">
        <v>9.8000000000000007</v>
      </c>
      <c r="K300">
        <v>13</v>
      </c>
      <c r="L300">
        <v>53</v>
      </c>
      <c r="M300">
        <v>31</v>
      </c>
      <c r="N300" t="s">
        <v>61</v>
      </c>
      <c r="O300" t="s">
        <v>390</v>
      </c>
    </row>
    <row r="301" spans="1:15">
      <c r="A301" t="s">
        <v>401</v>
      </c>
      <c r="B301" t="s">
        <v>388</v>
      </c>
      <c r="C301" t="s">
        <v>389</v>
      </c>
      <c r="D301" t="s">
        <v>51</v>
      </c>
      <c r="E301" t="s">
        <v>75</v>
      </c>
      <c r="F301" t="s">
        <v>46</v>
      </c>
      <c r="G301">
        <v>727</v>
      </c>
      <c r="H301">
        <v>11</v>
      </c>
      <c r="I301" t="s">
        <v>47</v>
      </c>
      <c r="J301">
        <v>10.7</v>
      </c>
      <c r="K301">
        <v>12.7</v>
      </c>
      <c r="L301">
        <v>56</v>
      </c>
      <c r="M301">
        <v>31</v>
      </c>
      <c r="N301" t="s">
        <v>61</v>
      </c>
      <c r="O301" t="s">
        <v>390</v>
      </c>
    </row>
    <row r="302" spans="1:15">
      <c r="A302" t="s">
        <v>402</v>
      </c>
      <c r="B302" t="s">
        <v>388</v>
      </c>
      <c r="C302" t="s">
        <v>389</v>
      </c>
      <c r="D302" t="s">
        <v>51</v>
      </c>
      <c r="E302" t="s">
        <v>100</v>
      </c>
      <c r="F302" t="s">
        <v>64</v>
      </c>
      <c r="G302">
        <v>971</v>
      </c>
      <c r="H302">
        <v>20</v>
      </c>
      <c r="I302" t="s">
        <v>57</v>
      </c>
      <c r="J302">
        <v>8.9</v>
      </c>
      <c r="K302">
        <v>13.1</v>
      </c>
      <c r="L302">
        <v>57</v>
      </c>
      <c r="M302">
        <v>34</v>
      </c>
      <c r="N302" t="s">
        <v>61</v>
      </c>
      <c r="O302" t="s">
        <v>390</v>
      </c>
    </row>
    <row r="303" spans="1:15">
      <c r="A303" t="s">
        <v>403</v>
      </c>
      <c r="B303" t="s">
        <v>388</v>
      </c>
      <c r="C303" t="s">
        <v>389</v>
      </c>
      <c r="D303" t="s">
        <v>51</v>
      </c>
      <c r="E303" t="s">
        <v>55</v>
      </c>
      <c r="F303" t="s">
        <v>56</v>
      </c>
      <c r="G303">
        <v>58</v>
      </c>
      <c r="H303">
        <v>11</v>
      </c>
      <c r="I303" t="s">
        <v>65</v>
      </c>
      <c r="J303">
        <v>9.1</v>
      </c>
      <c r="K303">
        <v>12.4</v>
      </c>
      <c r="L303">
        <v>56</v>
      </c>
      <c r="M303">
        <v>34</v>
      </c>
      <c r="N303" t="s">
        <v>48</v>
      </c>
      <c r="O303" t="s">
        <v>390</v>
      </c>
    </row>
    <row r="304" spans="1:15">
      <c r="A304" t="s">
        <v>404</v>
      </c>
      <c r="B304" t="s">
        <v>388</v>
      </c>
      <c r="C304" t="s">
        <v>389</v>
      </c>
      <c r="D304" t="s">
        <v>51</v>
      </c>
      <c r="E304" t="s">
        <v>127</v>
      </c>
      <c r="F304" t="s">
        <v>46</v>
      </c>
      <c r="G304">
        <v>695</v>
      </c>
      <c r="H304">
        <v>23</v>
      </c>
      <c r="I304" t="s">
        <v>47</v>
      </c>
      <c r="J304">
        <v>9.6999999999999993</v>
      </c>
      <c r="K304">
        <v>13.1</v>
      </c>
      <c r="L304">
        <v>59</v>
      </c>
      <c r="M304">
        <v>33</v>
      </c>
      <c r="N304" t="s">
        <v>61</v>
      </c>
      <c r="O304" t="s">
        <v>390</v>
      </c>
    </row>
    <row r="305" spans="1:15">
      <c r="A305" t="s">
        <v>405</v>
      </c>
      <c r="B305" t="s">
        <v>388</v>
      </c>
      <c r="C305" t="s">
        <v>389</v>
      </c>
      <c r="D305" t="s">
        <v>51</v>
      </c>
      <c r="E305" t="s">
        <v>88</v>
      </c>
      <c r="F305" t="s">
        <v>56</v>
      </c>
      <c r="G305">
        <v>81</v>
      </c>
      <c r="H305">
        <v>20</v>
      </c>
      <c r="I305" t="s">
        <v>47</v>
      </c>
      <c r="J305">
        <v>9.6999999999999993</v>
      </c>
      <c r="K305">
        <v>13.1</v>
      </c>
      <c r="L305">
        <v>56</v>
      </c>
      <c r="M305">
        <v>35</v>
      </c>
      <c r="N305" t="s">
        <v>48</v>
      </c>
      <c r="O305" t="s">
        <v>390</v>
      </c>
    </row>
    <row r="306" spans="1:15">
      <c r="A306" t="s">
        <v>406</v>
      </c>
      <c r="B306" t="s">
        <v>407</v>
      </c>
      <c r="C306" t="s">
        <v>408</v>
      </c>
      <c r="D306" t="s">
        <v>44</v>
      </c>
      <c r="E306" t="s">
        <v>45</v>
      </c>
      <c r="F306" t="s">
        <v>46</v>
      </c>
      <c r="G306">
        <v>662</v>
      </c>
      <c r="H306">
        <v>19</v>
      </c>
      <c r="I306" t="s">
        <v>57</v>
      </c>
      <c r="J306">
        <v>10.199999999999999</v>
      </c>
      <c r="K306">
        <v>13.3</v>
      </c>
      <c r="L306">
        <v>55</v>
      </c>
      <c r="M306">
        <v>31</v>
      </c>
      <c r="N306" t="s">
        <v>61</v>
      </c>
      <c r="O306" t="s">
        <v>409</v>
      </c>
    </row>
    <row r="307" spans="1:15">
      <c r="A307" t="s">
        <v>410</v>
      </c>
      <c r="B307" t="s">
        <v>407</v>
      </c>
      <c r="C307" t="s">
        <v>408</v>
      </c>
      <c r="D307" t="s">
        <v>51</v>
      </c>
      <c r="E307" t="s">
        <v>63</v>
      </c>
      <c r="F307" t="s">
        <v>53</v>
      </c>
      <c r="G307">
        <v>331</v>
      </c>
      <c r="H307">
        <v>16</v>
      </c>
      <c r="I307" t="s">
        <v>57</v>
      </c>
      <c r="J307">
        <v>9.9</v>
      </c>
      <c r="K307">
        <v>13.9</v>
      </c>
      <c r="L307">
        <v>57</v>
      </c>
      <c r="M307">
        <v>35</v>
      </c>
      <c r="N307" t="s">
        <v>61</v>
      </c>
      <c r="O307" t="s">
        <v>409</v>
      </c>
    </row>
    <row r="308" spans="1:15">
      <c r="A308" t="s">
        <v>411</v>
      </c>
      <c r="B308" t="s">
        <v>407</v>
      </c>
      <c r="C308" t="s">
        <v>408</v>
      </c>
      <c r="D308" t="s">
        <v>51</v>
      </c>
      <c r="E308" t="s">
        <v>127</v>
      </c>
      <c r="F308" t="s">
        <v>53</v>
      </c>
      <c r="G308">
        <v>202</v>
      </c>
      <c r="H308">
        <v>15</v>
      </c>
      <c r="I308" t="s">
        <v>47</v>
      </c>
      <c r="J308">
        <v>10.1</v>
      </c>
      <c r="K308">
        <v>12.3</v>
      </c>
      <c r="L308">
        <v>55</v>
      </c>
      <c r="M308">
        <v>35</v>
      </c>
      <c r="N308" t="s">
        <v>48</v>
      </c>
      <c r="O308" t="s">
        <v>409</v>
      </c>
    </row>
    <row r="309" spans="1:15">
      <c r="A309" t="s">
        <v>412</v>
      </c>
      <c r="B309" t="s">
        <v>407</v>
      </c>
      <c r="C309" t="s">
        <v>408</v>
      </c>
      <c r="D309" t="s">
        <v>51</v>
      </c>
      <c r="E309" t="s">
        <v>59</v>
      </c>
      <c r="F309" t="s">
        <v>53</v>
      </c>
      <c r="G309">
        <v>237</v>
      </c>
      <c r="H309">
        <v>16</v>
      </c>
      <c r="I309" t="s">
        <v>57</v>
      </c>
      <c r="J309">
        <v>9.6999999999999993</v>
      </c>
      <c r="K309">
        <v>14</v>
      </c>
      <c r="L309">
        <v>55</v>
      </c>
      <c r="M309">
        <v>35</v>
      </c>
      <c r="N309" t="s">
        <v>61</v>
      </c>
      <c r="O309" t="s">
        <v>409</v>
      </c>
    </row>
    <row r="310" spans="1:15">
      <c r="A310" t="s">
        <v>413</v>
      </c>
      <c r="B310" t="s">
        <v>407</v>
      </c>
      <c r="C310" t="s">
        <v>408</v>
      </c>
      <c r="D310" t="s">
        <v>51</v>
      </c>
      <c r="E310" t="s">
        <v>63</v>
      </c>
      <c r="F310" t="s">
        <v>46</v>
      </c>
      <c r="G310">
        <v>759</v>
      </c>
      <c r="H310">
        <v>7</v>
      </c>
      <c r="I310" t="s">
        <v>47</v>
      </c>
      <c r="J310">
        <v>10.9</v>
      </c>
      <c r="K310">
        <v>12.8</v>
      </c>
      <c r="L310">
        <v>56</v>
      </c>
      <c r="M310">
        <v>30</v>
      </c>
      <c r="N310" t="s">
        <v>48</v>
      </c>
      <c r="O310" t="s">
        <v>409</v>
      </c>
    </row>
    <row r="311" spans="1:15">
      <c r="A311" t="s">
        <v>414</v>
      </c>
      <c r="B311" t="s">
        <v>407</v>
      </c>
      <c r="C311" t="s">
        <v>408</v>
      </c>
      <c r="D311" t="s">
        <v>51</v>
      </c>
      <c r="E311" t="s">
        <v>88</v>
      </c>
      <c r="F311" t="s">
        <v>64</v>
      </c>
      <c r="G311">
        <v>1212</v>
      </c>
      <c r="H311">
        <v>13</v>
      </c>
      <c r="I311" t="s">
        <v>57</v>
      </c>
      <c r="J311">
        <v>9.3000000000000007</v>
      </c>
      <c r="K311">
        <v>13.3</v>
      </c>
      <c r="L311">
        <v>57</v>
      </c>
      <c r="M311">
        <v>35</v>
      </c>
      <c r="N311" t="s">
        <v>61</v>
      </c>
      <c r="O311" t="s">
        <v>409</v>
      </c>
    </row>
    <row r="312" spans="1:15">
      <c r="A312" t="s">
        <v>415</v>
      </c>
      <c r="B312" t="s">
        <v>407</v>
      </c>
      <c r="C312" t="s">
        <v>408</v>
      </c>
      <c r="D312" t="s">
        <v>51</v>
      </c>
      <c r="E312" t="s">
        <v>100</v>
      </c>
      <c r="F312" t="s">
        <v>64</v>
      </c>
      <c r="G312">
        <v>841</v>
      </c>
      <c r="H312">
        <v>16</v>
      </c>
      <c r="I312" t="s">
        <v>65</v>
      </c>
      <c r="J312">
        <v>10</v>
      </c>
      <c r="K312">
        <v>12.7</v>
      </c>
      <c r="L312">
        <v>55</v>
      </c>
      <c r="M312">
        <v>33</v>
      </c>
      <c r="N312" t="s">
        <v>61</v>
      </c>
      <c r="O312" t="s">
        <v>409</v>
      </c>
    </row>
    <row r="313" spans="1:15">
      <c r="A313" t="s">
        <v>416</v>
      </c>
      <c r="B313" t="s">
        <v>407</v>
      </c>
      <c r="C313" t="s">
        <v>408</v>
      </c>
      <c r="D313" t="s">
        <v>51</v>
      </c>
      <c r="E313" t="s">
        <v>110</v>
      </c>
      <c r="F313" t="s">
        <v>60</v>
      </c>
      <c r="G313">
        <v>174</v>
      </c>
      <c r="H313">
        <v>11</v>
      </c>
      <c r="I313" t="s">
        <v>47</v>
      </c>
      <c r="J313">
        <v>10</v>
      </c>
      <c r="K313">
        <v>14.6</v>
      </c>
      <c r="L313">
        <v>56</v>
      </c>
      <c r="M313">
        <v>33</v>
      </c>
      <c r="N313" t="s">
        <v>61</v>
      </c>
      <c r="O313" t="s">
        <v>409</v>
      </c>
    </row>
    <row r="314" spans="1:15">
      <c r="A314" t="s">
        <v>417</v>
      </c>
      <c r="B314" t="s">
        <v>407</v>
      </c>
      <c r="C314" t="s">
        <v>408</v>
      </c>
      <c r="D314" t="s">
        <v>51</v>
      </c>
      <c r="E314" t="s">
        <v>77</v>
      </c>
      <c r="F314" t="s">
        <v>60</v>
      </c>
      <c r="G314">
        <v>184</v>
      </c>
      <c r="H314">
        <v>13</v>
      </c>
      <c r="I314" t="s">
        <v>57</v>
      </c>
      <c r="J314">
        <v>10.199999999999999</v>
      </c>
      <c r="K314">
        <v>14</v>
      </c>
      <c r="L314">
        <v>54</v>
      </c>
      <c r="M314">
        <v>32</v>
      </c>
      <c r="N314" t="s">
        <v>61</v>
      </c>
      <c r="O314" t="s">
        <v>409</v>
      </c>
    </row>
    <row r="315" spans="1:15">
      <c r="A315" t="s">
        <v>418</v>
      </c>
      <c r="B315" t="s">
        <v>407</v>
      </c>
      <c r="C315" t="s">
        <v>408</v>
      </c>
      <c r="D315" t="s">
        <v>51</v>
      </c>
      <c r="E315" t="s">
        <v>68</v>
      </c>
      <c r="F315" t="s">
        <v>64</v>
      </c>
      <c r="G315">
        <v>709</v>
      </c>
      <c r="H315">
        <v>10</v>
      </c>
      <c r="I315" t="s">
        <v>47</v>
      </c>
      <c r="J315">
        <v>9</v>
      </c>
      <c r="K315">
        <v>13.2</v>
      </c>
      <c r="L315">
        <v>54</v>
      </c>
      <c r="M315">
        <v>36</v>
      </c>
      <c r="N315" t="s">
        <v>61</v>
      </c>
      <c r="O315" t="s">
        <v>409</v>
      </c>
    </row>
    <row r="316" spans="1:15">
      <c r="A316" t="s">
        <v>419</v>
      </c>
      <c r="B316" t="s">
        <v>407</v>
      </c>
      <c r="C316" t="s">
        <v>408</v>
      </c>
      <c r="D316" t="s">
        <v>51</v>
      </c>
      <c r="E316" t="s">
        <v>77</v>
      </c>
      <c r="F316" t="s">
        <v>53</v>
      </c>
      <c r="G316">
        <v>305</v>
      </c>
      <c r="H316">
        <v>11</v>
      </c>
      <c r="I316" t="s">
        <v>57</v>
      </c>
      <c r="J316">
        <v>9.9</v>
      </c>
      <c r="K316">
        <v>14</v>
      </c>
      <c r="L316">
        <v>55</v>
      </c>
      <c r="M316">
        <v>31</v>
      </c>
      <c r="N316" t="s">
        <v>48</v>
      </c>
      <c r="O316" t="s">
        <v>409</v>
      </c>
    </row>
    <row r="317" spans="1:15">
      <c r="A317" t="s">
        <v>420</v>
      </c>
      <c r="B317" t="s">
        <v>407</v>
      </c>
      <c r="C317" t="s">
        <v>408</v>
      </c>
      <c r="D317" t="s">
        <v>51</v>
      </c>
      <c r="E317" t="s">
        <v>68</v>
      </c>
      <c r="F317" t="s">
        <v>60</v>
      </c>
      <c r="G317">
        <v>233</v>
      </c>
      <c r="H317">
        <v>13</v>
      </c>
      <c r="I317" t="s">
        <v>65</v>
      </c>
      <c r="J317">
        <v>10</v>
      </c>
      <c r="K317">
        <v>12.8</v>
      </c>
      <c r="L317">
        <v>52</v>
      </c>
      <c r="M317">
        <v>34</v>
      </c>
      <c r="N317" t="s">
        <v>48</v>
      </c>
      <c r="O317" t="s">
        <v>409</v>
      </c>
    </row>
    <row r="318" spans="1:15">
      <c r="A318" t="s">
        <v>421</v>
      </c>
      <c r="B318" t="s">
        <v>407</v>
      </c>
      <c r="C318" t="s">
        <v>408</v>
      </c>
      <c r="D318" t="s">
        <v>51</v>
      </c>
      <c r="E318" t="s">
        <v>100</v>
      </c>
      <c r="F318" t="s">
        <v>56</v>
      </c>
      <c r="G318">
        <v>63</v>
      </c>
      <c r="H318">
        <v>15</v>
      </c>
      <c r="I318" t="s">
        <v>57</v>
      </c>
      <c r="J318">
        <v>10.199999999999999</v>
      </c>
      <c r="K318">
        <v>14.5</v>
      </c>
      <c r="L318">
        <v>53</v>
      </c>
      <c r="M318">
        <v>33</v>
      </c>
      <c r="N318" t="s">
        <v>48</v>
      </c>
      <c r="O318" t="s">
        <v>409</v>
      </c>
    </row>
    <row r="319" spans="1:15">
      <c r="A319" t="s">
        <v>422</v>
      </c>
      <c r="B319" t="s">
        <v>407</v>
      </c>
      <c r="C319" t="s">
        <v>408</v>
      </c>
      <c r="D319" t="s">
        <v>51</v>
      </c>
      <c r="E319" t="s">
        <v>88</v>
      </c>
      <c r="F319" t="s">
        <v>53</v>
      </c>
      <c r="G319">
        <v>349</v>
      </c>
      <c r="H319">
        <v>13</v>
      </c>
      <c r="I319" t="s">
        <v>47</v>
      </c>
      <c r="J319">
        <v>10.199999999999999</v>
      </c>
      <c r="K319">
        <v>13.1</v>
      </c>
      <c r="L319">
        <v>56</v>
      </c>
      <c r="M319">
        <v>32</v>
      </c>
      <c r="N319" t="s">
        <v>61</v>
      </c>
      <c r="O319" t="s">
        <v>409</v>
      </c>
    </row>
    <row r="320" spans="1:15">
      <c r="A320" t="s">
        <v>423</v>
      </c>
      <c r="B320" t="s">
        <v>407</v>
      </c>
      <c r="C320" t="s">
        <v>408</v>
      </c>
      <c r="D320" t="s">
        <v>51</v>
      </c>
      <c r="E320" t="s">
        <v>110</v>
      </c>
      <c r="F320" t="s">
        <v>64</v>
      </c>
      <c r="G320">
        <v>1064</v>
      </c>
      <c r="H320">
        <v>18</v>
      </c>
      <c r="I320" t="s">
        <v>65</v>
      </c>
      <c r="J320">
        <v>9.9</v>
      </c>
      <c r="K320">
        <v>13</v>
      </c>
      <c r="L320">
        <v>52</v>
      </c>
      <c r="M320">
        <v>34</v>
      </c>
      <c r="N320" t="s">
        <v>61</v>
      </c>
      <c r="O320" t="s">
        <v>409</v>
      </c>
    </row>
    <row r="321" spans="1:15">
      <c r="A321" t="s">
        <v>424</v>
      </c>
      <c r="B321" t="s">
        <v>407</v>
      </c>
      <c r="C321" t="s">
        <v>408</v>
      </c>
      <c r="D321" t="s">
        <v>51</v>
      </c>
      <c r="E321" t="s">
        <v>55</v>
      </c>
      <c r="F321" t="s">
        <v>64</v>
      </c>
      <c r="G321">
        <v>932</v>
      </c>
      <c r="H321">
        <v>14</v>
      </c>
      <c r="I321" t="s">
        <v>57</v>
      </c>
      <c r="J321">
        <v>9.1999999999999993</v>
      </c>
      <c r="K321">
        <v>12.3</v>
      </c>
      <c r="L321">
        <v>53</v>
      </c>
      <c r="M321">
        <v>36</v>
      </c>
      <c r="N321" t="s">
        <v>61</v>
      </c>
      <c r="O321" t="s">
        <v>409</v>
      </c>
    </row>
    <row r="322" spans="1:15">
      <c r="A322" t="s">
        <v>425</v>
      </c>
      <c r="B322" t="s">
        <v>426</v>
      </c>
      <c r="C322" t="s">
        <v>427</v>
      </c>
      <c r="D322" t="s">
        <v>44</v>
      </c>
      <c r="E322" t="s">
        <v>45</v>
      </c>
      <c r="F322" t="s">
        <v>46</v>
      </c>
      <c r="G322">
        <v>694</v>
      </c>
      <c r="H322">
        <v>17</v>
      </c>
      <c r="I322" t="s">
        <v>47</v>
      </c>
      <c r="J322">
        <v>10.4</v>
      </c>
      <c r="K322">
        <v>13.1</v>
      </c>
      <c r="L322">
        <v>56</v>
      </c>
      <c r="M322">
        <v>33</v>
      </c>
      <c r="N322" t="s">
        <v>48</v>
      </c>
      <c r="O322" t="s">
        <v>428</v>
      </c>
    </row>
    <row r="323" spans="1:15">
      <c r="A323" t="s">
        <v>429</v>
      </c>
      <c r="B323" t="s">
        <v>426</v>
      </c>
      <c r="C323" t="s">
        <v>427</v>
      </c>
      <c r="D323" t="s">
        <v>51</v>
      </c>
      <c r="E323" t="s">
        <v>70</v>
      </c>
      <c r="F323" t="s">
        <v>53</v>
      </c>
      <c r="G323">
        <v>220</v>
      </c>
      <c r="H323">
        <v>10</v>
      </c>
      <c r="I323" t="s">
        <v>65</v>
      </c>
      <c r="J323">
        <v>9.5</v>
      </c>
      <c r="K323">
        <v>14.3</v>
      </c>
      <c r="L323">
        <v>52</v>
      </c>
      <c r="M323">
        <v>34</v>
      </c>
      <c r="N323" t="s">
        <v>48</v>
      </c>
      <c r="O323" t="s">
        <v>428</v>
      </c>
    </row>
    <row r="324" spans="1:15">
      <c r="A324" t="s">
        <v>430</v>
      </c>
      <c r="B324" t="s">
        <v>426</v>
      </c>
      <c r="C324" t="s">
        <v>427</v>
      </c>
      <c r="D324" t="s">
        <v>51</v>
      </c>
      <c r="E324" t="s">
        <v>73</v>
      </c>
      <c r="F324" t="s">
        <v>64</v>
      </c>
      <c r="G324">
        <v>1054</v>
      </c>
      <c r="H324">
        <v>22</v>
      </c>
      <c r="I324" t="s">
        <v>57</v>
      </c>
      <c r="J324">
        <v>10.1</v>
      </c>
      <c r="K324">
        <v>13.4</v>
      </c>
      <c r="L324">
        <v>57</v>
      </c>
      <c r="M324">
        <v>36</v>
      </c>
      <c r="N324" t="s">
        <v>48</v>
      </c>
      <c r="O324" t="s">
        <v>428</v>
      </c>
    </row>
    <row r="325" spans="1:15">
      <c r="A325" t="s">
        <v>431</v>
      </c>
      <c r="B325" t="s">
        <v>426</v>
      </c>
      <c r="C325" t="s">
        <v>427</v>
      </c>
      <c r="D325" t="s">
        <v>51</v>
      </c>
      <c r="E325" t="s">
        <v>100</v>
      </c>
      <c r="F325" t="s">
        <v>46</v>
      </c>
      <c r="G325">
        <v>446</v>
      </c>
      <c r="H325">
        <v>9</v>
      </c>
      <c r="I325" t="s">
        <v>65</v>
      </c>
      <c r="J325">
        <v>10.9</v>
      </c>
      <c r="K325">
        <v>11.5</v>
      </c>
      <c r="L325">
        <v>57</v>
      </c>
      <c r="M325">
        <v>31</v>
      </c>
      <c r="N325" t="s">
        <v>48</v>
      </c>
      <c r="O325" t="s">
        <v>428</v>
      </c>
    </row>
    <row r="326" spans="1:15">
      <c r="A326" t="s">
        <v>432</v>
      </c>
      <c r="B326" t="s">
        <v>426</v>
      </c>
      <c r="C326" t="s">
        <v>427</v>
      </c>
      <c r="D326" t="s">
        <v>51</v>
      </c>
      <c r="E326" t="s">
        <v>68</v>
      </c>
      <c r="F326" t="s">
        <v>60</v>
      </c>
      <c r="G326">
        <v>150</v>
      </c>
      <c r="H326">
        <v>14</v>
      </c>
      <c r="I326" t="s">
        <v>47</v>
      </c>
      <c r="J326">
        <v>9</v>
      </c>
      <c r="K326">
        <v>13.5</v>
      </c>
      <c r="L326">
        <v>55</v>
      </c>
      <c r="M326">
        <v>37</v>
      </c>
      <c r="N326" t="s">
        <v>61</v>
      </c>
      <c r="O326" t="s">
        <v>428</v>
      </c>
    </row>
    <row r="327" spans="1:15">
      <c r="A327" t="s">
        <v>433</v>
      </c>
      <c r="B327" t="s">
        <v>426</v>
      </c>
      <c r="C327" t="s">
        <v>427</v>
      </c>
      <c r="D327" t="s">
        <v>51</v>
      </c>
      <c r="E327" t="s">
        <v>81</v>
      </c>
      <c r="F327" t="s">
        <v>46</v>
      </c>
      <c r="G327">
        <v>724</v>
      </c>
      <c r="H327">
        <v>8</v>
      </c>
      <c r="I327" t="s">
        <v>65</v>
      </c>
      <c r="J327">
        <v>9.6</v>
      </c>
      <c r="K327">
        <v>11.4</v>
      </c>
      <c r="L327">
        <v>57</v>
      </c>
      <c r="M327">
        <v>31</v>
      </c>
      <c r="N327" t="s">
        <v>48</v>
      </c>
      <c r="O327" t="s">
        <v>428</v>
      </c>
    </row>
    <row r="328" spans="1:15">
      <c r="A328" t="s">
        <v>434</v>
      </c>
      <c r="B328" t="s">
        <v>426</v>
      </c>
      <c r="C328" t="s">
        <v>427</v>
      </c>
      <c r="D328" t="s">
        <v>51</v>
      </c>
      <c r="E328" t="s">
        <v>75</v>
      </c>
      <c r="F328" t="s">
        <v>64</v>
      </c>
      <c r="G328">
        <v>1097</v>
      </c>
      <c r="H328">
        <v>12</v>
      </c>
      <c r="I328" t="s">
        <v>65</v>
      </c>
      <c r="J328">
        <v>9.3000000000000007</v>
      </c>
      <c r="K328">
        <v>12.4</v>
      </c>
      <c r="L328">
        <v>55</v>
      </c>
      <c r="M328">
        <v>36</v>
      </c>
      <c r="N328" t="s">
        <v>61</v>
      </c>
      <c r="O328" t="s">
        <v>428</v>
      </c>
    </row>
    <row r="329" spans="1:15">
      <c r="A329" t="s">
        <v>435</v>
      </c>
      <c r="B329" t="s">
        <v>426</v>
      </c>
      <c r="C329" t="s">
        <v>427</v>
      </c>
      <c r="D329" t="s">
        <v>51</v>
      </c>
      <c r="E329" t="s">
        <v>77</v>
      </c>
      <c r="F329" t="s">
        <v>60</v>
      </c>
      <c r="G329">
        <v>171</v>
      </c>
      <c r="H329">
        <v>7</v>
      </c>
      <c r="I329" t="s">
        <v>65</v>
      </c>
      <c r="J329">
        <v>9.3000000000000007</v>
      </c>
      <c r="K329">
        <v>13.1</v>
      </c>
      <c r="L329">
        <v>52</v>
      </c>
      <c r="M329">
        <v>33</v>
      </c>
      <c r="N329" t="s">
        <v>61</v>
      </c>
      <c r="O329" t="s">
        <v>428</v>
      </c>
    </row>
    <row r="330" spans="1:15">
      <c r="A330" t="s">
        <v>436</v>
      </c>
      <c r="B330" t="s">
        <v>426</v>
      </c>
      <c r="C330" t="s">
        <v>427</v>
      </c>
      <c r="D330" t="s">
        <v>51</v>
      </c>
      <c r="E330" t="s">
        <v>100</v>
      </c>
      <c r="F330" t="s">
        <v>53</v>
      </c>
      <c r="G330">
        <v>326</v>
      </c>
      <c r="H330">
        <v>9</v>
      </c>
      <c r="I330" t="s">
        <v>47</v>
      </c>
      <c r="J330">
        <v>8.8000000000000007</v>
      </c>
      <c r="K330">
        <v>14.1</v>
      </c>
      <c r="L330">
        <v>55</v>
      </c>
      <c r="M330">
        <v>35</v>
      </c>
      <c r="N330" t="s">
        <v>61</v>
      </c>
      <c r="O330" t="s">
        <v>428</v>
      </c>
    </row>
    <row r="331" spans="1:15">
      <c r="A331" t="s">
        <v>437</v>
      </c>
      <c r="B331" t="s">
        <v>426</v>
      </c>
      <c r="C331" t="s">
        <v>427</v>
      </c>
      <c r="D331" t="s">
        <v>51</v>
      </c>
      <c r="E331" t="s">
        <v>63</v>
      </c>
      <c r="F331" t="s">
        <v>56</v>
      </c>
      <c r="G331">
        <v>79</v>
      </c>
      <c r="H331">
        <v>9</v>
      </c>
      <c r="I331" t="s">
        <v>65</v>
      </c>
      <c r="J331">
        <v>10</v>
      </c>
      <c r="K331">
        <v>12.5</v>
      </c>
      <c r="L331">
        <v>55</v>
      </c>
      <c r="M331">
        <v>31</v>
      </c>
      <c r="N331" t="s">
        <v>48</v>
      </c>
      <c r="O331" t="s">
        <v>428</v>
      </c>
    </row>
    <row r="332" spans="1:15">
      <c r="A332" t="s">
        <v>438</v>
      </c>
      <c r="B332" t="s">
        <v>426</v>
      </c>
      <c r="C332" t="s">
        <v>427</v>
      </c>
      <c r="D332" t="s">
        <v>51</v>
      </c>
      <c r="E332" t="s">
        <v>73</v>
      </c>
      <c r="F332" t="s">
        <v>56</v>
      </c>
      <c r="G332">
        <v>67</v>
      </c>
      <c r="H332">
        <v>9</v>
      </c>
      <c r="I332" t="s">
        <v>65</v>
      </c>
      <c r="J332">
        <v>8.9</v>
      </c>
      <c r="K332">
        <v>14.9</v>
      </c>
      <c r="L332">
        <v>52</v>
      </c>
      <c r="M332">
        <v>36</v>
      </c>
      <c r="N332" t="s">
        <v>61</v>
      </c>
      <c r="O332" t="s">
        <v>428</v>
      </c>
    </row>
    <row r="333" spans="1:15">
      <c r="A333" t="s">
        <v>439</v>
      </c>
      <c r="B333" t="s">
        <v>426</v>
      </c>
      <c r="C333" t="s">
        <v>427</v>
      </c>
      <c r="D333" t="s">
        <v>51</v>
      </c>
      <c r="E333" t="s">
        <v>70</v>
      </c>
      <c r="F333" t="s">
        <v>53</v>
      </c>
      <c r="G333">
        <v>345</v>
      </c>
      <c r="H333">
        <v>21</v>
      </c>
      <c r="I333" t="s">
        <v>57</v>
      </c>
      <c r="J333">
        <v>9.1999999999999993</v>
      </c>
      <c r="K333">
        <v>12.4</v>
      </c>
      <c r="L333">
        <v>56</v>
      </c>
      <c r="M333">
        <v>36</v>
      </c>
      <c r="N333" t="s">
        <v>48</v>
      </c>
      <c r="O333" t="s">
        <v>428</v>
      </c>
    </row>
    <row r="334" spans="1:15">
      <c r="A334" t="s">
        <v>440</v>
      </c>
      <c r="B334" t="s">
        <v>426</v>
      </c>
      <c r="C334" t="s">
        <v>427</v>
      </c>
      <c r="D334" t="s">
        <v>51</v>
      </c>
      <c r="E334" t="s">
        <v>77</v>
      </c>
      <c r="F334" t="s">
        <v>53</v>
      </c>
      <c r="G334">
        <v>288</v>
      </c>
      <c r="H334">
        <v>7</v>
      </c>
      <c r="I334" t="s">
        <v>65</v>
      </c>
      <c r="J334">
        <v>9.5</v>
      </c>
      <c r="K334">
        <v>13.8</v>
      </c>
      <c r="L334">
        <v>55</v>
      </c>
      <c r="M334">
        <v>34</v>
      </c>
      <c r="N334" t="s">
        <v>48</v>
      </c>
      <c r="O334" t="s">
        <v>428</v>
      </c>
    </row>
    <row r="335" spans="1:15">
      <c r="A335" t="s">
        <v>441</v>
      </c>
      <c r="B335" t="s">
        <v>426</v>
      </c>
      <c r="C335" t="s">
        <v>427</v>
      </c>
      <c r="D335" t="s">
        <v>51</v>
      </c>
      <c r="E335" t="s">
        <v>77</v>
      </c>
      <c r="F335" t="s">
        <v>60</v>
      </c>
      <c r="G335">
        <v>136</v>
      </c>
      <c r="H335">
        <v>14</v>
      </c>
      <c r="I335" t="s">
        <v>47</v>
      </c>
      <c r="J335">
        <v>9.3000000000000007</v>
      </c>
      <c r="K335">
        <v>12.7</v>
      </c>
      <c r="L335">
        <v>51</v>
      </c>
      <c r="M335">
        <v>35</v>
      </c>
      <c r="N335" t="s">
        <v>61</v>
      </c>
      <c r="O335" t="s">
        <v>428</v>
      </c>
    </row>
    <row r="336" spans="1:15">
      <c r="A336" t="s">
        <v>442</v>
      </c>
      <c r="B336" t="s">
        <v>426</v>
      </c>
      <c r="C336" t="s">
        <v>427</v>
      </c>
      <c r="D336" t="s">
        <v>51</v>
      </c>
      <c r="E336" t="s">
        <v>68</v>
      </c>
      <c r="F336" t="s">
        <v>56</v>
      </c>
      <c r="G336">
        <v>55</v>
      </c>
      <c r="H336">
        <v>20</v>
      </c>
      <c r="I336" t="s">
        <v>57</v>
      </c>
      <c r="J336">
        <v>9.1</v>
      </c>
      <c r="K336">
        <v>13.9</v>
      </c>
      <c r="L336">
        <v>53</v>
      </c>
      <c r="M336">
        <v>31</v>
      </c>
      <c r="N336" t="s">
        <v>61</v>
      </c>
      <c r="O336" t="s">
        <v>428</v>
      </c>
    </row>
    <row r="337" spans="1:15">
      <c r="A337" t="s">
        <v>443</v>
      </c>
      <c r="B337" t="s">
        <v>426</v>
      </c>
      <c r="C337" t="s">
        <v>427</v>
      </c>
      <c r="D337" t="s">
        <v>51</v>
      </c>
      <c r="E337" t="s">
        <v>52</v>
      </c>
      <c r="F337" t="s">
        <v>46</v>
      </c>
      <c r="G337">
        <v>599</v>
      </c>
      <c r="H337">
        <v>15</v>
      </c>
      <c r="I337" t="s">
        <v>47</v>
      </c>
      <c r="J337">
        <v>10.5</v>
      </c>
      <c r="K337">
        <v>11.4</v>
      </c>
      <c r="L337">
        <v>59</v>
      </c>
      <c r="M337">
        <v>31</v>
      </c>
      <c r="N337" t="s">
        <v>48</v>
      </c>
      <c r="O337" t="s">
        <v>428</v>
      </c>
    </row>
    <row r="338" spans="1:15">
      <c r="A338" t="s">
        <v>444</v>
      </c>
      <c r="B338" t="s">
        <v>445</v>
      </c>
      <c r="C338" t="s">
        <v>446</v>
      </c>
      <c r="D338" t="s">
        <v>44</v>
      </c>
      <c r="E338" t="s">
        <v>45</v>
      </c>
      <c r="F338" t="s">
        <v>46</v>
      </c>
      <c r="G338">
        <v>752</v>
      </c>
      <c r="H338">
        <v>18</v>
      </c>
      <c r="I338" t="s">
        <v>57</v>
      </c>
      <c r="J338">
        <v>9.6999999999999993</v>
      </c>
      <c r="K338">
        <v>11.7</v>
      </c>
      <c r="L338">
        <v>57</v>
      </c>
      <c r="M338">
        <v>31</v>
      </c>
      <c r="N338" t="s">
        <v>61</v>
      </c>
      <c r="O338" t="s">
        <v>447</v>
      </c>
    </row>
    <row r="339" spans="1:15">
      <c r="A339" t="s">
        <v>448</v>
      </c>
      <c r="B339" t="s">
        <v>445</v>
      </c>
      <c r="C339" t="s">
        <v>446</v>
      </c>
      <c r="D339" t="s">
        <v>51</v>
      </c>
      <c r="E339" t="s">
        <v>88</v>
      </c>
      <c r="F339" t="s">
        <v>64</v>
      </c>
      <c r="G339">
        <v>1022</v>
      </c>
      <c r="H339">
        <v>29</v>
      </c>
      <c r="I339" t="s">
        <v>47</v>
      </c>
      <c r="J339">
        <v>9.4</v>
      </c>
      <c r="K339">
        <v>14.5</v>
      </c>
      <c r="L339">
        <v>57</v>
      </c>
      <c r="M339">
        <v>31</v>
      </c>
      <c r="N339" t="s">
        <v>61</v>
      </c>
      <c r="O339" t="s">
        <v>447</v>
      </c>
    </row>
    <row r="340" spans="1:15">
      <c r="A340" t="s">
        <v>449</v>
      </c>
      <c r="B340" t="s">
        <v>445</v>
      </c>
      <c r="C340" t="s">
        <v>446</v>
      </c>
      <c r="D340" t="s">
        <v>51</v>
      </c>
      <c r="E340" t="s">
        <v>52</v>
      </c>
      <c r="F340" t="s">
        <v>64</v>
      </c>
      <c r="G340">
        <v>896</v>
      </c>
      <c r="H340">
        <v>12</v>
      </c>
      <c r="I340" t="s">
        <v>57</v>
      </c>
      <c r="J340">
        <v>9</v>
      </c>
      <c r="K340">
        <v>13.2</v>
      </c>
      <c r="L340">
        <v>53</v>
      </c>
      <c r="M340">
        <v>32</v>
      </c>
      <c r="N340" t="s">
        <v>61</v>
      </c>
      <c r="O340" t="s">
        <v>447</v>
      </c>
    </row>
    <row r="341" spans="1:15">
      <c r="A341" t="s">
        <v>450</v>
      </c>
      <c r="B341" t="s">
        <v>445</v>
      </c>
      <c r="C341" t="s">
        <v>446</v>
      </c>
      <c r="D341" t="s">
        <v>51</v>
      </c>
      <c r="E341" t="s">
        <v>68</v>
      </c>
      <c r="F341" t="s">
        <v>64</v>
      </c>
      <c r="G341">
        <v>897</v>
      </c>
      <c r="H341">
        <v>14</v>
      </c>
      <c r="I341" t="s">
        <v>57</v>
      </c>
      <c r="J341">
        <v>10.1</v>
      </c>
      <c r="K341">
        <v>14</v>
      </c>
      <c r="L341">
        <v>56</v>
      </c>
      <c r="M341">
        <v>34</v>
      </c>
      <c r="N341" t="s">
        <v>61</v>
      </c>
      <c r="O341" t="s">
        <v>447</v>
      </c>
    </row>
    <row r="342" spans="1:15">
      <c r="A342" t="s">
        <v>451</v>
      </c>
      <c r="B342" t="s">
        <v>445</v>
      </c>
      <c r="C342" t="s">
        <v>446</v>
      </c>
      <c r="D342" t="s">
        <v>51</v>
      </c>
      <c r="E342" t="s">
        <v>68</v>
      </c>
      <c r="F342" t="s">
        <v>46</v>
      </c>
      <c r="G342">
        <v>588</v>
      </c>
      <c r="H342">
        <v>16</v>
      </c>
      <c r="I342" t="s">
        <v>65</v>
      </c>
      <c r="J342">
        <v>10.1</v>
      </c>
      <c r="K342">
        <v>12.1</v>
      </c>
      <c r="L342">
        <v>56</v>
      </c>
      <c r="M342">
        <v>31</v>
      </c>
      <c r="N342" t="s">
        <v>48</v>
      </c>
      <c r="O342" t="s">
        <v>447</v>
      </c>
    </row>
    <row r="343" spans="1:15">
      <c r="A343" t="s">
        <v>452</v>
      </c>
      <c r="B343" t="s">
        <v>445</v>
      </c>
      <c r="C343" t="s">
        <v>446</v>
      </c>
      <c r="D343" t="s">
        <v>51</v>
      </c>
      <c r="E343" t="s">
        <v>55</v>
      </c>
      <c r="F343" t="s">
        <v>60</v>
      </c>
      <c r="G343">
        <v>212</v>
      </c>
      <c r="H343">
        <v>20</v>
      </c>
      <c r="I343" t="s">
        <v>57</v>
      </c>
      <c r="J343">
        <v>9</v>
      </c>
      <c r="K343">
        <v>12.6</v>
      </c>
      <c r="L343">
        <v>54</v>
      </c>
      <c r="M343">
        <v>33</v>
      </c>
      <c r="N343" t="s">
        <v>48</v>
      </c>
      <c r="O343" t="s">
        <v>447</v>
      </c>
    </row>
    <row r="344" spans="1:15">
      <c r="A344" t="s">
        <v>453</v>
      </c>
      <c r="B344" t="s">
        <v>445</v>
      </c>
      <c r="C344" t="s">
        <v>446</v>
      </c>
      <c r="D344" t="s">
        <v>51</v>
      </c>
      <c r="E344" t="s">
        <v>88</v>
      </c>
      <c r="F344" t="s">
        <v>53</v>
      </c>
      <c r="G344">
        <v>292</v>
      </c>
      <c r="H344">
        <v>18</v>
      </c>
      <c r="I344" t="s">
        <v>47</v>
      </c>
      <c r="J344">
        <v>9.1999999999999993</v>
      </c>
      <c r="K344">
        <v>12.4</v>
      </c>
      <c r="L344">
        <v>56</v>
      </c>
      <c r="M344">
        <v>36</v>
      </c>
      <c r="N344" t="s">
        <v>61</v>
      </c>
      <c r="O344" t="s">
        <v>447</v>
      </c>
    </row>
    <row r="345" spans="1:15">
      <c r="A345" t="s">
        <v>454</v>
      </c>
      <c r="B345" t="s">
        <v>445</v>
      </c>
      <c r="C345" t="s">
        <v>446</v>
      </c>
      <c r="D345" t="s">
        <v>51</v>
      </c>
      <c r="E345" t="s">
        <v>59</v>
      </c>
      <c r="F345" t="s">
        <v>60</v>
      </c>
      <c r="G345">
        <v>210</v>
      </c>
      <c r="H345">
        <v>18</v>
      </c>
      <c r="I345" t="s">
        <v>65</v>
      </c>
      <c r="J345">
        <v>10.3</v>
      </c>
      <c r="K345">
        <v>12.6</v>
      </c>
      <c r="L345">
        <v>53</v>
      </c>
      <c r="M345">
        <v>36</v>
      </c>
      <c r="N345" t="s">
        <v>48</v>
      </c>
      <c r="O345" t="s">
        <v>447</v>
      </c>
    </row>
    <row r="346" spans="1:15">
      <c r="A346" t="s">
        <v>455</v>
      </c>
      <c r="B346" t="s">
        <v>445</v>
      </c>
      <c r="C346" t="s">
        <v>446</v>
      </c>
      <c r="D346" t="s">
        <v>51</v>
      </c>
      <c r="E346" t="s">
        <v>70</v>
      </c>
      <c r="F346" t="s">
        <v>53</v>
      </c>
      <c r="G346">
        <v>344</v>
      </c>
      <c r="H346">
        <v>15</v>
      </c>
      <c r="I346" t="s">
        <v>47</v>
      </c>
      <c r="J346">
        <v>8.9</v>
      </c>
      <c r="K346">
        <v>12.7</v>
      </c>
      <c r="L346">
        <v>54</v>
      </c>
      <c r="M346">
        <v>31</v>
      </c>
      <c r="N346" t="s">
        <v>48</v>
      </c>
      <c r="O346" t="s">
        <v>447</v>
      </c>
    </row>
    <row r="347" spans="1:15">
      <c r="A347" t="s">
        <v>456</v>
      </c>
      <c r="B347" t="s">
        <v>445</v>
      </c>
      <c r="C347" t="s">
        <v>446</v>
      </c>
      <c r="D347" t="s">
        <v>51</v>
      </c>
      <c r="E347" t="s">
        <v>127</v>
      </c>
      <c r="F347" t="s">
        <v>46</v>
      </c>
      <c r="G347">
        <v>506</v>
      </c>
      <c r="H347">
        <v>13</v>
      </c>
      <c r="I347" t="s">
        <v>47</v>
      </c>
      <c r="J347">
        <v>10.7</v>
      </c>
      <c r="K347">
        <v>12</v>
      </c>
      <c r="L347">
        <v>56</v>
      </c>
      <c r="M347">
        <v>31</v>
      </c>
      <c r="N347" t="s">
        <v>61</v>
      </c>
      <c r="O347" t="s">
        <v>447</v>
      </c>
    </row>
    <row r="348" spans="1:15">
      <c r="A348" t="s">
        <v>457</v>
      </c>
      <c r="B348" t="s">
        <v>445</v>
      </c>
      <c r="C348" t="s">
        <v>446</v>
      </c>
      <c r="D348" t="s">
        <v>51</v>
      </c>
      <c r="E348" t="s">
        <v>100</v>
      </c>
      <c r="F348" t="s">
        <v>46</v>
      </c>
      <c r="G348">
        <v>613</v>
      </c>
      <c r="H348">
        <v>13</v>
      </c>
      <c r="I348" t="s">
        <v>57</v>
      </c>
      <c r="J348">
        <v>10</v>
      </c>
      <c r="K348">
        <v>13.4</v>
      </c>
      <c r="L348">
        <v>56</v>
      </c>
      <c r="M348">
        <v>30</v>
      </c>
      <c r="N348" t="s">
        <v>48</v>
      </c>
      <c r="O348" t="s">
        <v>447</v>
      </c>
    </row>
    <row r="349" spans="1:15">
      <c r="A349" t="s">
        <v>458</v>
      </c>
      <c r="B349" t="s">
        <v>445</v>
      </c>
      <c r="C349" t="s">
        <v>446</v>
      </c>
      <c r="D349" t="s">
        <v>51</v>
      </c>
      <c r="E349" t="s">
        <v>100</v>
      </c>
      <c r="F349" t="s">
        <v>53</v>
      </c>
      <c r="G349">
        <v>204</v>
      </c>
      <c r="H349">
        <v>16</v>
      </c>
      <c r="I349" t="s">
        <v>57</v>
      </c>
      <c r="J349">
        <v>8.8000000000000007</v>
      </c>
      <c r="K349">
        <v>13.3</v>
      </c>
      <c r="L349">
        <v>55</v>
      </c>
      <c r="M349">
        <v>31</v>
      </c>
      <c r="N349" t="s">
        <v>48</v>
      </c>
      <c r="O349" t="s">
        <v>447</v>
      </c>
    </row>
    <row r="350" spans="1:15">
      <c r="A350" t="s">
        <v>459</v>
      </c>
      <c r="B350" t="s">
        <v>445</v>
      </c>
      <c r="C350" t="s">
        <v>446</v>
      </c>
      <c r="D350" t="s">
        <v>51</v>
      </c>
      <c r="E350" t="s">
        <v>88</v>
      </c>
      <c r="F350" t="s">
        <v>60</v>
      </c>
      <c r="G350">
        <v>186</v>
      </c>
      <c r="H350">
        <v>17</v>
      </c>
      <c r="I350" t="s">
        <v>65</v>
      </c>
      <c r="J350">
        <v>10.3</v>
      </c>
      <c r="K350">
        <v>12.6</v>
      </c>
      <c r="L350">
        <v>53</v>
      </c>
      <c r="M350">
        <v>35</v>
      </c>
      <c r="N350" t="s">
        <v>48</v>
      </c>
      <c r="O350" t="s">
        <v>447</v>
      </c>
    </row>
    <row r="351" spans="1:15">
      <c r="A351" t="s">
        <v>460</v>
      </c>
      <c r="B351" t="s">
        <v>445</v>
      </c>
      <c r="C351" t="s">
        <v>446</v>
      </c>
      <c r="D351" t="s">
        <v>51</v>
      </c>
      <c r="E351" t="s">
        <v>127</v>
      </c>
      <c r="F351" t="s">
        <v>53</v>
      </c>
      <c r="G351">
        <v>240</v>
      </c>
      <c r="H351">
        <v>19</v>
      </c>
      <c r="I351" t="s">
        <v>47</v>
      </c>
      <c r="J351">
        <v>9.1999999999999993</v>
      </c>
      <c r="K351">
        <v>13.7</v>
      </c>
      <c r="L351">
        <v>53</v>
      </c>
      <c r="M351">
        <v>36</v>
      </c>
      <c r="N351" t="s">
        <v>48</v>
      </c>
      <c r="O351" t="s">
        <v>447</v>
      </c>
    </row>
    <row r="352" spans="1:15">
      <c r="A352" t="s">
        <v>461</v>
      </c>
      <c r="B352" t="s">
        <v>445</v>
      </c>
      <c r="C352" t="s">
        <v>446</v>
      </c>
      <c r="D352" t="s">
        <v>51</v>
      </c>
      <c r="E352" t="s">
        <v>75</v>
      </c>
      <c r="F352" t="s">
        <v>56</v>
      </c>
      <c r="G352">
        <v>47</v>
      </c>
      <c r="H352">
        <v>7</v>
      </c>
      <c r="I352" t="s">
        <v>65</v>
      </c>
      <c r="J352">
        <v>9.8000000000000007</v>
      </c>
      <c r="K352">
        <v>13.5</v>
      </c>
      <c r="L352">
        <v>53</v>
      </c>
      <c r="M352">
        <v>34</v>
      </c>
      <c r="N352" t="s">
        <v>48</v>
      </c>
      <c r="O352" t="s">
        <v>447</v>
      </c>
    </row>
    <row r="353" spans="1:15">
      <c r="A353" t="s">
        <v>462</v>
      </c>
      <c r="B353" t="s">
        <v>445</v>
      </c>
      <c r="C353" t="s">
        <v>446</v>
      </c>
      <c r="D353" t="s">
        <v>51</v>
      </c>
      <c r="E353" t="s">
        <v>75</v>
      </c>
      <c r="F353" t="s">
        <v>46</v>
      </c>
      <c r="G353">
        <v>768</v>
      </c>
      <c r="H353">
        <v>20</v>
      </c>
      <c r="I353" t="s">
        <v>57</v>
      </c>
      <c r="J353">
        <v>9.8000000000000007</v>
      </c>
      <c r="K353">
        <v>11.7</v>
      </c>
      <c r="L353">
        <v>59</v>
      </c>
      <c r="M353">
        <v>31</v>
      </c>
      <c r="N353" t="s">
        <v>61</v>
      </c>
      <c r="O353" t="s">
        <v>447</v>
      </c>
    </row>
    <row r="354" spans="1:15">
      <c r="A354" t="s">
        <v>463</v>
      </c>
      <c r="B354" t="s">
        <v>464</v>
      </c>
      <c r="C354" t="s">
        <v>465</v>
      </c>
      <c r="D354" t="s">
        <v>44</v>
      </c>
      <c r="E354" t="s">
        <v>45</v>
      </c>
      <c r="F354" t="s">
        <v>46</v>
      </c>
      <c r="G354">
        <v>552</v>
      </c>
      <c r="H354">
        <v>20</v>
      </c>
      <c r="I354" t="s">
        <v>47</v>
      </c>
      <c r="J354">
        <v>10.8</v>
      </c>
      <c r="K354">
        <v>11.5</v>
      </c>
      <c r="L354">
        <v>57</v>
      </c>
      <c r="M354">
        <v>30</v>
      </c>
      <c r="N354" t="s">
        <v>48</v>
      </c>
      <c r="O354" t="s">
        <v>466</v>
      </c>
    </row>
    <row r="355" spans="1:15">
      <c r="A355" t="s">
        <v>467</v>
      </c>
      <c r="B355" t="s">
        <v>464</v>
      </c>
      <c r="C355" t="s">
        <v>465</v>
      </c>
      <c r="D355" t="s">
        <v>51</v>
      </c>
      <c r="E355" t="s">
        <v>73</v>
      </c>
      <c r="F355" t="s">
        <v>64</v>
      </c>
      <c r="G355">
        <v>1118</v>
      </c>
      <c r="H355">
        <v>8</v>
      </c>
      <c r="I355" t="s">
        <v>57</v>
      </c>
      <c r="J355">
        <v>9.6</v>
      </c>
      <c r="K355">
        <v>12.4</v>
      </c>
      <c r="L355">
        <v>52</v>
      </c>
      <c r="M355">
        <v>36</v>
      </c>
      <c r="N355" t="s">
        <v>61</v>
      </c>
      <c r="O355" t="s">
        <v>466</v>
      </c>
    </row>
    <row r="356" spans="1:15">
      <c r="A356" t="s">
        <v>468</v>
      </c>
      <c r="B356" t="s">
        <v>464</v>
      </c>
      <c r="C356" t="s">
        <v>465</v>
      </c>
      <c r="D356" t="s">
        <v>51</v>
      </c>
      <c r="E356" t="s">
        <v>59</v>
      </c>
      <c r="F356" t="s">
        <v>46</v>
      </c>
      <c r="G356">
        <v>664</v>
      </c>
      <c r="H356">
        <v>14</v>
      </c>
      <c r="I356" t="s">
        <v>65</v>
      </c>
      <c r="J356">
        <v>9.6999999999999993</v>
      </c>
      <c r="K356">
        <v>12.4</v>
      </c>
      <c r="L356">
        <v>57</v>
      </c>
      <c r="M356">
        <v>33</v>
      </c>
      <c r="N356" t="s">
        <v>48</v>
      </c>
      <c r="O356" t="s">
        <v>466</v>
      </c>
    </row>
    <row r="357" spans="1:15">
      <c r="A357" t="s">
        <v>469</v>
      </c>
      <c r="B357" t="s">
        <v>464</v>
      </c>
      <c r="C357" t="s">
        <v>465</v>
      </c>
      <c r="D357" t="s">
        <v>51</v>
      </c>
      <c r="E357" t="s">
        <v>110</v>
      </c>
      <c r="F357" t="s">
        <v>64</v>
      </c>
      <c r="G357">
        <v>1136</v>
      </c>
      <c r="H357">
        <v>15</v>
      </c>
      <c r="I357" t="s">
        <v>65</v>
      </c>
      <c r="J357">
        <v>9.3000000000000007</v>
      </c>
      <c r="K357">
        <v>13</v>
      </c>
      <c r="L357">
        <v>56</v>
      </c>
      <c r="M357">
        <v>32</v>
      </c>
      <c r="N357" t="s">
        <v>61</v>
      </c>
      <c r="O357" t="s">
        <v>466</v>
      </c>
    </row>
    <row r="358" spans="1:15">
      <c r="A358" t="s">
        <v>470</v>
      </c>
      <c r="B358" t="s">
        <v>464</v>
      </c>
      <c r="C358" t="s">
        <v>465</v>
      </c>
      <c r="D358" t="s">
        <v>51</v>
      </c>
      <c r="E358" t="s">
        <v>63</v>
      </c>
      <c r="F358" t="s">
        <v>53</v>
      </c>
      <c r="G358">
        <v>214</v>
      </c>
      <c r="H358">
        <v>12</v>
      </c>
      <c r="I358" t="s">
        <v>65</v>
      </c>
      <c r="J358">
        <v>10</v>
      </c>
      <c r="K358">
        <v>13.7</v>
      </c>
      <c r="L358">
        <v>51</v>
      </c>
      <c r="M358">
        <v>36</v>
      </c>
      <c r="N358" t="s">
        <v>61</v>
      </c>
      <c r="O358" t="s">
        <v>466</v>
      </c>
    </row>
    <row r="359" spans="1:15">
      <c r="A359" t="s">
        <v>471</v>
      </c>
      <c r="B359" t="s">
        <v>464</v>
      </c>
      <c r="C359" t="s">
        <v>465</v>
      </c>
      <c r="D359" t="s">
        <v>51</v>
      </c>
      <c r="E359" t="s">
        <v>77</v>
      </c>
      <c r="F359" t="s">
        <v>46</v>
      </c>
      <c r="G359">
        <v>452</v>
      </c>
      <c r="H359">
        <v>20</v>
      </c>
      <c r="I359" t="s">
        <v>47</v>
      </c>
      <c r="J359">
        <v>10.4</v>
      </c>
      <c r="K359">
        <v>12.4</v>
      </c>
      <c r="L359">
        <v>55</v>
      </c>
      <c r="M359">
        <v>29</v>
      </c>
      <c r="N359" t="s">
        <v>61</v>
      </c>
      <c r="O359" t="s">
        <v>466</v>
      </c>
    </row>
    <row r="360" spans="1:15">
      <c r="A360" t="s">
        <v>472</v>
      </c>
      <c r="B360" t="s">
        <v>464</v>
      </c>
      <c r="C360" t="s">
        <v>465</v>
      </c>
      <c r="D360" t="s">
        <v>51</v>
      </c>
      <c r="E360" t="s">
        <v>75</v>
      </c>
      <c r="F360" t="s">
        <v>46</v>
      </c>
      <c r="G360">
        <v>430</v>
      </c>
      <c r="H360">
        <v>10</v>
      </c>
      <c r="I360" t="s">
        <v>47</v>
      </c>
      <c r="J360">
        <v>10.3</v>
      </c>
      <c r="K360">
        <v>13.1</v>
      </c>
      <c r="L360">
        <v>55</v>
      </c>
      <c r="M360">
        <v>30</v>
      </c>
      <c r="N360" t="s">
        <v>48</v>
      </c>
      <c r="O360" t="s">
        <v>466</v>
      </c>
    </row>
    <row r="361" spans="1:15">
      <c r="A361" t="s">
        <v>473</v>
      </c>
      <c r="B361" t="s">
        <v>464</v>
      </c>
      <c r="C361" t="s">
        <v>465</v>
      </c>
      <c r="D361" t="s">
        <v>51</v>
      </c>
      <c r="E361" t="s">
        <v>52</v>
      </c>
      <c r="F361" t="s">
        <v>64</v>
      </c>
      <c r="G361">
        <v>713</v>
      </c>
      <c r="H361">
        <v>11</v>
      </c>
      <c r="I361" t="s">
        <v>57</v>
      </c>
      <c r="J361">
        <v>8.9</v>
      </c>
      <c r="K361">
        <v>13.1</v>
      </c>
      <c r="L361">
        <v>55</v>
      </c>
      <c r="M361">
        <v>34</v>
      </c>
      <c r="N361" t="s">
        <v>48</v>
      </c>
      <c r="O361" t="s">
        <v>466</v>
      </c>
    </row>
    <row r="362" spans="1:15">
      <c r="A362" t="s">
        <v>474</v>
      </c>
      <c r="B362" t="s">
        <v>464</v>
      </c>
      <c r="C362" t="s">
        <v>465</v>
      </c>
      <c r="D362" t="s">
        <v>51</v>
      </c>
      <c r="E362" t="s">
        <v>55</v>
      </c>
      <c r="F362" t="s">
        <v>53</v>
      </c>
      <c r="G362">
        <v>274</v>
      </c>
      <c r="H362">
        <v>17</v>
      </c>
      <c r="I362" t="s">
        <v>65</v>
      </c>
      <c r="J362">
        <v>10.1</v>
      </c>
      <c r="K362">
        <v>14.1</v>
      </c>
      <c r="L362">
        <v>51</v>
      </c>
      <c r="M362">
        <v>31</v>
      </c>
      <c r="N362" t="s">
        <v>48</v>
      </c>
      <c r="O362" t="s">
        <v>466</v>
      </c>
    </row>
    <row r="363" spans="1:15">
      <c r="A363" t="s">
        <v>475</v>
      </c>
      <c r="B363" t="s">
        <v>464</v>
      </c>
      <c r="C363" t="s">
        <v>465</v>
      </c>
      <c r="D363" t="s">
        <v>51</v>
      </c>
      <c r="E363" t="s">
        <v>79</v>
      </c>
      <c r="F363" t="s">
        <v>60</v>
      </c>
      <c r="G363">
        <v>233</v>
      </c>
      <c r="H363">
        <v>15</v>
      </c>
      <c r="I363" t="s">
        <v>57</v>
      </c>
      <c r="J363">
        <v>9.6</v>
      </c>
      <c r="K363">
        <v>13.2</v>
      </c>
      <c r="L363">
        <v>57</v>
      </c>
      <c r="M363">
        <v>36</v>
      </c>
      <c r="N363" t="s">
        <v>48</v>
      </c>
      <c r="O363" t="s">
        <v>466</v>
      </c>
    </row>
    <row r="364" spans="1:15">
      <c r="A364" t="s">
        <v>476</v>
      </c>
      <c r="B364" t="s">
        <v>464</v>
      </c>
      <c r="C364" t="s">
        <v>465</v>
      </c>
      <c r="D364" t="s">
        <v>51</v>
      </c>
      <c r="E364" t="s">
        <v>75</v>
      </c>
      <c r="F364" t="s">
        <v>46</v>
      </c>
      <c r="G364">
        <v>538</v>
      </c>
      <c r="H364">
        <v>22</v>
      </c>
      <c r="I364" t="s">
        <v>57</v>
      </c>
      <c r="J364">
        <v>9.5</v>
      </c>
      <c r="K364">
        <v>13.4</v>
      </c>
      <c r="L364">
        <v>56</v>
      </c>
      <c r="M364">
        <v>30</v>
      </c>
      <c r="N364" t="s">
        <v>48</v>
      </c>
      <c r="O364" t="s">
        <v>466</v>
      </c>
    </row>
    <row r="365" spans="1:15">
      <c r="A365" t="s">
        <v>477</v>
      </c>
      <c r="B365" t="s">
        <v>464</v>
      </c>
      <c r="C365" t="s">
        <v>465</v>
      </c>
      <c r="D365" t="s">
        <v>51</v>
      </c>
      <c r="E365" t="s">
        <v>88</v>
      </c>
      <c r="F365" t="s">
        <v>56</v>
      </c>
      <c r="G365">
        <v>70</v>
      </c>
      <c r="H365">
        <v>6</v>
      </c>
      <c r="I365" t="s">
        <v>47</v>
      </c>
      <c r="J365">
        <v>9</v>
      </c>
      <c r="K365">
        <v>14.6</v>
      </c>
      <c r="L365">
        <v>53</v>
      </c>
      <c r="M365">
        <v>34</v>
      </c>
      <c r="N365" t="s">
        <v>48</v>
      </c>
      <c r="O365" t="s">
        <v>466</v>
      </c>
    </row>
    <row r="366" spans="1:15">
      <c r="A366" t="s">
        <v>478</v>
      </c>
      <c r="B366" t="s">
        <v>464</v>
      </c>
      <c r="C366" t="s">
        <v>465</v>
      </c>
      <c r="D366" t="s">
        <v>51</v>
      </c>
      <c r="E366" t="s">
        <v>79</v>
      </c>
      <c r="F366" t="s">
        <v>56</v>
      </c>
      <c r="G366">
        <v>73</v>
      </c>
      <c r="H366">
        <v>21</v>
      </c>
      <c r="I366" t="s">
        <v>57</v>
      </c>
      <c r="J366">
        <v>8.8000000000000007</v>
      </c>
      <c r="K366">
        <v>13</v>
      </c>
      <c r="L366">
        <v>52</v>
      </c>
      <c r="M366">
        <v>34</v>
      </c>
      <c r="N366" t="s">
        <v>61</v>
      </c>
      <c r="O366" t="s">
        <v>466</v>
      </c>
    </row>
    <row r="367" spans="1:15">
      <c r="A367" t="s">
        <v>479</v>
      </c>
      <c r="B367" t="s">
        <v>464</v>
      </c>
      <c r="C367" t="s">
        <v>465</v>
      </c>
      <c r="D367" t="s">
        <v>51</v>
      </c>
      <c r="E367" t="s">
        <v>88</v>
      </c>
      <c r="F367" t="s">
        <v>53</v>
      </c>
      <c r="G367">
        <v>298</v>
      </c>
      <c r="H367">
        <v>23</v>
      </c>
      <c r="I367" t="s">
        <v>57</v>
      </c>
      <c r="J367">
        <v>8.6999999999999993</v>
      </c>
      <c r="K367">
        <v>14.3</v>
      </c>
      <c r="L367">
        <v>55</v>
      </c>
      <c r="M367">
        <v>36</v>
      </c>
      <c r="N367" t="s">
        <v>48</v>
      </c>
      <c r="O367" t="s">
        <v>466</v>
      </c>
    </row>
    <row r="368" spans="1:15">
      <c r="A368" t="s">
        <v>480</v>
      </c>
      <c r="B368" t="s">
        <v>464</v>
      </c>
      <c r="C368" t="s">
        <v>465</v>
      </c>
      <c r="D368" t="s">
        <v>51</v>
      </c>
      <c r="E368" t="s">
        <v>55</v>
      </c>
      <c r="F368" t="s">
        <v>60</v>
      </c>
      <c r="G368">
        <v>226</v>
      </c>
      <c r="H368">
        <v>10</v>
      </c>
      <c r="I368" t="s">
        <v>57</v>
      </c>
      <c r="J368">
        <v>9.6</v>
      </c>
      <c r="K368">
        <v>13.8</v>
      </c>
      <c r="L368">
        <v>53</v>
      </c>
      <c r="M368">
        <v>31</v>
      </c>
      <c r="N368" t="s">
        <v>61</v>
      </c>
      <c r="O368" t="s">
        <v>466</v>
      </c>
    </row>
    <row r="369" spans="1:15">
      <c r="A369" t="s">
        <v>481</v>
      </c>
      <c r="B369" t="s">
        <v>464</v>
      </c>
      <c r="C369" t="s">
        <v>465</v>
      </c>
      <c r="D369" t="s">
        <v>51</v>
      </c>
      <c r="E369" t="s">
        <v>88</v>
      </c>
      <c r="F369" t="s">
        <v>60</v>
      </c>
      <c r="G369">
        <v>194</v>
      </c>
      <c r="H369">
        <v>17</v>
      </c>
      <c r="I369" t="s">
        <v>65</v>
      </c>
      <c r="J369">
        <v>9.9</v>
      </c>
      <c r="K369">
        <v>12.9</v>
      </c>
      <c r="L369">
        <v>55</v>
      </c>
      <c r="M369">
        <v>34</v>
      </c>
      <c r="N369" t="s">
        <v>48</v>
      </c>
      <c r="O369" t="s">
        <v>466</v>
      </c>
    </row>
    <row r="370" spans="1:15">
      <c r="A370" t="s">
        <v>482</v>
      </c>
      <c r="B370" t="s">
        <v>483</v>
      </c>
      <c r="C370" t="s">
        <v>484</v>
      </c>
      <c r="D370" t="s">
        <v>44</v>
      </c>
      <c r="E370" t="s">
        <v>45</v>
      </c>
      <c r="F370" t="s">
        <v>46</v>
      </c>
      <c r="G370">
        <v>624</v>
      </c>
      <c r="H370">
        <v>14</v>
      </c>
      <c r="I370" t="s">
        <v>47</v>
      </c>
      <c r="J370">
        <v>10.7</v>
      </c>
      <c r="K370">
        <v>11.5</v>
      </c>
      <c r="L370">
        <v>57</v>
      </c>
      <c r="M370">
        <v>32</v>
      </c>
      <c r="N370" t="s">
        <v>61</v>
      </c>
      <c r="O370" t="s">
        <v>485</v>
      </c>
    </row>
    <row r="371" spans="1:15">
      <c r="A371" t="s">
        <v>486</v>
      </c>
      <c r="B371" t="s">
        <v>483</v>
      </c>
      <c r="C371" t="s">
        <v>484</v>
      </c>
      <c r="D371" t="s">
        <v>51</v>
      </c>
      <c r="E371" t="s">
        <v>73</v>
      </c>
      <c r="F371" t="s">
        <v>46</v>
      </c>
      <c r="G371">
        <v>425</v>
      </c>
      <c r="H371">
        <v>20</v>
      </c>
      <c r="I371" t="s">
        <v>65</v>
      </c>
      <c r="J371">
        <v>10.1</v>
      </c>
      <c r="K371">
        <v>12.2</v>
      </c>
      <c r="L371">
        <v>55</v>
      </c>
      <c r="M371">
        <v>29</v>
      </c>
      <c r="N371" t="s">
        <v>48</v>
      </c>
      <c r="O371" t="s">
        <v>485</v>
      </c>
    </row>
    <row r="372" spans="1:15">
      <c r="A372" t="s">
        <v>487</v>
      </c>
      <c r="B372" t="s">
        <v>483</v>
      </c>
      <c r="C372" t="s">
        <v>484</v>
      </c>
      <c r="D372" t="s">
        <v>51</v>
      </c>
      <c r="E372" t="s">
        <v>75</v>
      </c>
      <c r="F372" t="s">
        <v>46</v>
      </c>
      <c r="G372">
        <v>584</v>
      </c>
      <c r="H372">
        <v>16</v>
      </c>
      <c r="I372" t="s">
        <v>65</v>
      </c>
      <c r="J372">
        <v>9.5</v>
      </c>
      <c r="K372">
        <v>13.3</v>
      </c>
      <c r="L372">
        <v>56</v>
      </c>
      <c r="M372">
        <v>31</v>
      </c>
      <c r="N372" t="s">
        <v>61</v>
      </c>
      <c r="O372" t="s">
        <v>485</v>
      </c>
    </row>
    <row r="373" spans="1:15">
      <c r="A373" t="s">
        <v>488</v>
      </c>
      <c r="B373" t="s">
        <v>483</v>
      </c>
      <c r="C373" t="s">
        <v>484</v>
      </c>
      <c r="D373" t="s">
        <v>51</v>
      </c>
      <c r="E373" t="s">
        <v>68</v>
      </c>
      <c r="F373" t="s">
        <v>56</v>
      </c>
      <c r="G373">
        <v>48</v>
      </c>
      <c r="H373">
        <v>15</v>
      </c>
      <c r="I373" t="s">
        <v>47</v>
      </c>
      <c r="J373">
        <v>9.6999999999999993</v>
      </c>
      <c r="K373">
        <v>14.9</v>
      </c>
      <c r="L373">
        <v>51</v>
      </c>
      <c r="M373">
        <v>36</v>
      </c>
      <c r="N373" t="s">
        <v>48</v>
      </c>
      <c r="O373" t="s">
        <v>485</v>
      </c>
    </row>
    <row r="374" spans="1:15">
      <c r="A374" t="s">
        <v>489</v>
      </c>
      <c r="B374" t="s">
        <v>483</v>
      </c>
      <c r="C374" t="s">
        <v>484</v>
      </c>
      <c r="D374" t="s">
        <v>51</v>
      </c>
      <c r="E374" t="s">
        <v>79</v>
      </c>
      <c r="F374" t="s">
        <v>56</v>
      </c>
      <c r="G374">
        <v>73</v>
      </c>
      <c r="H374">
        <v>25</v>
      </c>
      <c r="I374" t="s">
        <v>65</v>
      </c>
      <c r="J374">
        <v>9.1999999999999993</v>
      </c>
      <c r="K374">
        <v>12.7</v>
      </c>
      <c r="L374">
        <v>55</v>
      </c>
      <c r="M374">
        <v>31</v>
      </c>
      <c r="N374" t="s">
        <v>48</v>
      </c>
      <c r="O374" t="s">
        <v>485</v>
      </c>
    </row>
    <row r="375" spans="1:15">
      <c r="A375" t="s">
        <v>490</v>
      </c>
      <c r="B375" t="s">
        <v>483</v>
      </c>
      <c r="C375" t="s">
        <v>484</v>
      </c>
      <c r="D375" t="s">
        <v>51</v>
      </c>
      <c r="E375" t="s">
        <v>70</v>
      </c>
      <c r="F375" t="s">
        <v>60</v>
      </c>
      <c r="G375">
        <v>145</v>
      </c>
      <c r="H375">
        <v>22</v>
      </c>
      <c r="I375" t="s">
        <v>65</v>
      </c>
      <c r="J375">
        <v>9.9</v>
      </c>
      <c r="K375">
        <v>13.1</v>
      </c>
      <c r="L375">
        <v>57</v>
      </c>
      <c r="M375">
        <v>33</v>
      </c>
      <c r="N375" t="s">
        <v>61</v>
      </c>
      <c r="O375" t="s">
        <v>485</v>
      </c>
    </row>
    <row r="376" spans="1:15">
      <c r="A376" t="s">
        <v>491</v>
      </c>
      <c r="B376" t="s">
        <v>483</v>
      </c>
      <c r="C376" t="s">
        <v>484</v>
      </c>
      <c r="D376" t="s">
        <v>51</v>
      </c>
      <c r="E376" t="s">
        <v>110</v>
      </c>
      <c r="F376" t="s">
        <v>60</v>
      </c>
      <c r="G376">
        <v>203</v>
      </c>
      <c r="H376">
        <v>15</v>
      </c>
      <c r="I376" t="s">
        <v>57</v>
      </c>
      <c r="J376">
        <v>9.3000000000000007</v>
      </c>
      <c r="K376">
        <v>13.8</v>
      </c>
      <c r="L376">
        <v>57</v>
      </c>
      <c r="M376">
        <v>31</v>
      </c>
      <c r="N376" t="s">
        <v>48</v>
      </c>
      <c r="O376" t="s">
        <v>485</v>
      </c>
    </row>
    <row r="377" spans="1:15">
      <c r="A377" t="s">
        <v>492</v>
      </c>
      <c r="B377" t="s">
        <v>483</v>
      </c>
      <c r="C377" t="s">
        <v>484</v>
      </c>
      <c r="D377" t="s">
        <v>51</v>
      </c>
      <c r="E377" t="s">
        <v>63</v>
      </c>
      <c r="F377" t="s">
        <v>56</v>
      </c>
      <c r="G377">
        <v>74</v>
      </c>
      <c r="H377">
        <v>22</v>
      </c>
      <c r="I377" t="s">
        <v>65</v>
      </c>
      <c r="J377">
        <v>9.6999999999999993</v>
      </c>
      <c r="K377">
        <v>13</v>
      </c>
      <c r="L377">
        <v>54</v>
      </c>
      <c r="M377">
        <v>36</v>
      </c>
      <c r="N377" t="s">
        <v>61</v>
      </c>
      <c r="O377" t="s">
        <v>485</v>
      </c>
    </row>
    <row r="378" spans="1:15">
      <c r="A378" t="s">
        <v>493</v>
      </c>
      <c r="B378" t="s">
        <v>483</v>
      </c>
      <c r="C378" t="s">
        <v>484</v>
      </c>
      <c r="D378" t="s">
        <v>51</v>
      </c>
      <c r="E378" t="s">
        <v>88</v>
      </c>
      <c r="F378" t="s">
        <v>60</v>
      </c>
      <c r="G378">
        <v>157</v>
      </c>
      <c r="H378">
        <v>17</v>
      </c>
      <c r="I378" t="s">
        <v>47</v>
      </c>
      <c r="J378">
        <v>9</v>
      </c>
      <c r="K378">
        <v>13.8</v>
      </c>
      <c r="L378">
        <v>54</v>
      </c>
      <c r="M378">
        <v>33</v>
      </c>
      <c r="N378" t="s">
        <v>48</v>
      </c>
      <c r="O378" t="s">
        <v>485</v>
      </c>
    </row>
    <row r="379" spans="1:15">
      <c r="A379" t="s">
        <v>494</v>
      </c>
      <c r="B379" t="s">
        <v>483</v>
      </c>
      <c r="C379" t="s">
        <v>484</v>
      </c>
      <c r="D379" t="s">
        <v>51</v>
      </c>
      <c r="E379" t="s">
        <v>88</v>
      </c>
      <c r="F379" t="s">
        <v>53</v>
      </c>
      <c r="G379">
        <v>241</v>
      </c>
      <c r="H379">
        <v>20</v>
      </c>
      <c r="I379" t="s">
        <v>57</v>
      </c>
      <c r="J379">
        <v>10</v>
      </c>
      <c r="K379">
        <v>12.4</v>
      </c>
      <c r="L379">
        <v>55</v>
      </c>
      <c r="M379">
        <v>31</v>
      </c>
      <c r="N379" t="s">
        <v>48</v>
      </c>
      <c r="O379" t="s">
        <v>485</v>
      </c>
    </row>
    <row r="380" spans="1:15">
      <c r="A380" t="s">
        <v>495</v>
      </c>
      <c r="B380" t="s">
        <v>483</v>
      </c>
      <c r="C380" t="s">
        <v>484</v>
      </c>
      <c r="D380" t="s">
        <v>51</v>
      </c>
      <c r="E380" t="s">
        <v>127</v>
      </c>
      <c r="F380" t="s">
        <v>46</v>
      </c>
      <c r="G380">
        <v>633</v>
      </c>
      <c r="H380">
        <v>19</v>
      </c>
      <c r="I380" t="s">
        <v>47</v>
      </c>
      <c r="J380">
        <v>10.9</v>
      </c>
      <c r="K380">
        <v>12</v>
      </c>
      <c r="L380">
        <v>56</v>
      </c>
      <c r="M380">
        <v>30</v>
      </c>
      <c r="N380" t="s">
        <v>61</v>
      </c>
      <c r="O380" t="s">
        <v>485</v>
      </c>
    </row>
    <row r="381" spans="1:15">
      <c r="A381" t="s">
        <v>496</v>
      </c>
      <c r="B381" t="s">
        <v>483</v>
      </c>
      <c r="C381" t="s">
        <v>484</v>
      </c>
      <c r="D381" t="s">
        <v>51</v>
      </c>
      <c r="E381" t="s">
        <v>88</v>
      </c>
      <c r="F381" t="s">
        <v>64</v>
      </c>
      <c r="G381">
        <v>840</v>
      </c>
      <c r="H381">
        <v>22</v>
      </c>
      <c r="I381" t="s">
        <v>47</v>
      </c>
      <c r="J381">
        <v>9.6</v>
      </c>
      <c r="K381">
        <v>14</v>
      </c>
      <c r="L381">
        <v>56</v>
      </c>
      <c r="M381">
        <v>36</v>
      </c>
      <c r="N381" t="s">
        <v>48</v>
      </c>
      <c r="O381" t="s">
        <v>485</v>
      </c>
    </row>
    <row r="382" spans="1:15">
      <c r="A382" t="s">
        <v>497</v>
      </c>
      <c r="B382" t="s">
        <v>483</v>
      </c>
      <c r="C382" t="s">
        <v>484</v>
      </c>
      <c r="D382" t="s">
        <v>51</v>
      </c>
      <c r="E382" t="s">
        <v>75</v>
      </c>
      <c r="F382" t="s">
        <v>64</v>
      </c>
      <c r="G382">
        <v>880</v>
      </c>
      <c r="H382">
        <v>14</v>
      </c>
      <c r="I382" t="s">
        <v>47</v>
      </c>
      <c r="J382">
        <v>9.1999999999999993</v>
      </c>
      <c r="K382">
        <v>14.1</v>
      </c>
      <c r="L382">
        <v>52</v>
      </c>
      <c r="M382">
        <v>34</v>
      </c>
      <c r="N382" t="s">
        <v>48</v>
      </c>
      <c r="O382" t="s">
        <v>485</v>
      </c>
    </row>
    <row r="383" spans="1:15">
      <c r="A383" t="s">
        <v>498</v>
      </c>
      <c r="B383" t="s">
        <v>483</v>
      </c>
      <c r="C383" t="s">
        <v>484</v>
      </c>
      <c r="D383" t="s">
        <v>51</v>
      </c>
      <c r="E383" t="s">
        <v>110</v>
      </c>
      <c r="F383" t="s">
        <v>56</v>
      </c>
      <c r="G383">
        <v>67</v>
      </c>
      <c r="H383">
        <v>18</v>
      </c>
      <c r="I383" t="s">
        <v>57</v>
      </c>
      <c r="J383">
        <v>9.3000000000000007</v>
      </c>
      <c r="K383">
        <v>13.1</v>
      </c>
      <c r="L383">
        <v>51</v>
      </c>
      <c r="M383">
        <v>31</v>
      </c>
      <c r="N383" t="s">
        <v>48</v>
      </c>
      <c r="O383" t="s">
        <v>485</v>
      </c>
    </row>
    <row r="384" spans="1:15">
      <c r="A384" t="s">
        <v>499</v>
      </c>
      <c r="B384" t="s">
        <v>483</v>
      </c>
      <c r="C384" t="s">
        <v>484</v>
      </c>
      <c r="D384" t="s">
        <v>51</v>
      </c>
      <c r="E384" t="s">
        <v>73</v>
      </c>
      <c r="F384" t="s">
        <v>60</v>
      </c>
      <c r="G384">
        <v>129</v>
      </c>
      <c r="H384">
        <v>22</v>
      </c>
      <c r="I384" t="s">
        <v>47</v>
      </c>
      <c r="J384">
        <v>9.1999999999999993</v>
      </c>
      <c r="K384">
        <v>13.9</v>
      </c>
      <c r="L384">
        <v>56</v>
      </c>
      <c r="M384">
        <v>32</v>
      </c>
      <c r="N384" t="s">
        <v>48</v>
      </c>
      <c r="O384" t="s">
        <v>485</v>
      </c>
    </row>
    <row r="385" spans="1:15">
      <c r="A385" t="s">
        <v>500</v>
      </c>
      <c r="B385" t="s">
        <v>483</v>
      </c>
      <c r="C385" t="s">
        <v>484</v>
      </c>
      <c r="D385" t="s">
        <v>51</v>
      </c>
      <c r="E385" t="s">
        <v>59</v>
      </c>
      <c r="F385" t="s">
        <v>53</v>
      </c>
      <c r="G385">
        <v>213</v>
      </c>
      <c r="H385">
        <v>22</v>
      </c>
      <c r="I385" t="s">
        <v>65</v>
      </c>
      <c r="J385">
        <v>9.6999999999999993</v>
      </c>
      <c r="K385">
        <v>13.5</v>
      </c>
      <c r="L385">
        <v>56</v>
      </c>
      <c r="M385">
        <v>37</v>
      </c>
      <c r="N385" t="s">
        <v>48</v>
      </c>
      <c r="O385" t="s">
        <v>485</v>
      </c>
    </row>
  </sheetData>
  <pageMargins left="0" right="0" top="0" bottom="0" header="0" footer="0"/>
  <ignoredErrors>
    <ignoredError sqref="A1:O385"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249"/>
  <sheetViews>
    <sheetView tabSelected="1" topLeftCell="A1224" workbookViewId="0">
      <selection activeCell="C40" sqref="C40"/>
    </sheetView>
  </sheetViews>
  <sheetFormatPr defaultRowHeight="15"/>
  <sheetData>
    <row r="1" spans="1:7">
      <c r="A1" t="s">
        <v>501</v>
      </c>
      <c r="B1" t="s">
        <v>502</v>
      </c>
      <c r="C1" t="s">
        <v>27</v>
      </c>
      <c r="D1" t="s">
        <v>503</v>
      </c>
      <c r="E1" t="s">
        <v>504</v>
      </c>
      <c r="F1" t="s">
        <v>505</v>
      </c>
      <c r="G1" t="s">
        <v>506</v>
      </c>
    </row>
    <row r="2" spans="1:7">
      <c r="A2" t="s">
        <v>507</v>
      </c>
      <c r="B2" t="s">
        <v>508</v>
      </c>
      <c r="C2" t="s">
        <v>42</v>
      </c>
      <c r="D2">
        <v>638.4</v>
      </c>
      <c r="E2">
        <v>12</v>
      </c>
      <c r="F2">
        <v>7</v>
      </c>
      <c r="G2">
        <v>1386</v>
      </c>
    </row>
    <row r="3" spans="1:7">
      <c r="A3" t="s">
        <v>507</v>
      </c>
      <c r="B3" t="s">
        <v>508</v>
      </c>
      <c r="C3" t="s">
        <v>85</v>
      </c>
      <c r="D3">
        <v>204.9</v>
      </c>
      <c r="E3">
        <v>11</v>
      </c>
      <c r="F3">
        <v>2</v>
      </c>
      <c r="G3">
        <v>1062</v>
      </c>
    </row>
    <row r="4" spans="1:7">
      <c r="A4" t="s">
        <v>507</v>
      </c>
      <c r="B4" t="s">
        <v>508</v>
      </c>
      <c r="C4" t="s">
        <v>104</v>
      </c>
      <c r="D4">
        <v>139.6</v>
      </c>
      <c r="E4">
        <v>15</v>
      </c>
      <c r="F4">
        <v>3</v>
      </c>
      <c r="G4">
        <v>3377</v>
      </c>
    </row>
    <row r="5" spans="1:7">
      <c r="A5" t="s">
        <v>507</v>
      </c>
      <c r="B5" t="s">
        <v>508</v>
      </c>
      <c r="C5" t="s">
        <v>124</v>
      </c>
      <c r="D5">
        <v>91</v>
      </c>
      <c r="E5">
        <v>21</v>
      </c>
      <c r="F5">
        <v>2</v>
      </c>
      <c r="G5">
        <v>3275</v>
      </c>
    </row>
    <row r="6" spans="1:7">
      <c r="A6" t="s">
        <v>507</v>
      </c>
      <c r="B6" t="s">
        <v>508</v>
      </c>
      <c r="C6" t="s">
        <v>142</v>
      </c>
      <c r="D6">
        <v>90.2</v>
      </c>
      <c r="E6">
        <v>14</v>
      </c>
      <c r="F6">
        <v>2</v>
      </c>
      <c r="G6">
        <v>3232</v>
      </c>
    </row>
    <row r="7" spans="1:7">
      <c r="A7" t="s">
        <v>507</v>
      </c>
      <c r="B7" t="s">
        <v>508</v>
      </c>
      <c r="C7" t="s">
        <v>159</v>
      </c>
      <c r="D7">
        <v>97.1</v>
      </c>
      <c r="E7">
        <v>13</v>
      </c>
      <c r="F7">
        <v>3</v>
      </c>
      <c r="G7">
        <v>2851</v>
      </c>
    </row>
    <row r="8" spans="1:7">
      <c r="A8" t="s">
        <v>507</v>
      </c>
      <c r="B8" t="s">
        <v>508</v>
      </c>
      <c r="C8" t="s">
        <v>176</v>
      </c>
      <c r="D8">
        <v>354.8</v>
      </c>
      <c r="E8">
        <v>14</v>
      </c>
      <c r="F8">
        <v>4</v>
      </c>
      <c r="G8">
        <v>1041</v>
      </c>
    </row>
    <row r="9" spans="1:7">
      <c r="A9" t="s">
        <v>507</v>
      </c>
      <c r="B9" t="s">
        <v>508</v>
      </c>
      <c r="C9" t="s">
        <v>195</v>
      </c>
      <c r="D9">
        <v>74.8</v>
      </c>
      <c r="E9">
        <v>19</v>
      </c>
      <c r="F9">
        <v>4</v>
      </c>
      <c r="G9">
        <v>2486</v>
      </c>
    </row>
    <row r="10" spans="1:7">
      <c r="A10" t="s">
        <v>507</v>
      </c>
      <c r="B10" t="s">
        <v>508</v>
      </c>
      <c r="C10" t="s">
        <v>212</v>
      </c>
      <c r="D10">
        <v>59.9</v>
      </c>
      <c r="E10">
        <v>13</v>
      </c>
      <c r="F10">
        <v>1</v>
      </c>
      <c r="G10">
        <v>2378</v>
      </c>
    </row>
    <row r="11" spans="1:7">
      <c r="A11" t="s">
        <v>507</v>
      </c>
      <c r="B11" t="s">
        <v>508</v>
      </c>
      <c r="C11" t="s">
        <v>229</v>
      </c>
      <c r="D11">
        <v>127.7</v>
      </c>
      <c r="E11">
        <v>15</v>
      </c>
      <c r="F11">
        <v>0</v>
      </c>
      <c r="G11">
        <v>2847</v>
      </c>
    </row>
    <row r="12" spans="1:7">
      <c r="A12" t="s">
        <v>507</v>
      </c>
      <c r="B12" t="s">
        <v>508</v>
      </c>
      <c r="C12" t="s">
        <v>248</v>
      </c>
      <c r="D12">
        <v>61.9</v>
      </c>
      <c r="E12">
        <v>19</v>
      </c>
      <c r="F12">
        <v>0</v>
      </c>
      <c r="G12">
        <v>2565</v>
      </c>
    </row>
    <row r="13" spans="1:7">
      <c r="A13" t="s">
        <v>507</v>
      </c>
      <c r="B13" t="s">
        <v>508</v>
      </c>
      <c r="C13" t="s">
        <v>265</v>
      </c>
      <c r="D13">
        <v>40.799999999999997</v>
      </c>
      <c r="E13">
        <v>18</v>
      </c>
      <c r="F13">
        <v>2</v>
      </c>
      <c r="G13">
        <v>3485</v>
      </c>
    </row>
    <row r="14" spans="1:7">
      <c r="A14" t="s">
        <v>507</v>
      </c>
      <c r="B14" t="s">
        <v>508</v>
      </c>
      <c r="C14" t="s">
        <v>282</v>
      </c>
      <c r="D14">
        <v>100.3</v>
      </c>
      <c r="E14">
        <v>16</v>
      </c>
      <c r="F14">
        <v>1</v>
      </c>
      <c r="G14">
        <v>1608</v>
      </c>
    </row>
    <row r="15" spans="1:7">
      <c r="A15" t="s">
        <v>507</v>
      </c>
      <c r="B15" t="s">
        <v>508</v>
      </c>
      <c r="C15" t="s">
        <v>299</v>
      </c>
      <c r="D15">
        <v>87.1</v>
      </c>
      <c r="E15">
        <v>14</v>
      </c>
      <c r="F15">
        <v>0</v>
      </c>
      <c r="G15">
        <v>1445</v>
      </c>
    </row>
    <row r="16" spans="1:7">
      <c r="A16" t="s">
        <v>507</v>
      </c>
      <c r="B16" t="s">
        <v>508</v>
      </c>
      <c r="C16" t="s">
        <v>318</v>
      </c>
      <c r="D16">
        <v>124.4</v>
      </c>
      <c r="E16">
        <v>20</v>
      </c>
      <c r="F16">
        <v>0</v>
      </c>
      <c r="G16">
        <v>1224</v>
      </c>
    </row>
    <row r="17" spans="1:7">
      <c r="A17" t="s">
        <v>507</v>
      </c>
      <c r="B17" t="s">
        <v>508</v>
      </c>
      <c r="C17" t="s">
        <v>335</v>
      </c>
      <c r="D17">
        <v>61.1</v>
      </c>
      <c r="E17">
        <v>14</v>
      </c>
      <c r="F17">
        <v>1</v>
      </c>
      <c r="G17">
        <v>1867</v>
      </c>
    </row>
    <row r="18" spans="1:7">
      <c r="A18" t="s">
        <v>507</v>
      </c>
      <c r="B18" t="s">
        <v>508</v>
      </c>
      <c r="C18" t="s">
        <v>352</v>
      </c>
      <c r="D18">
        <v>336.2</v>
      </c>
      <c r="E18">
        <v>18</v>
      </c>
      <c r="F18">
        <v>3</v>
      </c>
      <c r="G18">
        <v>1045</v>
      </c>
    </row>
    <row r="19" spans="1:7">
      <c r="A19" t="s">
        <v>507</v>
      </c>
      <c r="B19" t="s">
        <v>508</v>
      </c>
      <c r="C19" t="s">
        <v>371</v>
      </c>
      <c r="D19">
        <v>172.1</v>
      </c>
      <c r="E19">
        <v>15</v>
      </c>
      <c r="F19">
        <v>0</v>
      </c>
      <c r="G19">
        <v>1412</v>
      </c>
    </row>
    <row r="20" spans="1:7">
      <c r="A20" t="s">
        <v>507</v>
      </c>
      <c r="B20" t="s">
        <v>508</v>
      </c>
      <c r="C20" t="s">
        <v>388</v>
      </c>
      <c r="D20">
        <v>51.8</v>
      </c>
      <c r="E20">
        <v>17</v>
      </c>
      <c r="F20">
        <v>1</v>
      </c>
      <c r="G20">
        <v>2481</v>
      </c>
    </row>
    <row r="21" spans="1:7">
      <c r="A21" t="s">
        <v>507</v>
      </c>
      <c r="B21" t="s">
        <v>508</v>
      </c>
      <c r="C21" t="s">
        <v>407</v>
      </c>
      <c r="D21">
        <v>51.4</v>
      </c>
      <c r="E21">
        <v>16</v>
      </c>
      <c r="F21">
        <v>1</v>
      </c>
      <c r="G21">
        <v>2078</v>
      </c>
    </row>
    <row r="22" spans="1:7">
      <c r="A22" t="s">
        <v>507</v>
      </c>
      <c r="B22" t="s">
        <v>508</v>
      </c>
      <c r="C22" t="s">
        <v>426</v>
      </c>
      <c r="D22">
        <v>48.4</v>
      </c>
      <c r="E22">
        <v>15</v>
      </c>
      <c r="F22">
        <v>0</v>
      </c>
      <c r="G22">
        <v>2685</v>
      </c>
    </row>
    <row r="23" spans="1:7">
      <c r="A23" t="s">
        <v>507</v>
      </c>
      <c r="B23" t="s">
        <v>508</v>
      </c>
      <c r="C23" t="s">
        <v>445</v>
      </c>
      <c r="D23">
        <v>235.4</v>
      </c>
      <c r="E23">
        <v>17</v>
      </c>
      <c r="F23">
        <v>2</v>
      </c>
      <c r="G23">
        <v>1903</v>
      </c>
    </row>
    <row r="24" spans="1:7">
      <c r="A24" t="s">
        <v>507</v>
      </c>
      <c r="B24" t="s">
        <v>508</v>
      </c>
      <c r="C24" t="s">
        <v>464</v>
      </c>
      <c r="D24">
        <v>172.8</v>
      </c>
      <c r="E24">
        <v>17</v>
      </c>
      <c r="F24">
        <v>3</v>
      </c>
      <c r="G24">
        <v>1385</v>
      </c>
    </row>
    <row r="25" spans="1:7">
      <c r="A25" t="s">
        <v>507</v>
      </c>
      <c r="B25" t="s">
        <v>508</v>
      </c>
      <c r="C25" t="s">
        <v>483</v>
      </c>
      <c r="D25">
        <v>91.6</v>
      </c>
      <c r="E25">
        <v>17</v>
      </c>
      <c r="F25">
        <v>0</v>
      </c>
      <c r="G25">
        <v>1876</v>
      </c>
    </row>
    <row r="26" spans="1:7">
      <c r="A26" t="s">
        <v>509</v>
      </c>
      <c r="B26" t="s">
        <v>508</v>
      </c>
      <c r="C26" t="s">
        <v>42</v>
      </c>
      <c r="D26">
        <v>492</v>
      </c>
      <c r="E26">
        <v>12</v>
      </c>
      <c r="F26">
        <v>5</v>
      </c>
      <c r="G26">
        <v>1131</v>
      </c>
    </row>
    <row r="27" spans="1:7">
      <c r="A27" t="s">
        <v>509</v>
      </c>
      <c r="B27" t="s">
        <v>508</v>
      </c>
      <c r="C27" t="s">
        <v>85</v>
      </c>
      <c r="D27">
        <v>263.60000000000002</v>
      </c>
      <c r="E27">
        <v>20</v>
      </c>
      <c r="F27">
        <v>2</v>
      </c>
      <c r="G27">
        <v>1193</v>
      </c>
    </row>
    <row r="28" spans="1:7">
      <c r="A28" t="s">
        <v>509</v>
      </c>
      <c r="B28" t="s">
        <v>508</v>
      </c>
      <c r="C28" t="s">
        <v>104</v>
      </c>
      <c r="D28">
        <v>120.6</v>
      </c>
      <c r="E28">
        <v>17</v>
      </c>
      <c r="F28">
        <v>0</v>
      </c>
      <c r="G28">
        <v>2987</v>
      </c>
    </row>
    <row r="29" spans="1:7">
      <c r="A29" t="s">
        <v>509</v>
      </c>
      <c r="B29" t="s">
        <v>508</v>
      </c>
      <c r="C29" t="s">
        <v>124</v>
      </c>
      <c r="D29">
        <v>103</v>
      </c>
      <c r="E29">
        <v>12</v>
      </c>
      <c r="F29">
        <v>2</v>
      </c>
      <c r="G29">
        <v>3695</v>
      </c>
    </row>
    <row r="30" spans="1:7">
      <c r="A30" t="s">
        <v>509</v>
      </c>
      <c r="B30" t="s">
        <v>508</v>
      </c>
      <c r="C30" t="s">
        <v>142</v>
      </c>
      <c r="D30">
        <v>77.3</v>
      </c>
      <c r="E30">
        <v>13</v>
      </c>
      <c r="F30">
        <v>1</v>
      </c>
      <c r="G30">
        <v>3066</v>
      </c>
    </row>
    <row r="31" spans="1:7">
      <c r="A31" t="s">
        <v>509</v>
      </c>
      <c r="B31" t="s">
        <v>508</v>
      </c>
      <c r="C31" t="s">
        <v>159</v>
      </c>
      <c r="D31">
        <v>103.8</v>
      </c>
      <c r="E31">
        <v>16</v>
      </c>
      <c r="F31">
        <v>3</v>
      </c>
      <c r="G31">
        <v>2825</v>
      </c>
    </row>
    <row r="32" spans="1:7">
      <c r="A32" t="s">
        <v>509</v>
      </c>
      <c r="B32" t="s">
        <v>508</v>
      </c>
      <c r="C32" t="s">
        <v>176</v>
      </c>
      <c r="D32">
        <v>322.60000000000002</v>
      </c>
      <c r="E32">
        <v>16</v>
      </c>
      <c r="F32">
        <v>3</v>
      </c>
      <c r="G32">
        <v>1161</v>
      </c>
    </row>
    <row r="33" spans="1:7">
      <c r="A33" t="s">
        <v>509</v>
      </c>
      <c r="B33" t="s">
        <v>508</v>
      </c>
      <c r="C33" t="s">
        <v>195</v>
      </c>
      <c r="D33">
        <v>80</v>
      </c>
      <c r="E33">
        <v>19</v>
      </c>
      <c r="F33">
        <v>3</v>
      </c>
      <c r="G33">
        <v>2281</v>
      </c>
    </row>
    <row r="34" spans="1:7">
      <c r="A34" t="s">
        <v>509</v>
      </c>
      <c r="B34" t="s">
        <v>508</v>
      </c>
      <c r="C34" t="s">
        <v>212</v>
      </c>
      <c r="D34">
        <v>58.7</v>
      </c>
      <c r="E34">
        <v>13</v>
      </c>
      <c r="F34">
        <v>0</v>
      </c>
      <c r="G34">
        <v>1805</v>
      </c>
    </row>
    <row r="35" spans="1:7">
      <c r="A35" t="s">
        <v>509</v>
      </c>
      <c r="B35" t="s">
        <v>508</v>
      </c>
      <c r="C35" t="s">
        <v>229</v>
      </c>
      <c r="D35">
        <v>143.9</v>
      </c>
      <c r="E35">
        <v>17</v>
      </c>
      <c r="F35">
        <v>0</v>
      </c>
      <c r="G35">
        <v>2370</v>
      </c>
    </row>
    <row r="36" spans="1:7">
      <c r="A36" t="s">
        <v>509</v>
      </c>
      <c r="B36" t="s">
        <v>508</v>
      </c>
      <c r="C36" t="s">
        <v>248</v>
      </c>
      <c r="D36">
        <v>57.8</v>
      </c>
      <c r="E36">
        <v>20</v>
      </c>
      <c r="F36">
        <v>3</v>
      </c>
      <c r="G36">
        <v>3445</v>
      </c>
    </row>
    <row r="37" spans="1:7">
      <c r="A37" t="s">
        <v>509</v>
      </c>
      <c r="B37" t="s">
        <v>508</v>
      </c>
      <c r="C37" t="s">
        <v>265</v>
      </c>
      <c r="D37">
        <v>42.7</v>
      </c>
      <c r="E37">
        <v>14</v>
      </c>
      <c r="F37">
        <v>0</v>
      </c>
      <c r="G37">
        <v>3502</v>
      </c>
    </row>
    <row r="38" spans="1:7">
      <c r="A38" t="s">
        <v>509</v>
      </c>
      <c r="B38" t="s">
        <v>508</v>
      </c>
      <c r="C38" t="s">
        <v>282</v>
      </c>
      <c r="D38">
        <v>79</v>
      </c>
      <c r="E38">
        <v>14</v>
      </c>
      <c r="F38">
        <v>0</v>
      </c>
      <c r="G38">
        <v>1477</v>
      </c>
    </row>
    <row r="39" spans="1:7">
      <c r="A39" t="s">
        <v>509</v>
      </c>
      <c r="B39" t="s">
        <v>508</v>
      </c>
      <c r="C39" t="s">
        <v>299</v>
      </c>
      <c r="D39">
        <v>130.5</v>
      </c>
      <c r="E39">
        <v>16</v>
      </c>
      <c r="F39">
        <v>1</v>
      </c>
      <c r="G39">
        <v>1383</v>
      </c>
    </row>
    <row r="40" spans="1:7">
      <c r="A40" t="s">
        <v>509</v>
      </c>
      <c r="B40" t="s">
        <v>508</v>
      </c>
      <c r="C40" t="s">
        <v>318</v>
      </c>
      <c r="D40">
        <v>99.4</v>
      </c>
      <c r="E40">
        <v>14</v>
      </c>
      <c r="F40">
        <v>1</v>
      </c>
      <c r="G40">
        <v>1336</v>
      </c>
    </row>
    <row r="41" spans="1:7">
      <c r="A41" t="s">
        <v>509</v>
      </c>
      <c r="B41" t="s">
        <v>508</v>
      </c>
      <c r="C41" t="s">
        <v>335</v>
      </c>
      <c r="D41">
        <v>81.7</v>
      </c>
      <c r="E41">
        <v>19</v>
      </c>
      <c r="F41">
        <v>0</v>
      </c>
      <c r="G41">
        <v>1536</v>
      </c>
    </row>
    <row r="42" spans="1:7">
      <c r="A42" t="s">
        <v>509</v>
      </c>
      <c r="B42" t="s">
        <v>508</v>
      </c>
      <c r="C42" t="s">
        <v>352</v>
      </c>
      <c r="D42">
        <v>257.10000000000002</v>
      </c>
      <c r="E42">
        <v>13</v>
      </c>
      <c r="F42">
        <v>5</v>
      </c>
      <c r="G42">
        <v>1005</v>
      </c>
    </row>
    <row r="43" spans="1:7">
      <c r="A43" t="s">
        <v>509</v>
      </c>
      <c r="B43" t="s">
        <v>508</v>
      </c>
      <c r="C43" t="s">
        <v>371</v>
      </c>
      <c r="D43">
        <v>171.5</v>
      </c>
      <c r="E43">
        <v>13</v>
      </c>
      <c r="F43">
        <v>3</v>
      </c>
      <c r="G43">
        <v>1669</v>
      </c>
    </row>
    <row r="44" spans="1:7">
      <c r="A44" t="s">
        <v>509</v>
      </c>
      <c r="B44" t="s">
        <v>508</v>
      </c>
      <c r="C44" t="s">
        <v>388</v>
      </c>
      <c r="D44">
        <v>58.5</v>
      </c>
      <c r="E44">
        <v>15</v>
      </c>
      <c r="F44">
        <v>0</v>
      </c>
      <c r="G44">
        <v>2416</v>
      </c>
    </row>
    <row r="45" spans="1:7">
      <c r="A45" t="s">
        <v>509</v>
      </c>
      <c r="B45" t="s">
        <v>508</v>
      </c>
      <c r="C45" t="s">
        <v>407</v>
      </c>
      <c r="D45">
        <v>51.1</v>
      </c>
      <c r="E45">
        <v>12</v>
      </c>
      <c r="F45">
        <v>0</v>
      </c>
      <c r="G45">
        <v>2191</v>
      </c>
    </row>
    <row r="46" spans="1:7">
      <c r="A46" t="s">
        <v>509</v>
      </c>
      <c r="B46" t="s">
        <v>508</v>
      </c>
      <c r="C46" t="s">
        <v>426</v>
      </c>
      <c r="D46">
        <v>57.9</v>
      </c>
      <c r="E46">
        <v>18</v>
      </c>
      <c r="F46">
        <v>0</v>
      </c>
      <c r="G46">
        <v>2889</v>
      </c>
    </row>
    <row r="47" spans="1:7">
      <c r="A47" t="s">
        <v>509</v>
      </c>
      <c r="B47" t="s">
        <v>508</v>
      </c>
      <c r="C47" t="s">
        <v>445</v>
      </c>
      <c r="D47">
        <v>351.2</v>
      </c>
      <c r="E47">
        <v>16</v>
      </c>
      <c r="F47">
        <v>3</v>
      </c>
      <c r="G47">
        <v>2146</v>
      </c>
    </row>
    <row r="48" spans="1:7">
      <c r="A48" t="s">
        <v>509</v>
      </c>
      <c r="B48" t="s">
        <v>508</v>
      </c>
      <c r="C48" t="s">
        <v>464</v>
      </c>
      <c r="D48">
        <v>171.4</v>
      </c>
      <c r="E48">
        <v>20</v>
      </c>
      <c r="F48">
        <v>2</v>
      </c>
      <c r="G48">
        <v>1224</v>
      </c>
    </row>
    <row r="49" spans="1:7">
      <c r="A49" t="s">
        <v>509</v>
      </c>
      <c r="B49" t="s">
        <v>508</v>
      </c>
      <c r="C49" t="s">
        <v>483</v>
      </c>
      <c r="D49">
        <v>78.7</v>
      </c>
      <c r="E49">
        <v>23</v>
      </c>
      <c r="F49">
        <v>3</v>
      </c>
      <c r="G49">
        <v>2157</v>
      </c>
    </row>
    <row r="50" spans="1:7">
      <c r="A50" t="s">
        <v>510</v>
      </c>
      <c r="B50" t="s">
        <v>511</v>
      </c>
      <c r="C50" t="s">
        <v>42</v>
      </c>
      <c r="D50">
        <v>301</v>
      </c>
      <c r="E50">
        <v>20</v>
      </c>
      <c r="F50">
        <v>1</v>
      </c>
      <c r="G50">
        <v>1246</v>
      </c>
    </row>
    <row r="51" spans="1:7">
      <c r="A51" t="s">
        <v>510</v>
      </c>
      <c r="B51" t="s">
        <v>511</v>
      </c>
      <c r="C51" t="s">
        <v>85</v>
      </c>
      <c r="D51">
        <v>310.39999999999998</v>
      </c>
      <c r="E51">
        <v>14</v>
      </c>
      <c r="F51">
        <v>2</v>
      </c>
      <c r="G51">
        <v>1188</v>
      </c>
    </row>
    <row r="52" spans="1:7">
      <c r="A52" t="s">
        <v>510</v>
      </c>
      <c r="B52" t="s">
        <v>511</v>
      </c>
      <c r="C52" t="s">
        <v>104</v>
      </c>
      <c r="D52">
        <v>81.3</v>
      </c>
      <c r="E52">
        <v>22</v>
      </c>
      <c r="F52">
        <v>1</v>
      </c>
      <c r="G52">
        <v>3660</v>
      </c>
    </row>
    <row r="53" spans="1:7">
      <c r="A53" t="s">
        <v>510</v>
      </c>
      <c r="B53" t="s">
        <v>511</v>
      </c>
      <c r="C53" t="s">
        <v>124</v>
      </c>
      <c r="D53">
        <v>64.8</v>
      </c>
      <c r="E53">
        <v>17</v>
      </c>
      <c r="F53">
        <v>0</v>
      </c>
      <c r="G53">
        <v>3463</v>
      </c>
    </row>
    <row r="54" spans="1:7">
      <c r="A54" t="s">
        <v>510</v>
      </c>
      <c r="B54" t="s">
        <v>511</v>
      </c>
      <c r="C54" t="s">
        <v>142</v>
      </c>
      <c r="D54">
        <v>73.900000000000006</v>
      </c>
      <c r="E54">
        <v>16</v>
      </c>
      <c r="F54">
        <v>2</v>
      </c>
      <c r="G54">
        <v>3090</v>
      </c>
    </row>
    <row r="55" spans="1:7">
      <c r="A55" t="s">
        <v>510</v>
      </c>
      <c r="B55" t="s">
        <v>511</v>
      </c>
      <c r="C55" t="s">
        <v>159</v>
      </c>
      <c r="D55">
        <v>50.2</v>
      </c>
      <c r="E55">
        <v>14</v>
      </c>
      <c r="F55">
        <v>0</v>
      </c>
      <c r="G55">
        <v>3562</v>
      </c>
    </row>
    <row r="56" spans="1:7">
      <c r="A56" t="s">
        <v>510</v>
      </c>
      <c r="B56" t="s">
        <v>511</v>
      </c>
      <c r="C56" t="s">
        <v>176</v>
      </c>
      <c r="D56">
        <v>414.2</v>
      </c>
      <c r="E56">
        <v>20</v>
      </c>
      <c r="F56">
        <v>3</v>
      </c>
      <c r="G56">
        <v>1019</v>
      </c>
    </row>
    <row r="57" spans="1:7">
      <c r="A57" t="s">
        <v>510</v>
      </c>
      <c r="B57" t="s">
        <v>511</v>
      </c>
      <c r="C57" t="s">
        <v>195</v>
      </c>
      <c r="D57">
        <v>67.5</v>
      </c>
      <c r="E57">
        <v>18</v>
      </c>
      <c r="F57">
        <v>1</v>
      </c>
      <c r="G57">
        <v>2538</v>
      </c>
    </row>
    <row r="58" spans="1:7">
      <c r="A58" t="s">
        <v>510</v>
      </c>
      <c r="B58" t="s">
        <v>511</v>
      </c>
      <c r="C58" t="s">
        <v>212</v>
      </c>
      <c r="D58">
        <v>65.900000000000006</v>
      </c>
      <c r="E58">
        <v>16</v>
      </c>
      <c r="F58">
        <v>4</v>
      </c>
      <c r="G58">
        <v>2840</v>
      </c>
    </row>
    <row r="59" spans="1:7">
      <c r="A59" t="s">
        <v>510</v>
      </c>
      <c r="B59" t="s">
        <v>511</v>
      </c>
      <c r="C59" t="s">
        <v>229</v>
      </c>
      <c r="D59">
        <v>45.4</v>
      </c>
      <c r="E59">
        <v>17</v>
      </c>
      <c r="F59">
        <v>0</v>
      </c>
      <c r="G59">
        <v>2732</v>
      </c>
    </row>
    <row r="60" spans="1:7">
      <c r="A60" t="s">
        <v>510</v>
      </c>
      <c r="B60" t="s">
        <v>511</v>
      </c>
      <c r="C60" t="s">
        <v>248</v>
      </c>
      <c r="D60">
        <v>57.8</v>
      </c>
      <c r="E60">
        <v>21</v>
      </c>
      <c r="F60">
        <v>0</v>
      </c>
      <c r="G60">
        <v>2559</v>
      </c>
    </row>
    <row r="61" spans="1:7">
      <c r="A61" t="s">
        <v>510</v>
      </c>
      <c r="B61" t="s">
        <v>511</v>
      </c>
      <c r="C61" t="s">
        <v>265</v>
      </c>
      <c r="D61">
        <v>11.3</v>
      </c>
      <c r="E61">
        <v>17</v>
      </c>
      <c r="F61">
        <v>0</v>
      </c>
      <c r="G61">
        <v>3528</v>
      </c>
    </row>
    <row r="62" spans="1:7">
      <c r="A62" t="s">
        <v>510</v>
      </c>
      <c r="B62" t="s">
        <v>511</v>
      </c>
      <c r="C62" t="s">
        <v>282</v>
      </c>
      <c r="D62">
        <v>101.7</v>
      </c>
      <c r="E62">
        <v>15</v>
      </c>
      <c r="F62">
        <v>0</v>
      </c>
      <c r="G62">
        <v>1404</v>
      </c>
    </row>
    <row r="63" spans="1:7">
      <c r="A63" t="s">
        <v>510</v>
      </c>
      <c r="B63" t="s">
        <v>511</v>
      </c>
      <c r="C63" t="s">
        <v>299</v>
      </c>
      <c r="D63">
        <v>154.6</v>
      </c>
      <c r="E63">
        <v>11</v>
      </c>
      <c r="F63">
        <v>0</v>
      </c>
      <c r="G63">
        <v>2087</v>
      </c>
    </row>
    <row r="64" spans="1:7">
      <c r="A64" t="s">
        <v>510</v>
      </c>
      <c r="B64" t="s">
        <v>511</v>
      </c>
      <c r="C64" t="s">
        <v>318</v>
      </c>
      <c r="D64">
        <v>331.1</v>
      </c>
      <c r="E64">
        <v>12</v>
      </c>
      <c r="F64">
        <v>2</v>
      </c>
      <c r="G64">
        <v>1256</v>
      </c>
    </row>
    <row r="65" spans="1:7">
      <c r="A65" t="s">
        <v>510</v>
      </c>
      <c r="B65" t="s">
        <v>511</v>
      </c>
      <c r="C65" t="s">
        <v>335</v>
      </c>
      <c r="D65">
        <v>105.5</v>
      </c>
      <c r="E65">
        <v>12</v>
      </c>
      <c r="F65">
        <v>0</v>
      </c>
      <c r="G65">
        <v>2097</v>
      </c>
    </row>
    <row r="66" spans="1:7">
      <c r="A66" t="s">
        <v>510</v>
      </c>
      <c r="B66" t="s">
        <v>511</v>
      </c>
      <c r="C66" t="s">
        <v>352</v>
      </c>
      <c r="D66">
        <v>321.60000000000002</v>
      </c>
      <c r="E66">
        <v>14</v>
      </c>
      <c r="F66">
        <v>2</v>
      </c>
      <c r="G66">
        <v>1040</v>
      </c>
    </row>
    <row r="67" spans="1:7">
      <c r="A67" t="s">
        <v>510</v>
      </c>
      <c r="B67" t="s">
        <v>511</v>
      </c>
      <c r="C67" t="s">
        <v>371</v>
      </c>
      <c r="D67">
        <v>144.4</v>
      </c>
      <c r="E67">
        <v>15</v>
      </c>
      <c r="F67">
        <v>1</v>
      </c>
      <c r="G67">
        <v>1656</v>
      </c>
    </row>
    <row r="68" spans="1:7">
      <c r="A68" t="s">
        <v>510</v>
      </c>
      <c r="B68" t="s">
        <v>511</v>
      </c>
      <c r="C68" t="s">
        <v>388</v>
      </c>
      <c r="D68">
        <v>64.7</v>
      </c>
      <c r="E68">
        <v>19</v>
      </c>
      <c r="F68">
        <v>1</v>
      </c>
      <c r="G68">
        <v>2630</v>
      </c>
    </row>
    <row r="69" spans="1:7">
      <c r="A69" t="s">
        <v>510</v>
      </c>
      <c r="B69" t="s">
        <v>511</v>
      </c>
      <c r="C69" t="s">
        <v>407</v>
      </c>
      <c r="D69">
        <v>33.299999999999997</v>
      </c>
      <c r="E69">
        <v>16</v>
      </c>
      <c r="F69">
        <v>0</v>
      </c>
      <c r="G69">
        <v>2449</v>
      </c>
    </row>
    <row r="70" spans="1:7">
      <c r="A70" t="s">
        <v>510</v>
      </c>
      <c r="B70" t="s">
        <v>511</v>
      </c>
      <c r="C70" t="s">
        <v>426</v>
      </c>
      <c r="D70">
        <v>22.2</v>
      </c>
      <c r="E70">
        <v>24</v>
      </c>
      <c r="F70">
        <v>2</v>
      </c>
      <c r="G70">
        <v>3214</v>
      </c>
    </row>
    <row r="71" spans="1:7">
      <c r="A71" t="s">
        <v>510</v>
      </c>
      <c r="B71" t="s">
        <v>511</v>
      </c>
      <c r="C71" t="s">
        <v>445</v>
      </c>
      <c r="D71">
        <v>168.2</v>
      </c>
      <c r="E71">
        <v>12</v>
      </c>
      <c r="F71">
        <v>3</v>
      </c>
      <c r="G71">
        <v>2151</v>
      </c>
    </row>
    <row r="72" spans="1:7">
      <c r="A72" t="s">
        <v>510</v>
      </c>
      <c r="B72" t="s">
        <v>511</v>
      </c>
      <c r="C72" t="s">
        <v>464</v>
      </c>
      <c r="D72">
        <v>172.8</v>
      </c>
      <c r="E72">
        <v>10</v>
      </c>
      <c r="F72">
        <v>3</v>
      </c>
      <c r="G72">
        <v>1619</v>
      </c>
    </row>
    <row r="73" spans="1:7">
      <c r="A73" t="s">
        <v>510</v>
      </c>
      <c r="B73" t="s">
        <v>511</v>
      </c>
      <c r="C73" t="s">
        <v>483</v>
      </c>
      <c r="D73">
        <v>29.3</v>
      </c>
      <c r="E73">
        <v>16</v>
      </c>
      <c r="F73">
        <v>1</v>
      </c>
      <c r="G73">
        <v>2434</v>
      </c>
    </row>
    <row r="74" spans="1:7">
      <c r="A74" t="s">
        <v>512</v>
      </c>
      <c r="B74" t="s">
        <v>513</v>
      </c>
      <c r="C74" t="s">
        <v>42</v>
      </c>
      <c r="D74">
        <v>335.9</v>
      </c>
      <c r="E74">
        <v>9</v>
      </c>
      <c r="F74">
        <v>4</v>
      </c>
      <c r="G74">
        <v>2669</v>
      </c>
    </row>
    <row r="75" spans="1:7">
      <c r="A75" t="s">
        <v>512</v>
      </c>
      <c r="B75" t="s">
        <v>513</v>
      </c>
      <c r="C75" t="s">
        <v>85</v>
      </c>
      <c r="D75">
        <v>354.3</v>
      </c>
      <c r="E75">
        <v>4</v>
      </c>
      <c r="F75">
        <v>4</v>
      </c>
      <c r="G75">
        <v>2355</v>
      </c>
    </row>
    <row r="76" spans="1:7">
      <c r="A76" t="s">
        <v>512</v>
      </c>
      <c r="B76" t="s">
        <v>513</v>
      </c>
      <c r="C76" t="s">
        <v>104</v>
      </c>
      <c r="D76">
        <v>146.80000000000001</v>
      </c>
      <c r="E76">
        <v>11</v>
      </c>
      <c r="F76">
        <v>0</v>
      </c>
      <c r="G76">
        <v>6749</v>
      </c>
    </row>
    <row r="77" spans="1:7">
      <c r="A77" t="s">
        <v>512</v>
      </c>
      <c r="B77" t="s">
        <v>513</v>
      </c>
      <c r="C77" t="s">
        <v>124</v>
      </c>
      <c r="D77">
        <v>256.3</v>
      </c>
      <c r="E77">
        <v>8</v>
      </c>
      <c r="F77">
        <v>5</v>
      </c>
      <c r="G77">
        <v>7292</v>
      </c>
    </row>
    <row r="78" spans="1:7">
      <c r="A78" t="s">
        <v>512</v>
      </c>
      <c r="B78" t="s">
        <v>513</v>
      </c>
      <c r="C78" t="s">
        <v>142</v>
      </c>
      <c r="D78">
        <v>96.8</v>
      </c>
      <c r="E78">
        <v>9</v>
      </c>
      <c r="F78">
        <v>1</v>
      </c>
      <c r="G78">
        <v>7874</v>
      </c>
    </row>
    <row r="79" spans="1:7">
      <c r="A79" t="s">
        <v>512</v>
      </c>
      <c r="B79" t="s">
        <v>513</v>
      </c>
      <c r="C79" t="s">
        <v>159</v>
      </c>
      <c r="D79">
        <v>109.8</v>
      </c>
      <c r="E79">
        <v>13</v>
      </c>
      <c r="F79">
        <v>3</v>
      </c>
      <c r="G79">
        <v>6391</v>
      </c>
    </row>
    <row r="80" spans="1:7">
      <c r="A80" t="s">
        <v>512</v>
      </c>
      <c r="B80" t="s">
        <v>513</v>
      </c>
      <c r="C80" t="s">
        <v>176</v>
      </c>
      <c r="D80">
        <v>753.5</v>
      </c>
      <c r="E80">
        <v>10</v>
      </c>
      <c r="F80">
        <v>11</v>
      </c>
      <c r="G80">
        <v>2033</v>
      </c>
    </row>
    <row r="81" spans="1:7">
      <c r="A81" t="s">
        <v>512</v>
      </c>
      <c r="B81" t="s">
        <v>513</v>
      </c>
      <c r="C81" t="s">
        <v>195</v>
      </c>
      <c r="D81">
        <v>135.80000000000001</v>
      </c>
      <c r="E81">
        <v>10</v>
      </c>
      <c r="F81">
        <v>3</v>
      </c>
      <c r="G81">
        <v>4796</v>
      </c>
    </row>
    <row r="82" spans="1:7">
      <c r="A82" t="s">
        <v>512</v>
      </c>
      <c r="B82" t="s">
        <v>513</v>
      </c>
      <c r="C82" t="s">
        <v>212</v>
      </c>
      <c r="D82">
        <v>125.2</v>
      </c>
      <c r="E82">
        <v>9</v>
      </c>
      <c r="F82">
        <v>3</v>
      </c>
      <c r="G82">
        <v>4790</v>
      </c>
    </row>
    <row r="83" spans="1:7">
      <c r="A83" t="s">
        <v>512</v>
      </c>
      <c r="B83" t="s">
        <v>513</v>
      </c>
      <c r="C83" t="s">
        <v>229</v>
      </c>
      <c r="D83">
        <v>400.1</v>
      </c>
      <c r="E83">
        <v>13</v>
      </c>
      <c r="F83">
        <v>3</v>
      </c>
      <c r="G83">
        <v>5524</v>
      </c>
    </row>
    <row r="84" spans="1:7">
      <c r="A84" t="s">
        <v>512</v>
      </c>
      <c r="B84" t="s">
        <v>513</v>
      </c>
      <c r="C84" t="s">
        <v>248</v>
      </c>
      <c r="D84">
        <v>91.2</v>
      </c>
      <c r="E84">
        <v>10</v>
      </c>
      <c r="F84">
        <v>3</v>
      </c>
      <c r="G84">
        <v>5631</v>
      </c>
    </row>
    <row r="85" spans="1:7">
      <c r="A85" t="s">
        <v>512</v>
      </c>
      <c r="B85" t="s">
        <v>513</v>
      </c>
      <c r="C85" t="s">
        <v>265</v>
      </c>
      <c r="D85">
        <v>35.799999999999997</v>
      </c>
      <c r="E85">
        <v>9</v>
      </c>
      <c r="F85">
        <v>1</v>
      </c>
      <c r="G85">
        <v>6246</v>
      </c>
    </row>
    <row r="86" spans="1:7">
      <c r="A86" t="s">
        <v>512</v>
      </c>
      <c r="B86" t="s">
        <v>513</v>
      </c>
      <c r="C86" t="s">
        <v>282</v>
      </c>
      <c r="D86">
        <v>80.8</v>
      </c>
      <c r="E86">
        <v>10</v>
      </c>
      <c r="F86">
        <v>3</v>
      </c>
      <c r="G86">
        <v>3368</v>
      </c>
    </row>
    <row r="87" spans="1:7">
      <c r="A87" t="s">
        <v>512</v>
      </c>
      <c r="B87" t="s">
        <v>513</v>
      </c>
      <c r="C87" t="s">
        <v>299</v>
      </c>
      <c r="D87">
        <v>26.7</v>
      </c>
      <c r="E87">
        <v>10</v>
      </c>
      <c r="F87">
        <v>0</v>
      </c>
      <c r="G87">
        <v>3407</v>
      </c>
    </row>
    <row r="88" spans="1:7">
      <c r="A88" t="s">
        <v>512</v>
      </c>
      <c r="B88" t="s">
        <v>513</v>
      </c>
      <c r="C88" t="s">
        <v>318</v>
      </c>
      <c r="D88">
        <v>168.4</v>
      </c>
      <c r="E88">
        <v>5</v>
      </c>
      <c r="F88">
        <v>1</v>
      </c>
      <c r="G88">
        <v>2465</v>
      </c>
    </row>
    <row r="89" spans="1:7">
      <c r="A89" t="s">
        <v>512</v>
      </c>
      <c r="B89" t="s">
        <v>513</v>
      </c>
      <c r="C89" t="s">
        <v>335</v>
      </c>
      <c r="D89">
        <v>124.2</v>
      </c>
      <c r="E89">
        <v>13</v>
      </c>
      <c r="F89">
        <v>2</v>
      </c>
      <c r="G89">
        <v>4034</v>
      </c>
    </row>
    <row r="90" spans="1:7">
      <c r="A90" t="s">
        <v>512</v>
      </c>
      <c r="B90" t="s">
        <v>513</v>
      </c>
      <c r="C90" t="s">
        <v>352</v>
      </c>
      <c r="D90">
        <v>219</v>
      </c>
      <c r="E90">
        <v>11</v>
      </c>
      <c r="F90">
        <v>4</v>
      </c>
      <c r="G90">
        <v>2370</v>
      </c>
    </row>
    <row r="91" spans="1:7">
      <c r="A91" t="s">
        <v>512</v>
      </c>
      <c r="B91" t="s">
        <v>513</v>
      </c>
      <c r="C91" t="s">
        <v>371</v>
      </c>
      <c r="D91">
        <v>317.7</v>
      </c>
      <c r="E91">
        <v>10</v>
      </c>
      <c r="F91">
        <v>3</v>
      </c>
      <c r="G91">
        <v>3306</v>
      </c>
    </row>
    <row r="92" spans="1:7">
      <c r="A92" t="s">
        <v>512</v>
      </c>
      <c r="B92" t="s">
        <v>513</v>
      </c>
      <c r="C92" t="s">
        <v>388</v>
      </c>
      <c r="D92">
        <v>58.6</v>
      </c>
      <c r="E92">
        <v>10</v>
      </c>
      <c r="F92">
        <v>2</v>
      </c>
      <c r="G92">
        <v>4299</v>
      </c>
    </row>
    <row r="93" spans="1:7">
      <c r="A93" t="s">
        <v>512</v>
      </c>
      <c r="B93" t="s">
        <v>513</v>
      </c>
      <c r="C93" t="s">
        <v>407</v>
      </c>
      <c r="D93">
        <v>53.9</v>
      </c>
      <c r="E93">
        <v>13</v>
      </c>
      <c r="F93">
        <v>0</v>
      </c>
      <c r="G93">
        <v>4125</v>
      </c>
    </row>
    <row r="94" spans="1:7">
      <c r="A94" t="s">
        <v>512</v>
      </c>
      <c r="B94" t="s">
        <v>513</v>
      </c>
      <c r="C94" t="s">
        <v>426</v>
      </c>
      <c r="D94">
        <v>46.5</v>
      </c>
      <c r="E94">
        <v>13</v>
      </c>
      <c r="F94">
        <v>1</v>
      </c>
      <c r="G94">
        <v>6806</v>
      </c>
    </row>
    <row r="95" spans="1:7">
      <c r="A95" t="s">
        <v>512</v>
      </c>
      <c r="B95" t="s">
        <v>513</v>
      </c>
      <c r="C95" t="s">
        <v>445</v>
      </c>
      <c r="D95">
        <v>283.3</v>
      </c>
      <c r="E95">
        <v>11</v>
      </c>
      <c r="F95">
        <v>4</v>
      </c>
      <c r="G95">
        <v>5154</v>
      </c>
    </row>
    <row r="96" spans="1:7">
      <c r="A96" t="s">
        <v>512</v>
      </c>
      <c r="B96" t="s">
        <v>513</v>
      </c>
      <c r="C96" t="s">
        <v>464</v>
      </c>
      <c r="D96">
        <v>154.80000000000001</v>
      </c>
      <c r="E96">
        <v>5</v>
      </c>
      <c r="F96">
        <v>4</v>
      </c>
      <c r="G96">
        <v>2796</v>
      </c>
    </row>
    <row r="97" spans="1:7">
      <c r="A97" t="s">
        <v>512</v>
      </c>
      <c r="B97" t="s">
        <v>513</v>
      </c>
      <c r="C97" t="s">
        <v>483</v>
      </c>
      <c r="D97">
        <v>35.6</v>
      </c>
      <c r="E97">
        <v>14</v>
      </c>
      <c r="F97">
        <v>0</v>
      </c>
      <c r="G97">
        <v>4026</v>
      </c>
    </row>
    <row r="98" spans="1:7">
      <c r="A98" t="s">
        <v>514</v>
      </c>
      <c r="B98" t="s">
        <v>515</v>
      </c>
      <c r="C98" t="s">
        <v>42</v>
      </c>
      <c r="D98">
        <v>272.39999999999998</v>
      </c>
      <c r="E98">
        <v>3</v>
      </c>
      <c r="F98">
        <v>5</v>
      </c>
      <c r="G98">
        <v>4502</v>
      </c>
    </row>
    <row r="99" spans="1:7">
      <c r="A99" t="s">
        <v>514</v>
      </c>
      <c r="B99" t="s">
        <v>515</v>
      </c>
      <c r="C99" t="s">
        <v>85</v>
      </c>
      <c r="D99">
        <v>597</v>
      </c>
      <c r="E99">
        <v>3</v>
      </c>
      <c r="F99">
        <v>7</v>
      </c>
      <c r="G99">
        <v>3762</v>
      </c>
    </row>
    <row r="100" spans="1:7">
      <c r="A100" t="s">
        <v>514</v>
      </c>
      <c r="B100" t="s">
        <v>515</v>
      </c>
      <c r="C100" t="s">
        <v>104</v>
      </c>
      <c r="D100">
        <v>207.7</v>
      </c>
      <c r="E100">
        <v>7</v>
      </c>
      <c r="F100">
        <v>4</v>
      </c>
      <c r="G100">
        <v>10702</v>
      </c>
    </row>
    <row r="101" spans="1:7">
      <c r="A101" t="s">
        <v>514</v>
      </c>
      <c r="B101" t="s">
        <v>515</v>
      </c>
      <c r="C101" t="s">
        <v>124</v>
      </c>
      <c r="D101">
        <v>122</v>
      </c>
      <c r="E101">
        <v>7</v>
      </c>
      <c r="F101">
        <v>3</v>
      </c>
      <c r="G101">
        <v>11327</v>
      </c>
    </row>
    <row r="102" spans="1:7">
      <c r="A102" t="s">
        <v>514</v>
      </c>
      <c r="B102" t="s">
        <v>515</v>
      </c>
      <c r="C102" t="s">
        <v>142</v>
      </c>
      <c r="D102">
        <v>152</v>
      </c>
      <c r="E102">
        <v>7</v>
      </c>
      <c r="F102">
        <v>4</v>
      </c>
      <c r="G102">
        <v>10582</v>
      </c>
    </row>
    <row r="103" spans="1:7">
      <c r="A103" t="s">
        <v>514</v>
      </c>
      <c r="B103" t="s">
        <v>515</v>
      </c>
      <c r="C103" t="s">
        <v>159</v>
      </c>
      <c r="D103">
        <v>184.8</v>
      </c>
      <c r="E103">
        <v>4</v>
      </c>
      <c r="F103">
        <v>3</v>
      </c>
      <c r="G103">
        <v>10802</v>
      </c>
    </row>
    <row r="104" spans="1:7">
      <c r="A104" t="s">
        <v>514</v>
      </c>
      <c r="B104" t="s">
        <v>515</v>
      </c>
      <c r="C104" t="s">
        <v>176</v>
      </c>
      <c r="D104">
        <v>276.2</v>
      </c>
      <c r="E104">
        <v>3</v>
      </c>
      <c r="F104">
        <v>3</v>
      </c>
      <c r="G104">
        <v>2630</v>
      </c>
    </row>
    <row r="105" spans="1:7">
      <c r="A105" t="s">
        <v>514</v>
      </c>
      <c r="B105" t="s">
        <v>515</v>
      </c>
      <c r="C105" t="s">
        <v>195</v>
      </c>
      <c r="D105">
        <v>100.5</v>
      </c>
      <c r="E105">
        <v>7</v>
      </c>
      <c r="F105">
        <v>1</v>
      </c>
      <c r="G105">
        <v>9034</v>
      </c>
    </row>
    <row r="106" spans="1:7">
      <c r="A106" t="s">
        <v>514</v>
      </c>
      <c r="B106" t="s">
        <v>515</v>
      </c>
      <c r="C106" t="s">
        <v>212</v>
      </c>
      <c r="D106">
        <v>131.5</v>
      </c>
      <c r="E106">
        <v>6</v>
      </c>
      <c r="F106">
        <v>2</v>
      </c>
      <c r="G106">
        <v>8286</v>
      </c>
    </row>
    <row r="107" spans="1:7">
      <c r="A107" t="s">
        <v>514</v>
      </c>
      <c r="B107" t="s">
        <v>515</v>
      </c>
      <c r="C107" t="s">
        <v>229</v>
      </c>
      <c r="D107">
        <v>303.39999999999998</v>
      </c>
      <c r="E107">
        <v>5</v>
      </c>
      <c r="F107">
        <v>4</v>
      </c>
      <c r="G107">
        <v>7656</v>
      </c>
    </row>
    <row r="108" spans="1:7">
      <c r="A108" t="s">
        <v>514</v>
      </c>
      <c r="B108" t="s">
        <v>515</v>
      </c>
      <c r="C108" t="s">
        <v>248</v>
      </c>
      <c r="D108">
        <v>95.4</v>
      </c>
      <c r="E108">
        <v>6</v>
      </c>
      <c r="F108">
        <v>3</v>
      </c>
      <c r="G108">
        <v>10271</v>
      </c>
    </row>
    <row r="109" spans="1:7">
      <c r="A109" t="s">
        <v>514</v>
      </c>
      <c r="B109" t="s">
        <v>515</v>
      </c>
      <c r="C109" t="s">
        <v>265</v>
      </c>
      <c r="D109">
        <v>70.5</v>
      </c>
      <c r="E109">
        <v>7</v>
      </c>
      <c r="F109">
        <v>0</v>
      </c>
      <c r="G109">
        <v>12180</v>
      </c>
    </row>
    <row r="110" spans="1:7">
      <c r="A110" t="s">
        <v>514</v>
      </c>
      <c r="B110" t="s">
        <v>515</v>
      </c>
      <c r="C110" t="s">
        <v>282</v>
      </c>
      <c r="D110">
        <v>88.1</v>
      </c>
      <c r="E110">
        <v>2</v>
      </c>
      <c r="F110">
        <v>3</v>
      </c>
      <c r="G110">
        <v>4772</v>
      </c>
    </row>
    <row r="111" spans="1:7">
      <c r="A111" t="s">
        <v>514</v>
      </c>
      <c r="B111" t="s">
        <v>515</v>
      </c>
      <c r="C111" t="s">
        <v>299</v>
      </c>
      <c r="D111">
        <v>35.299999999999997</v>
      </c>
      <c r="E111">
        <v>3</v>
      </c>
      <c r="F111">
        <v>0</v>
      </c>
      <c r="G111">
        <v>5524</v>
      </c>
    </row>
    <row r="112" spans="1:7">
      <c r="A112" t="s">
        <v>514</v>
      </c>
      <c r="B112" t="s">
        <v>515</v>
      </c>
      <c r="C112" t="s">
        <v>318</v>
      </c>
      <c r="D112">
        <v>126.1</v>
      </c>
      <c r="E112">
        <v>5</v>
      </c>
      <c r="F112">
        <v>3</v>
      </c>
      <c r="G112">
        <v>4325</v>
      </c>
    </row>
    <row r="113" spans="1:7">
      <c r="A113" t="s">
        <v>514</v>
      </c>
      <c r="B113" t="s">
        <v>515</v>
      </c>
      <c r="C113" t="s">
        <v>335</v>
      </c>
      <c r="D113">
        <v>75.7</v>
      </c>
      <c r="E113">
        <v>3</v>
      </c>
      <c r="F113">
        <v>3</v>
      </c>
      <c r="G113">
        <v>5737</v>
      </c>
    </row>
    <row r="114" spans="1:7">
      <c r="A114" t="s">
        <v>514</v>
      </c>
      <c r="B114" t="s">
        <v>515</v>
      </c>
      <c r="C114" t="s">
        <v>352</v>
      </c>
      <c r="D114">
        <v>401.6</v>
      </c>
      <c r="E114">
        <v>5</v>
      </c>
      <c r="F114">
        <v>7</v>
      </c>
      <c r="G114">
        <v>3886</v>
      </c>
    </row>
    <row r="115" spans="1:7">
      <c r="A115" t="s">
        <v>514</v>
      </c>
      <c r="B115" t="s">
        <v>515</v>
      </c>
      <c r="C115" t="s">
        <v>371</v>
      </c>
      <c r="D115">
        <v>245.9</v>
      </c>
      <c r="E115">
        <v>7</v>
      </c>
      <c r="F115">
        <v>4</v>
      </c>
      <c r="G115">
        <v>5537</v>
      </c>
    </row>
    <row r="116" spans="1:7">
      <c r="A116" t="s">
        <v>514</v>
      </c>
      <c r="B116" t="s">
        <v>515</v>
      </c>
      <c r="C116" t="s">
        <v>388</v>
      </c>
      <c r="D116">
        <v>99.8</v>
      </c>
      <c r="E116">
        <v>3</v>
      </c>
      <c r="F116">
        <v>2</v>
      </c>
      <c r="G116">
        <v>7798</v>
      </c>
    </row>
    <row r="117" spans="1:7">
      <c r="A117" t="s">
        <v>514</v>
      </c>
      <c r="B117" t="s">
        <v>515</v>
      </c>
      <c r="C117" t="s">
        <v>407</v>
      </c>
      <c r="D117">
        <v>86.7</v>
      </c>
      <c r="E117">
        <v>3</v>
      </c>
      <c r="F117">
        <v>0</v>
      </c>
      <c r="G117">
        <v>5820</v>
      </c>
    </row>
    <row r="118" spans="1:7">
      <c r="A118" t="s">
        <v>514</v>
      </c>
      <c r="B118" t="s">
        <v>515</v>
      </c>
      <c r="C118" t="s">
        <v>426</v>
      </c>
      <c r="D118">
        <v>67.7</v>
      </c>
      <c r="E118">
        <v>6</v>
      </c>
      <c r="F118">
        <v>1</v>
      </c>
      <c r="G118">
        <v>11781</v>
      </c>
    </row>
    <row r="119" spans="1:7">
      <c r="A119" t="s">
        <v>514</v>
      </c>
      <c r="B119" t="s">
        <v>515</v>
      </c>
      <c r="C119" t="s">
        <v>445</v>
      </c>
      <c r="D119">
        <v>226.8</v>
      </c>
      <c r="E119">
        <v>3</v>
      </c>
      <c r="F119">
        <v>4</v>
      </c>
      <c r="G119">
        <v>6177</v>
      </c>
    </row>
    <row r="120" spans="1:7">
      <c r="A120" t="s">
        <v>514</v>
      </c>
      <c r="B120" t="s">
        <v>515</v>
      </c>
      <c r="C120" t="s">
        <v>464</v>
      </c>
      <c r="D120">
        <v>198.7</v>
      </c>
      <c r="E120">
        <v>5</v>
      </c>
      <c r="F120">
        <v>4</v>
      </c>
      <c r="G120">
        <v>4586</v>
      </c>
    </row>
    <row r="121" spans="1:7">
      <c r="A121" t="s">
        <v>514</v>
      </c>
      <c r="B121" t="s">
        <v>515</v>
      </c>
      <c r="C121" t="s">
        <v>483</v>
      </c>
      <c r="D121">
        <v>41.5</v>
      </c>
      <c r="E121">
        <v>5</v>
      </c>
      <c r="F121">
        <v>1</v>
      </c>
      <c r="G121">
        <v>9954</v>
      </c>
    </row>
    <row r="122" spans="1:7">
      <c r="A122" t="s">
        <v>516</v>
      </c>
      <c r="B122" t="s">
        <v>517</v>
      </c>
      <c r="C122" t="s">
        <v>42</v>
      </c>
      <c r="D122">
        <v>331.6</v>
      </c>
      <c r="E122">
        <v>6</v>
      </c>
      <c r="F122">
        <v>6</v>
      </c>
      <c r="G122">
        <v>4930</v>
      </c>
    </row>
    <row r="123" spans="1:7">
      <c r="A123" t="s">
        <v>516</v>
      </c>
      <c r="B123" t="s">
        <v>517</v>
      </c>
      <c r="C123" t="s">
        <v>85</v>
      </c>
      <c r="D123">
        <v>566</v>
      </c>
      <c r="E123">
        <v>4</v>
      </c>
      <c r="F123">
        <v>8</v>
      </c>
      <c r="G123">
        <v>4267</v>
      </c>
    </row>
    <row r="124" spans="1:7">
      <c r="A124" t="s">
        <v>516</v>
      </c>
      <c r="B124" t="s">
        <v>517</v>
      </c>
      <c r="C124" t="s">
        <v>104</v>
      </c>
      <c r="D124">
        <v>195.5</v>
      </c>
      <c r="E124">
        <v>7</v>
      </c>
      <c r="F124">
        <v>5</v>
      </c>
      <c r="G124">
        <v>11942</v>
      </c>
    </row>
    <row r="125" spans="1:7">
      <c r="A125" t="s">
        <v>516</v>
      </c>
      <c r="B125" t="s">
        <v>517</v>
      </c>
      <c r="C125" t="s">
        <v>124</v>
      </c>
      <c r="D125">
        <v>86</v>
      </c>
      <c r="E125">
        <v>7</v>
      </c>
      <c r="F125">
        <v>1</v>
      </c>
      <c r="G125">
        <v>14764</v>
      </c>
    </row>
    <row r="126" spans="1:7">
      <c r="A126" t="s">
        <v>516</v>
      </c>
      <c r="B126" t="s">
        <v>517</v>
      </c>
      <c r="C126" t="s">
        <v>142</v>
      </c>
      <c r="D126">
        <v>101.5</v>
      </c>
      <c r="E126">
        <v>6</v>
      </c>
      <c r="F126">
        <v>0</v>
      </c>
      <c r="G126">
        <v>10201</v>
      </c>
    </row>
    <row r="127" spans="1:7">
      <c r="A127" t="s">
        <v>516</v>
      </c>
      <c r="B127" t="s">
        <v>517</v>
      </c>
      <c r="C127" t="s">
        <v>159</v>
      </c>
      <c r="D127">
        <v>211.5</v>
      </c>
      <c r="E127">
        <v>6</v>
      </c>
      <c r="F127">
        <v>3</v>
      </c>
      <c r="G127">
        <v>9095</v>
      </c>
    </row>
    <row r="128" spans="1:7">
      <c r="A128" t="s">
        <v>516</v>
      </c>
      <c r="B128" t="s">
        <v>517</v>
      </c>
      <c r="C128" t="s">
        <v>176</v>
      </c>
      <c r="D128">
        <v>236.5</v>
      </c>
      <c r="E128">
        <v>4</v>
      </c>
      <c r="F128">
        <v>7</v>
      </c>
      <c r="G128">
        <v>3881</v>
      </c>
    </row>
    <row r="129" spans="1:7">
      <c r="A129" t="s">
        <v>516</v>
      </c>
      <c r="B129" t="s">
        <v>517</v>
      </c>
      <c r="C129" t="s">
        <v>195</v>
      </c>
      <c r="D129">
        <v>64</v>
      </c>
      <c r="E129">
        <v>7</v>
      </c>
      <c r="F129">
        <v>0</v>
      </c>
      <c r="G129">
        <v>9310</v>
      </c>
    </row>
    <row r="130" spans="1:7">
      <c r="A130" t="s">
        <v>516</v>
      </c>
      <c r="B130" t="s">
        <v>517</v>
      </c>
      <c r="C130" t="s">
        <v>212</v>
      </c>
      <c r="D130">
        <v>66</v>
      </c>
      <c r="E130">
        <v>4</v>
      </c>
      <c r="F130">
        <v>2</v>
      </c>
      <c r="G130">
        <v>8070</v>
      </c>
    </row>
    <row r="131" spans="1:7">
      <c r="A131" t="s">
        <v>516</v>
      </c>
      <c r="B131" t="s">
        <v>517</v>
      </c>
      <c r="C131" t="s">
        <v>229</v>
      </c>
      <c r="D131">
        <v>144.69999999999999</v>
      </c>
      <c r="E131">
        <v>6</v>
      </c>
      <c r="F131">
        <v>4</v>
      </c>
      <c r="G131">
        <v>11729</v>
      </c>
    </row>
    <row r="132" spans="1:7">
      <c r="A132" t="s">
        <v>516</v>
      </c>
      <c r="B132" t="s">
        <v>517</v>
      </c>
      <c r="C132" t="s">
        <v>248</v>
      </c>
      <c r="D132">
        <v>47.1</v>
      </c>
      <c r="E132">
        <v>5</v>
      </c>
      <c r="F132">
        <v>3</v>
      </c>
      <c r="G132">
        <v>9057</v>
      </c>
    </row>
    <row r="133" spans="1:7">
      <c r="A133" t="s">
        <v>516</v>
      </c>
      <c r="B133" t="s">
        <v>517</v>
      </c>
      <c r="C133" t="s">
        <v>265</v>
      </c>
      <c r="D133">
        <v>110.2</v>
      </c>
      <c r="E133">
        <v>6</v>
      </c>
      <c r="F133">
        <v>4</v>
      </c>
      <c r="G133">
        <v>12763</v>
      </c>
    </row>
    <row r="134" spans="1:7">
      <c r="A134" t="s">
        <v>516</v>
      </c>
      <c r="B134" t="s">
        <v>517</v>
      </c>
      <c r="C134" t="s">
        <v>282</v>
      </c>
      <c r="D134">
        <v>93.8</v>
      </c>
      <c r="E134">
        <v>7</v>
      </c>
      <c r="F134">
        <v>1</v>
      </c>
      <c r="G134">
        <v>5004</v>
      </c>
    </row>
    <row r="135" spans="1:7">
      <c r="A135" t="s">
        <v>516</v>
      </c>
      <c r="B135" t="s">
        <v>517</v>
      </c>
      <c r="C135" t="s">
        <v>299</v>
      </c>
      <c r="D135">
        <v>102.4</v>
      </c>
      <c r="E135">
        <v>5</v>
      </c>
      <c r="F135">
        <v>0</v>
      </c>
      <c r="G135">
        <v>6152</v>
      </c>
    </row>
    <row r="136" spans="1:7">
      <c r="A136" t="s">
        <v>516</v>
      </c>
      <c r="B136" t="s">
        <v>517</v>
      </c>
      <c r="C136" t="s">
        <v>318</v>
      </c>
      <c r="D136">
        <v>119.3</v>
      </c>
      <c r="E136">
        <v>6</v>
      </c>
      <c r="F136">
        <v>0</v>
      </c>
      <c r="G136">
        <v>3733</v>
      </c>
    </row>
    <row r="137" spans="1:7">
      <c r="A137" t="s">
        <v>516</v>
      </c>
      <c r="B137" t="s">
        <v>517</v>
      </c>
      <c r="C137" t="s">
        <v>335</v>
      </c>
      <c r="D137">
        <v>61.1</v>
      </c>
      <c r="E137">
        <v>3</v>
      </c>
      <c r="F137">
        <v>1</v>
      </c>
      <c r="G137">
        <v>6349</v>
      </c>
    </row>
    <row r="138" spans="1:7">
      <c r="A138" t="s">
        <v>516</v>
      </c>
      <c r="B138" t="s">
        <v>517</v>
      </c>
      <c r="C138" t="s">
        <v>352</v>
      </c>
      <c r="D138">
        <v>322.7</v>
      </c>
      <c r="E138">
        <v>4</v>
      </c>
      <c r="F138">
        <v>6</v>
      </c>
      <c r="G138">
        <v>3643</v>
      </c>
    </row>
    <row r="139" spans="1:7">
      <c r="A139" t="s">
        <v>516</v>
      </c>
      <c r="B139" t="s">
        <v>517</v>
      </c>
      <c r="C139" t="s">
        <v>371</v>
      </c>
      <c r="D139">
        <v>168</v>
      </c>
      <c r="E139">
        <v>5</v>
      </c>
      <c r="F139">
        <v>3</v>
      </c>
      <c r="G139">
        <v>6294</v>
      </c>
    </row>
    <row r="140" spans="1:7">
      <c r="A140" t="s">
        <v>516</v>
      </c>
      <c r="B140" t="s">
        <v>517</v>
      </c>
      <c r="C140" t="s">
        <v>388</v>
      </c>
      <c r="D140">
        <v>88.1</v>
      </c>
      <c r="E140">
        <v>7</v>
      </c>
      <c r="F140">
        <v>1</v>
      </c>
      <c r="G140">
        <v>8227</v>
      </c>
    </row>
    <row r="141" spans="1:7">
      <c r="A141" t="s">
        <v>516</v>
      </c>
      <c r="B141" t="s">
        <v>517</v>
      </c>
      <c r="C141" t="s">
        <v>407</v>
      </c>
      <c r="D141">
        <v>73.099999999999994</v>
      </c>
      <c r="E141">
        <v>3</v>
      </c>
      <c r="F141">
        <v>0</v>
      </c>
      <c r="G141">
        <v>7214</v>
      </c>
    </row>
    <row r="142" spans="1:7">
      <c r="A142" t="s">
        <v>516</v>
      </c>
      <c r="B142" t="s">
        <v>517</v>
      </c>
      <c r="C142" t="s">
        <v>426</v>
      </c>
      <c r="D142">
        <v>80.099999999999994</v>
      </c>
      <c r="E142">
        <v>7</v>
      </c>
      <c r="F142">
        <v>1</v>
      </c>
      <c r="G142">
        <v>9523</v>
      </c>
    </row>
    <row r="143" spans="1:7">
      <c r="A143" t="s">
        <v>516</v>
      </c>
      <c r="B143" t="s">
        <v>517</v>
      </c>
      <c r="C143" t="s">
        <v>445</v>
      </c>
      <c r="D143">
        <v>219.4</v>
      </c>
      <c r="E143">
        <v>5</v>
      </c>
      <c r="F143">
        <v>3</v>
      </c>
      <c r="G143">
        <v>6543</v>
      </c>
    </row>
    <row r="144" spans="1:7">
      <c r="A144" t="s">
        <v>516</v>
      </c>
      <c r="B144" t="s">
        <v>517</v>
      </c>
      <c r="C144" t="s">
        <v>464</v>
      </c>
      <c r="D144">
        <v>227.1</v>
      </c>
      <c r="E144">
        <v>5</v>
      </c>
      <c r="F144">
        <v>2</v>
      </c>
      <c r="G144">
        <v>5141</v>
      </c>
    </row>
    <row r="145" spans="1:7">
      <c r="A145" t="s">
        <v>516</v>
      </c>
      <c r="B145" t="s">
        <v>517</v>
      </c>
      <c r="C145" t="s">
        <v>483</v>
      </c>
      <c r="D145">
        <v>36.5</v>
      </c>
      <c r="E145">
        <v>5</v>
      </c>
      <c r="F145">
        <v>1</v>
      </c>
      <c r="G145">
        <v>6936</v>
      </c>
    </row>
    <row r="146" spans="1:7">
      <c r="A146" t="s">
        <v>518</v>
      </c>
      <c r="B146" t="s">
        <v>519</v>
      </c>
      <c r="C146" t="s">
        <v>42</v>
      </c>
      <c r="D146">
        <v>396.3</v>
      </c>
      <c r="E146">
        <v>12</v>
      </c>
      <c r="F146">
        <v>5</v>
      </c>
      <c r="G146">
        <v>2602</v>
      </c>
    </row>
    <row r="147" spans="1:7">
      <c r="A147" t="s">
        <v>518</v>
      </c>
      <c r="B147" t="s">
        <v>519</v>
      </c>
      <c r="C147" t="s">
        <v>85</v>
      </c>
      <c r="D147">
        <v>190.4</v>
      </c>
      <c r="E147">
        <v>7</v>
      </c>
      <c r="F147">
        <v>2</v>
      </c>
      <c r="G147">
        <v>1955</v>
      </c>
    </row>
    <row r="148" spans="1:7">
      <c r="A148" t="s">
        <v>518</v>
      </c>
      <c r="B148" t="s">
        <v>519</v>
      </c>
      <c r="C148" t="s">
        <v>104</v>
      </c>
      <c r="D148">
        <v>157</v>
      </c>
      <c r="E148">
        <v>16</v>
      </c>
      <c r="F148">
        <v>0</v>
      </c>
      <c r="G148">
        <v>5654</v>
      </c>
    </row>
    <row r="149" spans="1:7">
      <c r="A149" t="s">
        <v>518</v>
      </c>
      <c r="B149" t="s">
        <v>519</v>
      </c>
      <c r="C149" t="s">
        <v>124</v>
      </c>
      <c r="D149">
        <v>93.5</v>
      </c>
      <c r="E149">
        <v>15</v>
      </c>
      <c r="F149">
        <v>0</v>
      </c>
      <c r="G149">
        <v>7400</v>
      </c>
    </row>
    <row r="150" spans="1:7">
      <c r="A150" t="s">
        <v>518</v>
      </c>
      <c r="B150" t="s">
        <v>519</v>
      </c>
      <c r="C150" t="s">
        <v>142</v>
      </c>
      <c r="D150">
        <v>113.8</v>
      </c>
      <c r="E150">
        <v>8</v>
      </c>
      <c r="F150">
        <v>0</v>
      </c>
      <c r="G150">
        <v>6204</v>
      </c>
    </row>
    <row r="151" spans="1:7">
      <c r="A151" t="s">
        <v>518</v>
      </c>
      <c r="B151" t="s">
        <v>519</v>
      </c>
      <c r="C151" t="s">
        <v>159</v>
      </c>
      <c r="D151">
        <v>92</v>
      </c>
      <c r="E151">
        <v>11</v>
      </c>
      <c r="F151">
        <v>2</v>
      </c>
      <c r="G151">
        <v>4771</v>
      </c>
    </row>
    <row r="152" spans="1:7">
      <c r="A152" t="s">
        <v>518</v>
      </c>
      <c r="B152" t="s">
        <v>519</v>
      </c>
      <c r="C152" t="s">
        <v>176</v>
      </c>
      <c r="D152">
        <v>412.7</v>
      </c>
      <c r="E152">
        <v>8</v>
      </c>
      <c r="F152">
        <v>7</v>
      </c>
      <c r="G152">
        <v>1867</v>
      </c>
    </row>
    <row r="153" spans="1:7">
      <c r="A153" t="s">
        <v>518</v>
      </c>
      <c r="B153" t="s">
        <v>519</v>
      </c>
      <c r="C153" t="s">
        <v>195</v>
      </c>
      <c r="D153">
        <v>63.2</v>
      </c>
      <c r="E153">
        <v>13</v>
      </c>
      <c r="F153">
        <v>2</v>
      </c>
      <c r="G153">
        <v>5463</v>
      </c>
    </row>
    <row r="154" spans="1:7">
      <c r="A154" t="s">
        <v>518</v>
      </c>
      <c r="B154" t="s">
        <v>519</v>
      </c>
      <c r="C154" t="s">
        <v>212</v>
      </c>
      <c r="D154">
        <v>49.6</v>
      </c>
      <c r="E154">
        <v>11</v>
      </c>
      <c r="F154">
        <v>0</v>
      </c>
      <c r="G154">
        <v>4310</v>
      </c>
    </row>
    <row r="155" spans="1:7">
      <c r="A155" t="s">
        <v>518</v>
      </c>
      <c r="B155" t="s">
        <v>519</v>
      </c>
      <c r="C155" t="s">
        <v>229</v>
      </c>
      <c r="D155">
        <v>103.5</v>
      </c>
      <c r="E155">
        <v>12</v>
      </c>
      <c r="F155">
        <v>0</v>
      </c>
      <c r="G155">
        <v>4603</v>
      </c>
    </row>
    <row r="156" spans="1:7">
      <c r="A156" t="s">
        <v>518</v>
      </c>
      <c r="B156" t="s">
        <v>519</v>
      </c>
      <c r="C156" t="s">
        <v>248</v>
      </c>
      <c r="D156">
        <v>61.7</v>
      </c>
      <c r="E156">
        <v>12</v>
      </c>
      <c r="F156">
        <v>0</v>
      </c>
      <c r="G156">
        <v>5865</v>
      </c>
    </row>
    <row r="157" spans="1:7">
      <c r="A157" t="s">
        <v>518</v>
      </c>
      <c r="B157" t="s">
        <v>519</v>
      </c>
      <c r="C157" t="s">
        <v>265</v>
      </c>
      <c r="D157">
        <v>37.299999999999997</v>
      </c>
      <c r="E157">
        <v>12</v>
      </c>
      <c r="F157">
        <v>1</v>
      </c>
      <c r="G157">
        <v>6352</v>
      </c>
    </row>
    <row r="158" spans="1:7">
      <c r="A158" t="s">
        <v>518</v>
      </c>
      <c r="B158" t="s">
        <v>519</v>
      </c>
      <c r="C158" t="s">
        <v>282</v>
      </c>
      <c r="D158">
        <v>97</v>
      </c>
      <c r="E158">
        <v>8</v>
      </c>
      <c r="F158">
        <v>1</v>
      </c>
      <c r="G158">
        <v>3485</v>
      </c>
    </row>
    <row r="159" spans="1:7">
      <c r="A159" t="s">
        <v>518</v>
      </c>
      <c r="B159" t="s">
        <v>519</v>
      </c>
      <c r="C159" t="s">
        <v>299</v>
      </c>
      <c r="D159">
        <v>93.1</v>
      </c>
      <c r="E159">
        <v>4</v>
      </c>
      <c r="F159">
        <v>3</v>
      </c>
      <c r="G159">
        <v>4103</v>
      </c>
    </row>
    <row r="160" spans="1:7">
      <c r="A160" t="s">
        <v>518</v>
      </c>
      <c r="B160" t="s">
        <v>519</v>
      </c>
      <c r="C160" t="s">
        <v>318</v>
      </c>
      <c r="D160">
        <v>121.8</v>
      </c>
      <c r="E160">
        <v>5</v>
      </c>
      <c r="F160">
        <v>1</v>
      </c>
      <c r="G160">
        <v>2132</v>
      </c>
    </row>
    <row r="161" spans="1:7">
      <c r="A161" t="s">
        <v>518</v>
      </c>
      <c r="B161" t="s">
        <v>519</v>
      </c>
      <c r="C161" t="s">
        <v>335</v>
      </c>
      <c r="D161">
        <v>77.599999999999994</v>
      </c>
      <c r="E161">
        <v>7</v>
      </c>
      <c r="F161">
        <v>2</v>
      </c>
      <c r="G161">
        <v>3708</v>
      </c>
    </row>
    <row r="162" spans="1:7">
      <c r="A162" t="s">
        <v>518</v>
      </c>
      <c r="B162" t="s">
        <v>519</v>
      </c>
      <c r="C162" t="s">
        <v>352</v>
      </c>
      <c r="D162">
        <v>189</v>
      </c>
      <c r="E162">
        <v>11</v>
      </c>
      <c r="F162">
        <v>5</v>
      </c>
      <c r="G162">
        <v>2242</v>
      </c>
    </row>
    <row r="163" spans="1:7">
      <c r="A163" t="s">
        <v>518</v>
      </c>
      <c r="B163" t="s">
        <v>519</v>
      </c>
      <c r="C163" t="s">
        <v>371</v>
      </c>
      <c r="D163">
        <v>142.1</v>
      </c>
      <c r="E163">
        <v>9</v>
      </c>
      <c r="F163">
        <v>3</v>
      </c>
      <c r="G163">
        <v>2645</v>
      </c>
    </row>
    <row r="164" spans="1:7">
      <c r="A164" t="s">
        <v>518</v>
      </c>
      <c r="B164" t="s">
        <v>519</v>
      </c>
      <c r="C164" t="s">
        <v>388</v>
      </c>
      <c r="D164">
        <v>61.6</v>
      </c>
      <c r="E164">
        <v>9</v>
      </c>
      <c r="F164">
        <v>3</v>
      </c>
      <c r="G164">
        <v>4513</v>
      </c>
    </row>
    <row r="165" spans="1:7">
      <c r="A165" t="s">
        <v>518</v>
      </c>
      <c r="B165" t="s">
        <v>519</v>
      </c>
      <c r="C165" t="s">
        <v>407</v>
      </c>
      <c r="D165">
        <v>71.8</v>
      </c>
      <c r="E165">
        <v>7</v>
      </c>
      <c r="F165">
        <v>2</v>
      </c>
      <c r="G165">
        <v>4454</v>
      </c>
    </row>
    <row r="166" spans="1:7">
      <c r="A166" t="s">
        <v>518</v>
      </c>
      <c r="B166" t="s">
        <v>519</v>
      </c>
      <c r="C166" t="s">
        <v>426</v>
      </c>
      <c r="D166">
        <v>39.200000000000003</v>
      </c>
      <c r="E166">
        <v>12</v>
      </c>
      <c r="F166">
        <v>2</v>
      </c>
      <c r="G166">
        <v>5404</v>
      </c>
    </row>
    <row r="167" spans="1:7">
      <c r="A167" t="s">
        <v>518</v>
      </c>
      <c r="B167" t="s">
        <v>519</v>
      </c>
      <c r="C167" t="s">
        <v>445</v>
      </c>
      <c r="D167">
        <v>144.9</v>
      </c>
      <c r="E167">
        <v>9</v>
      </c>
      <c r="F167">
        <v>1</v>
      </c>
      <c r="G167">
        <v>3660</v>
      </c>
    </row>
    <row r="168" spans="1:7">
      <c r="A168" t="s">
        <v>518</v>
      </c>
      <c r="B168" t="s">
        <v>519</v>
      </c>
      <c r="C168" t="s">
        <v>464</v>
      </c>
      <c r="D168">
        <v>157.9</v>
      </c>
      <c r="E168">
        <v>6</v>
      </c>
      <c r="F168">
        <v>0</v>
      </c>
      <c r="G168">
        <v>2952</v>
      </c>
    </row>
    <row r="169" spans="1:7">
      <c r="A169" t="s">
        <v>518</v>
      </c>
      <c r="B169" t="s">
        <v>519</v>
      </c>
      <c r="C169" t="s">
        <v>483</v>
      </c>
      <c r="D169">
        <v>90.1</v>
      </c>
      <c r="E169">
        <v>6</v>
      </c>
      <c r="F169">
        <v>2</v>
      </c>
      <c r="G169">
        <v>4534</v>
      </c>
    </row>
    <row r="170" spans="1:7">
      <c r="A170" t="s">
        <v>520</v>
      </c>
      <c r="B170" t="s">
        <v>521</v>
      </c>
      <c r="C170" t="s">
        <v>42</v>
      </c>
      <c r="D170">
        <v>285.5</v>
      </c>
      <c r="E170">
        <v>11</v>
      </c>
      <c r="F170">
        <v>3</v>
      </c>
      <c r="G170">
        <v>1429</v>
      </c>
    </row>
    <row r="171" spans="1:7">
      <c r="A171" t="s">
        <v>520</v>
      </c>
      <c r="B171" t="s">
        <v>521</v>
      </c>
      <c r="C171" t="s">
        <v>85</v>
      </c>
      <c r="D171">
        <v>409.9</v>
      </c>
      <c r="E171">
        <v>17</v>
      </c>
      <c r="F171">
        <v>4</v>
      </c>
      <c r="G171">
        <v>1188</v>
      </c>
    </row>
    <row r="172" spans="1:7">
      <c r="A172" t="s">
        <v>520</v>
      </c>
      <c r="B172" t="s">
        <v>521</v>
      </c>
      <c r="C172" t="s">
        <v>104</v>
      </c>
      <c r="D172">
        <v>87.7</v>
      </c>
      <c r="E172">
        <v>20</v>
      </c>
      <c r="F172">
        <v>2</v>
      </c>
      <c r="G172">
        <v>3220</v>
      </c>
    </row>
    <row r="173" spans="1:7">
      <c r="A173" t="s">
        <v>520</v>
      </c>
      <c r="B173" t="s">
        <v>521</v>
      </c>
      <c r="C173" t="s">
        <v>124</v>
      </c>
      <c r="D173">
        <v>83.9</v>
      </c>
      <c r="E173">
        <v>16</v>
      </c>
      <c r="F173">
        <v>2</v>
      </c>
      <c r="G173">
        <v>4670</v>
      </c>
    </row>
    <row r="174" spans="1:7">
      <c r="A174" t="s">
        <v>520</v>
      </c>
      <c r="B174" t="s">
        <v>521</v>
      </c>
      <c r="C174" t="s">
        <v>142</v>
      </c>
      <c r="D174">
        <v>79</v>
      </c>
      <c r="E174">
        <v>16</v>
      </c>
      <c r="F174">
        <v>1</v>
      </c>
      <c r="G174">
        <v>3480</v>
      </c>
    </row>
    <row r="175" spans="1:7">
      <c r="A175" t="s">
        <v>520</v>
      </c>
      <c r="B175" t="s">
        <v>521</v>
      </c>
      <c r="C175" t="s">
        <v>159</v>
      </c>
      <c r="D175">
        <v>58.2</v>
      </c>
      <c r="E175">
        <v>8</v>
      </c>
      <c r="F175">
        <v>0</v>
      </c>
      <c r="G175">
        <v>2927</v>
      </c>
    </row>
    <row r="176" spans="1:7">
      <c r="A176" t="s">
        <v>520</v>
      </c>
      <c r="B176" t="s">
        <v>521</v>
      </c>
      <c r="C176" t="s">
        <v>176</v>
      </c>
      <c r="D176">
        <v>393.2</v>
      </c>
      <c r="E176">
        <v>12</v>
      </c>
      <c r="F176">
        <v>2</v>
      </c>
      <c r="G176">
        <v>1076</v>
      </c>
    </row>
    <row r="177" spans="1:7">
      <c r="A177" t="s">
        <v>520</v>
      </c>
      <c r="B177" t="s">
        <v>521</v>
      </c>
      <c r="C177" t="s">
        <v>195</v>
      </c>
      <c r="D177">
        <v>100.4</v>
      </c>
      <c r="E177">
        <v>17</v>
      </c>
      <c r="F177">
        <v>0</v>
      </c>
      <c r="G177">
        <v>2842</v>
      </c>
    </row>
    <row r="178" spans="1:7">
      <c r="A178" t="s">
        <v>520</v>
      </c>
      <c r="B178" t="s">
        <v>521</v>
      </c>
      <c r="C178" t="s">
        <v>212</v>
      </c>
      <c r="D178">
        <v>76.900000000000006</v>
      </c>
      <c r="E178">
        <v>12</v>
      </c>
      <c r="F178">
        <v>0</v>
      </c>
      <c r="G178">
        <v>2456</v>
      </c>
    </row>
    <row r="179" spans="1:7">
      <c r="A179" t="s">
        <v>520</v>
      </c>
      <c r="B179" t="s">
        <v>521</v>
      </c>
      <c r="C179" t="s">
        <v>229</v>
      </c>
      <c r="D179">
        <v>50.2</v>
      </c>
      <c r="E179">
        <v>20</v>
      </c>
      <c r="F179">
        <v>0</v>
      </c>
      <c r="G179">
        <v>3149</v>
      </c>
    </row>
    <row r="180" spans="1:7">
      <c r="A180" t="s">
        <v>520</v>
      </c>
      <c r="B180" t="s">
        <v>521</v>
      </c>
      <c r="C180" t="s">
        <v>248</v>
      </c>
      <c r="D180">
        <v>46.6</v>
      </c>
      <c r="E180">
        <v>17</v>
      </c>
      <c r="F180">
        <v>0</v>
      </c>
      <c r="G180">
        <v>2406</v>
      </c>
    </row>
    <row r="181" spans="1:7">
      <c r="A181" t="s">
        <v>520</v>
      </c>
      <c r="B181" t="s">
        <v>521</v>
      </c>
      <c r="C181" t="s">
        <v>265</v>
      </c>
      <c r="D181">
        <v>12.5</v>
      </c>
      <c r="E181">
        <v>20</v>
      </c>
      <c r="F181">
        <v>0</v>
      </c>
      <c r="G181">
        <v>3342</v>
      </c>
    </row>
    <row r="182" spans="1:7">
      <c r="A182" t="s">
        <v>520</v>
      </c>
      <c r="B182" t="s">
        <v>521</v>
      </c>
      <c r="C182" t="s">
        <v>282</v>
      </c>
      <c r="D182">
        <v>115.2</v>
      </c>
      <c r="E182">
        <v>19</v>
      </c>
      <c r="F182">
        <v>0</v>
      </c>
      <c r="G182">
        <v>1400</v>
      </c>
    </row>
    <row r="183" spans="1:7">
      <c r="A183" t="s">
        <v>520</v>
      </c>
      <c r="B183" t="s">
        <v>521</v>
      </c>
      <c r="C183" t="s">
        <v>299</v>
      </c>
      <c r="D183">
        <v>408.1</v>
      </c>
      <c r="E183">
        <v>20</v>
      </c>
      <c r="F183">
        <v>3</v>
      </c>
      <c r="G183">
        <v>1855</v>
      </c>
    </row>
    <row r="184" spans="1:7">
      <c r="A184" t="s">
        <v>520</v>
      </c>
      <c r="B184" t="s">
        <v>521</v>
      </c>
      <c r="C184" t="s">
        <v>318</v>
      </c>
      <c r="D184">
        <v>225.3</v>
      </c>
      <c r="E184">
        <v>12</v>
      </c>
      <c r="F184">
        <v>2</v>
      </c>
      <c r="G184">
        <v>1218</v>
      </c>
    </row>
    <row r="185" spans="1:7">
      <c r="A185" t="s">
        <v>520</v>
      </c>
      <c r="B185" t="s">
        <v>521</v>
      </c>
      <c r="C185" t="s">
        <v>335</v>
      </c>
      <c r="D185">
        <v>87.3</v>
      </c>
      <c r="E185">
        <v>15</v>
      </c>
      <c r="F185">
        <v>1</v>
      </c>
      <c r="G185">
        <v>1959</v>
      </c>
    </row>
    <row r="186" spans="1:7">
      <c r="A186" t="s">
        <v>520</v>
      </c>
      <c r="B186" t="s">
        <v>521</v>
      </c>
      <c r="C186" t="s">
        <v>352</v>
      </c>
      <c r="D186">
        <v>271.8</v>
      </c>
      <c r="E186">
        <v>18</v>
      </c>
      <c r="F186">
        <v>0</v>
      </c>
      <c r="G186">
        <v>945</v>
      </c>
    </row>
    <row r="187" spans="1:7">
      <c r="A187" t="s">
        <v>520</v>
      </c>
      <c r="B187" t="s">
        <v>521</v>
      </c>
      <c r="C187" t="s">
        <v>371</v>
      </c>
      <c r="D187">
        <v>176.1</v>
      </c>
      <c r="E187">
        <v>19</v>
      </c>
      <c r="F187">
        <v>0</v>
      </c>
      <c r="G187">
        <v>1434</v>
      </c>
    </row>
    <row r="188" spans="1:7">
      <c r="A188" t="s">
        <v>520</v>
      </c>
      <c r="B188" t="s">
        <v>521</v>
      </c>
      <c r="C188" t="s">
        <v>388</v>
      </c>
      <c r="D188">
        <v>61</v>
      </c>
      <c r="E188">
        <v>18</v>
      </c>
      <c r="F188">
        <v>3</v>
      </c>
      <c r="G188">
        <v>2678</v>
      </c>
    </row>
    <row r="189" spans="1:7">
      <c r="A189" t="s">
        <v>520</v>
      </c>
      <c r="B189" t="s">
        <v>521</v>
      </c>
      <c r="C189" t="s">
        <v>407</v>
      </c>
      <c r="D189">
        <v>31.1</v>
      </c>
      <c r="E189">
        <v>13</v>
      </c>
      <c r="F189">
        <v>0</v>
      </c>
      <c r="G189">
        <v>2288</v>
      </c>
    </row>
    <row r="190" spans="1:7">
      <c r="A190" t="s">
        <v>520</v>
      </c>
      <c r="B190" t="s">
        <v>521</v>
      </c>
      <c r="C190" t="s">
        <v>426</v>
      </c>
      <c r="D190">
        <v>19.100000000000001</v>
      </c>
      <c r="E190">
        <v>24</v>
      </c>
      <c r="F190">
        <v>3</v>
      </c>
      <c r="G190">
        <v>3490</v>
      </c>
    </row>
    <row r="191" spans="1:7">
      <c r="A191" t="s">
        <v>520</v>
      </c>
      <c r="B191" t="s">
        <v>521</v>
      </c>
      <c r="C191" t="s">
        <v>445</v>
      </c>
      <c r="D191">
        <v>213.2</v>
      </c>
      <c r="E191">
        <v>18</v>
      </c>
      <c r="F191">
        <v>2</v>
      </c>
      <c r="G191">
        <v>2194</v>
      </c>
    </row>
    <row r="192" spans="1:7">
      <c r="A192" t="s">
        <v>520</v>
      </c>
      <c r="B192" t="s">
        <v>521</v>
      </c>
      <c r="C192" t="s">
        <v>464</v>
      </c>
      <c r="D192">
        <v>195.4</v>
      </c>
      <c r="E192">
        <v>18</v>
      </c>
      <c r="F192">
        <v>3</v>
      </c>
      <c r="G192">
        <v>1652</v>
      </c>
    </row>
    <row r="193" spans="1:7">
      <c r="A193" t="s">
        <v>520</v>
      </c>
      <c r="B193" t="s">
        <v>521</v>
      </c>
      <c r="C193" t="s">
        <v>483</v>
      </c>
      <c r="D193">
        <v>103.5</v>
      </c>
      <c r="E193">
        <v>12</v>
      </c>
      <c r="F193">
        <v>1</v>
      </c>
      <c r="G193">
        <v>2276</v>
      </c>
    </row>
    <row r="194" spans="1:7">
      <c r="A194" t="s">
        <v>522</v>
      </c>
      <c r="B194" t="s">
        <v>523</v>
      </c>
      <c r="C194" t="s">
        <v>42</v>
      </c>
      <c r="D194">
        <v>260.7</v>
      </c>
      <c r="E194">
        <v>13</v>
      </c>
      <c r="F194">
        <v>5</v>
      </c>
      <c r="G194">
        <v>2903</v>
      </c>
    </row>
    <row r="195" spans="1:7">
      <c r="A195" t="s">
        <v>522</v>
      </c>
      <c r="B195" t="s">
        <v>523</v>
      </c>
      <c r="C195" t="s">
        <v>85</v>
      </c>
      <c r="D195">
        <v>291.7</v>
      </c>
      <c r="E195">
        <v>12</v>
      </c>
      <c r="F195">
        <v>3</v>
      </c>
      <c r="G195">
        <v>2250</v>
      </c>
    </row>
    <row r="196" spans="1:7">
      <c r="A196" t="s">
        <v>522</v>
      </c>
      <c r="B196" t="s">
        <v>523</v>
      </c>
      <c r="C196" t="s">
        <v>104</v>
      </c>
      <c r="D196">
        <v>117.5</v>
      </c>
      <c r="E196">
        <v>12</v>
      </c>
      <c r="F196">
        <v>1</v>
      </c>
      <c r="G196">
        <v>5372</v>
      </c>
    </row>
    <row r="197" spans="1:7">
      <c r="A197" t="s">
        <v>522</v>
      </c>
      <c r="B197" t="s">
        <v>523</v>
      </c>
      <c r="C197" t="s">
        <v>124</v>
      </c>
      <c r="D197">
        <v>89.3</v>
      </c>
      <c r="E197">
        <v>11</v>
      </c>
      <c r="F197">
        <v>3</v>
      </c>
      <c r="G197">
        <v>7944</v>
      </c>
    </row>
    <row r="198" spans="1:7">
      <c r="A198" t="s">
        <v>522</v>
      </c>
      <c r="B198" t="s">
        <v>523</v>
      </c>
      <c r="C198" t="s">
        <v>142</v>
      </c>
      <c r="D198">
        <v>85.2</v>
      </c>
      <c r="E198">
        <v>12</v>
      </c>
      <c r="F198">
        <v>1</v>
      </c>
      <c r="G198">
        <v>6357</v>
      </c>
    </row>
    <row r="199" spans="1:7">
      <c r="A199" t="s">
        <v>522</v>
      </c>
      <c r="B199" t="s">
        <v>523</v>
      </c>
      <c r="C199" t="s">
        <v>159</v>
      </c>
      <c r="D199">
        <v>84.1</v>
      </c>
      <c r="E199">
        <v>9</v>
      </c>
      <c r="F199">
        <v>0</v>
      </c>
      <c r="G199">
        <v>5055</v>
      </c>
    </row>
    <row r="200" spans="1:7">
      <c r="A200" t="s">
        <v>522</v>
      </c>
      <c r="B200" t="s">
        <v>523</v>
      </c>
      <c r="C200" t="s">
        <v>176</v>
      </c>
      <c r="D200">
        <v>412.4</v>
      </c>
      <c r="E200">
        <v>10</v>
      </c>
      <c r="F200">
        <v>2</v>
      </c>
      <c r="G200">
        <v>1973</v>
      </c>
    </row>
    <row r="201" spans="1:7">
      <c r="A201" t="s">
        <v>522</v>
      </c>
      <c r="B201" t="s">
        <v>523</v>
      </c>
      <c r="C201" t="s">
        <v>195</v>
      </c>
      <c r="D201">
        <v>82.1</v>
      </c>
      <c r="E201">
        <v>14</v>
      </c>
      <c r="F201">
        <v>2</v>
      </c>
      <c r="G201">
        <v>5222</v>
      </c>
    </row>
    <row r="202" spans="1:7">
      <c r="A202" t="s">
        <v>522</v>
      </c>
      <c r="B202" t="s">
        <v>523</v>
      </c>
      <c r="C202" t="s">
        <v>212</v>
      </c>
      <c r="D202">
        <v>56.8</v>
      </c>
      <c r="E202">
        <v>7</v>
      </c>
      <c r="F202">
        <v>1</v>
      </c>
      <c r="G202">
        <v>4379</v>
      </c>
    </row>
    <row r="203" spans="1:7">
      <c r="A203" t="s">
        <v>522</v>
      </c>
      <c r="B203" t="s">
        <v>523</v>
      </c>
      <c r="C203" t="s">
        <v>229</v>
      </c>
      <c r="D203">
        <v>159.69999999999999</v>
      </c>
      <c r="E203">
        <v>14</v>
      </c>
      <c r="F203">
        <v>1</v>
      </c>
      <c r="G203">
        <v>4622</v>
      </c>
    </row>
    <row r="204" spans="1:7">
      <c r="A204" t="s">
        <v>522</v>
      </c>
      <c r="B204" t="s">
        <v>523</v>
      </c>
      <c r="C204" t="s">
        <v>248</v>
      </c>
      <c r="D204">
        <v>52.3</v>
      </c>
      <c r="E204">
        <v>12</v>
      </c>
      <c r="F204">
        <v>0</v>
      </c>
      <c r="G204">
        <v>4692</v>
      </c>
    </row>
    <row r="205" spans="1:7">
      <c r="A205" t="s">
        <v>522</v>
      </c>
      <c r="B205" t="s">
        <v>523</v>
      </c>
      <c r="C205" t="s">
        <v>265</v>
      </c>
      <c r="D205">
        <v>41.7</v>
      </c>
      <c r="E205">
        <v>10</v>
      </c>
      <c r="F205">
        <v>0</v>
      </c>
      <c r="G205">
        <v>7037</v>
      </c>
    </row>
    <row r="206" spans="1:7">
      <c r="A206" t="s">
        <v>522</v>
      </c>
      <c r="B206" t="s">
        <v>523</v>
      </c>
      <c r="C206" t="s">
        <v>282</v>
      </c>
      <c r="D206">
        <v>84.4</v>
      </c>
      <c r="E206">
        <v>10</v>
      </c>
      <c r="F206">
        <v>1</v>
      </c>
      <c r="G206">
        <v>2647</v>
      </c>
    </row>
    <row r="207" spans="1:7">
      <c r="A207" t="s">
        <v>522</v>
      </c>
      <c r="B207" t="s">
        <v>523</v>
      </c>
      <c r="C207" t="s">
        <v>299</v>
      </c>
      <c r="D207">
        <v>101.8</v>
      </c>
      <c r="E207">
        <v>13</v>
      </c>
      <c r="F207">
        <v>0</v>
      </c>
      <c r="G207">
        <v>2456</v>
      </c>
    </row>
    <row r="208" spans="1:7">
      <c r="A208" t="s">
        <v>522</v>
      </c>
      <c r="B208" t="s">
        <v>523</v>
      </c>
      <c r="C208" t="s">
        <v>318</v>
      </c>
      <c r="D208">
        <v>96.5</v>
      </c>
      <c r="E208">
        <v>10</v>
      </c>
      <c r="F208">
        <v>1</v>
      </c>
      <c r="G208">
        <v>2172</v>
      </c>
    </row>
    <row r="209" spans="1:7">
      <c r="A209" t="s">
        <v>522</v>
      </c>
      <c r="B209" t="s">
        <v>523</v>
      </c>
      <c r="C209" t="s">
        <v>335</v>
      </c>
      <c r="D209">
        <v>97.2</v>
      </c>
      <c r="E209">
        <v>4</v>
      </c>
      <c r="F209">
        <v>2</v>
      </c>
      <c r="G209">
        <v>4156</v>
      </c>
    </row>
    <row r="210" spans="1:7">
      <c r="A210" t="s">
        <v>522</v>
      </c>
      <c r="B210" t="s">
        <v>523</v>
      </c>
      <c r="C210" t="s">
        <v>352</v>
      </c>
      <c r="D210">
        <v>200.4</v>
      </c>
      <c r="E210">
        <v>9</v>
      </c>
      <c r="F210">
        <v>1</v>
      </c>
      <c r="G210">
        <v>1994</v>
      </c>
    </row>
    <row r="211" spans="1:7">
      <c r="A211" t="s">
        <v>522</v>
      </c>
      <c r="B211" t="s">
        <v>523</v>
      </c>
      <c r="C211" t="s">
        <v>371</v>
      </c>
      <c r="D211">
        <v>142.4</v>
      </c>
      <c r="E211">
        <v>13</v>
      </c>
      <c r="F211">
        <v>4</v>
      </c>
      <c r="G211">
        <v>3084</v>
      </c>
    </row>
    <row r="212" spans="1:7">
      <c r="A212" t="s">
        <v>522</v>
      </c>
      <c r="B212" t="s">
        <v>523</v>
      </c>
      <c r="C212" t="s">
        <v>388</v>
      </c>
      <c r="D212">
        <v>81.400000000000006</v>
      </c>
      <c r="E212">
        <v>10</v>
      </c>
      <c r="F212">
        <v>3</v>
      </c>
      <c r="G212">
        <v>4553</v>
      </c>
    </row>
    <row r="213" spans="1:7">
      <c r="A213" t="s">
        <v>522</v>
      </c>
      <c r="B213" t="s">
        <v>523</v>
      </c>
      <c r="C213" t="s">
        <v>407</v>
      </c>
      <c r="D213">
        <v>56.2</v>
      </c>
      <c r="E213">
        <v>10</v>
      </c>
      <c r="F213">
        <v>5</v>
      </c>
      <c r="G213">
        <v>4722</v>
      </c>
    </row>
    <row r="214" spans="1:7">
      <c r="A214" t="s">
        <v>522</v>
      </c>
      <c r="B214" t="s">
        <v>523</v>
      </c>
      <c r="C214" t="s">
        <v>426</v>
      </c>
      <c r="D214">
        <v>40.200000000000003</v>
      </c>
      <c r="E214">
        <v>14</v>
      </c>
      <c r="F214">
        <v>0</v>
      </c>
      <c r="G214">
        <v>5306</v>
      </c>
    </row>
    <row r="215" spans="1:7">
      <c r="A215" t="s">
        <v>522</v>
      </c>
      <c r="B215" t="s">
        <v>523</v>
      </c>
      <c r="C215" t="s">
        <v>445</v>
      </c>
      <c r="D215">
        <v>219.7</v>
      </c>
      <c r="E215">
        <v>10</v>
      </c>
      <c r="F215">
        <v>3</v>
      </c>
      <c r="G215">
        <v>3806</v>
      </c>
    </row>
    <row r="216" spans="1:7">
      <c r="A216" t="s">
        <v>522</v>
      </c>
      <c r="B216" t="s">
        <v>523</v>
      </c>
      <c r="C216" t="s">
        <v>464</v>
      </c>
      <c r="D216">
        <v>168.9</v>
      </c>
      <c r="E216">
        <v>10</v>
      </c>
      <c r="F216">
        <v>0</v>
      </c>
      <c r="G216">
        <v>3013</v>
      </c>
    </row>
    <row r="217" spans="1:7">
      <c r="A217" t="s">
        <v>522</v>
      </c>
      <c r="B217" t="s">
        <v>523</v>
      </c>
      <c r="C217" t="s">
        <v>483</v>
      </c>
      <c r="D217">
        <v>29.9</v>
      </c>
      <c r="E217">
        <v>8</v>
      </c>
      <c r="F217">
        <v>0</v>
      </c>
      <c r="G217">
        <v>4441</v>
      </c>
    </row>
    <row r="218" spans="1:7">
      <c r="A218" t="s">
        <v>524</v>
      </c>
      <c r="B218" t="s">
        <v>519</v>
      </c>
      <c r="C218" t="s">
        <v>42</v>
      </c>
      <c r="D218">
        <v>286.39999999999998</v>
      </c>
      <c r="E218">
        <v>11</v>
      </c>
      <c r="F218">
        <v>2</v>
      </c>
      <c r="G218">
        <v>2391</v>
      </c>
    </row>
    <row r="219" spans="1:7">
      <c r="A219" t="s">
        <v>524</v>
      </c>
      <c r="B219" t="s">
        <v>519</v>
      </c>
      <c r="C219" t="s">
        <v>85</v>
      </c>
      <c r="D219">
        <v>255</v>
      </c>
      <c r="E219">
        <v>9</v>
      </c>
      <c r="F219">
        <v>4</v>
      </c>
      <c r="G219">
        <v>1969</v>
      </c>
    </row>
    <row r="220" spans="1:7">
      <c r="A220" t="s">
        <v>524</v>
      </c>
      <c r="B220" t="s">
        <v>519</v>
      </c>
      <c r="C220" t="s">
        <v>104</v>
      </c>
      <c r="D220">
        <v>157.19999999999999</v>
      </c>
      <c r="E220">
        <v>12</v>
      </c>
      <c r="F220">
        <v>0</v>
      </c>
      <c r="G220">
        <v>4998</v>
      </c>
    </row>
    <row r="221" spans="1:7">
      <c r="A221" t="s">
        <v>524</v>
      </c>
      <c r="B221" t="s">
        <v>519</v>
      </c>
      <c r="C221" t="s">
        <v>124</v>
      </c>
      <c r="D221">
        <v>89.8</v>
      </c>
      <c r="E221">
        <v>11</v>
      </c>
      <c r="F221">
        <v>1</v>
      </c>
      <c r="G221">
        <v>7178</v>
      </c>
    </row>
    <row r="222" spans="1:7">
      <c r="A222" t="s">
        <v>524</v>
      </c>
      <c r="B222" t="s">
        <v>519</v>
      </c>
      <c r="C222" t="s">
        <v>142</v>
      </c>
      <c r="D222">
        <v>88.1</v>
      </c>
      <c r="E222">
        <v>14</v>
      </c>
      <c r="F222">
        <v>0</v>
      </c>
      <c r="G222">
        <v>5714</v>
      </c>
    </row>
    <row r="223" spans="1:7">
      <c r="A223" t="s">
        <v>524</v>
      </c>
      <c r="B223" t="s">
        <v>519</v>
      </c>
      <c r="C223" t="s">
        <v>159</v>
      </c>
      <c r="D223">
        <v>84</v>
      </c>
      <c r="E223">
        <v>10</v>
      </c>
      <c r="F223">
        <v>3</v>
      </c>
      <c r="G223">
        <v>5531</v>
      </c>
    </row>
    <row r="224" spans="1:7">
      <c r="A224" t="s">
        <v>524</v>
      </c>
      <c r="B224" t="s">
        <v>519</v>
      </c>
      <c r="C224" t="s">
        <v>176</v>
      </c>
      <c r="D224">
        <v>254.7</v>
      </c>
      <c r="E224">
        <v>6</v>
      </c>
      <c r="F224">
        <v>2</v>
      </c>
      <c r="G224">
        <v>1881</v>
      </c>
    </row>
    <row r="225" spans="1:7">
      <c r="A225" t="s">
        <v>524</v>
      </c>
      <c r="B225" t="s">
        <v>519</v>
      </c>
      <c r="C225" t="s">
        <v>195</v>
      </c>
      <c r="D225">
        <v>65.599999999999994</v>
      </c>
      <c r="E225">
        <v>12</v>
      </c>
      <c r="F225">
        <v>0</v>
      </c>
      <c r="G225">
        <v>5836</v>
      </c>
    </row>
    <row r="226" spans="1:7">
      <c r="A226" t="s">
        <v>524</v>
      </c>
      <c r="B226" t="s">
        <v>519</v>
      </c>
      <c r="C226" t="s">
        <v>212</v>
      </c>
      <c r="D226">
        <v>58.3</v>
      </c>
      <c r="E226">
        <v>8</v>
      </c>
      <c r="F226">
        <v>1</v>
      </c>
      <c r="G226">
        <v>3547</v>
      </c>
    </row>
    <row r="227" spans="1:7">
      <c r="A227" t="s">
        <v>524</v>
      </c>
      <c r="B227" t="s">
        <v>519</v>
      </c>
      <c r="C227" t="s">
        <v>229</v>
      </c>
      <c r="D227">
        <v>138.4</v>
      </c>
      <c r="E227">
        <v>12</v>
      </c>
      <c r="F227">
        <v>2</v>
      </c>
      <c r="G227">
        <v>6312</v>
      </c>
    </row>
    <row r="228" spans="1:7">
      <c r="A228" t="s">
        <v>524</v>
      </c>
      <c r="B228" t="s">
        <v>519</v>
      </c>
      <c r="C228" t="s">
        <v>248</v>
      </c>
      <c r="D228">
        <v>49.8</v>
      </c>
      <c r="E228">
        <v>16</v>
      </c>
      <c r="F228">
        <v>0</v>
      </c>
      <c r="G228">
        <v>4345</v>
      </c>
    </row>
    <row r="229" spans="1:7">
      <c r="A229" t="s">
        <v>524</v>
      </c>
      <c r="B229" t="s">
        <v>519</v>
      </c>
      <c r="C229" t="s">
        <v>265</v>
      </c>
      <c r="D229">
        <v>40.4</v>
      </c>
      <c r="E229">
        <v>9</v>
      </c>
      <c r="F229">
        <v>0</v>
      </c>
      <c r="G229">
        <v>7104</v>
      </c>
    </row>
    <row r="230" spans="1:7">
      <c r="A230" t="s">
        <v>524</v>
      </c>
      <c r="B230" t="s">
        <v>519</v>
      </c>
      <c r="C230" t="s">
        <v>282</v>
      </c>
      <c r="D230">
        <v>98.4</v>
      </c>
      <c r="E230">
        <v>8</v>
      </c>
      <c r="F230">
        <v>3</v>
      </c>
      <c r="G230">
        <v>3407</v>
      </c>
    </row>
    <row r="231" spans="1:7">
      <c r="A231" t="s">
        <v>524</v>
      </c>
      <c r="B231" t="s">
        <v>519</v>
      </c>
      <c r="C231" t="s">
        <v>299</v>
      </c>
      <c r="D231">
        <v>138.4</v>
      </c>
      <c r="E231">
        <v>11</v>
      </c>
      <c r="F231">
        <v>4</v>
      </c>
      <c r="G231">
        <v>2521</v>
      </c>
    </row>
    <row r="232" spans="1:7">
      <c r="A232" t="s">
        <v>524</v>
      </c>
      <c r="B232" t="s">
        <v>519</v>
      </c>
      <c r="C232" t="s">
        <v>318</v>
      </c>
      <c r="D232">
        <v>123.6</v>
      </c>
      <c r="E232">
        <v>8</v>
      </c>
      <c r="F232">
        <v>2</v>
      </c>
      <c r="G232">
        <v>2066</v>
      </c>
    </row>
    <row r="233" spans="1:7">
      <c r="A233" t="s">
        <v>524</v>
      </c>
      <c r="B233" t="s">
        <v>519</v>
      </c>
      <c r="C233" t="s">
        <v>335</v>
      </c>
      <c r="D233">
        <v>77.900000000000006</v>
      </c>
      <c r="E233">
        <v>14</v>
      </c>
      <c r="F233">
        <v>1</v>
      </c>
      <c r="G233">
        <v>3663</v>
      </c>
    </row>
    <row r="234" spans="1:7">
      <c r="A234" t="s">
        <v>524</v>
      </c>
      <c r="B234" t="s">
        <v>519</v>
      </c>
      <c r="C234" t="s">
        <v>352</v>
      </c>
      <c r="D234">
        <v>231.2</v>
      </c>
      <c r="E234">
        <v>10</v>
      </c>
      <c r="F234">
        <v>3</v>
      </c>
      <c r="G234">
        <v>2311</v>
      </c>
    </row>
    <row r="235" spans="1:7">
      <c r="A235" t="s">
        <v>524</v>
      </c>
      <c r="B235" t="s">
        <v>519</v>
      </c>
      <c r="C235" t="s">
        <v>371</v>
      </c>
      <c r="D235">
        <v>180.7</v>
      </c>
      <c r="E235">
        <v>13</v>
      </c>
      <c r="F235">
        <v>3</v>
      </c>
      <c r="G235">
        <v>3414</v>
      </c>
    </row>
    <row r="236" spans="1:7">
      <c r="A236" t="s">
        <v>524</v>
      </c>
      <c r="B236" t="s">
        <v>519</v>
      </c>
      <c r="C236" t="s">
        <v>388</v>
      </c>
      <c r="D236">
        <v>49.9</v>
      </c>
      <c r="E236">
        <v>9</v>
      </c>
      <c r="F236">
        <v>2</v>
      </c>
      <c r="G236">
        <v>5060</v>
      </c>
    </row>
    <row r="237" spans="1:7">
      <c r="A237" t="s">
        <v>524</v>
      </c>
      <c r="B237" t="s">
        <v>519</v>
      </c>
      <c r="C237" t="s">
        <v>407</v>
      </c>
      <c r="D237">
        <v>56.9</v>
      </c>
      <c r="E237">
        <v>11</v>
      </c>
      <c r="F237">
        <v>1</v>
      </c>
      <c r="G237">
        <v>4907</v>
      </c>
    </row>
    <row r="238" spans="1:7">
      <c r="A238" t="s">
        <v>524</v>
      </c>
      <c r="B238" t="s">
        <v>519</v>
      </c>
      <c r="C238" t="s">
        <v>426</v>
      </c>
      <c r="D238">
        <v>47.1</v>
      </c>
      <c r="E238">
        <v>11</v>
      </c>
      <c r="F238">
        <v>1</v>
      </c>
      <c r="G238">
        <v>4057</v>
      </c>
    </row>
    <row r="239" spans="1:7">
      <c r="A239" t="s">
        <v>524</v>
      </c>
      <c r="B239" t="s">
        <v>519</v>
      </c>
      <c r="C239" t="s">
        <v>445</v>
      </c>
      <c r="D239">
        <v>202</v>
      </c>
      <c r="E239">
        <v>2</v>
      </c>
      <c r="F239">
        <v>0</v>
      </c>
      <c r="G239">
        <v>3994</v>
      </c>
    </row>
    <row r="240" spans="1:7">
      <c r="A240" t="s">
        <v>524</v>
      </c>
      <c r="B240" t="s">
        <v>519</v>
      </c>
      <c r="C240" t="s">
        <v>464</v>
      </c>
      <c r="D240">
        <v>172.7</v>
      </c>
      <c r="E240">
        <v>7</v>
      </c>
      <c r="F240">
        <v>1</v>
      </c>
      <c r="G240">
        <v>3256</v>
      </c>
    </row>
    <row r="241" spans="1:7">
      <c r="A241" t="s">
        <v>524</v>
      </c>
      <c r="B241" t="s">
        <v>519</v>
      </c>
      <c r="C241" t="s">
        <v>483</v>
      </c>
      <c r="D241">
        <v>90.7</v>
      </c>
      <c r="E241">
        <v>16</v>
      </c>
      <c r="F241">
        <v>1</v>
      </c>
      <c r="G241">
        <v>4602</v>
      </c>
    </row>
    <row r="242" spans="1:7">
      <c r="A242" t="s">
        <v>525</v>
      </c>
      <c r="B242" t="s">
        <v>526</v>
      </c>
      <c r="C242" t="s">
        <v>42</v>
      </c>
      <c r="D242">
        <v>414.5</v>
      </c>
      <c r="E242">
        <v>10</v>
      </c>
      <c r="F242">
        <v>3</v>
      </c>
      <c r="G242">
        <v>2223</v>
      </c>
    </row>
    <row r="243" spans="1:7">
      <c r="A243" t="s">
        <v>525</v>
      </c>
      <c r="B243" t="s">
        <v>526</v>
      </c>
      <c r="C243" t="s">
        <v>85</v>
      </c>
      <c r="D243">
        <v>278.39999999999998</v>
      </c>
      <c r="E243">
        <v>6</v>
      </c>
      <c r="F243">
        <v>3</v>
      </c>
      <c r="G243">
        <v>1825</v>
      </c>
    </row>
    <row r="244" spans="1:7">
      <c r="A244" t="s">
        <v>525</v>
      </c>
      <c r="B244" t="s">
        <v>526</v>
      </c>
      <c r="C244" t="s">
        <v>104</v>
      </c>
      <c r="D244">
        <v>162.30000000000001</v>
      </c>
      <c r="E244">
        <v>12</v>
      </c>
      <c r="F244">
        <v>1</v>
      </c>
      <c r="G244">
        <v>5515</v>
      </c>
    </row>
    <row r="245" spans="1:7">
      <c r="A245" t="s">
        <v>525</v>
      </c>
      <c r="B245" t="s">
        <v>526</v>
      </c>
      <c r="C245" t="s">
        <v>124</v>
      </c>
      <c r="D245">
        <v>93.3</v>
      </c>
      <c r="E245">
        <v>13</v>
      </c>
      <c r="F245">
        <v>0</v>
      </c>
      <c r="G245">
        <v>5779</v>
      </c>
    </row>
    <row r="246" spans="1:7">
      <c r="A246" t="s">
        <v>525</v>
      </c>
      <c r="B246" t="s">
        <v>526</v>
      </c>
      <c r="C246" t="s">
        <v>142</v>
      </c>
      <c r="D246">
        <v>101.4</v>
      </c>
      <c r="E246">
        <v>11</v>
      </c>
      <c r="F246">
        <v>0</v>
      </c>
      <c r="G246">
        <v>6143</v>
      </c>
    </row>
    <row r="247" spans="1:7">
      <c r="A247" t="s">
        <v>525</v>
      </c>
      <c r="B247" t="s">
        <v>526</v>
      </c>
      <c r="C247" t="s">
        <v>159</v>
      </c>
      <c r="D247">
        <v>107.7</v>
      </c>
      <c r="E247">
        <v>6</v>
      </c>
      <c r="F247">
        <v>1</v>
      </c>
      <c r="G247">
        <v>5660</v>
      </c>
    </row>
    <row r="248" spans="1:7">
      <c r="A248" t="s">
        <v>525</v>
      </c>
      <c r="B248" t="s">
        <v>526</v>
      </c>
      <c r="C248" t="s">
        <v>176</v>
      </c>
      <c r="D248">
        <v>403.5</v>
      </c>
      <c r="E248">
        <v>11</v>
      </c>
      <c r="F248">
        <v>2</v>
      </c>
      <c r="G248">
        <v>1867</v>
      </c>
    </row>
    <row r="249" spans="1:7">
      <c r="A249" t="s">
        <v>525</v>
      </c>
      <c r="B249" t="s">
        <v>526</v>
      </c>
      <c r="C249" t="s">
        <v>195</v>
      </c>
      <c r="D249">
        <v>66.7</v>
      </c>
      <c r="E249">
        <v>10</v>
      </c>
      <c r="F249">
        <v>2</v>
      </c>
      <c r="G249">
        <v>5507</v>
      </c>
    </row>
    <row r="250" spans="1:7">
      <c r="A250" t="s">
        <v>525</v>
      </c>
      <c r="B250" t="s">
        <v>526</v>
      </c>
      <c r="C250" t="s">
        <v>212</v>
      </c>
      <c r="D250">
        <v>86.6</v>
      </c>
      <c r="E250">
        <v>12</v>
      </c>
      <c r="F250">
        <v>1</v>
      </c>
      <c r="G250">
        <v>3930</v>
      </c>
    </row>
    <row r="251" spans="1:7">
      <c r="A251" t="s">
        <v>525</v>
      </c>
      <c r="B251" t="s">
        <v>526</v>
      </c>
      <c r="C251" t="s">
        <v>229</v>
      </c>
      <c r="D251">
        <v>147</v>
      </c>
      <c r="E251">
        <v>12</v>
      </c>
      <c r="F251">
        <v>2</v>
      </c>
      <c r="G251">
        <v>5222</v>
      </c>
    </row>
    <row r="252" spans="1:7">
      <c r="A252" t="s">
        <v>525</v>
      </c>
      <c r="B252" t="s">
        <v>526</v>
      </c>
      <c r="C252" t="s">
        <v>248</v>
      </c>
      <c r="D252">
        <v>54.5</v>
      </c>
      <c r="E252">
        <v>10</v>
      </c>
      <c r="F252">
        <v>0</v>
      </c>
      <c r="G252">
        <v>4825</v>
      </c>
    </row>
    <row r="253" spans="1:7">
      <c r="A253" t="s">
        <v>525</v>
      </c>
      <c r="B253" t="s">
        <v>526</v>
      </c>
      <c r="C253" t="s">
        <v>265</v>
      </c>
      <c r="D253">
        <v>40</v>
      </c>
      <c r="E253">
        <v>12</v>
      </c>
      <c r="F253">
        <v>1</v>
      </c>
      <c r="G253">
        <v>5873</v>
      </c>
    </row>
    <row r="254" spans="1:7">
      <c r="A254" t="s">
        <v>525</v>
      </c>
      <c r="B254" t="s">
        <v>526</v>
      </c>
      <c r="C254" t="s">
        <v>282</v>
      </c>
      <c r="D254">
        <v>101.6</v>
      </c>
      <c r="E254">
        <v>10</v>
      </c>
      <c r="F254">
        <v>0</v>
      </c>
      <c r="G254">
        <v>3164</v>
      </c>
    </row>
    <row r="255" spans="1:7">
      <c r="A255" t="s">
        <v>525</v>
      </c>
      <c r="B255" t="s">
        <v>526</v>
      </c>
      <c r="C255" t="s">
        <v>299</v>
      </c>
      <c r="D255">
        <v>101.5</v>
      </c>
      <c r="E255">
        <v>6</v>
      </c>
      <c r="F255">
        <v>0</v>
      </c>
      <c r="G255">
        <v>2494</v>
      </c>
    </row>
    <row r="256" spans="1:7">
      <c r="A256" t="s">
        <v>525</v>
      </c>
      <c r="B256" t="s">
        <v>526</v>
      </c>
      <c r="C256" t="s">
        <v>318</v>
      </c>
      <c r="D256">
        <v>131.1</v>
      </c>
      <c r="E256">
        <v>9</v>
      </c>
      <c r="F256">
        <v>1</v>
      </c>
      <c r="G256">
        <v>2120</v>
      </c>
    </row>
    <row r="257" spans="1:7">
      <c r="A257" t="s">
        <v>525</v>
      </c>
      <c r="B257" t="s">
        <v>526</v>
      </c>
      <c r="C257" t="s">
        <v>335</v>
      </c>
      <c r="D257">
        <v>84.5</v>
      </c>
      <c r="E257">
        <v>10</v>
      </c>
      <c r="F257">
        <v>1</v>
      </c>
      <c r="G257">
        <v>3371</v>
      </c>
    </row>
    <row r="258" spans="1:7">
      <c r="A258" t="s">
        <v>525</v>
      </c>
      <c r="B258" t="s">
        <v>526</v>
      </c>
      <c r="C258" t="s">
        <v>352</v>
      </c>
      <c r="D258">
        <v>171.3</v>
      </c>
      <c r="E258">
        <v>9</v>
      </c>
      <c r="F258">
        <v>0</v>
      </c>
      <c r="G258">
        <v>1988</v>
      </c>
    </row>
    <row r="259" spans="1:7">
      <c r="A259" t="s">
        <v>525</v>
      </c>
      <c r="B259" t="s">
        <v>526</v>
      </c>
      <c r="C259" t="s">
        <v>371</v>
      </c>
      <c r="D259">
        <v>149.9</v>
      </c>
      <c r="E259">
        <v>12</v>
      </c>
      <c r="F259">
        <v>3</v>
      </c>
      <c r="G259">
        <v>2945</v>
      </c>
    </row>
    <row r="260" spans="1:7">
      <c r="A260" t="s">
        <v>525</v>
      </c>
      <c r="B260" t="s">
        <v>526</v>
      </c>
      <c r="C260" t="s">
        <v>388</v>
      </c>
      <c r="D260">
        <v>55.4</v>
      </c>
      <c r="E260">
        <v>11</v>
      </c>
      <c r="F260">
        <v>0</v>
      </c>
      <c r="G260">
        <v>4139</v>
      </c>
    </row>
    <row r="261" spans="1:7">
      <c r="A261" t="s">
        <v>525</v>
      </c>
      <c r="B261" t="s">
        <v>526</v>
      </c>
      <c r="C261" t="s">
        <v>407</v>
      </c>
      <c r="D261">
        <v>64.400000000000006</v>
      </c>
      <c r="E261">
        <v>8</v>
      </c>
      <c r="F261">
        <v>2</v>
      </c>
      <c r="G261">
        <v>4169</v>
      </c>
    </row>
    <row r="262" spans="1:7">
      <c r="A262" t="s">
        <v>525</v>
      </c>
      <c r="B262" t="s">
        <v>526</v>
      </c>
      <c r="C262" t="s">
        <v>426</v>
      </c>
      <c r="D262">
        <v>38.6</v>
      </c>
      <c r="E262">
        <v>14</v>
      </c>
      <c r="F262">
        <v>1</v>
      </c>
      <c r="G262">
        <v>5097</v>
      </c>
    </row>
    <row r="263" spans="1:7">
      <c r="A263" t="s">
        <v>525</v>
      </c>
      <c r="B263" t="s">
        <v>526</v>
      </c>
      <c r="C263" t="s">
        <v>445</v>
      </c>
      <c r="D263">
        <v>168.2</v>
      </c>
      <c r="E263">
        <v>8</v>
      </c>
      <c r="F263">
        <v>1</v>
      </c>
      <c r="G263">
        <v>3630</v>
      </c>
    </row>
    <row r="264" spans="1:7">
      <c r="A264" t="s">
        <v>525</v>
      </c>
      <c r="B264" t="s">
        <v>526</v>
      </c>
      <c r="C264" t="s">
        <v>464</v>
      </c>
      <c r="D264">
        <v>137.30000000000001</v>
      </c>
      <c r="E264">
        <v>10</v>
      </c>
      <c r="F264">
        <v>0</v>
      </c>
      <c r="G264">
        <v>2464</v>
      </c>
    </row>
    <row r="265" spans="1:7">
      <c r="A265" t="s">
        <v>525</v>
      </c>
      <c r="B265" t="s">
        <v>526</v>
      </c>
      <c r="C265" t="s">
        <v>483</v>
      </c>
      <c r="D265">
        <v>35.6</v>
      </c>
      <c r="E265">
        <v>17</v>
      </c>
      <c r="F265">
        <v>0</v>
      </c>
      <c r="G265">
        <v>4656</v>
      </c>
    </row>
    <row r="266" spans="1:7">
      <c r="A266" t="s">
        <v>527</v>
      </c>
      <c r="B266" t="s">
        <v>528</v>
      </c>
      <c r="C266" t="s">
        <v>42</v>
      </c>
      <c r="D266">
        <v>622.79999999999995</v>
      </c>
      <c r="E266">
        <v>17</v>
      </c>
      <c r="F266">
        <v>5</v>
      </c>
      <c r="G266">
        <v>1444</v>
      </c>
    </row>
    <row r="267" spans="1:7">
      <c r="A267" t="s">
        <v>527</v>
      </c>
      <c r="B267" t="s">
        <v>528</v>
      </c>
      <c r="C267" t="s">
        <v>85</v>
      </c>
      <c r="D267">
        <v>273.2</v>
      </c>
      <c r="E267">
        <v>20</v>
      </c>
      <c r="F267">
        <v>1</v>
      </c>
      <c r="G267">
        <v>1370</v>
      </c>
    </row>
    <row r="268" spans="1:7">
      <c r="A268" t="s">
        <v>527</v>
      </c>
      <c r="B268" t="s">
        <v>528</v>
      </c>
      <c r="C268" t="s">
        <v>104</v>
      </c>
      <c r="D268">
        <v>69.5</v>
      </c>
      <c r="E268">
        <v>17</v>
      </c>
      <c r="F268">
        <v>0</v>
      </c>
      <c r="G268">
        <v>3585</v>
      </c>
    </row>
    <row r="269" spans="1:7">
      <c r="A269" t="s">
        <v>527</v>
      </c>
      <c r="B269" t="s">
        <v>528</v>
      </c>
      <c r="C269" t="s">
        <v>124</v>
      </c>
      <c r="D269">
        <v>204.1</v>
      </c>
      <c r="E269">
        <v>17</v>
      </c>
      <c r="F269">
        <v>1</v>
      </c>
      <c r="G269">
        <v>3503</v>
      </c>
    </row>
    <row r="270" spans="1:7">
      <c r="A270" t="s">
        <v>527</v>
      </c>
      <c r="B270" t="s">
        <v>528</v>
      </c>
      <c r="C270" t="s">
        <v>142</v>
      </c>
      <c r="D270">
        <v>81.900000000000006</v>
      </c>
      <c r="E270">
        <v>12</v>
      </c>
      <c r="F270">
        <v>0</v>
      </c>
      <c r="G270">
        <v>3665</v>
      </c>
    </row>
    <row r="271" spans="1:7">
      <c r="A271" t="s">
        <v>527</v>
      </c>
      <c r="B271" t="s">
        <v>528</v>
      </c>
      <c r="C271" t="s">
        <v>159</v>
      </c>
      <c r="D271">
        <v>61.7</v>
      </c>
      <c r="E271">
        <v>24</v>
      </c>
      <c r="F271">
        <v>0</v>
      </c>
      <c r="G271">
        <v>3736</v>
      </c>
    </row>
    <row r="272" spans="1:7">
      <c r="A272" t="s">
        <v>527</v>
      </c>
      <c r="B272" t="s">
        <v>528</v>
      </c>
      <c r="C272" t="s">
        <v>176</v>
      </c>
      <c r="D272">
        <v>395.1</v>
      </c>
      <c r="E272">
        <v>15</v>
      </c>
      <c r="F272">
        <v>4</v>
      </c>
      <c r="G272">
        <v>1108</v>
      </c>
    </row>
    <row r="273" spans="1:7">
      <c r="A273" t="s">
        <v>527</v>
      </c>
      <c r="B273" t="s">
        <v>528</v>
      </c>
      <c r="C273" t="s">
        <v>195</v>
      </c>
      <c r="D273">
        <v>71.2</v>
      </c>
      <c r="E273">
        <v>16</v>
      </c>
      <c r="F273">
        <v>0</v>
      </c>
      <c r="G273">
        <v>2413</v>
      </c>
    </row>
    <row r="274" spans="1:7">
      <c r="A274" t="s">
        <v>527</v>
      </c>
      <c r="B274" t="s">
        <v>528</v>
      </c>
      <c r="C274" t="s">
        <v>212</v>
      </c>
      <c r="D274">
        <v>72.2</v>
      </c>
      <c r="E274">
        <v>15</v>
      </c>
      <c r="F274">
        <v>0</v>
      </c>
      <c r="G274">
        <v>2312</v>
      </c>
    </row>
    <row r="275" spans="1:7">
      <c r="A275" t="s">
        <v>527</v>
      </c>
      <c r="B275" t="s">
        <v>528</v>
      </c>
      <c r="C275" t="s">
        <v>229</v>
      </c>
      <c r="D275">
        <v>59.1</v>
      </c>
      <c r="E275">
        <v>18</v>
      </c>
      <c r="F275">
        <v>0</v>
      </c>
      <c r="G275">
        <v>3336</v>
      </c>
    </row>
    <row r="276" spans="1:7">
      <c r="A276" t="s">
        <v>527</v>
      </c>
      <c r="B276" t="s">
        <v>528</v>
      </c>
      <c r="C276" t="s">
        <v>248</v>
      </c>
      <c r="D276">
        <v>70.8</v>
      </c>
      <c r="E276">
        <v>19</v>
      </c>
      <c r="F276">
        <v>2</v>
      </c>
      <c r="G276">
        <v>3153</v>
      </c>
    </row>
    <row r="277" spans="1:7">
      <c r="A277" t="s">
        <v>527</v>
      </c>
      <c r="B277" t="s">
        <v>528</v>
      </c>
      <c r="C277" t="s">
        <v>265</v>
      </c>
      <c r="D277">
        <v>19.2</v>
      </c>
      <c r="E277">
        <v>19</v>
      </c>
      <c r="F277">
        <v>1</v>
      </c>
      <c r="G277">
        <v>3960</v>
      </c>
    </row>
    <row r="278" spans="1:7">
      <c r="A278" t="s">
        <v>527</v>
      </c>
      <c r="B278" t="s">
        <v>528</v>
      </c>
      <c r="C278" t="s">
        <v>282</v>
      </c>
      <c r="D278">
        <v>98.2</v>
      </c>
      <c r="E278">
        <v>18</v>
      </c>
      <c r="F278">
        <v>0</v>
      </c>
      <c r="G278">
        <v>1512</v>
      </c>
    </row>
    <row r="279" spans="1:7">
      <c r="A279" t="s">
        <v>527</v>
      </c>
      <c r="B279" t="s">
        <v>528</v>
      </c>
      <c r="C279" t="s">
        <v>299</v>
      </c>
      <c r="D279">
        <v>135.5</v>
      </c>
      <c r="E279">
        <v>18</v>
      </c>
      <c r="F279">
        <v>3</v>
      </c>
      <c r="G279">
        <v>1655</v>
      </c>
    </row>
    <row r="280" spans="1:7">
      <c r="A280" t="s">
        <v>527</v>
      </c>
      <c r="B280" t="s">
        <v>528</v>
      </c>
      <c r="C280" t="s">
        <v>318</v>
      </c>
      <c r="D280">
        <v>173</v>
      </c>
      <c r="E280">
        <v>15</v>
      </c>
      <c r="F280">
        <v>1</v>
      </c>
      <c r="G280">
        <v>1221</v>
      </c>
    </row>
    <row r="281" spans="1:7">
      <c r="A281" t="s">
        <v>527</v>
      </c>
      <c r="B281" t="s">
        <v>528</v>
      </c>
      <c r="C281" t="s">
        <v>335</v>
      </c>
      <c r="D281">
        <v>191.8</v>
      </c>
      <c r="E281">
        <v>14</v>
      </c>
      <c r="F281">
        <v>2</v>
      </c>
      <c r="G281">
        <v>1727</v>
      </c>
    </row>
    <row r="282" spans="1:7">
      <c r="A282" t="s">
        <v>527</v>
      </c>
      <c r="B282" t="s">
        <v>528</v>
      </c>
      <c r="C282" t="s">
        <v>352</v>
      </c>
      <c r="D282">
        <v>322.39999999999998</v>
      </c>
      <c r="E282">
        <v>16</v>
      </c>
      <c r="F282">
        <v>1</v>
      </c>
      <c r="G282">
        <v>1179</v>
      </c>
    </row>
    <row r="283" spans="1:7">
      <c r="A283" t="s">
        <v>527</v>
      </c>
      <c r="B283" t="s">
        <v>528</v>
      </c>
      <c r="C283" t="s">
        <v>371</v>
      </c>
      <c r="D283">
        <v>247.6</v>
      </c>
      <c r="E283">
        <v>15</v>
      </c>
      <c r="F283">
        <v>4</v>
      </c>
      <c r="G283">
        <v>1741</v>
      </c>
    </row>
    <row r="284" spans="1:7">
      <c r="A284" t="s">
        <v>527</v>
      </c>
      <c r="B284" t="s">
        <v>528</v>
      </c>
      <c r="C284" t="s">
        <v>388</v>
      </c>
      <c r="D284">
        <v>57.7</v>
      </c>
      <c r="E284">
        <v>9</v>
      </c>
      <c r="F284">
        <v>0</v>
      </c>
      <c r="G284">
        <v>2458</v>
      </c>
    </row>
    <row r="285" spans="1:7">
      <c r="A285" t="s">
        <v>527</v>
      </c>
      <c r="B285" t="s">
        <v>528</v>
      </c>
      <c r="C285" t="s">
        <v>407</v>
      </c>
      <c r="D285">
        <v>29.6</v>
      </c>
      <c r="E285">
        <v>20</v>
      </c>
      <c r="F285">
        <v>0</v>
      </c>
      <c r="G285">
        <v>2725</v>
      </c>
    </row>
    <row r="286" spans="1:7">
      <c r="A286" t="s">
        <v>527</v>
      </c>
      <c r="B286" t="s">
        <v>528</v>
      </c>
      <c r="C286" t="s">
        <v>426</v>
      </c>
      <c r="D286">
        <v>22.7</v>
      </c>
      <c r="E286">
        <v>18</v>
      </c>
      <c r="F286">
        <v>0</v>
      </c>
      <c r="G286">
        <v>3081</v>
      </c>
    </row>
    <row r="287" spans="1:7">
      <c r="A287" t="s">
        <v>527</v>
      </c>
      <c r="B287" t="s">
        <v>528</v>
      </c>
      <c r="C287" t="s">
        <v>445</v>
      </c>
      <c r="D287">
        <v>375.2</v>
      </c>
      <c r="E287">
        <v>8</v>
      </c>
      <c r="F287">
        <v>0</v>
      </c>
      <c r="G287">
        <v>1969</v>
      </c>
    </row>
    <row r="288" spans="1:7">
      <c r="A288" t="s">
        <v>527</v>
      </c>
      <c r="B288" t="s">
        <v>528</v>
      </c>
      <c r="C288" t="s">
        <v>464</v>
      </c>
      <c r="D288">
        <v>160.4</v>
      </c>
      <c r="E288">
        <v>18</v>
      </c>
      <c r="F288">
        <v>2</v>
      </c>
      <c r="G288">
        <v>1476</v>
      </c>
    </row>
    <row r="289" spans="1:7">
      <c r="A289" t="s">
        <v>527</v>
      </c>
      <c r="B289" t="s">
        <v>528</v>
      </c>
      <c r="C289" t="s">
        <v>483</v>
      </c>
      <c r="D289">
        <v>41.2</v>
      </c>
      <c r="E289">
        <v>21</v>
      </c>
      <c r="F289">
        <v>1</v>
      </c>
      <c r="G289">
        <v>2690</v>
      </c>
    </row>
    <row r="290" spans="1:7">
      <c r="A290" t="s">
        <v>529</v>
      </c>
      <c r="B290" t="s">
        <v>530</v>
      </c>
      <c r="C290" t="s">
        <v>42</v>
      </c>
      <c r="D290">
        <v>334.3</v>
      </c>
      <c r="E290">
        <v>14</v>
      </c>
      <c r="F290">
        <v>3</v>
      </c>
      <c r="G290">
        <v>1265</v>
      </c>
    </row>
    <row r="291" spans="1:7">
      <c r="A291" t="s">
        <v>529</v>
      </c>
      <c r="B291" t="s">
        <v>530</v>
      </c>
      <c r="C291" t="s">
        <v>85</v>
      </c>
      <c r="D291">
        <v>280.10000000000002</v>
      </c>
      <c r="E291">
        <v>20</v>
      </c>
      <c r="F291">
        <v>0</v>
      </c>
      <c r="G291">
        <v>941</v>
      </c>
    </row>
    <row r="292" spans="1:7">
      <c r="A292" t="s">
        <v>529</v>
      </c>
      <c r="B292" t="s">
        <v>530</v>
      </c>
      <c r="C292" t="s">
        <v>104</v>
      </c>
      <c r="D292">
        <v>63.7</v>
      </c>
      <c r="E292">
        <v>16</v>
      </c>
      <c r="F292">
        <v>0</v>
      </c>
      <c r="G292">
        <v>2626</v>
      </c>
    </row>
    <row r="293" spans="1:7">
      <c r="A293" t="s">
        <v>529</v>
      </c>
      <c r="B293" t="s">
        <v>530</v>
      </c>
      <c r="C293" t="s">
        <v>124</v>
      </c>
      <c r="D293">
        <v>76.900000000000006</v>
      </c>
      <c r="E293">
        <v>15</v>
      </c>
      <c r="F293">
        <v>4</v>
      </c>
      <c r="G293">
        <v>4389</v>
      </c>
    </row>
    <row r="294" spans="1:7">
      <c r="A294" t="s">
        <v>529</v>
      </c>
      <c r="B294" t="s">
        <v>530</v>
      </c>
      <c r="C294" t="s">
        <v>142</v>
      </c>
      <c r="D294">
        <v>79.599999999999994</v>
      </c>
      <c r="E294">
        <v>16</v>
      </c>
      <c r="F294">
        <v>0</v>
      </c>
      <c r="G294">
        <v>2635</v>
      </c>
    </row>
    <row r="295" spans="1:7">
      <c r="A295" t="s">
        <v>529</v>
      </c>
      <c r="B295" t="s">
        <v>530</v>
      </c>
      <c r="C295" t="s">
        <v>159</v>
      </c>
      <c r="D295">
        <v>49.1</v>
      </c>
      <c r="E295">
        <v>12</v>
      </c>
      <c r="F295">
        <v>0</v>
      </c>
      <c r="G295">
        <v>2432</v>
      </c>
    </row>
    <row r="296" spans="1:7">
      <c r="A296" t="s">
        <v>529</v>
      </c>
      <c r="B296" t="s">
        <v>530</v>
      </c>
      <c r="C296" t="s">
        <v>176</v>
      </c>
      <c r="D296">
        <v>504.6</v>
      </c>
      <c r="E296">
        <v>16</v>
      </c>
      <c r="F296">
        <v>4</v>
      </c>
      <c r="G296">
        <v>1047</v>
      </c>
    </row>
    <row r="297" spans="1:7">
      <c r="A297" t="s">
        <v>529</v>
      </c>
      <c r="B297" t="s">
        <v>530</v>
      </c>
      <c r="C297" t="s">
        <v>195</v>
      </c>
      <c r="D297">
        <v>68</v>
      </c>
      <c r="E297">
        <v>20</v>
      </c>
      <c r="F297">
        <v>0</v>
      </c>
      <c r="G297">
        <v>2787</v>
      </c>
    </row>
    <row r="298" spans="1:7">
      <c r="A298" t="s">
        <v>529</v>
      </c>
      <c r="B298" t="s">
        <v>530</v>
      </c>
      <c r="C298" t="s">
        <v>212</v>
      </c>
      <c r="D298">
        <v>64.900000000000006</v>
      </c>
      <c r="E298">
        <v>11</v>
      </c>
      <c r="F298">
        <v>0</v>
      </c>
      <c r="G298">
        <v>2186</v>
      </c>
    </row>
    <row r="299" spans="1:7">
      <c r="A299" t="s">
        <v>529</v>
      </c>
      <c r="B299" t="s">
        <v>530</v>
      </c>
      <c r="C299" t="s">
        <v>229</v>
      </c>
      <c r="D299">
        <v>57.4</v>
      </c>
      <c r="E299">
        <v>17</v>
      </c>
      <c r="F299">
        <v>3</v>
      </c>
      <c r="G299">
        <v>2961</v>
      </c>
    </row>
    <row r="300" spans="1:7">
      <c r="A300" t="s">
        <v>529</v>
      </c>
      <c r="B300" t="s">
        <v>530</v>
      </c>
      <c r="C300" t="s">
        <v>248</v>
      </c>
      <c r="D300">
        <v>52.8</v>
      </c>
      <c r="E300">
        <v>20</v>
      </c>
      <c r="F300">
        <v>3</v>
      </c>
      <c r="G300">
        <v>3102</v>
      </c>
    </row>
    <row r="301" spans="1:7">
      <c r="A301" t="s">
        <v>529</v>
      </c>
      <c r="B301" t="s">
        <v>530</v>
      </c>
      <c r="C301" t="s">
        <v>265</v>
      </c>
      <c r="D301">
        <v>13.1</v>
      </c>
      <c r="E301">
        <v>15</v>
      </c>
      <c r="F301">
        <v>2</v>
      </c>
      <c r="G301">
        <v>3026</v>
      </c>
    </row>
    <row r="302" spans="1:7">
      <c r="A302" t="s">
        <v>529</v>
      </c>
      <c r="B302" t="s">
        <v>530</v>
      </c>
      <c r="C302" t="s">
        <v>282</v>
      </c>
      <c r="D302">
        <v>94.7</v>
      </c>
      <c r="E302">
        <v>14</v>
      </c>
      <c r="F302">
        <v>1</v>
      </c>
      <c r="G302">
        <v>1483</v>
      </c>
    </row>
    <row r="303" spans="1:7">
      <c r="A303" t="s">
        <v>529</v>
      </c>
      <c r="B303" t="s">
        <v>530</v>
      </c>
      <c r="C303" t="s">
        <v>299</v>
      </c>
      <c r="D303">
        <v>426.2</v>
      </c>
      <c r="E303">
        <v>13</v>
      </c>
      <c r="F303">
        <v>2</v>
      </c>
      <c r="G303">
        <v>1407</v>
      </c>
    </row>
    <row r="304" spans="1:7">
      <c r="A304" t="s">
        <v>529</v>
      </c>
      <c r="B304" t="s">
        <v>530</v>
      </c>
      <c r="C304" t="s">
        <v>318</v>
      </c>
      <c r="D304">
        <v>389.5</v>
      </c>
      <c r="E304">
        <v>16</v>
      </c>
      <c r="F304">
        <v>4</v>
      </c>
      <c r="G304">
        <v>1042</v>
      </c>
    </row>
    <row r="305" spans="1:7">
      <c r="A305" t="s">
        <v>529</v>
      </c>
      <c r="B305" t="s">
        <v>530</v>
      </c>
      <c r="C305" t="s">
        <v>335</v>
      </c>
      <c r="D305">
        <v>77.7</v>
      </c>
      <c r="E305">
        <v>13</v>
      </c>
      <c r="F305">
        <v>0</v>
      </c>
      <c r="G305">
        <v>1504</v>
      </c>
    </row>
    <row r="306" spans="1:7">
      <c r="A306" t="s">
        <v>529</v>
      </c>
      <c r="B306" t="s">
        <v>530</v>
      </c>
      <c r="C306" t="s">
        <v>352</v>
      </c>
      <c r="D306">
        <v>179.6</v>
      </c>
      <c r="E306">
        <v>8</v>
      </c>
      <c r="F306">
        <v>0</v>
      </c>
      <c r="G306">
        <v>1273</v>
      </c>
    </row>
    <row r="307" spans="1:7">
      <c r="A307" t="s">
        <v>529</v>
      </c>
      <c r="B307" t="s">
        <v>530</v>
      </c>
      <c r="C307" t="s">
        <v>371</v>
      </c>
      <c r="D307">
        <v>148.9</v>
      </c>
      <c r="E307">
        <v>20</v>
      </c>
      <c r="F307">
        <v>2</v>
      </c>
      <c r="G307">
        <v>1744</v>
      </c>
    </row>
    <row r="308" spans="1:7">
      <c r="A308" t="s">
        <v>529</v>
      </c>
      <c r="B308" t="s">
        <v>530</v>
      </c>
      <c r="C308" t="s">
        <v>388</v>
      </c>
      <c r="D308">
        <v>51.9</v>
      </c>
      <c r="E308">
        <v>17</v>
      </c>
      <c r="F308">
        <v>1</v>
      </c>
      <c r="G308">
        <v>2159</v>
      </c>
    </row>
    <row r="309" spans="1:7">
      <c r="A309" t="s">
        <v>529</v>
      </c>
      <c r="B309" t="s">
        <v>530</v>
      </c>
      <c r="C309" t="s">
        <v>407</v>
      </c>
      <c r="D309">
        <v>36.1</v>
      </c>
      <c r="E309">
        <v>17</v>
      </c>
      <c r="F309">
        <v>0</v>
      </c>
      <c r="G309">
        <v>1900</v>
      </c>
    </row>
    <row r="310" spans="1:7">
      <c r="A310" t="s">
        <v>529</v>
      </c>
      <c r="B310" t="s">
        <v>530</v>
      </c>
      <c r="C310" t="s">
        <v>426</v>
      </c>
      <c r="D310">
        <v>18.600000000000001</v>
      </c>
      <c r="E310">
        <v>18</v>
      </c>
      <c r="F310">
        <v>1</v>
      </c>
      <c r="G310">
        <v>2566</v>
      </c>
    </row>
    <row r="311" spans="1:7">
      <c r="A311" t="s">
        <v>529</v>
      </c>
      <c r="B311" t="s">
        <v>530</v>
      </c>
      <c r="C311" t="s">
        <v>445</v>
      </c>
      <c r="D311">
        <v>248.1</v>
      </c>
      <c r="E311">
        <v>17</v>
      </c>
      <c r="F311">
        <v>3</v>
      </c>
      <c r="G311">
        <v>2254</v>
      </c>
    </row>
    <row r="312" spans="1:7">
      <c r="A312" t="s">
        <v>529</v>
      </c>
      <c r="B312" t="s">
        <v>530</v>
      </c>
      <c r="C312" t="s">
        <v>464</v>
      </c>
      <c r="D312">
        <v>196.3</v>
      </c>
      <c r="E312">
        <v>12</v>
      </c>
      <c r="F312">
        <v>4</v>
      </c>
      <c r="G312">
        <v>1321</v>
      </c>
    </row>
    <row r="313" spans="1:7">
      <c r="A313" t="s">
        <v>529</v>
      </c>
      <c r="B313" t="s">
        <v>530</v>
      </c>
      <c r="C313" t="s">
        <v>483</v>
      </c>
      <c r="D313">
        <v>115.8</v>
      </c>
      <c r="E313">
        <v>18</v>
      </c>
      <c r="F313">
        <v>0</v>
      </c>
      <c r="G313">
        <v>1803</v>
      </c>
    </row>
    <row r="314" spans="1:7">
      <c r="A314" t="s">
        <v>531</v>
      </c>
      <c r="B314" t="s">
        <v>532</v>
      </c>
      <c r="C314" t="s">
        <v>42</v>
      </c>
      <c r="D314">
        <v>311.3</v>
      </c>
      <c r="E314">
        <v>6</v>
      </c>
      <c r="F314">
        <v>5</v>
      </c>
      <c r="G314">
        <v>2659</v>
      </c>
    </row>
    <row r="315" spans="1:7">
      <c r="A315" t="s">
        <v>531</v>
      </c>
      <c r="B315" t="s">
        <v>532</v>
      </c>
      <c r="C315" t="s">
        <v>85</v>
      </c>
      <c r="D315">
        <v>246.5</v>
      </c>
      <c r="E315">
        <v>10</v>
      </c>
      <c r="F315">
        <v>2</v>
      </c>
      <c r="G315">
        <v>1848</v>
      </c>
    </row>
    <row r="316" spans="1:7">
      <c r="A316" t="s">
        <v>531</v>
      </c>
      <c r="B316" t="s">
        <v>532</v>
      </c>
      <c r="C316" t="s">
        <v>104</v>
      </c>
      <c r="D316">
        <v>158.5</v>
      </c>
      <c r="E316">
        <v>11</v>
      </c>
      <c r="F316">
        <v>4</v>
      </c>
      <c r="G316">
        <v>5292</v>
      </c>
    </row>
    <row r="317" spans="1:7">
      <c r="A317" t="s">
        <v>531</v>
      </c>
      <c r="B317" t="s">
        <v>532</v>
      </c>
      <c r="C317" t="s">
        <v>124</v>
      </c>
      <c r="D317">
        <v>105.6</v>
      </c>
      <c r="E317">
        <v>12</v>
      </c>
      <c r="F317">
        <v>2</v>
      </c>
      <c r="G317">
        <v>6169</v>
      </c>
    </row>
    <row r="318" spans="1:7">
      <c r="A318" t="s">
        <v>531</v>
      </c>
      <c r="B318" t="s">
        <v>532</v>
      </c>
      <c r="C318" t="s">
        <v>142</v>
      </c>
      <c r="D318">
        <v>84.3</v>
      </c>
      <c r="E318">
        <v>11</v>
      </c>
      <c r="F318">
        <v>0</v>
      </c>
      <c r="G318">
        <v>6292</v>
      </c>
    </row>
    <row r="319" spans="1:7">
      <c r="A319" t="s">
        <v>531</v>
      </c>
      <c r="B319" t="s">
        <v>532</v>
      </c>
      <c r="C319" t="s">
        <v>159</v>
      </c>
      <c r="D319">
        <v>111</v>
      </c>
      <c r="E319">
        <v>11</v>
      </c>
      <c r="F319">
        <v>3</v>
      </c>
      <c r="G319">
        <v>6122</v>
      </c>
    </row>
    <row r="320" spans="1:7">
      <c r="A320" t="s">
        <v>531</v>
      </c>
      <c r="B320" t="s">
        <v>532</v>
      </c>
      <c r="C320" t="s">
        <v>176</v>
      </c>
      <c r="D320">
        <v>536.79999999999995</v>
      </c>
      <c r="E320">
        <v>10</v>
      </c>
      <c r="F320">
        <v>5</v>
      </c>
      <c r="G320">
        <v>1805</v>
      </c>
    </row>
    <row r="321" spans="1:7">
      <c r="A321" t="s">
        <v>531</v>
      </c>
      <c r="B321" t="s">
        <v>532</v>
      </c>
      <c r="C321" t="s">
        <v>195</v>
      </c>
      <c r="D321">
        <v>76.3</v>
      </c>
      <c r="E321">
        <v>15</v>
      </c>
      <c r="F321">
        <v>1</v>
      </c>
      <c r="G321">
        <v>4569</v>
      </c>
    </row>
    <row r="322" spans="1:7">
      <c r="A322" t="s">
        <v>531</v>
      </c>
      <c r="B322" t="s">
        <v>532</v>
      </c>
      <c r="C322" t="s">
        <v>212</v>
      </c>
      <c r="D322">
        <v>78.7</v>
      </c>
      <c r="E322">
        <v>5</v>
      </c>
      <c r="F322">
        <v>0</v>
      </c>
      <c r="G322">
        <v>4126</v>
      </c>
    </row>
    <row r="323" spans="1:7">
      <c r="A323" t="s">
        <v>531</v>
      </c>
      <c r="B323" t="s">
        <v>532</v>
      </c>
      <c r="C323" t="s">
        <v>229</v>
      </c>
      <c r="D323">
        <v>52.5</v>
      </c>
      <c r="E323">
        <v>12</v>
      </c>
      <c r="F323">
        <v>0</v>
      </c>
      <c r="G323">
        <v>4758</v>
      </c>
    </row>
    <row r="324" spans="1:7">
      <c r="A324" t="s">
        <v>531</v>
      </c>
      <c r="B324" t="s">
        <v>532</v>
      </c>
      <c r="C324" t="s">
        <v>248</v>
      </c>
      <c r="D324">
        <v>75.8</v>
      </c>
      <c r="E324">
        <v>13</v>
      </c>
      <c r="F324">
        <v>1</v>
      </c>
      <c r="G324">
        <v>4288</v>
      </c>
    </row>
    <row r="325" spans="1:7">
      <c r="A325" t="s">
        <v>531</v>
      </c>
      <c r="B325" t="s">
        <v>532</v>
      </c>
      <c r="C325" t="s">
        <v>265</v>
      </c>
      <c r="D325">
        <v>37.6</v>
      </c>
      <c r="E325">
        <v>7</v>
      </c>
      <c r="F325">
        <v>1</v>
      </c>
      <c r="G325">
        <v>6716</v>
      </c>
    </row>
    <row r="326" spans="1:7">
      <c r="A326" t="s">
        <v>531</v>
      </c>
      <c r="B326" t="s">
        <v>532</v>
      </c>
      <c r="C326" t="s">
        <v>282</v>
      </c>
      <c r="D326">
        <v>69.900000000000006</v>
      </c>
      <c r="E326">
        <v>8</v>
      </c>
      <c r="F326">
        <v>0</v>
      </c>
      <c r="G326">
        <v>2428</v>
      </c>
    </row>
    <row r="327" spans="1:7">
      <c r="A327" t="s">
        <v>531</v>
      </c>
      <c r="B327" t="s">
        <v>532</v>
      </c>
      <c r="C327" t="s">
        <v>299</v>
      </c>
      <c r="D327">
        <v>477.1</v>
      </c>
      <c r="E327">
        <v>5</v>
      </c>
      <c r="F327">
        <v>6</v>
      </c>
      <c r="G327">
        <v>3031</v>
      </c>
    </row>
    <row r="328" spans="1:7">
      <c r="A328" t="s">
        <v>531</v>
      </c>
      <c r="B328" t="s">
        <v>532</v>
      </c>
      <c r="C328" t="s">
        <v>318</v>
      </c>
      <c r="D328">
        <v>162.30000000000001</v>
      </c>
      <c r="E328">
        <v>4</v>
      </c>
      <c r="F328">
        <v>0</v>
      </c>
      <c r="G328">
        <v>2268</v>
      </c>
    </row>
    <row r="329" spans="1:7">
      <c r="A329" t="s">
        <v>531</v>
      </c>
      <c r="B329" t="s">
        <v>532</v>
      </c>
      <c r="C329" t="s">
        <v>335</v>
      </c>
      <c r="D329">
        <v>51.3</v>
      </c>
      <c r="E329">
        <v>9</v>
      </c>
      <c r="F329">
        <v>0</v>
      </c>
      <c r="G329">
        <v>3441</v>
      </c>
    </row>
    <row r="330" spans="1:7">
      <c r="A330" t="s">
        <v>531</v>
      </c>
      <c r="B330" t="s">
        <v>532</v>
      </c>
      <c r="C330" t="s">
        <v>352</v>
      </c>
      <c r="D330">
        <v>215.4</v>
      </c>
      <c r="E330">
        <v>10</v>
      </c>
      <c r="F330">
        <v>3</v>
      </c>
      <c r="G330">
        <v>2423</v>
      </c>
    </row>
    <row r="331" spans="1:7">
      <c r="A331" t="s">
        <v>531</v>
      </c>
      <c r="B331" t="s">
        <v>532</v>
      </c>
      <c r="C331" t="s">
        <v>371</v>
      </c>
      <c r="D331">
        <v>145.19999999999999</v>
      </c>
      <c r="E331">
        <v>10</v>
      </c>
      <c r="F331">
        <v>0</v>
      </c>
      <c r="G331">
        <v>3283</v>
      </c>
    </row>
    <row r="332" spans="1:7">
      <c r="A332" t="s">
        <v>531</v>
      </c>
      <c r="B332" t="s">
        <v>532</v>
      </c>
      <c r="C332" t="s">
        <v>388</v>
      </c>
      <c r="D332">
        <v>53.1</v>
      </c>
      <c r="E332">
        <v>8</v>
      </c>
      <c r="F332">
        <v>1</v>
      </c>
      <c r="G332">
        <v>3486</v>
      </c>
    </row>
    <row r="333" spans="1:7">
      <c r="A333" t="s">
        <v>531</v>
      </c>
      <c r="B333" t="s">
        <v>532</v>
      </c>
      <c r="C333" t="s">
        <v>407</v>
      </c>
      <c r="D333">
        <v>57.1</v>
      </c>
      <c r="E333">
        <v>12</v>
      </c>
      <c r="F333">
        <v>1</v>
      </c>
      <c r="G333">
        <v>3249</v>
      </c>
    </row>
    <row r="334" spans="1:7">
      <c r="A334" t="s">
        <v>531</v>
      </c>
      <c r="B334" t="s">
        <v>532</v>
      </c>
      <c r="C334" t="s">
        <v>426</v>
      </c>
      <c r="D334">
        <v>44.1</v>
      </c>
      <c r="E334">
        <v>13</v>
      </c>
      <c r="F334">
        <v>0</v>
      </c>
      <c r="G334">
        <v>4478</v>
      </c>
    </row>
    <row r="335" spans="1:7">
      <c r="A335" t="s">
        <v>531</v>
      </c>
      <c r="B335" t="s">
        <v>532</v>
      </c>
      <c r="C335" t="s">
        <v>445</v>
      </c>
      <c r="D335">
        <v>284.2</v>
      </c>
      <c r="E335">
        <v>10</v>
      </c>
      <c r="F335">
        <v>4</v>
      </c>
      <c r="G335">
        <v>4196</v>
      </c>
    </row>
    <row r="336" spans="1:7">
      <c r="A336" t="s">
        <v>531</v>
      </c>
      <c r="B336" t="s">
        <v>532</v>
      </c>
      <c r="C336" t="s">
        <v>464</v>
      </c>
      <c r="D336">
        <v>172.5</v>
      </c>
      <c r="E336">
        <v>11</v>
      </c>
      <c r="F336">
        <v>6</v>
      </c>
      <c r="G336">
        <v>2461</v>
      </c>
    </row>
    <row r="337" spans="1:7">
      <c r="A337" t="s">
        <v>531</v>
      </c>
      <c r="B337" t="s">
        <v>532</v>
      </c>
      <c r="C337" t="s">
        <v>483</v>
      </c>
      <c r="D337">
        <v>30.8</v>
      </c>
      <c r="E337">
        <v>12</v>
      </c>
      <c r="F337">
        <v>1</v>
      </c>
      <c r="G337">
        <v>3737</v>
      </c>
    </row>
    <row r="338" spans="1:7">
      <c r="A338" t="s">
        <v>533</v>
      </c>
      <c r="B338" t="s">
        <v>534</v>
      </c>
      <c r="C338" t="s">
        <v>42</v>
      </c>
      <c r="D338">
        <v>515.4</v>
      </c>
      <c r="E338">
        <v>15</v>
      </c>
      <c r="F338">
        <v>6</v>
      </c>
      <c r="G338">
        <v>3575</v>
      </c>
    </row>
    <row r="339" spans="1:7">
      <c r="A339" t="s">
        <v>533</v>
      </c>
      <c r="B339" t="s">
        <v>534</v>
      </c>
      <c r="C339" t="s">
        <v>85</v>
      </c>
      <c r="D339">
        <v>389</v>
      </c>
      <c r="E339">
        <v>9</v>
      </c>
      <c r="F339">
        <v>4</v>
      </c>
      <c r="G339">
        <v>3628</v>
      </c>
    </row>
    <row r="340" spans="1:7">
      <c r="A340" t="s">
        <v>533</v>
      </c>
      <c r="B340" t="s">
        <v>534</v>
      </c>
      <c r="C340" t="s">
        <v>104</v>
      </c>
      <c r="D340">
        <v>182.2</v>
      </c>
      <c r="E340">
        <v>12</v>
      </c>
      <c r="F340">
        <v>5</v>
      </c>
      <c r="G340">
        <v>10116</v>
      </c>
    </row>
    <row r="341" spans="1:7">
      <c r="A341" t="s">
        <v>533</v>
      </c>
      <c r="B341" t="s">
        <v>534</v>
      </c>
      <c r="C341" t="s">
        <v>124</v>
      </c>
      <c r="D341">
        <v>84.7</v>
      </c>
      <c r="E341">
        <v>10</v>
      </c>
      <c r="F341">
        <v>0</v>
      </c>
      <c r="G341">
        <v>10853</v>
      </c>
    </row>
    <row r="342" spans="1:7">
      <c r="A342" t="s">
        <v>533</v>
      </c>
      <c r="B342" t="s">
        <v>534</v>
      </c>
      <c r="C342" t="s">
        <v>142</v>
      </c>
      <c r="D342">
        <v>80</v>
      </c>
      <c r="E342">
        <v>14</v>
      </c>
      <c r="F342">
        <v>0</v>
      </c>
      <c r="G342">
        <v>11077</v>
      </c>
    </row>
    <row r="343" spans="1:7">
      <c r="A343" t="s">
        <v>533</v>
      </c>
      <c r="B343" t="s">
        <v>534</v>
      </c>
      <c r="C343" t="s">
        <v>159</v>
      </c>
      <c r="D343">
        <v>160</v>
      </c>
      <c r="E343">
        <v>10</v>
      </c>
      <c r="F343">
        <v>0</v>
      </c>
      <c r="G343">
        <v>10405</v>
      </c>
    </row>
    <row r="344" spans="1:7">
      <c r="A344" t="s">
        <v>533</v>
      </c>
      <c r="B344" t="s">
        <v>534</v>
      </c>
      <c r="C344" t="s">
        <v>176</v>
      </c>
      <c r="D344">
        <v>463.8</v>
      </c>
      <c r="E344">
        <v>12</v>
      </c>
      <c r="F344">
        <v>3</v>
      </c>
      <c r="G344">
        <v>3396</v>
      </c>
    </row>
    <row r="345" spans="1:7">
      <c r="A345" t="s">
        <v>533</v>
      </c>
      <c r="B345" t="s">
        <v>534</v>
      </c>
      <c r="C345" t="s">
        <v>195</v>
      </c>
      <c r="D345">
        <v>74.7</v>
      </c>
      <c r="E345">
        <v>8</v>
      </c>
      <c r="F345">
        <v>1</v>
      </c>
      <c r="G345">
        <v>8390</v>
      </c>
    </row>
    <row r="346" spans="1:7">
      <c r="A346" t="s">
        <v>533</v>
      </c>
      <c r="B346" t="s">
        <v>534</v>
      </c>
      <c r="C346" t="s">
        <v>212</v>
      </c>
      <c r="D346">
        <v>71</v>
      </c>
      <c r="E346">
        <v>10</v>
      </c>
      <c r="F346">
        <v>1</v>
      </c>
      <c r="G346">
        <v>7656</v>
      </c>
    </row>
    <row r="347" spans="1:7">
      <c r="A347" t="s">
        <v>533</v>
      </c>
      <c r="B347" t="s">
        <v>534</v>
      </c>
      <c r="C347" t="s">
        <v>229</v>
      </c>
      <c r="D347">
        <v>158.19999999999999</v>
      </c>
      <c r="E347">
        <v>5</v>
      </c>
      <c r="F347">
        <v>1</v>
      </c>
      <c r="G347">
        <v>8068</v>
      </c>
    </row>
    <row r="348" spans="1:7">
      <c r="A348" t="s">
        <v>533</v>
      </c>
      <c r="B348" t="s">
        <v>534</v>
      </c>
      <c r="C348" t="s">
        <v>248</v>
      </c>
      <c r="D348">
        <v>41.6</v>
      </c>
      <c r="E348">
        <v>12</v>
      </c>
      <c r="F348">
        <v>2</v>
      </c>
      <c r="G348">
        <v>6877</v>
      </c>
    </row>
    <row r="349" spans="1:7">
      <c r="A349" t="s">
        <v>533</v>
      </c>
      <c r="B349" t="s">
        <v>534</v>
      </c>
      <c r="C349" t="s">
        <v>265</v>
      </c>
      <c r="D349">
        <v>42.2</v>
      </c>
      <c r="E349">
        <v>9</v>
      </c>
      <c r="F349">
        <v>0</v>
      </c>
      <c r="G349">
        <v>12400</v>
      </c>
    </row>
    <row r="350" spans="1:7">
      <c r="A350" t="s">
        <v>533</v>
      </c>
      <c r="B350" t="s">
        <v>534</v>
      </c>
      <c r="C350" t="s">
        <v>282</v>
      </c>
      <c r="D350">
        <v>82.5</v>
      </c>
      <c r="E350">
        <v>11</v>
      </c>
      <c r="F350">
        <v>0</v>
      </c>
      <c r="G350">
        <v>5707</v>
      </c>
    </row>
    <row r="351" spans="1:7">
      <c r="A351" t="s">
        <v>533</v>
      </c>
      <c r="B351" t="s">
        <v>534</v>
      </c>
      <c r="C351" t="s">
        <v>299</v>
      </c>
      <c r="D351">
        <v>121.1</v>
      </c>
      <c r="E351">
        <v>9</v>
      </c>
      <c r="F351">
        <v>2</v>
      </c>
      <c r="G351">
        <v>4115</v>
      </c>
    </row>
    <row r="352" spans="1:7">
      <c r="A352" t="s">
        <v>533</v>
      </c>
      <c r="B352" t="s">
        <v>534</v>
      </c>
      <c r="C352" t="s">
        <v>318</v>
      </c>
      <c r="D352">
        <v>157.1</v>
      </c>
      <c r="E352">
        <v>9</v>
      </c>
      <c r="F352">
        <v>1</v>
      </c>
      <c r="G352">
        <v>3230</v>
      </c>
    </row>
    <row r="353" spans="1:7">
      <c r="A353" t="s">
        <v>533</v>
      </c>
      <c r="B353" t="s">
        <v>534</v>
      </c>
      <c r="C353" t="s">
        <v>335</v>
      </c>
      <c r="D353">
        <v>72.900000000000006</v>
      </c>
      <c r="E353">
        <v>11</v>
      </c>
      <c r="F353">
        <v>1</v>
      </c>
      <c r="G353">
        <v>5828</v>
      </c>
    </row>
    <row r="354" spans="1:7">
      <c r="A354" t="s">
        <v>533</v>
      </c>
      <c r="B354" t="s">
        <v>534</v>
      </c>
      <c r="C354" t="s">
        <v>352</v>
      </c>
      <c r="D354">
        <v>419.4</v>
      </c>
      <c r="E354">
        <v>11</v>
      </c>
      <c r="F354">
        <v>4</v>
      </c>
      <c r="G354">
        <v>4358</v>
      </c>
    </row>
    <row r="355" spans="1:7">
      <c r="A355" t="s">
        <v>533</v>
      </c>
      <c r="B355" t="s">
        <v>534</v>
      </c>
      <c r="C355" t="s">
        <v>371</v>
      </c>
      <c r="D355">
        <v>116.7</v>
      </c>
      <c r="E355">
        <v>12</v>
      </c>
      <c r="F355">
        <v>3</v>
      </c>
      <c r="G355">
        <v>4516</v>
      </c>
    </row>
    <row r="356" spans="1:7">
      <c r="A356" t="s">
        <v>533</v>
      </c>
      <c r="B356" t="s">
        <v>534</v>
      </c>
      <c r="C356" t="s">
        <v>388</v>
      </c>
      <c r="D356">
        <v>120</v>
      </c>
      <c r="E356">
        <v>12</v>
      </c>
      <c r="F356">
        <v>3</v>
      </c>
      <c r="G356">
        <v>7152</v>
      </c>
    </row>
    <row r="357" spans="1:7">
      <c r="A357" t="s">
        <v>533</v>
      </c>
      <c r="B357" t="s">
        <v>534</v>
      </c>
      <c r="C357" t="s">
        <v>407</v>
      </c>
      <c r="D357">
        <v>53.1</v>
      </c>
      <c r="E357">
        <v>9</v>
      </c>
      <c r="F357">
        <v>1</v>
      </c>
      <c r="G357">
        <v>7776</v>
      </c>
    </row>
    <row r="358" spans="1:7">
      <c r="A358" t="s">
        <v>533</v>
      </c>
      <c r="B358" t="s">
        <v>534</v>
      </c>
      <c r="C358" t="s">
        <v>426</v>
      </c>
      <c r="D358">
        <v>46.3</v>
      </c>
      <c r="E358">
        <v>9</v>
      </c>
      <c r="F358">
        <v>2</v>
      </c>
      <c r="G358">
        <v>9606</v>
      </c>
    </row>
    <row r="359" spans="1:7">
      <c r="A359" t="s">
        <v>533</v>
      </c>
      <c r="B359" t="s">
        <v>534</v>
      </c>
      <c r="C359" t="s">
        <v>445</v>
      </c>
      <c r="D359">
        <v>316.5</v>
      </c>
      <c r="E359">
        <v>11</v>
      </c>
      <c r="F359">
        <v>3</v>
      </c>
      <c r="G359">
        <v>5318</v>
      </c>
    </row>
    <row r="360" spans="1:7">
      <c r="A360" t="s">
        <v>533</v>
      </c>
      <c r="B360" t="s">
        <v>534</v>
      </c>
      <c r="C360" t="s">
        <v>464</v>
      </c>
      <c r="D360">
        <v>181</v>
      </c>
      <c r="E360">
        <v>6</v>
      </c>
      <c r="F360">
        <v>2</v>
      </c>
      <c r="G360">
        <v>4300</v>
      </c>
    </row>
    <row r="361" spans="1:7">
      <c r="A361" t="s">
        <v>533</v>
      </c>
      <c r="B361" t="s">
        <v>534</v>
      </c>
      <c r="C361" t="s">
        <v>483</v>
      </c>
      <c r="D361">
        <v>32.6</v>
      </c>
      <c r="E361">
        <v>5</v>
      </c>
      <c r="F361">
        <v>0</v>
      </c>
      <c r="G361">
        <v>7715</v>
      </c>
    </row>
    <row r="362" spans="1:7">
      <c r="A362" t="s">
        <v>535</v>
      </c>
      <c r="B362" t="s">
        <v>536</v>
      </c>
      <c r="C362" t="s">
        <v>42</v>
      </c>
      <c r="D362">
        <v>546.70000000000005</v>
      </c>
      <c r="E362">
        <v>10</v>
      </c>
      <c r="F362">
        <v>4</v>
      </c>
      <c r="G362">
        <v>2782</v>
      </c>
    </row>
    <row r="363" spans="1:7">
      <c r="A363" t="s">
        <v>535</v>
      </c>
      <c r="B363" t="s">
        <v>536</v>
      </c>
      <c r="C363" t="s">
        <v>85</v>
      </c>
      <c r="D363">
        <v>273.60000000000002</v>
      </c>
      <c r="E363">
        <v>10</v>
      </c>
      <c r="F363">
        <v>6</v>
      </c>
      <c r="G363">
        <v>2469</v>
      </c>
    </row>
    <row r="364" spans="1:7">
      <c r="A364" t="s">
        <v>535</v>
      </c>
      <c r="B364" t="s">
        <v>536</v>
      </c>
      <c r="C364" t="s">
        <v>104</v>
      </c>
      <c r="D364">
        <v>133.30000000000001</v>
      </c>
      <c r="E364">
        <v>10</v>
      </c>
      <c r="F364">
        <v>1</v>
      </c>
      <c r="G364">
        <v>6230</v>
      </c>
    </row>
    <row r="365" spans="1:7">
      <c r="A365" t="s">
        <v>535</v>
      </c>
      <c r="B365" t="s">
        <v>536</v>
      </c>
      <c r="C365" t="s">
        <v>124</v>
      </c>
      <c r="D365">
        <v>159.30000000000001</v>
      </c>
      <c r="E365">
        <v>11</v>
      </c>
      <c r="F365">
        <v>4</v>
      </c>
      <c r="G365">
        <v>6755</v>
      </c>
    </row>
    <row r="366" spans="1:7">
      <c r="A366" t="s">
        <v>535</v>
      </c>
      <c r="B366" t="s">
        <v>536</v>
      </c>
      <c r="C366" t="s">
        <v>142</v>
      </c>
      <c r="D366">
        <v>122.8</v>
      </c>
      <c r="E366">
        <v>12</v>
      </c>
      <c r="F366">
        <v>4</v>
      </c>
      <c r="G366">
        <v>6423</v>
      </c>
    </row>
    <row r="367" spans="1:7">
      <c r="A367" t="s">
        <v>535</v>
      </c>
      <c r="B367" t="s">
        <v>536</v>
      </c>
      <c r="C367" t="s">
        <v>159</v>
      </c>
      <c r="D367">
        <v>116.7</v>
      </c>
      <c r="E367">
        <v>8</v>
      </c>
      <c r="F367">
        <v>0</v>
      </c>
      <c r="G367">
        <v>5796</v>
      </c>
    </row>
    <row r="368" spans="1:7">
      <c r="A368" t="s">
        <v>535</v>
      </c>
      <c r="B368" t="s">
        <v>536</v>
      </c>
      <c r="C368" t="s">
        <v>176</v>
      </c>
      <c r="D368">
        <v>445.1</v>
      </c>
      <c r="E368">
        <v>10</v>
      </c>
      <c r="F368">
        <v>3</v>
      </c>
      <c r="G368">
        <v>1636</v>
      </c>
    </row>
    <row r="369" spans="1:7">
      <c r="A369" t="s">
        <v>535</v>
      </c>
      <c r="B369" t="s">
        <v>536</v>
      </c>
      <c r="C369" t="s">
        <v>195</v>
      </c>
      <c r="D369">
        <v>55.7</v>
      </c>
      <c r="E369">
        <v>8</v>
      </c>
      <c r="F369">
        <v>1</v>
      </c>
      <c r="G369">
        <v>5591</v>
      </c>
    </row>
    <row r="370" spans="1:7">
      <c r="A370" t="s">
        <v>535</v>
      </c>
      <c r="B370" t="s">
        <v>536</v>
      </c>
      <c r="C370" t="s">
        <v>212</v>
      </c>
      <c r="D370">
        <v>64.900000000000006</v>
      </c>
      <c r="E370">
        <v>5</v>
      </c>
      <c r="F370">
        <v>0</v>
      </c>
      <c r="G370">
        <v>3919</v>
      </c>
    </row>
    <row r="371" spans="1:7">
      <c r="A371" t="s">
        <v>535</v>
      </c>
      <c r="B371" t="s">
        <v>536</v>
      </c>
      <c r="C371" t="s">
        <v>229</v>
      </c>
      <c r="D371">
        <v>181.8</v>
      </c>
      <c r="E371">
        <v>8</v>
      </c>
      <c r="F371">
        <v>1</v>
      </c>
      <c r="G371">
        <v>6074</v>
      </c>
    </row>
    <row r="372" spans="1:7">
      <c r="A372" t="s">
        <v>535</v>
      </c>
      <c r="B372" t="s">
        <v>536</v>
      </c>
      <c r="C372" t="s">
        <v>248</v>
      </c>
      <c r="D372">
        <v>59.1</v>
      </c>
      <c r="E372">
        <v>13</v>
      </c>
      <c r="F372">
        <v>1</v>
      </c>
      <c r="G372">
        <v>4926</v>
      </c>
    </row>
    <row r="373" spans="1:7">
      <c r="A373" t="s">
        <v>535</v>
      </c>
      <c r="B373" t="s">
        <v>536</v>
      </c>
      <c r="C373" t="s">
        <v>265</v>
      </c>
      <c r="D373">
        <v>45.3</v>
      </c>
      <c r="E373">
        <v>10</v>
      </c>
      <c r="F373">
        <v>2</v>
      </c>
      <c r="G373">
        <v>5554</v>
      </c>
    </row>
    <row r="374" spans="1:7">
      <c r="A374" t="s">
        <v>535</v>
      </c>
      <c r="B374" t="s">
        <v>536</v>
      </c>
      <c r="C374" t="s">
        <v>282</v>
      </c>
      <c r="D374">
        <v>94.9</v>
      </c>
      <c r="E374">
        <v>10</v>
      </c>
      <c r="F374">
        <v>0</v>
      </c>
      <c r="G374">
        <v>2843</v>
      </c>
    </row>
    <row r="375" spans="1:7">
      <c r="A375" t="s">
        <v>535</v>
      </c>
      <c r="B375" t="s">
        <v>536</v>
      </c>
      <c r="C375" t="s">
        <v>299</v>
      </c>
      <c r="D375">
        <v>99.6</v>
      </c>
      <c r="E375">
        <v>7</v>
      </c>
      <c r="F375">
        <v>1</v>
      </c>
      <c r="G375">
        <v>2608</v>
      </c>
    </row>
    <row r="376" spans="1:7">
      <c r="A376" t="s">
        <v>535</v>
      </c>
      <c r="B376" t="s">
        <v>536</v>
      </c>
      <c r="C376" t="s">
        <v>318</v>
      </c>
      <c r="D376">
        <v>136.9</v>
      </c>
      <c r="E376">
        <v>7</v>
      </c>
      <c r="F376">
        <v>2</v>
      </c>
      <c r="G376">
        <v>1835</v>
      </c>
    </row>
    <row r="377" spans="1:7">
      <c r="A377" t="s">
        <v>535</v>
      </c>
      <c r="B377" t="s">
        <v>536</v>
      </c>
      <c r="C377" t="s">
        <v>335</v>
      </c>
      <c r="D377">
        <v>146.1</v>
      </c>
      <c r="E377">
        <v>8</v>
      </c>
      <c r="F377">
        <v>3</v>
      </c>
      <c r="G377">
        <v>3448</v>
      </c>
    </row>
    <row r="378" spans="1:7">
      <c r="A378" t="s">
        <v>535</v>
      </c>
      <c r="B378" t="s">
        <v>536</v>
      </c>
      <c r="C378" t="s">
        <v>352</v>
      </c>
      <c r="D378">
        <v>290</v>
      </c>
      <c r="E378">
        <v>11</v>
      </c>
      <c r="F378">
        <v>0</v>
      </c>
      <c r="G378">
        <v>2080</v>
      </c>
    </row>
    <row r="379" spans="1:7">
      <c r="A379" t="s">
        <v>535</v>
      </c>
      <c r="B379" t="s">
        <v>536</v>
      </c>
      <c r="C379" t="s">
        <v>371</v>
      </c>
      <c r="D379">
        <v>351</v>
      </c>
      <c r="E379">
        <v>10</v>
      </c>
      <c r="F379">
        <v>4</v>
      </c>
      <c r="G379">
        <v>3229</v>
      </c>
    </row>
    <row r="380" spans="1:7">
      <c r="A380" t="s">
        <v>535</v>
      </c>
      <c r="B380" t="s">
        <v>536</v>
      </c>
      <c r="C380" t="s">
        <v>388</v>
      </c>
      <c r="D380">
        <v>69.2</v>
      </c>
      <c r="E380">
        <v>5</v>
      </c>
      <c r="F380">
        <v>0</v>
      </c>
      <c r="G380">
        <v>4472</v>
      </c>
    </row>
    <row r="381" spans="1:7">
      <c r="A381" t="s">
        <v>535</v>
      </c>
      <c r="B381" t="s">
        <v>536</v>
      </c>
      <c r="C381" t="s">
        <v>407</v>
      </c>
      <c r="D381">
        <v>49.1</v>
      </c>
      <c r="E381">
        <v>12</v>
      </c>
      <c r="F381">
        <v>0</v>
      </c>
      <c r="G381">
        <v>3302</v>
      </c>
    </row>
    <row r="382" spans="1:7">
      <c r="A382" t="s">
        <v>535</v>
      </c>
      <c r="B382" t="s">
        <v>536</v>
      </c>
      <c r="C382" t="s">
        <v>426</v>
      </c>
      <c r="D382">
        <v>36.700000000000003</v>
      </c>
      <c r="E382">
        <v>5</v>
      </c>
      <c r="F382">
        <v>0</v>
      </c>
      <c r="G382">
        <v>5211</v>
      </c>
    </row>
    <row r="383" spans="1:7">
      <c r="A383" t="s">
        <v>535</v>
      </c>
      <c r="B383" t="s">
        <v>536</v>
      </c>
      <c r="C383" t="s">
        <v>445</v>
      </c>
      <c r="D383">
        <v>266.3</v>
      </c>
      <c r="E383">
        <v>12</v>
      </c>
      <c r="F383">
        <v>4</v>
      </c>
      <c r="G383">
        <v>3543</v>
      </c>
    </row>
    <row r="384" spans="1:7">
      <c r="A384" t="s">
        <v>535</v>
      </c>
      <c r="B384" t="s">
        <v>536</v>
      </c>
      <c r="C384" t="s">
        <v>464</v>
      </c>
      <c r="D384">
        <v>113.7</v>
      </c>
      <c r="E384">
        <v>11</v>
      </c>
      <c r="F384">
        <v>2</v>
      </c>
      <c r="G384">
        <v>2752</v>
      </c>
    </row>
    <row r="385" spans="1:7">
      <c r="A385" t="s">
        <v>535</v>
      </c>
      <c r="B385" t="s">
        <v>536</v>
      </c>
      <c r="C385" t="s">
        <v>483</v>
      </c>
      <c r="D385">
        <v>41</v>
      </c>
      <c r="E385">
        <v>9</v>
      </c>
      <c r="F385">
        <v>3</v>
      </c>
      <c r="G385">
        <v>3761</v>
      </c>
    </row>
    <row r="386" spans="1:7">
      <c r="A386" t="s">
        <v>537</v>
      </c>
      <c r="B386" t="s">
        <v>538</v>
      </c>
      <c r="C386" t="s">
        <v>42</v>
      </c>
      <c r="D386">
        <v>685.4</v>
      </c>
      <c r="E386">
        <v>10</v>
      </c>
      <c r="F386">
        <v>4</v>
      </c>
      <c r="G386">
        <v>1418</v>
      </c>
    </row>
    <row r="387" spans="1:7">
      <c r="A387" t="s">
        <v>537</v>
      </c>
      <c r="B387" t="s">
        <v>538</v>
      </c>
      <c r="C387" t="s">
        <v>85</v>
      </c>
      <c r="D387">
        <v>268.60000000000002</v>
      </c>
      <c r="E387">
        <v>18</v>
      </c>
      <c r="F387">
        <v>2</v>
      </c>
      <c r="G387">
        <v>1044</v>
      </c>
    </row>
    <row r="388" spans="1:7">
      <c r="A388" t="s">
        <v>537</v>
      </c>
      <c r="B388" t="s">
        <v>538</v>
      </c>
      <c r="C388" t="s">
        <v>104</v>
      </c>
      <c r="D388">
        <v>95.8</v>
      </c>
      <c r="E388">
        <v>17</v>
      </c>
      <c r="F388">
        <v>0</v>
      </c>
      <c r="G388">
        <v>2724</v>
      </c>
    </row>
    <row r="389" spans="1:7">
      <c r="A389" t="s">
        <v>537</v>
      </c>
      <c r="B389" t="s">
        <v>538</v>
      </c>
      <c r="C389" t="s">
        <v>124</v>
      </c>
      <c r="D389">
        <v>176.9</v>
      </c>
      <c r="E389">
        <v>19</v>
      </c>
      <c r="F389">
        <v>0</v>
      </c>
      <c r="G389">
        <v>3191</v>
      </c>
    </row>
    <row r="390" spans="1:7">
      <c r="A390" t="s">
        <v>537</v>
      </c>
      <c r="B390" t="s">
        <v>538</v>
      </c>
      <c r="C390" t="s">
        <v>142</v>
      </c>
      <c r="D390">
        <v>77.400000000000006</v>
      </c>
      <c r="E390">
        <v>16</v>
      </c>
      <c r="F390">
        <v>0</v>
      </c>
      <c r="G390">
        <v>2912</v>
      </c>
    </row>
    <row r="391" spans="1:7">
      <c r="A391" t="s">
        <v>537</v>
      </c>
      <c r="B391" t="s">
        <v>538</v>
      </c>
      <c r="C391" t="s">
        <v>159</v>
      </c>
      <c r="D391">
        <v>44.5</v>
      </c>
      <c r="E391">
        <v>18</v>
      </c>
      <c r="F391">
        <v>1</v>
      </c>
      <c r="G391">
        <v>2740</v>
      </c>
    </row>
    <row r="392" spans="1:7">
      <c r="A392" t="s">
        <v>537</v>
      </c>
      <c r="B392" t="s">
        <v>538</v>
      </c>
      <c r="C392" t="s">
        <v>176</v>
      </c>
      <c r="D392">
        <v>356.9</v>
      </c>
      <c r="E392">
        <v>16</v>
      </c>
      <c r="F392">
        <v>2</v>
      </c>
      <c r="G392">
        <v>846</v>
      </c>
    </row>
    <row r="393" spans="1:7">
      <c r="A393" t="s">
        <v>537</v>
      </c>
      <c r="B393" t="s">
        <v>538</v>
      </c>
      <c r="C393" t="s">
        <v>195</v>
      </c>
      <c r="D393">
        <v>60.2</v>
      </c>
      <c r="E393">
        <v>15</v>
      </c>
      <c r="F393">
        <v>0</v>
      </c>
      <c r="G393">
        <v>2541</v>
      </c>
    </row>
    <row r="394" spans="1:7">
      <c r="A394" t="s">
        <v>537</v>
      </c>
      <c r="B394" t="s">
        <v>538</v>
      </c>
      <c r="C394" t="s">
        <v>212</v>
      </c>
      <c r="D394">
        <v>73</v>
      </c>
      <c r="E394">
        <v>10</v>
      </c>
      <c r="F394">
        <v>1</v>
      </c>
      <c r="G394">
        <v>1968</v>
      </c>
    </row>
    <row r="395" spans="1:7">
      <c r="A395" t="s">
        <v>537</v>
      </c>
      <c r="B395" t="s">
        <v>538</v>
      </c>
      <c r="C395" t="s">
        <v>229</v>
      </c>
      <c r="D395">
        <v>54.9</v>
      </c>
      <c r="E395">
        <v>17</v>
      </c>
      <c r="F395">
        <v>0</v>
      </c>
      <c r="G395">
        <v>2214</v>
      </c>
    </row>
    <row r="396" spans="1:7">
      <c r="A396" t="s">
        <v>537</v>
      </c>
      <c r="B396" t="s">
        <v>538</v>
      </c>
      <c r="C396" t="s">
        <v>248</v>
      </c>
      <c r="D396">
        <v>55.3</v>
      </c>
      <c r="E396">
        <v>21</v>
      </c>
      <c r="F396">
        <v>0</v>
      </c>
      <c r="G396">
        <v>2493</v>
      </c>
    </row>
    <row r="397" spans="1:7">
      <c r="A397" t="s">
        <v>537</v>
      </c>
      <c r="B397" t="s">
        <v>538</v>
      </c>
      <c r="C397" t="s">
        <v>265</v>
      </c>
      <c r="D397">
        <v>19.399999999999999</v>
      </c>
      <c r="E397">
        <v>17</v>
      </c>
      <c r="F397">
        <v>1</v>
      </c>
      <c r="G397">
        <v>3021</v>
      </c>
    </row>
    <row r="398" spans="1:7">
      <c r="A398" t="s">
        <v>537</v>
      </c>
      <c r="B398" t="s">
        <v>538</v>
      </c>
      <c r="C398" t="s">
        <v>282</v>
      </c>
      <c r="D398">
        <v>114.8</v>
      </c>
      <c r="E398">
        <v>10</v>
      </c>
      <c r="F398">
        <v>0</v>
      </c>
      <c r="G398">
        <v>1597</v>
      </c>
    </row>
    <row r="399" spans="1:7">
      <c r="A399" t="s">
        <v>537</v>
      </c>
      <c r="B399" t="s">
        <v>538</v>
      </c>
      <c r="C399" t="s">
        <v>299</v>
      </c>
      <c r="D399">
        <v>94</v>
      </c>
      <c r="E399">
        <v>14</v>
      </c>
      <c r="F399">
        <v>0</v>
      </c>
      <c r="G399">
        <v>1274</v>
      </c>
    </row>
    <row r="400" spans="1:7">
      <c r="A400" t="s">
        <v>537</v>
      </c>
      <c r="B400" t="s">
        <v>538</v>
      </c>
      <c r="C400" t="s">
        <v>318</v>
      </c>
      <c r="D400">
        <v>202.3</v>
      </c>
      <c r="E400">
        <v>13</v>
      </c>
      <c r="F400">
        <v>2</v>
      </c>
      <c r="G400">
        <v>1110</v>
      </c>
    </row>
    <row r="401" spans="1:7">
      <c r="A401" t="s">
        <v>537</v>
      </c>
      <c r="B401" t="s">
        <v>538</v>
      </c>
      <c r="C401" t="s">
        <v>335</v>
      </c>
      <c r="D401">
        <v>84.2</v>
      </c>
      <c r="E401">
        <v>16</v>
      </c>
      <c r="F401">
        <v>3</v>
      </c>
      <c r="G401">
        <v>1494</v>
      </c>
    </row>
    <row r="402" spans="1:7">
      <c r="A402" t="s">
        <v>537</v>
      </c>
      <c r="B402" t="s">
        <v>538</v>
      </c>
      <c r="C402" t="s">
        <v>352</v>
      </c>
      <c r="D402">
        <v>297.39999999999998</v>
      </c>
      <c r="E402">
        <v>19</v>
      </c>
      <c r="F402">
        <v>4</v>
      </c>
      <c r="G402">
        <v>903</v>
      </c>
    </row>
    <row r="403" spans="1:7">
      <c r="A403" t="s">
        <v>537</v>
      </c>
      <c r="B403" t="s">
        <v>538</v>
      </c>
      <c r="C403" t="s">
        <v>371</v>
      </c>
      <c r="D403">
        <v>242.6</v>
      </c>
      <c r="E403">
        <v>20</v>
      </c>
      <c r="F403">
        <v>3</v>
      </c>
      <c r="G403">
        <v>1569</v>
      </c>
    </row>
    <row r="404" spans="1:7">
      <c r="A404" t="s">
        <v>537</v>
      </c>
      <c r="B404" t="s">
        <v>538</v>
      </c>
      <c r="C404" t="s">
        <v>388</v>
      </c>
      <c r="D404">
        <v>57.9</v>
      </c>
      <c r="E404">
        <v>14</v>
      </c>
      <c r="F404">
        <v>1</v>
      </c>
      <c r="G404">
        <v>2148</v>
      </c>
    </row>
    <row r="405" spans="1:7">
      <c r="A405" t="s">
        <v>537</v>
      </c>
      <c r="B405" t="s">
        <v>538</v>
      </c>
      <c r="C405" t="s">
        <v>407</v>
      </c>
      <c r="D405">
        <v>32.799999999999997</v>
      </c>
      <c r="E405">
        <v>16</v>
      </c>
      <c r="F405">
        <v>0</v>
      </c>
      <c r="G405">
        <v>2188</v>
      </c>
    </row>
    <row r="406" spans="1:7">
      <c r="A406" t="s">
        <v>537</v>
      </c>
      <c r="B406" t="s">
        <v>538</v>
      </c>
      <c r="C406" t="s">
        <v>426</v>
      </c>
      <c r="D406">
        <v>35.9</v>
      </c>
      <c r="E406">
        <v>12</v>
      </c>
      <c r="F406">
        <v>1</v>
      </c>
      <c r="G406">
        <v>2472</v>
      </c>
    </row>
    <row r="407" spans="1:7">
      <c r="A407" t="s">
        <v>537</v>
      </c>
      <c r="B407" t="s">
        <v>538</v>
      </c>
      <c r="C407" t="s">
        <v>445</v>
      </c>
      <c r="D407">
        <v>312.60000000000002</v>
      </c>
      <c r="E407">
        <v>16</v>
      </c>
      <c r="F407">
        <v>3</v>
      </c>
      <c r="G407">
        <v>2076</v>
      </c>
    </row>
    <row r="408" spans="1:7">
      <c r="A408" t="s">
        <v>537</v>
      </c>
      <c r="B408" t="s">
        <v>538</v>
      </c>
      <c r="C408" t="s">
        <v>464</v>
      </c>
      <c r="D408">
        <v>165</v>
      </c>
      <c r="E408">
        <v>19</v>
      </c>
      <c r="F408">
        <v>0</v>
      </c>
      <c r="G408">
        <v>1601</v>
      </c>
    </row>
    <row r="409" spans="1:7">
      <c r="A409" t="s">
        <v>537</v>
      </c>
      <c r="B409" t="s">
        <v>538</v>
      </c>
      <c r="C409" t="s">
        <v>483</v>
      </c>
      <c r="D409">
        <v>37.200000000000003</v>
      </c>
      <c r="E409">
        <v>21</v>
      </c>
      <c r="F409">
        <v>0</v>
      </c>
      <c r="G409">
        <v>1928</v>
      </c>
    </row>
    <row r="410" spans="1:7">
      <c r="A410" t="s">
        <v>539</v>
      </c>
      <c r="B410" t="s">
        <v>540</v>
      </c>
      <c r="C410" t="s">
        <v>42</v>
      </c>
      <c r="D410">
        <v>622.4</v>
      </c>
      <c r="E410">
        <v>15</v>
      </c>
      <c r="F410">
        <v>5</v>
      </c>
      <c r="G410">
        <v>1268</v>
      </c>
    </row>
    <row r="411" spans="1:7">
      <c r="A411" t="s">
        <v>539</v>
      </c>
      <c r="B411" t="s">
        <v>540</v>
      </c>
      <c r="C411" t="s">
        <v>85</v>
      </c>
      <c r="D411">
        <v>211.1</v>
      </c>
      <c r="E411">
        <v>19</v>
      </c>
      <c r="F411">
        <v>2</v>
      </c>
      <c r="G411">
        <v>968</v>
      </c>
    </row>
    <row r="412" spans="1:7">
      <c r="A412" t="s">
        <v>539</v>
      </c>
      <c r="B412" t="s">
        <v>540</v>
      </c>
      <c r="C412" t="s">
        <v>104</v>
      </c>
      <c r="D412">
        <v>60.9</v>
      </c>
      <c r="E412">
        <v>19</v>
      </c>
      <c r="F412">
        <v>0</v>
      </c>
      <c r="G412">
        <v>2996</v>
      </c>
    </row>
    <row r="413" spans="1:7">
      <c r="A413" t="s">
        <v>539</v>
      </c>
      <c r="B413" t="s">
        <v>540</v>
      </c>
      <c r="C413" t="s">
        <v>124</v>
      </c>
      <c r="D413">
        <v>127.6</v>
      </c>
      <c r="E413">
        <v>18</v>
      </c>
      <c r="F413">
        <v>1</v>
      </c>
      <c r="G413">
        <v>3685</v>
      </c>
    </row>
    <row r="414" spans="1:7">
      <c r="A414" t="s">
        <v>539</v>
      </c>
      <c r="B414" t="s">
        <v>540</v>
      </c>
      <c r="C414" t="s">
        <v>142</v>
      </c>
      <c r="D414">
        <v>82.6</v>
      </c>
      <c r="E414">
        <v>15</v>
      </c>
      <c r="F414">
        <v>0</v>
      </c>
      <c r="G414">
        <v>3365</v>
      </c>
    </row>
    <row r="415" spans="1:7">
      <c r="A415" t="s">
        <v>539</v>
      </c>
      <c r="B415" t="s">
        <v>540</v>
      </c>
      <c r="C415" t="s">
        <v>159</v>
      </c>
      <c r="D415">
        <v>54.5</v>
      </c>
      <c r="E415">
        <v>14</v>
      </c>
      <c r="F415">
        <v>0</v>
      </c>
      <c r="G415">
        <v>2197</v>
      </c>
    </row>
    <row r="416" spans="1:7">
      <c r="A416" t="s">
        <v>539</v>
      </c>
      <c r="B416" t="s">
        <v>540</v>
      </c>
      <c r="C416" t="s">
        <v>176</v>
      </c>
      <c r="D416">
        <v>606.6</v>
      </c>
      <c r="E416">
        <v>10</v>
      </c>
      <c r="F416">
        <v>6</v>
      </c>
      <c r="G416">
        <v>913</v>
      </c>
    </row>
    <row r="417" spans="1:7">
      <c r="A417" t="s">
        <v>539</v>
      </c>
      <c r="B417" t="s">
        <v>540</v>
      </c>
      <c r="C417" t="s">
        <v>195</v>
      </c>
      <c r="D417">
        <v>123.1</v>
      </c>
      <c r="E417">
        <v>14</v>
      </c>
      <c r="F417">
        <v>1</v>
      </c>
      <c r="G417">
        <v>2852</v>
      </c>
    </row>
    <row r="418" spans="1:7">
      <c r="A418" t="s">
        <v>539</v>
      </c>
      <c r="B418" t="s">
        <v>540</v>
      </c>
      <c r="C418" t="s">
        <v>212</v>
      </c>
      <c r="D418">
        <v>78.7</v>
      </c>
      <c r="E418">
        <v>13</v>
      </c>
      <c r="F418">
        <v>1</v>
      </c>
      <c r="G418">
        <v>1890</v>
      </c>
    </row>
    <row r="419" spans="1:7">
      <c r="A419" t="s">
        <v>539</v>
      </c>
      <c r="B419" t="s">
        <v>540</v>
      </c>
      <c r="C419" t="s">
        <v>229</v>
      </c>
      <c r="D419">
        <v>54.4</v>
      </c>
      <c r="E419">
        <v>15</v>
      </c>
      <c r="F419">
        <v>0</v>
      </c>
      <c r="G419">
        <v>2001</v>
      </c>
    </row>
    <row r="420" spans="1:7">
      <c r="A420" t="s">
        <v>539</v>
      </c>
      <c r="B420" t="s">
        <v>540</v>
      </c>
      <c r="C420" t="s">
        <v>248</v>
      </c>
      <c r="D420">
        <v>56.2</v>
      </c>
      <c r="E420">
        <v>19</v>
      </c>
      <c r="F420">
        <v>0</v>
      </c>
      <c r="G420">
        <v>1884</v>
      </c>
    </row>
    <row r="421" spans="1:7">
      <c r="A421" t="s">
        <v>539</v>
      </c>
      <c r="B421" t="s">
        <v>540</v>
      </c>
      <c r="C421" t="s">
        <v>265</v>
      </c>
      <c r="D421">
        <v>18.7</v>
      </c>
      <c r="E421">
        <v>19</v>
      </c>
      <c r="F421">
        <v>0</v>
      </c>
      <c r="G421">
        <v>2967</v>
      </c>
    </row>
    <row r="422" spans="1:7">
      <c r="A422" t="s">
        <v>539</v>
      </c>
      <c r="B422" t="s">
        <v>540</v>
      </c>
      <c r="C422" t="s">
        <v>282</v>
      </c>
      <c r="D422">
        <v>92</v>
      </c>
      <c r="E422">
        <v>12</v>
      </c>
      <c r="F422">
        <v>0</v>
      </c>
      <c r="G422">
        <v>1545</v>
      </c>
    </row>
    <row r="423" spans="1:7">
      <c r="A423" t="s">
        <v>539</v>
      </c>
      <c r="B423" t="s">
        <v>540</v>
      </c>
      <c r="C423" t="s">
        <v>299</v>
      </c>
      <c r="D423">
        <v>99.3</v>
      </c>
      <c r="E423">
        <v>18</v>
      </c>
      <c r="F423">
        <v>0</v>
      </c>
      <c r="G423">
        <v>1434</v>
      </c>
    </row>
    <row r="424" spans="1:7">
      <c r="A424" t="s">
        <v>539</v>
      </c>
      <c r="B424" t="s">
        <v>540</v>
      </c>
      <c r="C424" t="s">
        <v>318</v>
      </c>
      <c r="D424">
        <v>203.3</v>
      </c>
      <c r="E424">
        <v>18</v>
      </c>
      <c r="F424">
        <v>1</v>
      </c>
      <c r="G424">
        <v>833</v>
      </c>
    </row>
    <row r="425" spans="1:7">
      <c r="A425" t="s">
        <v>539</v>
      </c>
      <c r="B425" t="s">
        <v>540</v>
      </c>
      <c r="C425" t="s">
        <v>335</v>
      </c>
      <c r="D425">
        <v>64.099999999999994</v>
      </c>
      <c r="E425">
        <v>14</v>
      </c>
      <c r="F425">
        <v>0</v>
      </c>
      <c r="G425">
        <v>1648</v>
      </c>
    </row>
    <row r="426" spans="1:7">
      <c r="A426" t="s">
        <v>539</v>
      </c>
      <c r="B426" t="s">
        <v>540</v>
      </c>
      <c r="C426" t="s">
        <v>352</v>
      </c>
      <c r="D426">
        <v>278.5</v>
      </c>
      <c r="E426">
        <v>23</v>
      </c>
      <c r="F426">
        <v>0</v>
      </c>
      <c r="G426">
        <v>1012</v>
      </c>
    </row>
    <row r="427" spans="1:7">
      <c r="A427" t="s">
        <v>539</v>
      </c>
      <c r="B427" t="s">
        <v>540</v>
      </c>
      <c r="C427" t="s">
        <v>371</v>
      </c>
      <c r="D427">
        <v>212.9</v>
      </c>
      <c r="E427">
        <v>14</v>
      </c>
      <c r="F427">
        <v>2</v>
      </c>
      <c r="G427">
        <v>1115</v>
      </c>
    </row>
    <row r="428" spans="1:7">
      <c r="A428" t="s">
        <v>539</v>
      </c>
      <c r="B428" t="s">
        <v>540</v>
      </c>
      <c r="C428" t="s">
        <v>388</v>
      </c>
      <c r="D428">
        <v>62.3</v>
      </c>
      <c r="E428">
        <v>22</v>
      </c>
      <c r="F428">
        <v>0</v>
      </c>
      <c r="G428">
        <v>2130</v>
      </c>
    </row>
    <row r="429" spans="1:7">
      <c r="A429" t="s">
        <v>539</v>
      </c>
      <c r="B429" t="s">
        <v>540</v>
      </c>
      <c r="C429" t="s">
        <v>407</v>
      </c>
      <c r="D429">
        <v>38.9</v>
      </c>
      <c r="E429">
        <v>15</v>
      </c>
      <c r="F429">
        <v>0</v>
      </c>
      <c r="G429">
        <v>1506</v>
      </c>
    </row>
    <row r="430" spans="1:7">
      <c r="A430" t="s">
        <v>539</v>
      </c>
      <c r="B430" t="s">
        <v>540</v>
      </c>
      <c r="C430" t="s">
        <v>426</v>
      </c>
      <c r="D430">
        <v>24.9</v>
      </c>
      <c r="E430">
        <v>17</v>
      </c>
      <c r="F430">
        <v>0</v>
      </c>
      <c r="G430">
        <v>2555</v>
      </c>
    </row>
    <row r="431" spans="1:7">
      <c r="A431" t="s">
        <v>539</v>
      </c>
      <c r="B431" t="s">
        <v>540</v>
      </c>
      <c r="C431" t="s">
        <v>445</v>
      </c>
      <c r="D431">
        <v>337.5</v>
      </c>
      <c r="E431">
        <v>14</v>
      </c>
      <c r="F431">
        <v>3</v>
      </c>
      <c r="G431">
        <v>1476</v>
      </c>
    </row>
    <row r="432" spans="1:7">
      <c r="A432" t="s">
        <v>539</v>
      </c>
      <c r="B432" t="s">
        <v>540</v>
      </c>
      <c r="C432" t="s">
        <v>464</v>
      </c>
      <c r="D432">
        <v>189.2</v>
      </c>
      <c r="E432">
        <v>11</v>
      </c>
      <c r="F432">
        <v>0</v>
      </c>
      <c r="G432">
        <v>1557</v>
      </c>
    </row>
    <row r="433" spans="1:7">
      <c r="A433" t="s">
        <v>539</v>
      </c>
      <c r="B433" t="s">
        <v>540</v>
      </c>
      <c r="C433" t="s">
        <v>483</v>
      </c>
      <c r="D433">
        <v>41.9</v>
      </c>
      <c r="E433">
        <v>18</v>
      </c>
      <c r="F433">
        <v>0</v>
      </c>
      <c r="G433">
        <v>1868</v>
      </c>
    </row>
    <row r="434" spans="1:7">
      <c r="A434" t="s">
        <v>541</v>
      </c>
      <c r="B434" t="s">
        <v>542</v>
      </c>
      <c r="C434" t="s">
        <v>42</v>
      </c>
      <c r="D434">
        <v>356.2</v>
      </c>
      <c r="E434">
        <v>5</v>
      </c>
      <c r="F434">
        <v>5</v>
      </c>
      <c r="G434">
        <v>4360</v>
      </c>
    </row>
    <row r="435" spans="1:7">
      <c r="A435" t="s">
        <v>541</v>
      </c>
      <c r="B435" t="s">
        <v>542</v>
      </c>
      <c r="C435" t="s">
        <v>85</v>
      </c>
      <c r="D435">
        <v>324.7</v>
      </c>
      <c r="E435">
        <v>3</v>
      </c>
      <c r="F435">
        <v>4</v>
      </c>
      <c r="G435">
        <v>4257</v>
      </c>
    </row>
    <row r="436" spans="1:7">
      <c r="A436" t="s">
        <v>541</v>
      </c>
      <c r="B436" t="s">
        <v>542</v>
      </c>
      <c r="C436" t="s">
        <v>104</v>
      </c>
      <c r="D436">
        <v>180</v>
      </c>
      <c r="E436">
        <v>6</v>
      </c>
      <c r="F436">
        <v>1</v>
      </c>
      <c r="G436">
        <v>10984</v>
      </c>
    </row>
    <row r="437" spans="1:7">
      <c r="A437" t="s">
        <v>541</v>
      </c>
      <c r="B437" t="s">
        <v>542</v>
      </c>
      <c r="C437" t="s">
        <v>124</v>
      </c>
      <c r="D437">
        <v>182.7</v>
      </c>
      <c r="E437">
        <v>8</v>
      </c>
      <c r="F437">
        <v>3</v>
      </c>
      <c r="G437">
        <v>10907</v>
      </c>
    </row>
    <row r="438" spans="1:7">
      <c r="A438" t="s">
        <v>541</v>
      </c>
      <c r="B438" t="s">
        <v>542</v>
      </c>
      <c r="C438" t="s">
        <v>142</v>
      </c>
      <c r="D438">
        <v>108.8</v>
      </c>
      <c r="E438">
        <v>5</v>
      </c>
      <c r="F438">
        <v>1</v>
      </c>
      <c r="G438">
        <v>11775</v>
      </c>
    </row>
    <row r="439" spans="1:7">
      <c r="A439" t="s">
        <v>541</v>
      </c>
      <c r="B439" t="s">
        <v>542</v>
      </c>
      <c r="C439" t="s">
        <v>159</v>
      </c>
      <c r="D439">
        <v>157.1</v>
      </c>
      <c r="E439">
        <v>6</v>
      </c>
      <c r="F439">
        <v>1</v>
      </c>
      <c r="G439">
        <v>9482</v>
      </c>
    </row>
    <row r="440" spans="1:7">
      <c r="A440" t="s">
        <v>541</v>
      </c>
      <c r="B440" t="s">
        <v>542</v>
      </c>
      <c r="C440" t="s">
        <v>176</v>
      </c>
      <c r="D440">
        <v>342.1</v>
      </c>
      <c r="E440">
        <v>4</v>
      </c>
      <c r="F440">
        <v>6</v>
      </c>
      <c r="G440">
        <v>3751</v>
      </c>
    </row>
    <row r="441" spans="1:7">
      <c r="A441" t="s">
        <v>541</v>
      </c>
      <c r="B441" t="s">
        <v>542</v>
      </c>
      <c r="C441" t="s">
        <v>195</v>
      </c>
      <c r="D441">
        <v>147.19999999999999</v>
      </c>
      <c r="E441">
        <v>9</v>
      </c>
      <c r="F441">
        <v>1</v>
      </c>
      <c r="G441">
        <v>9171</v>
      </c>
    </row>
    <row r="442" spans="1:7">
      <c r="A442" t="s">
        <v>541</v>
      </c>
      <c r="B442" t="s">
        <v>542</v>
      </c>
      <c r="C442" t="s">
        <v>212</v>
      </c>
      <c r="D442">
        <v>91.5</v>
      </c>
      <c r="E442">
        <v>3</v>
      </c>
      <c r="F442">
        <v>0</v>
      </c>
      <c r="G442">
        <v>6543</v>
      </c>
    </row>
    <row r="443" spans="1:7">
      <c r="A443" t="s">
        <v>541</v>
      </c>
      <c r="B443" t="s">
        <v>542</v>
      </c>
      <c r="C443" t="s">
        <v>229</v>
      </c>
      <c r="D443">
        <v>252.7</v>
      </c>
      <c r="E443">
        <v>6</v>
      </c>
      <c r="F443">
        <v>2</v>
      </c>
      <c r="G443">
        <v>10175</v>
      </c>
    </row>
    <row r="444" spans="1:7">
      <c r="A444" t="s">
        <v>541</v>
      </c>
      <c r="B444" t="s">
        <v>542</v>
      </c>
      <c r="C444" t="s">
        <v>248</v>
      </c>
      <c r="D444">
        <v>95</v>
      </c>
      <c r="E444">
        <v>10</v>
      </c>
      <c r="F444">
        <v>1</v>
      </c>
      <c r="G444">
        <v>8820</v>
      </c>
    </row>
    <row r="445" spans="1:7">
      <c r="A445" t="s">
        <v>541</v>
      </c>
      <c r="B445" t="s">
        <v>542</v>
      </c>
      <c r="C445" t="s">
        <v>265</v>
      </c>
      <c r="D445">
        <v>32.5</v>
      </c>
      <c r="E445">
        <v>9</v>
      </c>
      <c r="F445">
        <v>2</v>
      </c>
      <c r="G445">
        <v>12295</v>
      </c>
    </row>
    <row r="446" spans="1:7">
      <c r="A446" t="s">
        <v>541</v>
      </c>
      <c r="B446" t="s">
        <v>542</v>
      </c>
      <c r="C446" t="s">
        <v>282</v>
      </c>
      <c r="D446">
        <v>72.599999999999994</v>
      </c>
      <c r="E446">
        <v>5</v>
      </c>
      <c r="F446">
        <v>0</v>
      </c>
      <c r="G446">
        <v>6166</v>
      </c>
    </row>
    <row r="447" spans="1:7">
      <c r="A447" t="s">
        <v>541</v>
      </c>
      <c r="B447" t="s">
        <v>542</v>
      </c>
      <c r="C447" t="s">
        <v>299</v>
      </c>
      <c r="D447">
        <v>43.8</v>
      </c>
      <c r="E447">
        <v>5</v>
      </c>
      <c r="F447">
        <v>0</v>
      </c>
      <c r="G447">
        <v>4869</v>
      </c>
    </row>
    <row r="448" spans="1:7">
      <c r="A448" t="s">
        <v>541</v>
      </c>
      <c r="B448" t="s">
        <v>542</v>
      </c>
      <c r="C448" t="s">
        <v>318</v>
      </c>
      <c r="D448">
        <v>145.1</v>
      </c>
      <c r="E448">
        <v>6</v>
      </c>
      <c r="F448">
        <v>4</v>
      </c>
      <c r="G448">
        <v>3232</v>
      </c>
    </row>
    <row r="449" spans="1:7">
      <c r="A449" t="s">
        <v>541</v>
      </c>
      <c r="B449" t="s">
        <v>542</v>
      </c>
      <c r="C449" t="s">
        <v>335</v>
      </c>
      <c r="D449">
        <v>84</v>
      </c>
      <c r="E449">
        <v>6</v>
      </c>
      <c r="F449">
        <v>0</v>
      </c>
      <c r="G449">
        <v>6120</v>
      </c>
    </row>
    <row r="450" spans="1:7">
      <c r="A450" t="s">
        <v>541</v>
      </c>
      <c r="B450" t="s">
        <v>542</v>
      </c>
      <c r="C450" t="s">
        <v>352</v>
      </c>
      <c r="D450">
        <v>351</v>
      </c>
      <c r="E450">
        <v>4</v>
      </c>
      <c r="F450">
        <v>2</v>
      </c>
      <c r="G450">
        <v>3715</v>
      </c>
    </row>
    <row r="451" spans="1:7">
      <c r="A451" t="s">
        <v>541</v>
      </c>
      <c r="B451" t="s">
        <v>542</v>
      </c>
      <c r="C451" t="s">
        <v>371</v>
      </c>
      <c r="D451">
        <v>290.39999999999998</v>
      </c>
      <c r="E451">
        <v>4</v>
      </c>
      <c r="F451">
        <v>3</v>
      </c>
      <c r="G451">
        <v>5334</v>
      </c>
    </row>
    <row r="452" spans="1:7">
      <c r="A452" t="s">
        <v>541</v>
      </c>
      <c r="B452" t="s">
        <v>542</v>
      </c>
      <c r="C452" t="s">
        <v>388</v>
      </c>
      <c r="D452">
        <v>83.5</v>
      </c>
      <c r="E452">
        <v>5</v>
      </c>
      <c r="F452">
        <v>1</v>
      </c>
      <c r="G452">
        <v>7695</v>
      </c>
    </row>
    <row r="453" spans="1:7">
      <c r="A453" t="s">
        <v>541</v>
      </c>
      <c r="B453" t="s">
        <v>542</v>
      </c>
      <c r="C453" t="s">
        <v>407</v>
      </c>
      <c r="D453">
        <v>55.8</v>
      </c>
      <c r="E453">
        <v>2</v>
      </c>
      <c r="F453">
        <v>1</v>
      </c>
      <c r="G453">
        <v>7525</v>
      </c>
    </row>
    <row r="454" spans="1:7">
      <c r="A454" t="s">
        <v>541</v>
      </c>
      <c r="B454" t="s">
        <v>542</v>
      </c>
      <c r="C454" t="s">
        <v>426</v>
      </c>
      <c r="D454">
        <v>45.3</v>
      </c>
      <c r="E454">
        <v>8</v>
      </c>
      <c r="F454">
        <v>0</v>
      </c>
      <c r="G454">
        <v>7887</v>
      </c>
    </row>
    <row r="455" spans="1:7">
      <c r="A455" t="s">
        <v>541</v>
      </c>
      <c r="B455" t="s">
        <v>542</v>
      </c>
      <c r="C455" t="s">
        <v>445</v>
      </c>
      <c r="D455">
        <v>198.5</v>
      </c>
      <c r="E455">
        <v>4</v>
      </c>
      <c r="F455">
        <v>3</v>
      </c>
      <c r="G455">
        <v>6320</v>
      </c>
    </row>
    <row r="456" spans="1:7">
      <c r="A456" t="s">
        <v>541</v>
      </c>
      <c r="B456" t="s">
        <v>542</v>
      </c>
      <c r="C456" t="s">
        <v>464</v>
      </c>
      <c r="D456">
        <v>231.3</v>
      </c>
      <c r="E456">
        <v>6</v>
      </c>
      <c r="F456">
        <v>4</v>
      </c>
      <c r="G456">
        <v>4761</v>
      </c>
    </row>
    <row r="457" spans="1:7">
      <c r="A457" t="s">
        <v>541</v>
      </c>
      <c r="B457" t="s">
        <v>542</v>
      </c>
      <c r="C457" t="s">
        <v>483</v>
      </c>
      <c r="D457">
        <v>25</v>
      </c>
      <c r="E457">
        <v>8</v>
      </c>
      <c r="F457">
        <v>2</v>
      </c>
      <c r="G457">
        <v>8266</v>
      </c>
    </row>
    <row r="458" spans="1:7">
      <c r="A458" t="s">
        <v>543</v>
      </c>
      <c r="B458" t="s">
        <v>544</v>
      </c>
      <c r="C458" t="s">
        <v>42</v>
      </c>
      <c r="D458">
        <v>305.8</v>
      </c>
      <c r="E458">
        <v>5</v>
      </c>
      <c r="F458">
        <v>5</v>
      </c>
      <c r="G458">
        <v>4451</v>
      </c>
    </row>
    <row r="459" spans="1:7">
      <c r="A459" t="s">
        <v>543</v>
      </c>
      <c r="B459" t="s">
        <v>544</v>
      </c>
      <c r="C459" t="s">
        <v>85</v>
      </c>
      <c r="D459">
        <v>292.10000000000002</v>
      </c>
      <c r="E459">
        <v>4</v>
      </c>
      <c r="F459">
        <v>5</v>
      </c>
      <c r="G459">
        <v>3321</v>
      </c>
    </row>
    <row r="460" spans="1:7">
      <c r="A460" t="s">
        <v>543</v>
      </c>
      <c r="B460" t="s">
        <v>544</v>
      </c>
      <c r="C460" t="s">
        <v>104</v>
      </c>
      <c r="D460">
        <v>187.3</v>
      </c>
      <c r="E460">
        <v>7</v>
      </c>
      <c r="F460">
        <v>3</v>
      </c>
      <c r="G460">
        <v>9390</v>
      </c>
    </row>
    <row r="461" spans="1:7">
      <c r="A461" t="s">
        <v>543</v>
      </c>
      <c r="B461" t="s">
        <v>544</v>
      </c>
      <c r="C461" t="s">
        <v>124</v>
      </c>
      <c r="D461">
        <v>111.9</v>
      </c>
      <c r="E461">
        <v>6</v>
      </c>
      <c r="F461">
        <v>4</v>
      </c>
      <c r="G461">
        <v>9781</v>
      </c>
    </row>
    <row r="462" spans="1:7">
      <c r="A462" t="s">
        <v>543</v>
      </c>
      <c r="B462" t="s">
        <v>544</v>
      </c>
      <c r="C462" t="s">
        <v>142</v>
      </c>
      <c r="D462">
        <v>89</v>
      </c>
      <c r="E462">
        <v>7</v>
      </c>
      <c r="F462">
        <v>2</v>
      </c>
      <c r="G462">
        <v>8269</v>
      </c>
    </row>
    <row r="463" spans="1:7">
      <c r="A463" t="s">
        <v>543</v>
      </c>
      <c r="B463" t="s">
        <v>544</v>
      </c>
      <c r="C463" t="s">
        <v>159</v>
      </c>
      <c r="D463">
        <v>137.80000000000001</v>
      </c>
      <c r="E463">
        <v>2</v>
      </c>
      <c r="F463">
        <v>2</v>
      </c>
      <c r="G463">
        <v>7693</v>
      </c>
    </row>
    <row r="464" spans="1:7">
      <c r="A464" t="s">
        <v>543</v>
      </c>
      <c r="B464" t="s">
        <v>544</v>
      </c>
      <c r="C464" t="s">
        <v>176</v>
      </c>
      <c r="D464">
        <v>357.3</v>
      </c>
      <c r="E464">
        <v>5</v>
      </c>
      <c r="F464">
        <v>4</v>
      </c>
      <c r="G464">
        <v>3077</v>
      </c>
    </row>
    <row r="465" spans="1:7">
      <c r="A465" t="s">
        <v>543</v>
      </c>
      <c r="B465" t="s">
        <v>544</v>
      </c>
      <c r="C465" t="s">
        <v>195</v>
      </c>
      <c r="D465">
        <v>106.8</v>
      </c>
      <c r="E465">
        <v>7</v>
      </c>
      <c r="F465">
        <v>2</v>
      </c>
      <c r="G465">
        <v>7228</v>
      </c>
    </row>
    <row r="466" spans="1:7">
      <c r="A466" t="s">
        <v>543</v>
      </c>
      <c r="B466" t="s">
        <v>544</v>
      </c>
      <c r="C466" t="s">
        <v>212</v>
      </c>
      <c r="D466">
        <v>107.6</v>
      </c>
      <c r="E466">
        <v>6</v>
      </c>
      <c r="F466">
        <v>2</v>
      </c>
      <c r="G466">
        <v>5403</v>
      </c>
    </row>
    <row r="467" spans="1:7">
      <c r="A467" t="s">
        <v>543</v>
      </c>
      <c r="B467" t="s">
        <v>544</v>
      </c>
      <c r="C467" t="s">
        <v>229</v>
      </c>
      <c r="D467">
        <v>332.1</v>
      </c>
      <c r="E467">
        <v>5</v>
      </c>
      <c r="F467">
        <v>6</v>
      </c>
      <c r="G467">
        <v>8898</v>
      </c>
    </row>
    <row r="468" spans="1:7">
      <c r="A468" t="s">
        <v>543</v>
      </c>
      <c r="B468" t="s">
        <v>544</v>
      </c>
      <c r="C468" t="s">
        <v>248</v>
      </c>
      <c r="D468">
        <v>115.2</v>
      </c>
      <c r="E468">
        <v>7</v>
      </c>
      <c r="F468">
        <v>1</v>
      </c>
      <c r="G468">
        <v>8081</v>
      </c>
    </row>
    <row r="469" spans="1:7">
      <c r="A469" t="s">
        <v>543</v>
      </c>
      <c r="B469" t="s">
        <v>544</v>
      </c>
      <c r="C469" t="s">
        <v>265</v>
      </c>
      <c r="D469">
        <v>37.700000000000003</v>
      </c>
      <c r="E469">
        <v>7</v>
      </c>
      <c r="F469">
        <v>2</v>
      </c>
      <c r="G469">
        <v>9589</v>
      </c>
    </row>
    <row r="470" spans="1:7">
      <c r="A470" t="s">
        <v>543</v>
      </c>
      <c r="B470" t="s">
        <v>544</v>
      </c>
      <c r="C470" t="s">
        <v>282</v>
      </c>
      <c r="D470">
        <v>81.599999999999994</v>
      </c>
      <c r="E470">
        <v>3</v>
      </c>
      <c r="F470">
        <v>0</v>
      </c>
      <c r="G470">
        <v>3680</v>
      </c>
    </row>
    <row r="471" spans="1:7">
      <c r="A471" t="s">
        <v>543</v>
      </c>
      <c r="B471" t="s">
        <v>544</v>
      </c>
      <c r="C471" t="s">
        <v>299</v>
      </c>
      <c r="D471">
        <v>43.3</v>
      </c>
      <c r="E471">
        <v>7</v>
      </c>
      <c r="F471">
        <v>3</v>
      </c>
      <c r="G471">
        <v>3888</v>
      </c>
    </row>
    <row r="472" spans="1:7">
      <c r="A472" t="s">
        <v>543</v>
      </c>
      <c r="B472" t="s">
        <v>544</v>
      </c>
      <c r="C472" t="s">
        <v>318</v>
      </c>
      <c r="D472">
        <v>146</v>
      </c>
      <c r="E472">
        <v>6</v>
      </c>
      <c r="F472">
        <v>1</v>
      </c>
      <c r="G472">
        <v>3337</v>
      </c>
    </row>
    <row r="473" spans="1:7">
      <c r="A473" t="s">
        <v>543</v>
      </c>
      <c r="B473" t="s">
        <v>544</v>
      </c>
      <c r="C473" t="s">
        <v>335</v>
      </c>
      <c r="D473">
        <v>58</v>
      </c>
      <c r="E473">
        <v>5</v>
      </c>
      <c r="F473">
        <v>0</v>
      </c>
      <c r="G473">
        <v>5367</v>
      </c>
    </row>
    <row r="474" spans="1:7">
      <c r="A474" t="s">
        <v>543</v>
      </c>
      <c r="B474" t="s">
        <v>544</v>
      </c>
      <c r="C474" t="s">
        <v>352</v>
      </c>
      <c r="D474">
        <v>261.7</v>
      </c>
      <c r="E474">
        <v>5</v>
      </c>
      <c r="F474">
        <v>5</v>
      </c>
      <c r="G474">
        <v>3028</v>
      </c>
    </row>
    <row r="475" spans="1:7">
      <c r="A475" t="s">
        <v>543</v>
      </c>
      <c r="B475" t="s">
        <v>544</v>
      </c>
      <c r="C475" t="s">
        <v>371</v>
      </c>
      <c r="D475">
        <v>150.1</v>
      </c>
      <c r="E475">
        <v>2</v>
      </c>
      <c r="F475">
        <v>2</v>
      </c>
      <c r="G475">
        <v>4503</v>
      </c>
    </row>
    <row r="476" spans="1:7">
      <c r="A476" t="s">
        <v>543</v>
      </c>
      <c r="B476" t="s">
        <v>544</v>
      </c>
      <c r="C476" t="s">
        <v>388</v>
      </c>
      <c r="D476">
        <v>65.5</v>
      </c>
      <c r="E476">
        <v>5</v>
      </c>
      <c r="F476">
        <v>0</v>
      </c>
      <c r="G476">
        <v>6130</v>
      </c>
    </row>
    <row r="477" spans="1:7">
      <c r="A477" t="s">
        <v>543</v>
      </c>
      <c r="B477" t="s">
        <v>544</v>
      </c>
      <c r="C477" t="s">
        <v>407</v>
      </c>
      <c r="D477">
        <v>50.3</v>
      </c>
      <c r="E477">
        <v>6</v>
      </c>
      <c r="F477">
        <v>2</v>
      </c>
      <c r="G477">
        <v>6358</v>
      </c>
    </row>
    <row r="478" spans="1:7">
      <c r="A478" t="s">
        <v>543</v>
      </c>
      <c r="B478" t="s">
        <v>544</v>
      </c>
      <c r="C478" t="s">
        <v>426</v>
      </c>
      <c r="D478">
        <v>49.7</v>
      </c>
      <c r="E478">
        <v>5</v>
      </c>
      <c r="F478">
        <v>1</v>
      </c>
      <c r="G478">
        <v>8537</v>
      </c>
    </row>
    <row r="479" spans="1:7">
      <c r="A479" t="s">
        <v>543</v>
      </c>
      <c r="B479" t="s">
        <v>544</v>
      </c>
      <c r="C479" t="s">
        <v>445</v>
      </c>
      <c r="D479">
        <v>176.2</v>
      </c>
      <c r="E479">
        <v>5</v>
      </c>
      <c r="F479">
        <v>1</v>
      </c>
      <c r="G479">
        <v>6029</v>
      </c>
    </row>
    <row r="480" spans="1:7">
      <c r="A480" t="s">
        <v>543</v>
      </c>
      <c r="B480" t="s">
        <v>544</v>
      </c>
      <c r="C480" t="s">
        <v>464</v>
      </c>
      <c r="D480">
        <v>227.2</v>
      </c>
      <c r="E480">
        <v>2</v>
      </c>
      <c r="F480">
        <v>5</v>
      </c>
      <c r="G480">
        <v>3004</v>
      </c>
    </row>
    <row r="481" spans="1:7">
      <c r="A481" t="s">
        <v>543</v>
      </c>
      <c r="B481" t="s">
        <v>544</v>
      </c>
      <c r="C481" t="s">
        <v>483</v>
      </c>
      <c r="D481">
        <v>31.7</v>
      </c>
      <c r="E481">
        <v>8</v>
      </c>
      <c r="F481">
        <v>0</v>
      </c>
      <c r="G481">
        <v>5617</v>
      </c>
    </row>
    <row r="482" spans="1:7">
      <c r="A482" t="s">
        <v>545</v>
      </c>
      <c r="B482" t="s">
        <v>546</v>
      </c>
      <c r="C482" t="s">
        <v>42</v>
      </c>
      <c r="D482">
        <v>268.60000000000002</v>
      </c>
      <c r="E482">
        <v>19</v>
      </c>
      <c r="F482">
        <v>0</v>
      </c>
      <c r="G482">
        <v>1415</v>
      </c>
    </row>
    <row r="483" spans="1:7">
      <c r="A483" t="s">
        <v>545</v>
      </c>
      <c r="B483" t="s">
        <v>546</v>
      </c>
      <c r="C483" t="s">
        <v>85</v>
      </c>
      <c r="D483">
        <v>277.5</v>
      </c>
      <c r="E483">
        <v>12</v>
      </c>
      <c r="F483">
        <v>1</v>
      </c>
      <c r="G483">
        <v>984</v>
      </c>
    </row>
    <row r="484" spans="1:7">
      <c r="A484" t="s">
        <v>545</v>
      </c>
      <c r="B484" t="s">
        <v>546</v>
      </c>
      <c r="C484" t="s">
        <v>104</v>
      </c>
      <c r="D484">
        <v>88.4</v>
      </c>
      <c r="E484">
        <v>20</v>
      </c>
      <c r="F484">
        <v>0</v>
      </c>
      <c r="G484">
        <v>2965</v>
      </c>
    </row>
    <row r="485" spans="1:7">
      <c r="A485" t="s">
        <v>545</v>
      </c>
      <c r="B485" t="s">
        <v>546</v>
      </c>
      <c r="C485" t="s">
        <v>124</v>
      </c>
      <c r="D485">
        <v>141.1</v>
      </c>
      <c r="E485">
        <v>22</v>
      </c>
      <c r="F485">
        <v>0</v>
      </c>
      <c r="G485">
        <v>4295</v>
      </c>
    </row>
    <row r="486" spans="1:7">
      <c r="A486" t="s">
        <v>545</v>
      </c>
      <c r="B486" t="s">
        <v>546</v>
      </c>
      <c r="C486" t="s">
        <v>142</v>
      </c>
      <c r="D486">
        <v>84.5</v>
      </c>
      <c r="E486">
        <v>14</v>
      </c>
      <c r="F486">
        <v>0</v>
      </c>
      <c r="G486">
        <v>2976</v>
      </c>
    </row>
    <row r="487" spans="1:7">
      <c r="A487" t="s">
        <v>545</v>
      </c>
      <c r="B487" t="s">
        <v>546</v>
      </c>
      <c r="C487" t="s">
        <v>159</v>
      </c>
      <c r="D487">
        <v>40.799999999999997</v>
      </c>
      <c r="E487">
        <v>16</v>
      </c>
      <c r="F487">
        <v>0</v>
      </c>
      <c r="G487">
        <v>2282</v>
      </c>
    </row>
    <row r="488" spans="1:7">
      <c r="A488" t="s">
        <v>545</v>
      </c>
      <c r="B488" t="s">
        <v>546</v>
      </c>
      <c r="C488" t="s">
        <v>176</v>
      </c>
      <c r="D488">
        <v>357.6</v>
      </c>
      <c r="E488">
        <v>10</v>
      </c>
      <c r="F488">
        <v>2</v>
      </c>
      <c r="G488">
        <v>905</v>
      </c>
    </row>
    <row r="489" spans="1:7">
      <c r="A489" t="s">
        <v>545</v>
      </c>
      <c r="B489" t="s">
        <v>546</v>
      </c>
      <c r="C489" t="s">
        <v>195</v>
      </c>
      <c r="D489">
        <v>60.9</v>
      </c>
      <c r="E489">
        <v>24</v>
      </c>
      <c r="F489">
        <v>1</v>
      </c>
      <c r="G489">
        <v>2671</v>
      </c>
    </row>
    <row r="490" spans="1:7">
      <c r="A490" t="s">
        <v>545</v>
      </c>
      <c r="B490" t="s">
        <v>546</v>
      </c>
      <c r="C490" t="s">
        <v>212</v>
      </c>
      <c r="D490">
        <v>48.9</v>
      </c>
      <c r="E490">
        <v>13</v>
      </c>
      <c r="F490">
        <v>1</v>
      </c>
      <c r="G490">
        <v>1876</v>
      </c>
    </row>
    <row r="491" spans="1:7">
      <c r="A491" t="s">
        <v>545</v>
      </c>
      <c r="B491" t="s">
        <v>546</v>
      </c>
      <c r="C491" t="s">
        <v>229</v>
      </c>
      <c r="D491">
        <v>60.1</v>
      </c>
      <c r="E491">
        <v>14</v>
      </c>
      <c r="F491">
        <v>0</v>
      </c>
      <c r="G491">
        <v>2485</v>
      </c>
    </row>
    <row r="492" spans="1:7">
      <c r="A492" t="s">
        <v>545</v>
      </c>
      <c r="B492" t="s">
        <v>546</v>
      </c>
      <c r="C492" t="s">
        <v>248</v>
      </c>
      <c r="D492">
        <v>56.5</v>
      </c>
      <c r="E492">
        <v>15</v>
      </c>
      <c r="F492">
        <v>0</v>
      </c>
      <c r="G492">
        <v>2436</v>
      </c>
    </row>
    <row r="493" spans="1:7">
      <c r="A493" t="s">
        <v>545</v>
      </c>
      <c r="B493" t="s">
        <v>546</v>
      </c>
      <c r="C493" t="s">
        <v>265</v>
      </c>
      <c r="D493">
        <v>14.2</v>
      </c>
      <c r="E493">
        <v>19</v>
      </c>
      <c r="F493">
        <v>0</v>
      </c>
      <c r="G493">
        <v>3367</v>
      </c>
    </row>
    <row r="494" spans="1:7">
      <c r="A494" t="s">
        <v>545</v>
      </c>
      <c r="B494" t="s">
        <v>546</v>
      </c>
      <c r="C494" t="s">
        <v>282</v>
      </c>
      <c r="D494">
        <v>109.2</v>
      </c>
      <c r="E494">
        <v>18</v>
      </c>
      <c r="F494">
        <v>0</v>
      </c>
      <c r="G494">
        <v>1450</v>
      </c>
    </row>
    <row r="495" spans="1:7">
      <c r="A495" t="s">
        <v>545</v>
      </c>
      <c r="B495" t="s">
        <v>546</v>
      </c>
      <c r="C495" t="s">
        <v>299</v>
      </c>
      <c r="D495">
        <v>111.9</v>
      </c>
      <c r="E495">
        <v>21</v>
      </c>
      <c r="F495">
        <v>0</v>
      </c>
      <c r="G495">
        <v>1687</v>
      </c>
    </row>
    <row r="496" spans="1:7">
      <c r="A496" t="s">
        <v>545</v>
      </c>
      <c r="B496" t="s">
        <v>546</v>
      </c>
      <c r="C496" t="s">
        <v>318</v>
      </c>
      <c r="D496">
        <v>153.6</v>
      </c>
      <c r="E496">
        <v>16</v>
      </c>
      <c r="F496">
        <v>3</v>
      </c>
      <c r="G496">
        <v>1161</v>
      </c>
    </row>
    <row r="497" spans="1:7">
      <c r="A497" t="s">
        <v>545</v>
      </c>
      <c r="B497" t="s">
        <v>546</v>
      </c>
      <c r="C497" t="s">
        <v>335</v>
      </c>
      <c r="D497">
        <v>82.2</v>
      </c>
      <c r="E497">
        <v>14</v>
      </c>
      <c r="F497">
        <v>1</v>
      </c>
      <c r="G497">
        <v>1702</v>
      </c>
    </row>
    <row r="498" spans="1:7">
      <c r="A498" t="s">
        <v>545</v>
      </c>
      <c r="B498" t="s">
        <v>546</v>
      </c>
      <c r="C498" t="s">
        <v>352</v>
      </c>
      <c r="D498">
        <v>264.5</v>
      </c>
      <c r="E498">
        <v>15</v>
      </c>
      <c r="F498">
        <v>2</v>
      </c>
      <c r="G498">
        <v>1011</v>
      </c>
    </row>
    <row r="499" spans="1:7">
      <c r="A499" t="s">
        <v>545</v>
      </c>
      <c r="B499" t="s">
        <v>546</v>
      </c>
      <c r="C499" t="s">
        <v>371</v>
      </c>
      <c r="D499">
        <v>224.1</v>
      </c>
      <c r="E499">
        <v>11</v>
      </c>
      <c r="F499">
        <v>2</v>
      </c>
      <c r="G499">
        <v>1699</v>
      </c>
    </row>
    <row r="500" spans="1:7">
      <c r="A500" t="s">
        <v>545</v>
      </c>
      <c r="B500" t="s">
        <v>546</v>
      </c>
      <c r="C500" t="s">
        <v>388</v>
      </c>
      <c r="D500">
        <v>62.3</v>
      </c>
      <c r="E500">
        <v>19</v>
      </c>
      <c r="F500">
        <v>1</v>
      </c>
      <c r="G500">
        <v>2401</v>
      </c>
    </row>
    <row r="501" spans="1:7">
      <c r="A501" t="s">
        <v>545</v>
      </c>
      <c r="B501" t="s">
        <v>546</v>
      </c>
      <c r="C501" t="s">
        <v>407</v>
      </c>
      <c r="D501">
        <v>34.6</v>
      </c>
      <c r="E501">
        <v>15</v>
      </c>
      <c r="F501">
        <v>0</v>
      </c>
      <c r="G501">
        <v>2743</v>
      </c>
    </row>
    <row r="502" spans="1:7">
      <c r="A502" t="s">
        <v>545</v>
      </c>
      <c r="B502" t="s">
        <v>546</v>
      </c>
      <c r="C502" t="s">
        <v>426</v>
      </c>
      <c r="D502">
        <v>20.9</v>
      </c>
      <c r="E502">
        <v>15</v>
      </c>
      <c r="F502">
        <v>1</v>
      </c>
      <c r="G502">
        <v>2879</v>
      </c>
    </row>
    <row r="503" spans="1:7">
      <c r="A503" t="s">
        <v>545</v>
      </c>
      <c r="B503" t="s">
        <v>546</v>
      </c>
      <c r="C503" t="s">
        <v>445</v>
      </c>
      <c r="D503">
        <v>151.80000000000001</v>
      </c>
      <c r="E503">
        <v>19</v>
      </c>
      <c r="F503">
        <v>1</v>
      </c>
      <c r="G503">
        <v>1681</v>
      </c>
    </row>
    <row r="504" spans="1:7">
      <c r="A504" t="s">
        <v>545</v>
      </c>
      <c r="B504" t="s">
        <v>546</v>
      </c>
      <c r="C504" t="s">
        <v>464</v>
      </c>
      <c r="D504">
        <v>193.5</v>
      </c>
      <c r="E504">
        <v>18</v>
      </c>
      <c r="F504">
        <v>0</v>
      </c>
      <c r="G504">
        <v>1702</v>
      </c>
    </row>
    <row r="505" spans="1:7">
      <c r="A505" t="s">
        <v>545</v>
      </c>
      <c r="B505" t="s">
        <v>546</v>
      </c>
      <c r="C505" t="s">
        <v>483</v>
      </c>
      <c r="D505">
        <v>38.9</v>
      </c>
      <c r="E505">
        <v>17</v>
      </c>
      <c r="F505">
        <v>3</v>
      </c>
      <c r="G505">
        <v>2239</v>
      </c>
    </row>
    <row r="506" spans="1:7">
      <c r="A506" t="s">
        <v>547</v>
      </c>
      <c r="B506" t="s">
        <v>548</v>
      </c>
      <c r="C506" t="s">
        <v>42</v>
      </c>
      <c r="D506">
        <v>318.60000000000002</v>
      </c>
      <c r="E506">
        <v>13</v>
      </c>
      <c r="F506">
        <v>3</v>
      </c>
      <c r="G506">
        <v>1449</v>
      </c>
    </row>
    <row r="507" spans="1:7">
      <c r="A507" t="s">
        <v>547</v>
      </c>
      <c r="B507" t="s">
        <v>548</v>
      </c>
      <c r="C507" t="s">
        <v>85</v>
      </c>
      <c r="D507">
        <v>280.7</v>
      </c>
      <c r="E507">
        <v>13</v>
      </c>
      <c r="F507">
        <v>2</v>
      </c>
      <c r="G507">
        <v>1201</v>
      </c>
    </row>
    <row r="508" spans="1:7">
      <c r="A508" t="s">
        <v>547</v>
      </c>
      <c r="B508" t="s">
        <v>548</v>
      </c>
      <c r="C508" t="s">
        <v>104</v>
      </c>
      <c r="D508">
        <v>62.2</v>
      </c>
      <c r="E508">
        <v>13</v>
      </c>
      <c r="F508">
        <v>1</v>
      </c>
      <c r="G508">
        <v>2561</v>
      </c>
    </row>
    <row r="509" spans="1:7">
      <c r="A509" t="s">
        <v>547</v>
      </c>
      <c r="B509" t="s">
        <v>548</v>
      </c>
      <c r="C509" t="s">
        <v>124</v>
      </c>
      <c r="D509">
        <v>167.4</v>
      </c>
      <c r="E509">
        <v>16</v>
      </c>
      <c r="F509">
        <v>3</v>
      </c>
      <c r="G509">
        <v>3751</v>
      </c>
    </row>
    <row r="510" spans="1:7">
      <c r="A510" t="s">
        <v>547</v>
      </c>
      <c r="B510" t="s">
        <v>548</v>
      </c>
      <c r="C510" t="s">
        <v>142</v>
      </c>
      <c r="D510">
        <v>94.5</v>
      </c>
      <c r="E510">
        <v>16</v>
      </c>
      <c r="F510">
        <v>1</v>
      </c>
      <c r="G510">
        <v>3877</v>
      </c>
    </row>
    <row r="511" spans="1:7">
      <c r="A511" t="s">
        <v>547</v>
      </c>
      <c r="B511" t="s">
        <v>548</v>
      </c>
      <c r="C511" t="s">
        <v>159</v>
      </c>
      <c r="D511">
        <v>46.4</v>
      </c>
      <c r="E511">
        <v>19</v>
      </c>
      <c r="F511">
        <v>0</v>
      </c>
      <c r="G511">
        <v>3295</v>
      </c>
    </row>
    <row r="512" spans="1:7">
      <c r="A512" t="s">
        <v>547</v>
      </c>
      <c r="B512" t="s">
        <v>548</v>
      </c>
      <c r="C512" t="s">
        <v>176</v>
      </c>
      <c r="D512">
        <v>440.4</v>
      </c>
      <c r="E512">
        <v>18</v>
      </c>
      <c r="F512">
        <v>6</v>
      </c>
      <c r="G512">
        <v>1011</v>
      </c>
    </row>
    <row r="513" spans="1:7">
      <c r="A513" t="s">
        <v>547</v>
      </c>
      <c r="B513" t="s">
        <v>548</v>
      </c>
      <c r="C513" t="s">
        <v>195</v>
      </c>
      <c r="D513">
        <v>56.1</v>
      </c>
      <c r="E513">
        <v>14</v>
      </c>
      <c r="F513">
        <v>1</v>
      </c>
      <c r="G513">
        <v>3021</v>
      </c>
    </row>
    <row r="514" spans="1:7">
      <c r="A514" t="s">
        <v>547</v>
      </c>
      <c r="B514" t="s">
        <v>548</v>
      </c>
      <c r="C514" t="s">
        <v>212</v>
      </c>
      <c r="D514">
        <v>66.099999999999994</v>
      </c>
      <c r="E514">
        <v>12</v>
      </c>
      <c r="F514">
        <v>2</v>
      </c>
      <c r="G514">
        <v>2019</v>
      </c>
    </row>
    <row r="515" spans="1:7">
      <c r="A515" t="s">
        <v>547</v>
      </c>
      <c r="B515" t="s">
        <v>548</v>
      </c>
      <c r="C515" t="s">
        <v>229</v>
      </c>
      <c r="D515">
        <v>62.6</v>
      </c>
      <c r="E515">
        <v>26</v>
      </c>
      <c r="F515">
        <v>1</v>
      </c>
      <c r="G515">
        <v>3108</v>
      </c>
    </row>
    <row r="516" spans="1:7">
      <c r="A516" t="s">
        <v>547</v>
      </c>
      <c r="B516" t="s">
        <v>548</v>
      </c>
      <c r="C516" t="s">
        <v>248</v>
      </c>
      <c r="D516">
        <v>50.8</v>
      </c>
      <c r="E516">
        <v>12</v>
      </c>
      <c r="F516">
        <v>0</v>
      </c>
      <c r="G516">
        <v>2438</v>
      </c>
    </row>
    <row r="517" spans="1:7">
      <c r="A517" t="s">
        <v>547</v>
      </c>
      <c r="B517" t="s">
        <v>548</v>
      </c>
      <c r="C517" t="s">
        <v>265</v>
      </c>
      <c r="D517">
        <v>12.7</v>
      </c>
      <c r="E517">
        <v>23</v>
      </c>
      <c r="F517">
        <v>0</v>
      </c>
      <c r="G517">
        <v>3900</v>
      </c>
    </row>
    <row r="518" spans="1:7">
      <c r="A518" t="s">
        <v>547</v>
      </c>
      <c r="B518" t="s">
        <v>548</v>
      </c>
      <c r="C518" t="s">
        <v>282</v>
      </c>
      <c r="D518">
        <v>111.4</v>
      </c>
      <c r="E518">
        <v>15</v>
      </c>
      <c r="F518">
        <v>2</v>
      </c>
      <c r="G518">
        <v>1644</v>
      </c>
    </row>
    <row r="519" spans="1:7">
      <c r="A519" t="s">
        <v>547</v>
      </c>
      <c r="B519" t="s">
        <v>548</v>
      </c>
      <c r="C519" t="s">
        <v>299</v>
      </c>
      <c r="D519">
        <v>119.7</v>
      </c>
      <c r="E519">
        <v>15</v>
      </c>
      <c r="F519">
        <v>0</v>
      </c>
      <c r="G519">
        <v>1461</v>
      </c>
    </row>
    <row r="520" spans="1:7">
      <c r="A520" t="s">
        <v>547</v>
      </c>
      <c r="B520" t="s">
        <v>548</v>
      </c>
      <c r="C520" t="s">
        <v>318</v>
      </c>
      <c r="D520">
        <v>151.6</v>
      </c>
      <c r="E520">
        <v>15</v>
      </c>
      <c r="F520">
        <v>1</v>
      </c>
      <c r="G520">
        <v>1050</v>
      </c>
    </row>
    <row r="521" spans="1:7">
      <c r="A521" t="s">
        <v>547</v>
      </c>
      <c r="B521" t="s">
        <v>548</v>
      </c>
      <c r="C521" t="s">
        <v>335</v>
      </c>
      <c r="D521">
        <v>79.599999999999994</v>
      </c>
      <c r="E521">
        <v>16</v>
      </c>
      <c r="F521">
        <v>0</v>
      </c>
      <c r="G521">
        <v>1741</v>
      </c>
    </row>
    <row r="522" spans="1:7">
      <c r="A522" t="s">
        <v>547</v>
      </c>
      <c r="B522" t="s">
        <v>548</v>
      </c>
      <c r="C522" t="s">
        <v>352</v>
      </c>
      <c r="D522">
        <v>320.2</v>
      </c>
      <c r="E522">
        <v>17</v>
      </c>
      <c r="F522">
        <v>1</v>
      </c>
      <c r="G522">
        <v>1231</v>
      </c>
    </row>
    <row r="523" spans="1:7">
      <c r="A523" t="s">
        <v>547</v>
      </c>
      <c r="B523" t="s">
        <v>548</v>
      </c>
      <c r="C523" t="s">
        <v>371</v>
      </c>
      <c r="D523">
        <v>300.3</v>
      </c>
      <c r="E523">
        <v>18</v>
      </c>
      <c r="F523">
        <v>2</v>
      </c>
      <c r="G523">
        <v>1672</v>
      </c>
    </row>
    <row r="524" spans="1:7">
      <c r="A524" t="s">
        <v>547</v>
      </c>
      <c r="B524" t="s">
        <v>548</v>
      </c>
      <c r="C524" t="s">
        <v>388</v>
      </c>
      <c r="D524">
        <v>54.3</v>
      </c>
      <c r="E524">
        <v>17</v>
      </c>
      <c r="F524">
        <v>1</v>
      </c>
      <c r="G524">
        <v>2711</v>
      </c>
    </row>
    <row r="525" spans="1:7">
      <c r="A525" t="s">
        <v>547</v>
      </c>
      <c r="B525" t="s">
        <v>548</v>
      </c>
      <c r="C525" t="s">
        <v>407</v>
      </c>
      <c r="D525">
        <v>33.700000000000003</v>
      </c>
      <c r="E525">
        <v>18</v>
      </c>
      <c r="F525">
        <v>0</v>
      </c>
      <c r="G525">
        <v>2578</v>
      </c>
    </row>
    <row r="526" spans="1:7">
      <c r="A526" t="s">
        <v>547</v>
      </c>
      <c r="B526" t="s">
        <v>548</v>
      </c>
      <c r="C526" t="s">
        <v>426</v>
      </c>
      <c r="D526">
        <v>25.9</v>
      </c>
      <c r="E526">
        <v>15</v>
      </c>
      <c r="F526">
        <v>0</v>
      </c>
      <c r="G526">
        <v>3650</v>
      </c>
    </row>
    <row r="527" spans="1:7">
      <c r="A527" t="s">
        <v>547</v>
      </c>
      <c r="B527" t="s">
        <v>548</v>
      </c>
      <c r="C527" t="s">
        <v>445</v>
      </c>
      <c r="D527">
        <v>198</v>
      </c>
      <c r="E527">
        <v>10</v>
      </c>
      <c r="F527">
        <v>0</v>
      </c>
      <c r="G527">
        <v>2275</v>
      </c>
    </row>
    <row r="528" spans="1:7">
      <c r="A528" t="s">
        <v>547</v>
      </c>
      <c r="B528" t="s">
        <v>548</v>
      </c>
      <c r="C528" t="s">
        <v>464</v>
      </c>
      <c r="D528">
        <v>153</v>
      </c>
      <c r="E528">
        <v>14</v>
      </c>
      <c r="F528">
        <v>3</v>
      </c>
      <c r="G528">
        <v>1372</v>
      </c>
    </row>
    <row r="529" spans="1:7">
      <c r="A529" t="s">
        <v>547</v>
      </c>
      <c r="B529" t="s">
        <v>548</v>
      </c>
      <c r="C529" t="s">
        <v>483</v>
      </c>
      <c r="D529">
        <v>30.8</v>
      </c>
      <c r="E529">
        <v>18</v>
      </c>
      <c r="F529">
        <v>1</v>
      </c>
      <c r="G529">
        <v>2556</v>
      </c>
    </row>
    <row r="530" spans="1:7">
      <c r="A530" t="s">
        <v>549</v>
      </c>
      <c r="B530" t="s">
        <v>550</v>
      </c>
      <c r="C530" t="s">
        <v>42</v>
      </c>
      <c r="D530">
        <v>407.3</v>
      </c>
      <c r="E530">
        <v>5</v>
      </c>
      <c r="F530">
        <v>6</v>
      </c>
      <c r="G530">
        <v>3888</v>
      </c>
    </row>
    <row r="531" spans="1:7">
      <c r="A531" t="s">
        <v>549</v>
      </c>
      <c r="B531" t="s">
        <v>550</v>
      </c>
      <c r="C531" t="s">
        <v>85</v>
      </c>
      <c r="D531">
        <v>577</v>
      </c>
      <c r="E531">
        <v>5</v>
      </c>
      <c r="F531">
        <v>8</v>
      </c>
      <c r="G531">
        <v>3832</v>
      </c>
    </row>
    <row r="532" spans="1:7">
      <c r="A532" t="s">
        <v>549</v>
      </c>
      <c r="B532" t="s">
        <v>550</v>
      </c>
      <c r="C532" t="s">
        <v>104</v>
      </c>
      <c r="D532">
        <v>244.8</v>
      </c>
      <c r="E532">
        <v>7</v>
      </c>
      <c r="F532">
        <v>2</v>
      </c>
      <c r="G532">
        <v>9994</v>
      </c>
    </row>
    <row r="533" spans="1:7">
      <c r="A533" t="s">
        <v>549</v>
      </c>
      <c r="B533" t="s">
        <v>550</v>
      </c>
      <c r="C533" t="s">
        <v>124</v>
      </c>
      <c r="D533">
        <v>107.5</v>
      </c>
      <c r="E533">
        <v>7</v>
      </c>
      <c r="F533">
        <v>5</v>
      </c>
      <c r="G533">
        <v>10875</v>
      </c>
    </row>
    <row r="534" spans="1:7">
      <c r="A534" t="s">
        <v>549</v>
      </c>
      <c r="B534" t="s">
        <v>550</v>
      </c>
      <c r="C534" t="s">
        <v>142</v>
      </c>
      <c r="D534">
        <v>167.3</v>
      </c>
      <c r="E534">
        <v>8</v>
      </c>
      <c r="F534">
        <v>2</v>
      </c>
      <c r="G534">
        <v>13450</v>
      </c>
    </row>
    <row r="535" spans="1:7">
      <c r="A535" t="s">
        <v>549</v>
      </c>
      <c r="B535" t="s">
        <v>550</v>
      </c>
      <c r="C535" t="s">
        <v>159</v>
      </c>
      <c r="D535">
        <v>160</v>
      </c>
      <c r="E535">
        <v>5</v>
      </c>
      <c r="F535">
        <v>1</v>
      </c>
      <c r="G535">
        <v>8928</v>
      </c>
    </row>
    <row r="536" spans="1:7">
      <c r="A536" t="s">
        <v>549</v>
      </c>
      <c r="B536" t="s">
        <v>550</v>
      </c>
      <c r="C536" t="s">
        <v>176</v>
      </c>
      <c r="D536">
        <v>395.4</v>
      </c>
      <c r="E536">
        <v>6</v>
      </c>
      <c r="F536">
        <v>6</v>
      </c>
      <c r="G536">
        <v>3675</v>
      </c>
    </row>
    <row r="537" spans="1:7">
      <c r="A537" t="s">
        <v>549</v>
      </c>
      <c r="B537" t="s">
        <v>550</v>
      </c>
      <c r="C537" t="s">
        <v>195</v>
      </c>
      <c r="D537">
        <v>110.3</v>
      </c>
      <c r="E537">
        <v>6</v>
      </c>
      <c r="F537">
        <v>5</v>
      </c>
      <c r="G537">
        <v>8689</v>
      </c>
    </row>
    <row r="538" spans="1:7">
      <c r="A538" t="s">
        <v>549</v>
      </c>
      <c r="B538" t="s">
        <v>550</v>
      </c>
      <c r="C538" t="s">
        <v>212</v>
      </c>
      <c r="D538">
        <v>98.5</v>
      </c>
      <c r="E538">
        <v>4</v>
      </c>
      <c r="F538">
        <v>0</v>
      </c>
      <c r="G538">
        <v>7449</v>
      </c>
    </row>
    <row r="539" spans="1:7">
      <c r="A539" t="s">
        <v>549</v>
      </c>
      <c r="B539" t="s">
        <v>550</v>
      </c>
      <c r="C539" t="s">
        <v>229</v>
      </c>
      <c r="D539">
        <v>282.10000000000002</v>
      </c>
      <c r="E539">
        <v>7</v>
      </c>
      <c r="F539">
        <v>4</v>
      </c>
      <c r="G539">
        <v>9191</v>
      </c>
    </row>
    <row r="540" spans="1:7">
      <c r="A540" t="s">
        <v>549</v>
      </c>
      <c r="B540" t="s">
        <v>550</v>
      </c>
      <c r="C540" t="s">
        <v>248</v>
      </c>
      <c r="D540">
        <v>96.1</v>
      </c>
      <c r="E540">
        <v>5</v>
      </c>
      <c r="F540">
        <v>2</v>
      </c>
      <c r="G540">
        <v>8547</v>
      </c>
    </row>
    <row r="541" spans="1:7">
      <c r="A541" t="s">
        <v>549</v>
      </c>
      <c r="B541" t="s">
        <v>550</v>
      </c>
      <c r="C541" t="s">
        <v>265</v>
      </c>
      <c r="D541">
        <v>92.8</v>
      </c>
      <c r="E541">
        <v>5</v>
      </c>
      <c r="F541">
        <v>2</v>
      </c>
      <c r="G541">
        <v>10025</v>
      </c>
    </row>
    <row r="542" spans="1:7">
      <c r="A542" t="s">
        <v>549</v>
      </c>
      <c r="B542" t="s">
        <v>550</v>
      </c>
      <c r="C542" t="s">
        <v>282</v>
      </c>
      <c r="D542">
        <v>82.8</v>
      </c>
      <c r="E542">
        <v>3</v>
      </c>
      <c r="F542">
        <v>3</v>
      </c>
      <c r="G542">
        <v>5146</v>
      </c>
    </row>
    <row r="543" spans="1:7">
      <c r="A543" t="s">
        <v>549</v>
      </c>
      <c r="B543" t="s">
        <v>550</v>
      </c>
      <c r="C543" t="s">
        <v>299</v>
      </c>
      <c r="D543">
        <v>42.4</v>
      </c>
      <c r="E543">
        <v>6</v>
      </c>
      <c r="F543">
        <v>5</v>
      </c>
      <c r="G543">
        <v>4110</v>
      </c>
    </row>
    <row r="544" spans="1:7">
      <c r="A544" t="s">
        <v>549</v>
      </c>
      <c r="B544" t="s">
        <v>550</v>
      </c>
      <c r="C544" t="s">
        <v>318</v>
      </c>
      <c r="D544">
        <v>115.5</v>
      </c>
      <c r="E544">
        <v>4</v>
      </c>
      <c r="F544">
        <v>0</v>
      </c>
      <c r="G544">
        <v>3127</v>
      </c>
    </row>
    <row r="545" spans="1:7">
      <c r="A545" t="s">
        <v>549</v>
      </c>
      <c r="B545" t="s">
        <v>550</v>
      </c>
      <c r="C545" t="s">
        <v>335</v>
      </c>
      <c r="D545">
        <v>76.3</v>
      </c>
      <c r="E545">
        <v>3</v>
      </c>
      <c r="F545">
        <v>1</v>
      </c>
      <c r="G545">
        <v>5632</v>
      </c>
    </row>
    <row r="546" spans="1:7">
      <c r="A546" t="s">
        <v>549</v>
      </c>
      <c r="B546" t="s">
        <v>550</v>
      </c>
      <c r="C546" t="s">
        <v>352</v>
      </c>
      <c r="D546">
        <v>362.9</v>
      </c>
      <c r="E546">
        <v>5</v>
      </c>
      <c r="F546">
        <v>6</v>
      </c>
      <c r="G546">
        <v>3378</v>
      </c>
    </row>
    <row r="547" spans="1:7">
      <c r="A547" t="s">
        <v>549</v>
      </c>
      <c r="B547" t="s">
        <v>550</v>
      </c>
      <c r="C547" t="s">
        <v>371</v>
      </c>
      <c r="D547">
        <v>252.7</v>
      </c>
      <c r="E547">
        <v>5</v>
      </c>
      <c r="F547">
        <v>1</v>
      </c>
      <c r="G547">
        <v>4585</v>
      </c>
    </row>
    <row r="548" spans="1:7">
      <c r="A548" t="s">
        <v>549</v>
      </c>
      <c r="B548" t="s">
        <v>550</v>
      </c>
      <c r="C548" t="s">
        <v>388</v>
      </c>
      <c r="D548">
        <v>63.6</v>
      </c>
      <c r="E548">
        <v>5</v>
      </c>
      <c r="F548">
        <v>1</v>
      </c>
      <c r="G548">
        <v>6990</v>
      </c>
    </row>
    <row r="549" spans="1:7">
      <c r="A549" t="s">
        <v>549</v>
      </c>
      <c r="B549" t="s">
        <v>550</v>
      </c>
      <c r="C549" t="s">
        <v>407</v>
      </c>
      <c r="D549">
        <v>113.8</v>
      </c>
      <c r="E549">
        <v>5</v>
      </c>
      <c r="F549">
        <v>3</v>
      </c>
      <c r="G549">
        <v>6210</v>
      </c>
    </row>
    <row r="550" spans="1:7">
      <c r="A550" t="s">
        <v>549</v>
      </c>
      <c r="B550" t="s">
        <v>550</v>
      </c>
      <c r="C550" t="s">
        <v>426</v>
      </c>
      <c r="D550">
        <v>69</v>
      </c>
      <c r="E550">
        <v>7</v>
      </c>
      <c r="F550">
        <v>1</v>
      </c>
      <c r="G550">
        <v>7305</v>
      </c>
    </row>
    <row r="551" spans="1:7">
      <c r="A551" t="s">
        <v>549</v>
      </c>
      <c r="B551" t="s">
        <v>550</v>
      </c>
      <c r="C551" t="s">
        <v>445</v>
      </c>
      <c r="D551">
        <v>184.6</v>
      </c>
      <c r="E551">
        <v>5</v>
      </c>
      <c r="F551">
        <v>2</v>
      </c>
      <c r="G551">
        <v>5560</v>
      </c>
    </row>
    <row r="552" spans="1:7">
      <c r="A552" t="s">
        <v>549</v>
      </c>
      <c r="B552" t="s">
        <v>550</v>
      </c>
      <c r="C552" t="s">
        <v>464</v>
      </c>
      <c r="D552">
        <v>190.8</v>
      </c>
      <c r="E552">
        <v>4</v>
      </c>
      <c r="F552">
        <v>3</v>
      </c>
      <c r="G552">
        <v>4788</v>
      </c>
    </row>
    <row r="553" spans="1:7">
      <c r="A553" t="s">
        <v>549</v>
      </c>
      <c r="B553" t="s">
        <v>550</v>
      </c>
      <c r="C553" t="s">
        <v>483</v>
      </c>
      <c r="D553">
        <v>41.6</v>
      </c>
      <c r="E553">
        <v>6</v>
      </c>
      <c r="F553">
        <v>0</v>
      </c>
      <c r="G553">
        <v>7387</v>
      </c>
    </row>
    <row r="554" spans="1:7">
      <c r="A554" t="s">
        <v>551</v>
      </c>
      <c r="B554" t="s">
        <v>551</v>
      </c>
      <c r="C554" t="s">
        <v>42</v>
      </c>
      <c r="D554">
        <v>388.1</v>
      </c>
      <c r="E554">
        <v>4</v>
      </c>
      <c r="F554">
        <v>6</v>
      </c>
      <c r="G554">
        <v>4594</v>
      </c>
    </row>
    <row r="555" spans="1:7">
      <c r="A555" t="s">
        <v>551</v>
      </c>
      <c r="B555" t="s">
        <v>551</v>
      </c>
      <c r="C555" t="s">
        <v>85</v>
      </c>
      <c r="D555">
        <v>702.3</v>
      </c>
      <c r="E555">
        <v>7</v>
      </c>
      <c r="F555">
        <v>8</v>
      </c>
      <c r="G555">
        <v>3636</v>
      </c>
    </row>
    <row r="556" spans="1:7">
      <c r="A556" t="s">
        <v>551</v>
      </c>
      <c r="B556" t="s">
        <v>551</v>
      </c>
      <c r="C556" t="s">
        <v>104</v>
      </c>
      <c r="D556">
        <v>224.4</v>
      </c>
      <c r="E556">
        <v>6</v>
      </c>
      <c r="F556">
        <v>2</v>
      </c>
      <c r="G556">
        <v>8688</v>
      </c>
    </row>
    <row r="557" spans="1:7">
      <c r="A557" t="s">
        <v>551</v>
      </c>
      <c r="B557" t="s">
        <v>551</v>
      </c>
      <c r="C557" t="s">
        <v>124</v>
      </c>
      <c r="D557">
        <v>109.6</v>
      </c>
      <c r="E557">
        <v>6</v>
      </c>
      <c r="F557">
        <v>2</v>
      </c>
      <c r="G557">
        <v>10886</v>
      </c>
    </row>
    <row r="558" spans="1:7">
      <c r="A558" t="s">
        <v>551</v>
      </c>
      <c r="B558" t="s">
        <v>551</v>
      </c>
      <c r="C558" t="s">
        <v>142</v>
      </c>
      <c r="D558">
        <v>131.19999999999999</v>
      </c>
      <c r="E558">
        <v>7</v>
      </c>
      <c r="F558">
        <v>2</v>
      </c>
      <c r="G558">
        <v>11431</v>
      </c>
    </row>
    <row r="559" spans="1:7">
      <c r="A559" t="s">
        <v>551</v>
      </c>
      <c r="B559" t="s">
        <v>551</v>
      </c>
      <c r="C559" t="s">
        <v>159</v>
      </c>
      <c r="D559">
        <v>241.2</v>
      </c>
      <c r="E559">
        <v>5</v>
      </c>
      <c r="F559">
        <v>4</v>
      </c>
      <c r="G559">
        <v>8500</v>
      </c>
    </row>
    <row r="560" spans="1:7">
      <c r="A560" t="s">
        <v>551</v>
      </c>
      <c r="B560" t="s">
        <v>551</v>
      </c>
      <c r="C560" t="s">
        <v>176</v>
      </c>
      <c r="D560">
        <v>309.3</v>
      </c>
      <c r="E560">
        <v>7</v>
      </c>
      <c r="F560">
        <v>3</v>
      </c>
      <c r="G560">
        <v>2942</v>
      </c>
    </row>
    <row r="561" spans="1:7">
      <c r="A561" t="s">
        <v>551</v>
      </c>
      <c r="B561" t="s">
        <v>551</v>
      </c>
      <c r="C561" t="s">
        <v>195</v>
      </c>
      <c r="D561">
        <v>111.3</v>
      </c>
      <c r="E561">
        <v>6</v>
      </c>
      <c r="F561">
        <v>0</v>
      </c>
      <c r="G561">
        <v>8297</v>
      </c>
    </row>
    <row r="562" spans="1:7">
      <c r="A562" t="s">
        <v>551</v>
      </c>
      <c r="B562" t="s">
        <v>551</v>
      </c>
      <c r="C562" t="s">
        <v>212</v>
      </c>
      <c r="D562">
        <v>134.5</v>
      </c>
      <c r="E562">
        <v>3</v>
      </c>
      <c r="F562">
        <v>0</v>
      </c>
      <c r="G562">
        <v>7687</v>
      </c>
    </row>
    <row r="563" spans="1:7">
      <c r="A563" t="s">
        <v>551</v>
      </c>
      <c r="B563" t="s">
        <v>551</v>
      </c>
      <c r="C563" t="s">
        <v>229</v>
      </c>
      <c r="D563">
        <v>323.5</v>
      </c>
      <c r="E563">
        <v>6</v>
      </c>
      <c r="F563">
        <v>2</v>
      </c>
      <c r="G563">
        <v>8057</v>
      </c>
    </row>
    <row r="564" spans="1:7">
      <c r="A564" t="s">
        <v>551</v>
      </c>
      <c r="B564" t="s">
        <v>551</v>
      </c>
      <c r="C564" t="s">
        <v>248</v>
      </c>
      <c r="D564">
        <v>109</v>
      </c>
      <c r="E564">
        <v>8</v>
      </c>
      <c r="F564">
        <v>0</v>
      </c>
      <c r="G564">
        <v>8174</v>
      </c>
    </row>
    <row r="565" spans="1:7">
      <c r="A565" t="s">
        <v>551</v>
      </c>
      <c r="B565" t="s">
        <v>551</v>
      </c>
      <c r="C565" t="s">
        <v>265</v>
      </c>
      <c r="D565">
        <v>98</v>
      </c>
      <c r="E565">
        <v>3</v>
      </c>
      <c r="F565">
        <v>3</v>
      </c>
      <c r="G565">
        <v>9852</v>
      </c>
    </row>
    <row r="566" spans="1:7">
      <c r="A566" t="s">
        <v>551</v>
      </c>
      <c r="B566" t="s">
        <v>551</v>
      </c>
      <c r="C566" t="s">
        <v>282</v>
      </c>
      <c r="D566">
        <v>94.9</v>
      </c>
      <c r="E566">
        <v>5</v>
      </c>
      <c r="F566">
        <v>3</v>
      </c>
      <c r="G566">
        <v>5259</v>
      </c>
    </row>
    <row r="567" spans="1:7">
      <c r="A567" t="s">
        <v>551</v>
      </c>
      <c r="B567" t="s">
        <v>551</v>
      </c>
      <c r="C567" t="s">
        <v>299</v>
      </c>
      <c r="D567">
        <v>26.3</v>
      </c>
      <c r="E567">
        <v>3</v>
      </c>
      <c r="F567">
        <v>1</v>
      </c>
      <c r="G567">
        <v>5006</v>
      </c>
    </row>
    <row r="568" spans="1:7">
      <c r="A568" t="s">
        <v>551</v>
      </c>
      <c r="B568" t="s">
        <v>551</v>
      </c>
      <c r="C568" t="s">
        <v>318</v>
      </c>
      <c r="D568">
        <v>140.30000000000001</v>
      </c>
      <c r="E568">
        <v>6</v>
      </c>
      <c r="F568">
        <v>3</v>
      </c>
      <c r="G568">
        <v>3545</v>
      </c>
    </row>
    <row r="569" spans="1:7">
      <c r="A569" t="s">
        <v>551</v>
      </c>
      <c r="B569" t="s">
        <v>551</v>
      </c>
      <c r="C569" t="s">
        <v>335</v>
      </c>
      <c r="D569">
        <v>59.5</v>
      </c>
      <c r="E569">
        <v>4</v>
      </c>
      <c r="F569">
        <v>1</v>
      </c>
      <c r="G569">
        <v>5122</v>
      </c>
    </row>
    <row r="570" spans="1:7">
      <c r="A570" t="s">
        <v>551</v>
      </c>
      <c r="B570" t="s">
        <v>551</v>
      </c>
      <c r="C570" t="s">
        <v>352</v>
      </c>
      <c r="D570">
        <v>371.7</v>
      </c>
      <c r="E570">
        <v>6</v>
      </c>
      <c r="F570">
        <v>5</v>
      </c>
      <c r="G570">
        <v>2591</v>
      </c>
    </row>
    <row r="571" spans="1:7">
      <c r="A571" t="s">
        <v>551</v>
      </c>
      <c r="B571" t="s">
        <v>551</v>
      </c>
      <c r="C571" t="s">
        <v>371</v>
      </c>
      <c r="D571">
        <v>146.69999999999999</v>
      </c>
      <c r="E571">
        <v>7</v>
      </c>
      <c r="F571">
        <v>1</v>
      </c>
      <c r="G571">
        <v>4245</v>
      </c>
    </row>
    <row r="572" spans="1:7">
      <c r="A572" t="s">
        <v>551</v>
      </c>
      <c r="B572" t="s">
        <v>551</v>
      </c>
      <c r="C572" t="s">
        <v>388</v>
      </c>
      <c r="D572">
        <v>102.4</v>
      </c>
      <c r="E572">
        <v>5</v>
      </c>
      <c r="F572">
        <v>3</v>
      </c>
      <c r="G572">
        <v>7825</v>
      </c>
    </row>
    <row r="573" spans="1:7">
      <c r="A573" t="s">
        <v>551</v>
      </c>
      <c r="B573" t="s">
        <v>551</v>
      </c>
      <c r="C573" t="s">
        <v>407</v>
      </c>
      <c r="D573">
        <v>88.8</v>
      </c>
      <c r="E573">
        <v>5</v>
      </c>
      <c r="F573">
        <v>2</v>
      </c>
      <c r="G573">
        <v>9115</v>
      </c>
    </row>
    <row r="574" spans="1:7">
      <c r="A574" t="s">
        <v>551</v>
      </c>
      <c r="B574" t="s">
        <v>551</v>
      </c>
      <c r="C574" t="s">
        <v>426</v>
      </c>
      <c r="D574">
        <v>94.6</v>
      </c>
      <c r="E574">
        <v>4</v>
      </c>
      <c r="F574">
        <v>2</v>
      </c>
      <c r="G574">
        <v>10476</v>
      </c>
    </row>
    <row r="575" spans="1:7">
      <c r="A575" t="s">
        <v>551</v>
      </c>
      <c r="B575" t="s">
        <v>551</v>
      </c>
      <c r="C575" t="s">
        <v>445</v>
      </c>
      <c r="D575">
        <v>230.3</v>
      </c>
      <c r="E575">
        <v>4</v>
      </c>
      <c r="F575">
        <v>5</v>
      </c>
      <c r="G575">
        <v>6944</v>
      </c>
    </row>
    <row r="576" spans="1:7">
      <c r="A576" t="s">
        <v>551</v>
      </c>
      <c r="B576" t="s">
        <v>551</v>
      </c>
      <c r="C576" t="s">
        <v>464</v>
      </c>
      <c r="D576">
        <v>313.89999999999998</v>
      </c>
      <c r="E576">
        <v>4</v>
      </c>
      <c r="F576">
        <v>4</v>
      </c>
      <c r="G576">
        <v>4467</v>
      </c>
    </row>
    <row r="577" spans="1:7">
      <c r="A577" t="s">
        <v>551</v>
      </c>
      <c r="B577" t="s">
        <v>551</v>
      </c>
      <c r="C577" t="s">
        <v>483</v>
      </c>
      <c r="D577">
        <v>32.4</v>
      </c>
      <c r="E577">
        <v>5</v>
      </c>
      <c r="F577">
        <v>0</v>
      </c>
      <c r="G577">
        <v>6921</v>
      </c>
    </row>
    <row r="578" spans="1:7">
      <c r="A578" t="s">
        <v>552</v>
      </c>
      <c r="B578" t="s">
        <v>553</v>
      </c>
      <c r="C578" t="s">
        <v>42</v>
      </c>
      <c r="D578">
        <v>373.4</v>
      </c>
      <c r="E578">
        <v>4</v>
      </c>
      <c r="F578">
        <v>8</v>
      </c>
      <c r="G578">
        <v>3756</v>
      </c>
    </row>
    <row r="579" spans="1:7">
      <c r="A579" t="s">
        <v>552</v>
      </c>
      <c r="B579" t="s">
        <v>553</v>
      </c>
      <c r="C579" t="s">
        <v>85</v>
      </c>
      <c r="D579">
        <v>702.3</v>
      </c>
      <c r="E579">
        <v>5</v>
      </c>
      <c r="F579">
        <v>11</v>
      </c>
      <c r="G579">
        <v>3403</v>
      </c>
    </row>
    <row r="580" spans="1:7">
      <c r="A580" t="s">
        <v>552</v>
      </c>
      <c r="B580" t="s">
        <v>553</v>
      </c>
      <c r="C580" t="s">
        <v>104</v>
      </c>
      <c r="D580">
        <v>278.8</v>
      </c>
      <c r="E580">
        <v>7</v>
      </c>
      <c r="F580">
        <v>4</v>
      </c>
      <c r="G580">
        <v>9682</v>
      </c>
    </row>
    <row r="581" spans="1:7">
      <c r="A581" t="s">
        <v>552</v>
      </c>
      <c r="B581" t="s">
        <v>553</v>
      </c>
      <c r="C581" t="s">
        <v>124</v>
      </c>
      <c r="D581">
        <v>103.1</v>
      </c>
      <c r="E581">
        <v>7</v>
      </c>
      <c r="F581">
        <v>5</v>
      </c>
      <c r="G581">
        <v>10483</v>
      </c>
    </row>
    <row r="582" spans="1:7">
      <c r="A582" t="s">
        <v>552</v>
      </c>
      <c r="B582" t="s">
        <v>553</v>
      </c>
      <c r="C582" t="s">
        <v>142</v>
      </c>
      <c r="D582">
        <v>167.3</v>
      </c>
      <c r="E582">
        <v>8</v>
      </c>
      <c r="F582">
        <v>4</v>
      </c>
      <c r="G582">
        <v>9763</v>
      </c>
    </row>
    <row r="583" spans="1:7">
      <c r="A583" t="s">
        <v>552</v>
      </c>
      <c r="B583" t="s">
        <v>553</v>
      </c>
      <c r="C583" t="s">
        <v>159</v>
      </c>
      <c r="D583">
        <v>116.1</v>
      </c>
      <c r="E583">
        <v>5</v>
      </c>
      <c r="F583">
        <v>0</v>
      </c>
      <c r="G583">
        <v>10227</v>
      </c>
    </row>
    <row r="584" spans="1:7">
      <c r="A584" t="s">
        <v>552</v>
      </c>
      <c r="B584" t="s">
        <v>553</v>
      </c>
      <c r="C584" t="s">
        <v>176</v>
      </c>
      <c r="D584">
        <v>390.4</v>
      </c>
      <c r="E584">
        <v>6</v>
      </c>
      <c r="F584">
        <v>4</v>
      </c>
      <c r="G584">
        <v>2529</v>
      </c>
    </row>
    <row r="585" spans="1:7">
      <c r="A585" t="s">
        <v>552</v>
      </c>
      <c r="B585" t="s">
        <v>553</v>
      </c>
      <c r="C585" t="s">
        <v>195</v>
      </c>
      <c r="D585">
        <v>116.8</v>
      </c>
      <c r="E585">
        <v>6</v>
      </c>
      <c r="F585">
        <v>1</v>
      </c>
      <c r="G585">
        <v>7873</v>
      </c>
    </row>
    <row r="586" spans="1:7">
      <c r="A586" t="s">
        <v>552</v>
      </c>
      <c r="B586" t="s">
        <v>553</v>
      </c>
      <c r="C586" t="s">
        <v>212</v>
      </c>
      <c r="D586">
        <v>172.1</v>
      </c>
      <c r="E586">
        <v>6</v>
      </c>
      <c r="F586">
        <v>4</v>
      </c>
      <c r="G586">
        <v>6913</v>
      </c>
    </row>
    <row r="587" spans="1:7">
      <c r="A587" t="s">
        <v>552</v>
      </c>
      <c r="B587" t="s">
        <v>553</v>
      </c>
      <c r="C587" t="s">
        <v>229</v>
      </c>
      <c r="D587">
        <v>378.9</v>
      </c>
      <c r="E587">
        <v>6</v>
      </c>
      <c r="F587">
        <v>2</v>
      </c>
      <c r="G587">
        <v>7787</v>
      </c>
    </row>
    <row r="588" spans="1:7">
      <c r="A588" t="s">
        <v>552</v>
      </c>
      <c r="B588" t="s">
        <v>553</v>
      </c>
      <c r="C588" t="s">
        <v>248</v>
      </c>
      <c r="D588">
        <v>125.3</v>
      </c>
      <c r="E588">
        <v>5</v>
      </c>
      <c r="F588">
        <v>1</v>
      </c>
      <c r="G588">
        <v>6950</v>
      </c>
    </row>
    <row r="589" spans="1:7">
      <c r="A589" t="s">
        <v>552</v>
      </c>
      <c r="B589" t="s">
        <v>553</v>
      </c>
      <c r="C589" t="s">
        <v>265</v>
      </c>
      <c r="D589">
        <v>50.9</v>
      </c>
      <c r="E589">
        <v>7</v>
      </c>
      <c r="F589">
        <v>2</v>
      </c>
      <c r="G589">
        <v>10922</v>
      </c>
    </row>
    <row r="590" spans="1:7">
      <c r="A590" t="s">
        <v>552</v>
      </c>
      <c r="B590" t="s">
        <v>553</v>
      </c>
      <c r="C590" t="s">
        <v>282</v>
      </c>
      <c r="D590">
        <v>89.5</v>
      </c>
      <c r="E590">
        <v>5</v>
      </c>
      <c r="F590">
        <v>0</v>
      </c>
      <c r="G590">
        <v>3538</v>
      </c>
    </row>
    <row r="591" spans="1:7">
      <c r="A591" t="s">
        <v>552</v>
      </c>
      <c r="B591" t="s">
        <v>553</v>
      </c>
      <c r="C591" t="s">
        <v>299</v>
      </c>
      <c r="D591">
        <v>39.4</v>
      </c>
      <c r="E591">
        <v>5</v>
      </c>
      <c r="F591">
        <v>2</v>
      </c>
      <c r="G591">
        <v>5527</v>
      </c>
    </row>
    <row r="592" spans="1:7">
      <c r="A592" t="s">
        <v>552</v>
      </c>
      <c r="B592" t="s">
        <v>553</v>
      </c>
      <c r="C592" t="s">
        <v>318</v>
      </c>
      <c r="D592">
        <v>167.1</v>
      </c>
      <c r="E592">
        <v>3</v>
      </c>
      <c r="F592">
        <v>2</v>
      </c>
      <c r="G592">
        <v>3479</v>
      </c>
    </row>
    <row r="593" spans="1:7">
      <c r="A593" t="s">
        <v>552</v>
      </c>
      <c r="B593" t="s">
        <v>553</v>
      </c>
      <c r="C593" t="s">
        <v>335</v>
      </c>
      <c r="D593">
        <v>120</v>
      </c>
      <c r="E593">
        <v>6</v>
      </c>
      <c r="F593">
        <v>3</v>
      </c>
      <c r="G593">
        <v>5031</v>
      </c>
    </row>
    <row r="594" spans="1:7">
      <c r="A594" t="s">
        <v>552</v>
      </c>
      <c r="B594" t="s">
        <v>553</v>
      </c>
      <c r="C594" t="s">
        <v>352</v>
      </c>
      <c r="D594">
        <v>291.7</v>
      </c>
      <c r="E594">
        <v>6</v>
      </c>
      <c r="F594">
        <v>2</v>
      </c>
      <c r="G594">
        <v>3215</v>
      </c>
    </row>
    <row r="595" spans="1:7">
      <c r="A595" t="s">
        <v>552</v>
      </c>
      <c r="B595" t="s">
        <v>553</v>
      </c>
      <c r="C595" t="s">
        <v>371</v>
      </c>
      <c r="D595">
        <v>176.7</v>
      </c>
      <c r="E595">
        <v>7</v>
      </c>
      <c r="F595">
        <v>2</v>
      </c>
      <c r="G595">
        <v>3670</v>
      </c>
    </row>
    <row r="596" spans="1:7">
      <c r="A596" t="s">
        <v>552</v>
      </c>
      <c r="B596" t="s">
        <v>553</v>
      </c>
      <c r="C596" t="s">
        <v>388</v>
      </c>
      <c r="D596">
        <v>91.1</v>
      </c>
      <c r="E596">
        <v>4</v>
      </c>
      <c r="F596">
        <v>1</v>
      </c>
      <c r="G596">
        <v>6835</v>
      </c>
    </row>
    <row r="597" spans="1:7">
      <c r="A597" t="s">
        <v>552</v>
      </c>
      <c r="B597" t="s">
        <v>553</v>
      </c>
      <c r="C597" t="s">
        <v>407</v>
      </c>
      <c r="D597">
        <v>52.6</v>
      </c>
      <c r="E597">
        <v>6</v>
      </c>
      <c r="F597">
        <v>0</v>
      </c>
      <c r="G597">
        <v>6093</v>
      </c>
    </row>
    <row r="598" spans="1:7">
      <c r="A598" t="s">
        <v>552</v>
      </c>
      <c r="B598" t="s">
        <v>553</v>
      </c>
      <c r="C598" t="s">
        <v>426</v>
      </c>
      <c r="D598">
        <v>90.4</v>
      </c>
      <c r="E598">
        <v>6</v>
      </c>
      <c r="F598">
        <v>0</v>
      </c>
      <c r="G598">
        <v>9041</v>
      </c>
    </row>
    <row r="599" spans="1:7">
      <c r="A599" t="s">
        <v>552</v>
      </c>
      <c r="B599" t="s">
        <v>553</v>
      </c>
      <c r="C599" t="s">
        <v>445</v>
      </c>
      <c r="D599">
        <v>227.4</v>
      </c>
      <c r="E599">
        <v>4</v>
      </c>
      <c r="F599">
        <v>0</v>
      </c>
      <c r="G599">
        <v>6160</v>
      </c>
    </row>
    <row r="600" spans="1:7">
      <c r="A600" t="s">
        <v>552</v>
      </c>
      <c r="B600" t="s">
        <v>553</v>
      </c>
      <c r="C600" t="s">
        <v>464</v>
      </c>
      <c r="D600">
        <v>159.5</v>
      </c>
      <c r="E600">
        <v>5</v>
      </c>
      <c r="F600">
        <v>1</v>
      </c>
      <c r="G600">
        <v>3697</v>
      </c>
    </row>
    <row r="601" spans="1:7">
      <c r="A601" t="s">
        <v>552</v>
      </c>
      <c r="B601" t="s">
        <v>553</v>
      </c>
      <c r="C601" t="s">
        <v>483</v>
      </c>
      <c r="D601">
        <v>32.6</v>
      </c>
      <c r="E601">
        <v>6</v>
      </c>
      <c r="F601">
        <v>0</v>
      </c>
      <c r="G601">
        <v>7042</v>
      </c>
    </row>
    <row r="602" spans="1:7">
      <c r="A602" t="s">
        <v>554</v>
      </c>
      <c r="B602" t="s">
        <v>555</v>
      </c>
      <c r="C602" t="s">
        <v>42</v>
      </c>
      <c r="D602">
        <v>327.8</v>
      </c>
      <c r="E602">
        <v>6</v>
      </c>
      <c r="F602">
        <v>5</v>
      </c>
      <c r="G602">
        <v>3589</v>
      </c>
    </row>
    <row r="603" spans="1:7">
      <c r="A603" t="s">
        <v>554</v>
      </c>
      <c r="B603" t="s">
        <v>555</v>
      </c>
      <c r="C603" t="s">
        <v>85</v>
      </c>
      <c r="D603">
        <v>497.3</v>
      </c>
      <c r="E603">
        <v>2</v>
      </c>
      <c r="F603">
        <v>7</v>
      </c>
      <c r="G603">
        <v>3280</v>
      </c>
    </row>
    <row r="604" spans="1:7">
      <c r="A604" t="s">
        <v>554</v>
      </c>
      <c r="B604" t="s">
        <v>555</v>
      </c>
      <c r="C604" t="s">
        <v>104</v>
      </c>
      <c r="D604">
        <v>153.30000000000001</v>
      </c>
      <c r="E604">
        <v>6</v>
      </c>
      <c r="F604">
        <v>1</v>
      </c>
      <c r="G604">
        <v>11429</v>
      </c>
    </row>
    <row r="605" spans="1:7">
      <c r="A605" t="s">
        <v>554</v>
      </c>
      <c r="B605" t="s">
        <v>555</v>
      </c>
      <c r="C605" t="s">
        <v>124</v>
      </c>
      <c r="D605">
        <v>82.2</v>
      </c>
      <c r="E605">
        <v>5</v>
      </c>
      <c r="F605">
        <v>3</v>
      </c>
      <c r="G605">
        <v>12956</v>
      </c>
    </row>
    <row r="606" spans="1:7">
      <c r="A606" t="s">
        <v>554</v>
      </c>
      <c r="B606" t="s">
        <v>555</v>
      </c>
      <c r="C606" t="s">
        <v>142</v>
      </c>
      <c r="D606">
        <v>138.80000000000001</v>
      </c>
      <c r="E606">
        <v>6</v>
      </c>
      <c r="F606">
        <v>3</v>
      </c>
      <c r="G606">
        <v>7800</v>
      </c>
    </row>
    <row r="607" spans="1:7">
      <c r="A607" t="s">
        <v>554</v>
      </c>
      <c r="B607" t="s">
        <v>555</v>
      </c>
      <c r="C607" t="s">
        <v>159</v>
      </c>
      <c r="D607">
        <v>126.2</v>
      </c>
      <c r="E607">
        <v>4</v>
      </c>
      <c r="F607">
        <v>4</v>
      </c>
      <c r="G607">
        <v>8569</v>
      </c>
    </row>
    <row r="608" spans="1:7">
      <c r="A608" t="s">
        <v>554</v>
      </c>
      <c r="B608" t="s">
        <v>555</v>
      </c>
      <c r="C608" t="s">
        <v>176</v>
      </c>
      <c r="D608">
        <v>386.2</v>
      </c>
      <c r="E608">
        <v>6</v>
      </c>
      <c r="F608">
        <v>8</v>
      </c>
      <c r="G608">
        <v>2909</v>
      </c>
    </row>
    <row r="609" spans="1:7">
      <c r="A609" t="s">
        <v>554</v>
      </c>
      <c r="B609" t="s">
        <v>555</v>
      </c>
      <c r="C609" t="s">
        <v>195</v>
      </c>
      <c r="D609">
        <v>111.7</v>
      </c>
      <c r="E609">
        <v>9</v>
      </c>
      <c r="F609">
        <v>0</v>
      </c>
      <c r="G609">
        <v>9025</v>
      </c>
    </row>
    <row r="610" spans="1:7">
      <c r="A610" t="s">
        <v>554</v>
      </c>
      <c r="B610" t="s">
        <v>555</v>
      </c>
      <c r="C610" t="s">
        <v>212</v>
      </c>
      <c r="D610">
        <v>93.9</v>
      </c>
      <c r="E610">
        <v>5</v>
      </c>
      <c r="F610">
        <v>1</v>
      </c>
      <c r="G610">
        <v>5859</v>
      </c>
    </row>
    <row r="611" spans="1:7">
      <c r="A611" t="s">
        <v>554</v>
      </c>
      <c r="B611" t="s">
        <v>555</v>
      </c>
      <c r="C611" t="s">
        <v>229</v>
      </c>
      <c r="D611">
        <v>255.5</v>
      </c>
      <c r="E611">
        <v>7</v>
      </c>
      <c r="F611">
        <v>5</v>
      </c>
      <c r="G611">
        <v>8099</v>
      </c>
    </row>
    <row r="612" spans="1:7">
      <c r="A612" t="s">
        <v>554</v>
      </c>
      <c r="B612" t="s">
        <v>555</v>
      </c>
      <c r="C612" t="s">
        <v>248</v>
      </c>
      <c r="D612">
        <v>111.2</v>
      </c>
      <c r="E612">
        <v>7</v>
      </c>
      <c r="F612">
        <v>0</v>
      </c>
      <c r="G612">
        <v>8407</v>
      </c>
    </row>
    <row r="613" spans="1:7">
      <c r="A613" t="s">
        <v>554</v>
      </c>
      <c r="B613" t="s">
        <v>555</v>
      </c>
      <c r="C613" t="s">
        <v>265</v>
      </c>
      <c r="D613">
        <v>45.6</v>
      </c>
      <c r="E613">
        <v>10</v>
      </c>
      <c r="F613">
        <v>0</v>
      </c>
      <c r="G613">
        <v>10022</v>
      </c>
    </row>
    <row r="614" spans="1:7">
      <c r="A614" t="s">
        <v>554</v>
      </c>
      <c r="B614" t="s">
        <v>555</v>
      </c>
      <c r="C614" t="s">
        <v>282</v>
      </c>
      <c r="D614">
        <v>101.8</v>
      </c>
      <c r="E614">
        <v>6</v>
      </c>
      <c r="F614">
        <v>1</v>
      </c>
      <c r="G614">
        <v>4448</v>
      </c>
    </row>
    <row r="615" spans="1:7">
      <c r="A615" t="s">
        <v>554</v>
      </c>
      <c r="B615" t="s">
        <v>555</v>
      </c>
      <c r="C615" t="s">
        <v>299</v>
      </c>
      <c r="D615">
        <v>42</v>
      </c>
      <c r="E615">
        <v>3</v>
      </c>
      <c r="F615">
        <v>0</v>
      </c>
      <c r="G615">
        <v>4853</v>
      </c>
    </row>
    <row r="616" spans="1:7">
      <c r="A616" t="s">
        <v>554</v>
      </c>
      <c r="B616" t="s">
        <v>555</v>
      </c>
      <c r="C616" t="s">
        <v>318</v>
      </c>
      <c r="D616">
        <v>152.5</v>
      </c>
      <c r="E616">
        <v>4</v>
      </c>
      <c r="F616">
        <v>0</v>
      </c>
      <c r="G616">
        <v>2762</v>
      </c>
    </row>
    <row r="617" spans="1:7">
      <c r="A617" t="s">
        <v>554</v>
      </c>
      <c r="B617" t="s">
        <v>555</v>
      </c>
      <c r="C617" t="s">
        <v>335</v>
      </c>
      <c r="D617">
        <v>65.400000000000006</v>
      </c>
      <c r="E617">
        <v>3</v>
      </c>
      <c r="F617">
        <v>1</v>
      </c>
      <c r="G617">
        <v>4760</v>
      </c>
    </row>
    <row r="618" spans="1:7">
      <c r="A618" t="s">
        <v>554</v>
      </c>
      <c r="B618" t="s">
        <v>555</v>
      </c>
      <c r="C618" t="s">
        <v>352</v>
      </c>
      <c r="D618">
        <v>300.3</v>
      </c>
      <c r="E618">
        <v>3</v>
      </c>
      <c r="F618">
        <v>3</v>
      </c>
      <c r="G618">
        <v>3944</v>
      </c>
    </row>
    <row r="619" spans="1:7">
      <c r="A619" t="s">
        <v>554</v>
      </c>
      <c r="B619" t="s">
        <v>555</v>
      </c>
      <c r="C619" t="s">
        <v>371</v>
      </c>
      <c r="D619">
        <v>200.1</v>
      </c>
      <c r="E619">
        <v>5</v>
      </c>
      <c r="F619">
        <v>2</v>
      </c>
      <c r="G619">
        <v>4729</v>
      </c>
    </row>
    <row r="620" spans="1:7">
      <c r="A620" t="s">
        <v>554</v>
      </c>
      <c r="B620" t="s">
        <v>555</v>
      </c>
      <c r="C620" t="s">
        <v>388</v>
      </c>
      <c r="D620">
        <v>88.5</v>
      </c>
      <c r="E620">
        <v>5</v>
      </c>
      <c r="F620">
        <v>0</v>
      </c>
      <c r="G620">
        <v>7159</v>
      </c>
    </row>
    <row r="621" spans="1:7">
      <c r="A621" t="s">
        <v>554</v>
      </c>
      <c r="B621" t="s">
        <v>555</v>
      </c>
      <c r="C621" t="s">
        <v>407</v>
      </c>
      <c r="D621">
        <v>39.700000000000003</v>
      </c>
      <c r="E621">
        <v>5</v>
      </c>
      <c r="F621">
        <v>2</v>
      </c>
      <c r="G621">
        <v>6463</v>
      </c>
    </row>
    <row r="622" spans="1:7">
      <c r="A622" t="s">
        <v>554</v>
      </c>
      <c r="B622" t="s">
        <v>555</v>
      </c>
      <c r="C622" t="s">
        <v>426</v>
      </c>
      <c r="D622">
        <v>108.3</v>
      </c>
      <c r="E622">
        <v>5</v>
      </c>
      <c r="F622">
        <v>2</v>
      </c>
      <c r="G622">
        <v>8646</v>
      </c>
    </row>
    <row r="623" spans="1:7">
      <c r="A623" t="s">
        <v>554</v>
      </c>
      <c r="B623" t="s">
        <v>555</v>
      </c>
      <c r="C623" t="s">
        <v>445</v>
      </c>
      <c r="D623">
        <v>187</v>
      </c>
      <c r="E623">
        <v>4</v>
      </c>
      <c r="F623">
        <v>3</v>
      </c>
      <c r="G623">
        <v>6466</v>
      </c>
    </row>
    <row r="624" spans="1:7">
      <c r="A624" t="s">
        <v>554</v>
      </c>
      <c r="B624" t="s">
        <v>555</v>
      </c>
      <c r="C624" t="s">
        <v>464</v>
      </c>
      <c r="D624">
        <v>259.3</v>
      </c>
      <c r="E624">
        <v>4</v>
      </c>
      <c r="F624">
        <v>5</v>
      </c>
      <c r="G624">
        <v>4018</v>
      </c>
    </row>
    <row r="625" spans="1:7">
      <c r="A625" t="s">
        <v>554</v>
      </c>
      <c r="B625" t="s">
        <v>555</v>
      </c>
      <c r="C625" t="s">
        <v>483</v>
      </c>
      <c r="D625">
        <v>39.6</v>
      </c>
      <c r="E625">
        <v>6</v>
      </c>
      <c r="F625">
        <v>2</v>
      </c>
      <c r="G625">
        <v>8697</v>
      </c>
    </row>
    <row r="626" spans="1:7">
      <c r="A626" t="s">
        <v>556</v>
      </c>
      <c r="B626" t="s">
        <v>557</v>
      </c>
      <c r="C626" t="s">
        <v>42</v>
      </c>
      <c r="D626">
        <v>345.2</v>
      </c>
      <c r="E626">
        <v>2</v>
      </c>
      <c r="F626">
        <v>5</v>
      </c>
      <c r="G626">
        <v>4867</v>
      </c>
    </row>
    <row r="627" spans="1:7">
      <c r="A627" t="s">
        <v>556</v>
      </c>
      <c r="B627" t="s">
        <v>557</v>
      </c>
      <c r="C627" t="s">
        <v>85</v>
      </c>
      <c r="D627">
        <v>624.1</v>
      </c>
      <c r="E627">
        <v>5</v>
      </c>
      <c r="F627">
        <v>12</v>
      </c>
      <c r="G627">
        <v>3945</v>
      </c>
    </row>
    <row r="628" spans="1:7">
      <c r="A628" t="s">
        <v>556</v>
      </c>
      <c r="B628" t="s">
        <v>557</v>
      </c>
      <c r="C628" t="s">
        <v>104</v>
      </c>
      <c r="D628">
        <v>272.2</v>
      </c>
      <c r="E628">
        <v>8</v>
      </c>
      <c r="F628">
        <v>7</v>
      </c>
      <c r="G628">
        <v>10964</v>
      </c>
    </row>
    <row r="629" spans="1:7">
      <c r="A629" t="s">
        <v>556</v>
      </c>
      <c r="B629" t="s">
        <v>557</v>
      </c>
      <c r="C629" t="s">
        <v>124</v>
      </c>
      <c r="D629">
        <v>124.8</v>
      </c>
      <c r="E629">
        <v>6</v>
      </c>
      <c r="F629">
        <v>1</v>
      </c>
      <c r="G629">
        <v>14768</v>
      </c>
    </row>
    <row r="630" spans="1:7">
      <c r="A630" t="s">
        <v>556</v>
      </c>
      <c r="B630" t="s">
        <v>557</v>
      </c>
      <c r="C630" t="s">
        <v>142</v>
      </c>
      <c r="D630">
        <v>161.9</v>
      </c>
      <c r="E630">
        <v>8</v>
      </c>
      <c r="F630">
        <v>3</v>
      </c>
      <c r="G630">
        <v>10360</v>
      </c>
    </row>
    <row r="631" spans="1:7">
      <c r="A631" t="s">
        <v>556</v>
      </c>
      <c r="B631" t="s">
        <v>557</v>
      </c>
      <c r="C631" t="s">
        <v>159</v>
      </c>
      <c r="D631">
        <v>170.3</v>
      </c>
      <c r="E631">
        <v>6</v>
      </c>
      <c r="F631">
        <v>4</v>
      </c>
      <c r="G631">
        <v>8168</v>
      </c>
    </row>
    <row r="632" spans="1:7">
      <c r="A632" t="s">
        <v>556</v>
      </c>
      <c r="B632" t="s">
        <v>557</v>
      </c>
      <c r="C632" t="s">
        <v>176</v>
      </c>
      <c r="D632">
        <v>367.1</v>
      </c>
      <c r="E632">
        <v>7</v>
      </c>
      <c r="F632">
        <v>6</v>
      </c>
      <c r="G632">
        <v>2789</v>
      </c>
    </row>
    <row r="633" spans="1:7">
      <c r="A633" t="s">
        <v>556</v>
      </c>
      <c r="B633" t="s">
        <v>557</v>
      </c>
      <c r="C633" t="s">
        <v>195</v>
      </c>
      <c r="D633">
        <v>151.6</v>
      </c>
      <c r="E633">
        <v>7</v>
      </c>
      <c r="F633">
        <v>2</v>
      </c>
      <c r="G633">
        <v>8486</v>
      </c>
    </row>
    <row r="634" spans="1:7">
      <c r="A634" t="s">
        <v>556</v>
      </c>
      <c r="B634" t="s">
        <v>557</v>
      </c>
      <c r="C634" t="s">
        <v>212</v>
      </c>
      <c r="D634">
        <v>131.4</v>
      </c>
      <c r="E634">
        <v>4</v>
      </c>
      <c r="F634">
        <v>4</v>
      </c>
      <c r="G634">
        <v>7579</v>
      </c>
    </row>
    <row r="635" spans="1:7">
      <c r="A635" t="s">
        <v>556</v>
      </c>
      <c r="B635" t="s">
        <v>557</v>
      </c>
      <c r="C635" t="s">
        <v>229</v>
      </c>
      <c r="D635">
        <v>310.89999999999998</v>
      </c>
      <c r="E635">
        <v>7</v>
      </c>
      <c r="F635">
        <v>5</v>
      </c>
      <c r="G635">
        <v>10108</v>
      </c>
    </row>
    <row r="636" spans="1:7">
      <c r="A636" t="s">
        <v>556</v>
      </c>
      <c r="B636" t="s">
        <v>557</v>
      </c>
      <c r="C636" t="s">
        <v>248</v>
      </c>
      <c r="D636">
        <v>95.8</v>
      </c>
      <c r="E636">
        <v>4</v>
      </c>
      <c r="F636">
        <v>2</v>
      </c>
      <c r="G636">
        <v>9111</v>
      </c>
    </row>
    <row r="637" spans="1:7">
      <c r="A637" t="s">
        <v>556</v>
      </c>
      <c r="B637" t="s">
        <v>557</v>
      </c>
      <c r="C637" t="s">
        <v>265</v>
      </c>
      <c r="D637">
        <v>43.2</v>
      </c>
      <c r="E637">
        <v>7</v>
      </c>
      <c r="F637">
        <v>0</v>
      </c>
      <c r="G637">
        <v>12606</v>
      </c>
    </row>
    <row r="638" spans="1:7">
      <c r="A638" t="s">
        <v>556</v>
      </c>
      <c r="B638" t="s">
        <v>557</v>
      </c>
      <c r="C638" t="s">
        <v>282</v>
      </c>
      <c r="D638">
        <v>89.3</v>
      </c>
      <c r="E638">
        <v>4</v>
      </c>
      <c r="F638">
        <v>1</v>
      </c>
      <c r="G638">
        <v>6369</v>
      </c>
    </row>
    <row r="639" spans="1:7">
      <c r="A639" t="s">
        <v>556</v>
      </c>
      <c r="B639" t="s">
        <v>557</v>
      </c>
      <c r="C639" t="s">
        <v>299</v>
      </c>
      <c r="D639">
        <v>29.2</v>
      </c>
      <c r="E639">
        <v>5</v>
      </c>
      <c r="F639">
        <v>0</v>
      </c>
      <c r="G639">
        <v>5208</v>
      </c>
    </row>
    <row r="640" spans="1:7">
      <c r="A640" t="s">
        <v>556</v>
      </c>
      <c r="B640" t="s">
        <v>557</v>
      </c>
      <c r="C640" t="s">
        <v>318</v>
      </c>
      <c r="D640">
        <v>121.3</v>
      </c>
      <c r="E640">
        <v>2</v>
      </c>
      <c r="F640">
        <v>3</v>
      </c>
      <c r="G640">
        <v>3587</v>
      </c>
    </row>
    <row r="641" spans="1:7">
      <c r="A641" t="s">
        <v>556</v>
      </c>
      <c r="B641" t="s">
        <v>557</v>
      </c>
      <c r="C641" t="s">
        <v>335</v>
      </c>
      <c r="D641">
        <v>57.2</v>
      </c>
      <c r="E641">
        <v>6</v>
      </c>
      <c r="F641">
        <v>3</v>
      </c>
      <c r="G641">
        <v>7010</v>
      </c>
    </row>
    <row r="642" spans="1:7">
      <c r="A642" t="s">
        <v>556</v>
      </c>
      <c r="B642" t="s">
        <v>557</v>
      </c>
      <c r="C642" t="s">
        <v>352</v>
      </c>
      <c r="D642">
        <v>355.9</v>
      </c>
      <c r="E642">
        <v>5</v>
      </c>
      <c r="F642">
        <v>8</v>
      </c>
      <c r="G642">
        <v>4500</v>
      </c>
    </row>
    <row r="643" spans="1:7">
      <c r="A643" t="s">
        <v>556</v>
      </c>
      <c r="B643" t="s">
        <v>557</v>
      </c>
      <c r="C643" t="s">
        <v>371</v>
      </c>
      <c r="D643">
        <v>215.8</v>
      </c>
      <c r="E643">
        <v>3</v>
      </c>
      <c r="F643">
        <v>4</v>
      </c>
      <c r="G643">
        <v>5709</v>
      </c>
    </row>
    <row r="644" spans="1:7">
      <c r="A644" t="s">
        <v>556</v>
      </c>
      <c r="B644" t="s">
        <v>557</v>
      </c>
      <c r="C644" t="s">
        <v>388</v>
      </c>
      <c r="D644">
        <v>62.9</v>
      </c>
      <c r="E644">
        <v>5</v>
      </c>
      <c r="F644">
        <v>4</v>
      </c>
      <c r="G644">
        <v>8390</v>
      </c>
    </row>
    <row r="645" spans="1:7">
      <c r="A645" t="s">
        <v>556</v>
      </c>
      <c r="B645" t="s">
        <v>557</v>
      </c>
      <c r="C645" t="s">
        <v>407</v>
      </c>
      <c r="D645">
        <v>69.599999999999994</v>
      </c>
      <c r="E645">
        <v>5</v>
      </c>
      <c r="F645">
        <v>1</v>
      </c>
      <c r="G645">
        <v>7623</v>
      </c>
    </row>
    <row r="646" spans="1:7">
      <c r="A646" t="s">
        <v>556</v>
      </c>
      <c r="B646" t="s">
        <v>557</v>
      </c>
      <c r="C646" t="s">
        <v>426</v>
      </c>
      <c r="D646">
        <v>71.099999999999994</v>
      </c>
      <c r="E646">
        <v>5</v>
      </c>
      <c r="F646">
        <v>3</v>
      </c>
      <c r="G646">
        <v>11071</v>
      </c>
    </row>
    <row r="647" spans="1:7">
      <c r="A647" t="s">
        <v>556</v>
      </c>
      <c r="B647" t="s">
        <v>557</v>
      </c>
      <c r="C647" t="s">
        <v>445</v>
      </c>
      <c r="D647">
        <v>162.1</v>
      </c>
      <c r="E647">
        <v>6</v>
      </c>
      <c r="F647">
        <v>3</v>
      </c>
      <c r="G647">
        <v>6706</v>
      </c>
    </row>
    <row r="648" spans="1:7">
      <c r="A648" t="s">
        <v>556</v>
      </c>
      <c r="B648" t="s">
        <v>557</v>
      </c>
      <c r="C648" t="s">
        <v>464</v>
      </c>
      <c r="D648">
        <v>223.9</v>
      </c>
      <c r="E648">
        <v>6</v>
      </c>
      <c r="F648">
        <v>4</v>
      </c>
      <c r="G648">
        <v>5559</v>
      </c>
    </row>
    <row r="649" spans="1:7">
      <c r="A649" t="s">
        <v>556</v>
      </c>
      <c r="B649" t="s">
        <v>557</v>
      </c>
      <c r="C649" t="s">
        <v>483</v>
      </c>
      <c r="D649">
        <v>36.799999999999997</v>
      </c>
      <c r="E649">
        <v>7</v>
      </c>
      <c r="F649">
        <v>0</v>
      </c>
      <c r="G649">
        <v>9485</v>
      </c>
    </row>
    <row r="650" spans="1:7">
      <c r="A650" t="s">
        <v>558</v>
      </c>
      <c r="B650" t="s">
        <v>559</v>
      </c>
      <c r="C650" t="s">
        <v>42</v>
      </c>
      <c r="D650">
        <v>379.5</v>
      </c>
      <c r="E650">
        <v>5</v>
      </c>
      <c r="F650">
        <v>3</v>
      </c>
      <c r="G650">
        <v>3768</v>
      </c>
    </row>
    <row r="651" spans="1:7">
      <c r="A651" t="s">
        <v>558</v>
      </c>
      <c r="B651" t="s">
        <v>559</v>
      </c>
      <c r="C651" t="s">
        <v>85</v>
      </c>
      <c r="D651">
        <v>696.3</v>
      </c>
      <c r="E651">
        <v>5</v>
      </c>
      <c r="F651">
        <v>7</v>
      </c>
      <c r="G651">
        <v>4069</v>
      </c>
    </row>
    <row r="652" spans="1:7">
      <c r="A652" t="s">
        <v>558</v>
      </c>
      <c r="B652" t="s">
        <v>559</v>
      </c>
      <c r="C652" t="s">
        <v>104</v>
      </c>
      <c r="D652">
        <v>205.3</v>
      </c>
      <c r="E652">
        <v>8</v>
      </c>
      <c r="F652">
        <v>3</v>
      </c>
      <c r="G652">
        <v>10463</v>
      </c>
    </row>
    <row r="653" spans="1:7">
      <c r="A653" t="s">
        <v>558</v>
      </c>
      <c r="B653" t="s">
        <v>559</v>
      </c>
      <c r="C653" t="s">
        <v>124</v>
      </c>
      <c r="D653">
        <v>130.4</v>
      </c>
      <c r="E653">
        <v>5</v>
      </c>
      <c r="F653">
        <v>0</v>
      </c>
      <c r="G653">
        <v>11626</v>
      </c>
    </row>
    <row r="654" spans="1:7">
      <c r="A654" t="s">
        <v>558</v>
      </c>
      <c r="B654" t="s">
        <v>559</v>
      </c>
      <c r="C654" t="s">
        <v>142</v>
      </c>
      <c r="D654">
        <v>178.5</v>
      </c>
      <c r="E654">
        <v>5</v>
      </c>
      <c r="F654">
        <v>0</v>
      </c>
      <c r="G654">
        <v>11742</v>
      </c>
    </row>
    <row r="655" spans="1:7">
      <c r="A655" t="s">
        <v>558</v>
      </c>
      <c r="B655" t="s">
        <v>559</v>
      </c>
      <c r="C655" t="s">
        <v>159</v>
      </c>
      <c r="D655">
        <v>154.4</v>
      </c>
      <c r="E655">
        <v>4</v>
      </c>
      <c r="F655">
        <v>0</v>
      </c>
      <c r="G655">
        <v>8881</v>
      </c>
    </row>
    <row r="656" spans="1:7">
      <c r="A656" t="s">
        <v>558</v>
      </c>
      <c r="B656" t="s">
        <v>559</v>
      </c>
      <c r="C656" t="s">
        <v>176</v>
      </c>
      <c r="D656">
        <v>379.5</v>
      </c>
      <c r="E656">
        <v>6</v>
      </c>
      <c r="F656">
        <v>4</v>
      </c>
      <c r="G656">
        <v>3960</v>
      </c>
    </row>
    <row r="657" spans="1:7">
      <c r="A657" t="s">
        <v>558</v>
      </c>
      <c r="B657" t="s">
        <v>559</v>
      </c>
      <c r="C657" t="s">
        <v>195</v>
      </c>
      <c r="D657">
        <v>100.4</v>
      </c>
      <c r="E657">
        <v>6</v>
      </c>
      <c r="F657">
        <v>4</v>
      </c>
      <c r="G657">
        <v>8782</v>
      </c>
    </row>
    <row r="658" spans="1:7">
      <c r="A658" t="s">
        <v>558</v>
      </c>
      <c r="B658" t="s">
        <v>559</v>
      </c>
      <c r="C658" t="s">
        <v>212</v>
      </c>
      <c r="D658">
        <v>101.2</v>
      </c>
      <c r="E658">
        <v>4</v>
      </c>
      <c r="F658">
        <v>3</v>
      </c>
      <c r="G658">
        <v>8143</v>
      </c>
    </row>
    <row r="659" spans="1:7">
      <c r="A659" t="s">
        <v>558</v>
      </c>
      <c r="B659" t="s">
        <v>559</v>
      </c>
      <c r="C659" t="s">
        <v>229</v>
      </c>
      <c r="D659">
        <v>262.39999999999998</v>
      </c>
      <c r="E659">
        <v>6</v>
      </c>
      <c r="F659">
        <v>4</v>
      </c>
      <c r="G659">
        <v>7846</v>
      </c>
    </row>
    <row r="660" spans="1:7">
      <c r="A660" t="s">
        <v>558</v>
      </c>
      <c r="B660" t="s">
        <v>559</v>
      </c>
      <c r="C660" t="s">
        <v>248</v>
      </c>
      <c r="D660">
        <v>109</v>
      </c>
      <c r="E660">
        <v>7</v>
      </c>
      <c r="F660">
        <v>3</v>
      </c>
      <c r="G660">
        <v>9422</v>
      </c>
    </row>
    <row r="661" spans="1:7">
      <c r="A661" t="s">
        <v>558</v>
      </c>
      <c r="B661" t="s">
        <v>559</v>
      </c>
      <c r="C661" t="s">
        <v>265</v>
      </c>
      <c r="D661">
        <v>83.5</v>
      </c>
      <c r="E661">
        <v>6</v>
      </c>
      <c r="F661">
        <v>2</v>
      </c>
      <c r="G661">
        <v>10521</v>
      </c>
    </row>
    <row r="662" spans="1:7">
      <c r="A662" t="s">
        <v>558</v>
      </c>
      <c r="B662" t="s">
        <v>559</v>
      </c>
      <c r="C662" t="s">
        <v>282</v>
      </c>
      <c r="D662">
        <v>98.9</v>
      </c>
      <c r="E662">
        <v>4</v>
      </c>
      <c r="F662">
        <v>0</v>
      </c>
      <c r="G662">
        <v>4455</v>
      </c>
    </row>
    <row r="663" spans="1:7">
      <c r="A663" t="s">
        <v>558</v>
      </c>
      <c r="B663" t="s">
        <v>559</v>
      </c>
      <c r="C663" t="s">
        <v>299</v>
      </c>
      <c r="D663">
        <v>48.5</v>
      </c>
      <c r="E663">
        <v>4</v>
      </c>
      <c r="F663">
        <v>3</v>
      </c>
      <c r="G663">
        <v>4834</v>
      </c>
    </row>
    <row r="664" spans="1:7">
      <c r="A664" t="s">
        <v>558</v>
      </c>
      <c r="B664" t="s">
        <v>559</v>
      </c>
      <c r="C664" t="s">
        <v>318</v>
      </c>
      <c r="D664">
        <v>136.19999999999999</v>
      </c>
      <c r="E664">
        <v>8</v>
      </c>
      <c r="F664">
        <v>0</v>
      </c>
      <c r="G664">
        <v>2946</v>
      </c>
    </row>
    <row r="665" spans="1:7">
      <c r="A665" t="s">
        <v>558</v>
      </c>
      <c r="B665" t="s">
        <v>559</v>
      </c>
      <c r="C665" t="s">
        <v>335</v>
      </c>
      <c r="D665">
        <v>98.3</v>
      </c>
      <c r="E665">
        <v>3</v>
      </c>
      <c r="F665">
        <v>1</v>
      </c>
      <c r="G665">
        <v>5415</v>
      </c>
    </row>
    <row r="666" spans="1:7">
      <c r="A666" t="s">
        <v>558</v>
      </c>
      <c r="B666" t="s">
        <v>559</v>
      </c>
      <c r="C666" t="s">
        <v>352</v>
      </c>
      <c r="D666">
        <v>350.7</v>
      </c>
      <c r="E666">
        <v>3</v>
      </c>
      <c r="F666">
        <v>4</v>
      </c>
      <c r="G666">
        <v>3814</v>
      </c>
    </row>
    <row r="667" spans="1:7">
      <c r="A667" t="s">
        <v>558</v>
      </c>
      <c r="B667" t="s">
        <v>559</v>
      </c>
      <c r="C667" t="s">
        <v>371</v>
      </c>
      <c r="D667">
        <v>153.19999999999999</v>
      </c>
      <c r="E667">
        <v>4</v>
      </c>
      <c r="F667">
        <v>2</v>
      </c>
      <c r="G667">
        <v>4512</v>
      </c>
    </row>
    <row r="668" spans="1:7">
      <c r="A668" t="s">
        <v>558</v>
      </c>
      <c r="B668" t="s">
        <v>559</v>
      </c>
      <c r="C668" t="s">
        <v>388</v>
      </c>
      <c r="D668">
        <v>78.5</v>
      </c>
      <c r="E668">
        <v>5</v>
      </c>
      <c r="F668">
        <v>1</v>
      </c>
      <c r="G668">
        <v>7367</v>
      </c>
    </row>
    <row r="669" spans="1:7">
      <c r="A669" t="s">
        <v>558</v>
      </c>
      <c r="B669" t="s">
        <v>559</v>
      </c>
      <c r="C669" t="s">
        <v>407</v>
      </c>
      <c r="D669">
        <v>82.2</v>
      </c>
      <c r="E669">
        <v>4</v>
      </c>
      <c r="F669">
        <v>2</v>
      </c>
      <c r="G669">
        <v>8309</v>
      </c>
    </row>
    <row r="670" spans="1:7">
      <c r="A670" t="s">
        <v>558</v>
      </c>
      <c r="B670" t="s">
        <v>559</v>
      </c>
      <c r="C670" t="s">
        <v>426</v>
      </c>
      <c r="D670">
        <v>75.2</v>
      </c>
      <c r="E670">
        <v>7</v>
      </c>
      <c r="F670">
        <v>1</v>
      </c>
      <c r="G670">
        <v>9619</v>
      </c>
    </row>
    <row r="671" spans="1:7">
      <c r="A671" t="s">
        <v>558</v>
      </c>
      <c r="B671" t="s">
        <v>559</v>
      </c>
      <c r="C671" t="s">
        <v>445</v>
      </c>
      <c r="D671">
        <v>244.1</v>
      </c>
      <c r="E671">
        <v>5</v>
      </c>
      <c r="F671">
        <v>1</v>
      </c>
      <c r="G671">
        <v>6591</v>
      </c>
    </row>
    <row r="672" spans="1:7">
      <c r="A672" t="s">
        <v>558</v>
      </c>
      <c r="B672" t="s">
        <v>559</v>
      </c>
      <c r="C672" t="s">
        <v>464</v>
      </c>
      <c r="D672">
        <v>253.4</v>
      </c>
      <c r="E672">
        <v>4</v>
      </c>
      <c r="F672">
        <v>5</v>
      </c>
      <c r="G672">
        <v>4282</v>
      </c>
    </row>
    <row r="673" spans="1:7">
      <c r="A673" t="s">
        <v>558</v>
      </c>
      <c r="B673" t="s">
        <v>559</v>
      </c>
      <c r="C673" t="s">
        <v>483</v>
      </c>
      <c r="D673">
        <v>27.6</v>
      </c>
      <c r="E673">
        <v>7</v>
      </c>
      <c r="F673">
        <v>0</v>
      </c>
      <c r="G673">
        <v>7071</v>
      </c>
    </row>
    <row r="674" spans="1:7">
      <c r="A674" t="s">
        <v>560</v>
      </c>
      <c r="B674" t="s">
        <v>561</v>
      </c>
      <c r="C674" t="s">
        <v>42</v>
      </c>
      <c r="D674">
        <v>432.5</v>
      </c>
      <c r="E674">
        <v>2</v>
      </c>
      <c r="F674">
        <v>4</v>
      </c>
      <c r="G674">
        <v>3571</v>
      </c>
    </row>
    <row r="675" spans="1:7">
      <c r="A675" t="s">
        <v>560</v>
      </c>
      <c r="B675" t="s">
        <v>561</v>
      </c>
      <c r="C675" t="s">
        <v>85</v>
      </c>
      <c r="D675">
        <v>565.4</v>
      </c>
      <c r="E675">
        <v>4</v>
      </c>
      <c r="F675">
        <v>10</v>
      </c>
      <c r="G675">
        <v>3910</v>
      </c>
    </row>
    <row r="676" spans="1:7">
      <c r="A676" t="s">
        <v>560</v>
      </c>
      <c r="B676" t="s">
        <v>561</v>
      </c>
      <c r="C676" t="s">
        <v>104</v>
      </c>
      <c r="D676">
        <v>242.5</v>
      </c>
      <c r="E676">
        <v>7</v>
      </c>
      <c r="F676">
        <v>4</v>
      </c>
      <c r="G676">
        <v>9023</v>
      </c>
    </row>
    <row r="677" spans="1:7">
      <c r="A677" t="s">
        <v>560</v>
      </c>
      <c r="B677" t="s">
        <v>561</v>
      </c>
      <c r="C677" t="s">
        <v>124</v>
      </c>
      <c r="D677">
        <v>123.9</v>
      </c>
      <c r="E677">
        <v>5</v>
      </c>
      <c r="F677">
        <v>3</v>
      </c>
      <c r="G677">
        <v>13126</v>
      </c>
    </row>
    <row r="678" spans="1:7">
      <c r="A678" t="s">
        <v>560</v>
      </c>
      <c r="B678" t="s">
        <v>561</v>
      </c>
      <c r="C678" t="s">
        <v>142</v>
      </c>
      <c r="D678">
        <v>161.80000000000001</v>
      </c>
      <c r="E678">
        <v>6</v>
      </c>
      <c r="F678">
        <v>3</v>
      </c>
      <c r="G678">
        <v>7592</v>
      </c>
    </row>
    <row r="679" spans="1:7">
      <c r="A679" t="s">
        <v>560</v>
      </c>
      <c r="B679" t="s">
        <v>561</v>
      </c>
      <c r="C679" t="s">
        <v>159</v>
      </c>
      <c r="D679">
        <v>178.4</v>
      </c>
      <c r="E679">
        <v>4</v>
      </c>
      <c r="F679">
        <v>2</v>
      </c>
      <c r="G679">
        <v>10030</v>
      </c>
    </row>
    <row r="680" spans="1:7">
      <c r="A680" t="s">
        <v>560</v>
      </c>
      <c r="B680" t="s">
        <v>561</v>
      </c>
      <c r="C680" t="s">
        <v>176</v>
      </c>
      <c r="D680">
        <v>375.5</v>
      </c>
      <c r="E680">
        <v>3</v>
      </c>
      <c r="F680">
        <v>5</v>
      </c>
      <c r="G680">
        <v>3224</v>
      </c>
    </row>
    <row r="681" spans="1:7">
      <c r="A681" t="s">
        <v>560</v>
      </c>
      <c r="B681" t="s">
        <v>561</v>
      </c>
      <c r="C681" t="s">
        <v>195</v>
      </c>
      <c r="D681">
        <v>114.1</v>
      </c>
      <c r="E681">
        <v>7</v>
      </c>
      <c r="F681">
        <v>3</v>
      </c>
      <c r="G681">
        <v>7383</v>
      </c>
    </row>
    <row r="682" spans="1:7">
      <c r="A682" t="s">
        <v>560</v>
      </c>
      <c r="B682" t="s">
        <v>561</v>
      </c>
      <c r="C682" t="s">
        <v>212</v>
      </c>
      <c r="D682">
        <v>113.7</v>
      </c>
      <c r="E682">
        <v>6</v>
      </c>
      <c r="F682">
        <v>0</v>
      </c>
      <c r="G682">
        <v>6854</v>
      </c>
    </row>
    <row r="683" spans="1:7">
      <c r="A683" t="s">
        <v>560</v>
      </c>
      <c r="B683" t="s">
        <v>561</v>
      </c>
      <c r="C683" t="s">
        <v>229</v>
      </c>
      <c r="D683">
        <v>272.3</v>
      </c>
      <c r="E683">
        <v>6</v>
      </c>
      <c r="F683">
        <v>2</v>
      </c>
      <c r="G683">
        <v>8323</v>
      </c>
    </row>
    <row r="684" spans="1:7">
      <c r="A684" t="s">
        <v>560</v>
      </c>
      <c r="B684" t="s">
        <v>561</v>
      </c>
      <c r="C684" t="s">
        <v>248</v>
      </c>
      <c r="D684">
        <v>147.69999999999999</v>
      </c>
      <c r="E684">
        <v>5</v>
      </c>
      <c r="F684">
        <v>0</v>
      </c>
      <c r="G684">
        <v>6933</v>
      </c>
    </row>
    <row r="685" spans="1:7">
      <c r="A685" t="s">
        <v>560</v>
      </c>
      <c r="B685" t="s">
        <v>561</v>
      </c>
      <c r="C685" t="s">
        <v>265</v>
      </c>
      <c r="D685">
        <v>116</v>
      </c>
      <c r="E685">
        <v>6</v>
      </c>
      <c r="F685">
        <v>2</v>
      </c>
      <c r="G685">
        <v>10408</v>
      </c>
    </row>
    <row r="686" spans="1:7">
      <c r="A686" t="s">
        <v>560</v>
      </c>
      <c r="B686" t="s">
        <v>561</v>
      </c>
      <c r="C686" t="s">
        <v>282</v>
      </c>
      <c r="D686">
        <v>77.400000000000006</v>
      </c>
      <c r="E686">
        <v>4</v>
      </c>
      <c r="F686">
        <v>4</v>
      </c>
      <c r="G686">
        <v>5594</v>
      </c>
    </row>
    <row r="687" spans="1:7">
      <c r="A687" t="s">
        <v>560</v>
      </c>
      <c r="B687" t="s">
        <v>561</v>
      </c>
      <c r="C687" t="s">
        <v>299</v>
      </c>
      <c r="D687">
        <v>33.6</v>
      </c>
      <c r="E687">
        <v>5</v>
      </c>
      <c r="F687">
        <v>0</v>
      </c>
      <c r="G687">
        <v>4080</v>
      </c>
    </row>
    <row r="688" spans="1:7">
      <c r="A688" t="s">
        <v>560</v>
      </c>
      <c r="B688" t="s">
        <v>561</v>
      </c>
      <c r="C688" t="s">
        <v>318</v>
      </c>
      <c r="D688">
        <v>153</v>
      </c>
      <c r="E688">
        <v>6</v>
      </c>
      <c r="F688">
        <v>4</v>
      </c>
      <c r="G688">
        <v>3343</v>
      </c>
    </row>
    <row r="689" spans="1:7">
      <c r="A689" t="s">
        <v>560</v>
      </c>
      <c r="B689" t="s">
        <v>561</v>
      </c>
      <c r="C689" t="s">
        <v>335</v>
      </c>
      <c r="D689">
        <v>77.900000000000006</v>
      </c>
      <c r="E689">
        <v>5</v>
      </c>
      <c r="F689">
        <v>2</v>
      </c>
      <c r="G689">
        <v>5363</v>
      </c>
    </row>
    <row r="690" spans="1:7">
      <c r="A690" t="s">
        <v>560</v>
      </c>
      <c r="B690" t="s">
        <v>561</v>
      </c>
      <c r="C690" t="s">
        <v>352</v>
      </c>
      <c r="D690">
        <v>259.3</v>
      </c>
      <c r="E690">
        <v>5</v>
      </c>
      <c r="F690">
        <v>5</v>
      </c>
      <c r="G690">
        <v>3086</v>
      </c>
    </row>
    <row r="691" spans="1:7">
      <c r="A691" t="s">
        <v>560</v>
      </c>
      <c r="B691" t="s">
        <v>561</v>
      </c>
      <c r="C691" t="s">
        <v>371</v>
      </c>
      <c r="D691">
        <v>199.4</v>
      </c>
      <c r="E691">
        <v>5</v>
      </c>
      <c r="F691">
        <v>4</v>
      </c>
      <c r="G691">
        <v>5635</v>
      </c>
    </row>
    <row r="692" spans="1:7">
      <c r="A692" t="s">
        <v>560</v>
      </c>
      <c r="B692" t="s">
        <v>561</v>
      </c>
      <c r="C692" t="s">
        <v>388</v>
      </c>
      <c r="D692">
        <v>75.2</v>
      </c>
      <c r="E692">
        <v>2</v>
      </c>
      <c r="F692">
        <v>0</v>
      </c>
      <c r="G692">
        <v>8116</v>
      </c>
    </row>
    <row r="693" spans="1:7">
      <c r="A693" t="s">
        <v>560</v>
      </c>
      <c r="B693" t="s">
        <v>561</v>
      </c>
      <c r="C693" t="s">
        <v>407</v>
      </c>
      <c r="D693">
        <v>75.599999999999994</v>
      </c>
      <c r="E693">
        <v>4</v>
      </c>
      <c r="F693">
        <v>0</v>
      </c>
      <c r="G693">
        <v>8343</v>
      </c>
    </row>
    <row r="694" spans="1:7">
      <c r="A694" t="s">
        <v>560</v>
      </c>
      <c r="B694" t="s">
        <v>561</v>
      </c>
      <c r="C694" t="s">
        <v>426</v>
      </c>
      <c r="D694">
        <v>92.4</v>
      </c>
      <c r="E694">
        <v>8</v>
      </c>
      <c r="F694">
        <v>3</v>
      </c>
      <c r="G694">
        <v>9547</v>
      </c>
    </row>
    <row r="695" spans="1:7">
      <c r="A695" t="s">
        <v>560</v>
      </c>
      <c r="B695" t="s">
        <v>561</v>
      </c>
      <c r="C695" t="s">
        <v>445</v>
      </c>
      <c r="D695">
        <v>182.7</v>
      </c>
      <c r="E695">
        <v>4</v>
      </c>
      <c r="F695">
        <v>2</v>
      </c>
      <c r="G695">
        <v>8124</v>
      </c>
    </row>
    <row r="696" spans="1:7">
      <c r="A696" t="s">
        <v>560</v>
      </c>
      <c r="B696" t="s">
        <v>561</v>
      </c>
      <c r="C696" t="s">
        <v>464</v>
      </c>
      <c r="D696">
        <v>227.3</v>
      </c>
      <c r="E696">
        <v>4</v>
      </c>
      <c r="F696">
        <v>4</v>
      </c>
      <c r="G696">
        <v>4009</v>
      </c>
    </row>
    <row r="697" spans="1:7">
      <c r="A697" t="s">
        <v>560</v>
      </c>
      <c r="B697" t="s">
        <v>561</v>
      </c>
      <c r="C697" t="s">
        <v>483</v>
      </c>
      <c r="D697">
        <v>44.5</v>
      </c>
      <c r="E697">
        <v>6</v>
      </c>
      <c r="F697">
        <v>1</v>
      </c>
      <c r="G697">
        <v>7916</v>
      </c>
    </row>
    <row r="698" spans="1:7">
      <c r="A698" t="s">
        <v>562</v>
      </c>
      <c r="B698" t="s">
        <v>563</v>
      </c>
      <c r="C698" t="s">
        <v>42</v>
      </c>
      <c r="D698">
        <v>374.4</v>
      </c>
      <c r="E698">
        <v>5</v>
      </c>
      <c r="F698">
        <v>5</v>
      </c>
      <c r="G698">
        <v>3478</v>
      </c>
    </row>
    <row r="699" spans="1:7">
      <c r="A699" t="s">
        <v>562</v>
      </c>
      <c r="B699" t="s">
        <v>563</v>
      </c>
      <c r="C699" t="s">
        <v>85</v>
      </c>
      <c r="D699">
        <v>306.39999999999998</v>
      </c>
      <c r="E699">
        <v>4</v>
      </c>
      <c r="F699">
        <v>6</v>
      </c>
      <c r="G699">
        <v>3043</v>
      </c>
    </row>
    <row r="700" spans="1:7">
      <c r="A700" t="s">
        <v>562</v>
      </c>
      <c r="B700" t="s">
        <v>563</v>
      </c>
      <c r="C700" t="s">
        <v>104</v>
      </c>
      <c r="D700">
        <v>197.5</v>
      </c>
      <c r="E700">
        <v>6</v>
      </c>
      <c r="F700">
        <v>4</v>
      </c>
      <c r="G700">
        <v>9350</v>
      </c>
    </row>
    <row r="701" spans="1:7">
      <c r="A701" t="s">
        <v>562</v>
      </c>
      <c r="B701" t="s">
        <v>563</v>
      </c>
      <c r="C701" t="s">
        <v>124</v>
      </c>
      <c r="D701">
        <v>118.1</v>
      </c>
      <c r="E701">
        <v>6</v>
      </c>
      <c r="F701">
        <v>2</v>
      </c>
      <c r="G701">
        <v>9391</v>
      </c>
    </row>
    <row r="702" spans="1:7">
      <c r="A702" t="s">
        <v>562</v>
      </c>
      <c r="B702" t="s">
        <v>563</v>
      </c>
      <c r="C702" t="s">
        <v>142</v>
      </c>
      <c r="D702">
        <v>93.8</v>
      </c>
      <c r="E702">
        <v>8</v>
      </c>
      <c r="F702">
        <v>2</v>
      </c>
      <c r="G702">
        <v>8168</v>
      </c>
    </row>
    <row r="703" spans="1:7">
      <c r="A703" t="s">
        <v>562</v>
      </c>
      <c r="B703" t="s">
        <v>563</v>
      </c>
      <c r="C703" t="s">
        <v>159</v>
      </c>
      <c r="D703">
        <v>148.30000000000001</v>
      </c>
      <c r="E703">
        <v>5</v>
      </c>
      <c r="F703">
        <v>4</v>
      </c>
      <c r="G703">
        <v>6577</v>
      </c>
    </row>
    <row r="704" spans="1:7">
      <c r="A704" t="s">
        <v>562</v>
      </c>
      <c r="B704" t="s">
        <v>563</v>
      </c>
      <c r="C704" t="s">
        <v>176</v>
      </c>
      <c r="D704">
        <v>397.3</v>
      </c>
      <c r="E704">
        <v>3</v>
      </c>
      <c r="F704">
        <v>4</v>
      </c>
      <c r="G704">
        <v>2690</v>
      </c>
    </row>
    <row r="705" spans="1:7">
      <c r="A705" t="s">
        <v>562</v>
      </c>
      <c r="B705" t="s">
        <v>563</v>
      </c>
      <c r="C705" t="s">
        <v>195</v>
      </c>
      <c r="D705">
        <v>104.7</v>
      </c>
      <c r="E705">
        <v>6</v>
      </c>
      <c r="F705">
        <v>1</v>
      </c>
      <c r="G705">
        <v>6864</v>
      </c>
    </row>
    <row r="706" spans="1:7">
      <c r="A706" t="s">
        <v>562</v>
      </c>
      <c r="B706" t="s">
        <v>563</v>
      </c>
      <c r="C706" t="s">
        <v>212</v>
      </c>
      <c r="D706">
        <v>87.4</v>
      </c>
      <c r="E706">
        <v>6</v>
      </c>
      <c r="F706">
        <v>2</v>
      </c>
      <c r="G706">
        <v>6451</v>
      </c>
    </row>
    <row r="707" spans="1:7">
      <c r="A707" t="s">
        <v>562</v>
      </c>
      <c r="B707" t="s">
        <v>563</v>
      </c>
      <c r="C707" t="s">
        <v>229</v>
      </c>
      <c r="D707">
        <v>233.7</v>
      </c>
      <c r="E707">
        <v>7</v>
      </c>
      <c r="F707">
        <v>4</v>
      </c>
      <c r="G707">
        <v>6624</v>
      </c>
    </row>
    <row r="708" spans="1:7">
      <c r="A708" t="s">
        <v>562</v>
      </c>
      <c r="B708" t="s">
        <v>563</v>
      </c>
      <c r="C708" t="s">
        <v>248</v>
      </c>
      <c r="D708">
        <v>110.2</v>
      </c>
      <c r="E708">
        <v>6</v>
      </c>
      <c r="F708">
        <v>4</v>
      </c>
      <c r="G708">
        <v>8650</v>
      </c>
    </row>
    <row r="709" spans="1:7">
      <c r="A709" t="s">
        <v>562</v>
      </c>
      <c r="B709" t="s">
        <v>563</v>
      </c>
      <c r="C709" t="s">
        <v>265</v>
      </c>
      <c r="D709">
        <v>30.6</v>
      </c>
      <c r="E709">
        <v>10</v>
      </c>
      <c r="F709">
        <v>0</v>
      </c>
      <c r="G709">
        <v>10604</v>
      </c>
    </row>
    <row r="710" spans="1:7">
      <c r="A710" t="s">
        <v>562</v>
      </c>
      <c r="B710" t="s">
        <v>563</v>
      </c>
      <c r="C710" t="s">
        <v>282</v>
      </c>
      <c r="D710">
        <v>105.1</v>
      </c>
      <c r="E710">
        <v>3</v>
      </c>
      <c r="F710">
        <v>2</v>
      </c>
      <c r="G710">
        <v>4151</v>
      </c>
    </row>
    <row r="711" spans="1:7">
      <c r="A711" t="s">
        <v>562</v>
      </c>
      <c r="B711" t="s">
        <v>563</v>
      </c>
      <c r="C711" t="s">
        <v>299</v>
      </c>
      <c r="D711">
        <v>42.1</v>
      </c>
      <c r="E711">
        <v>5</v>
      </c>
      <c r="F711">
        <v>2</v>
      </c>
      <c r="G711">
        <v>4376</v>
      </c>
    </row>
    <row r="712" spans="1:7">
      <c r="A712" t="s">
        <v>562</v>
      </c>
      <c r="B712" t="s">
        <v>563</v>
      </c>
      <c r="C712" t="s">
        <v>318</v>
      </c>
      <c r="D712">
        <v>126.6</v>
      </c>
      <c r="E712">
        <v>6</v>
      </c>
      <c r="F712">
        <v>3</v>
      </c>
      <c r="G712">
        <v>3338</v>
      </c>
    </row>
    <row r="713" spans="1:7">
      <c r="A713" t="s">
        <v>562</v>
      </c>
      <c r="B713" t="s">
        <v>563</v>
      </c>
      <c r="C713" t="s">
        <v>335</v>
      </c>
      <c r="D713">
        <v>71.900000000000006</v>
      </c>
      <c r="E713">
        <v>3</v>
      </c>
      <c r="F713">
        <v>0</v>
      </c>
      <c r="G713">
        <v>4577</v>
      </c>
    </row>
    <row r="714" spans="1:7">
      <c r="A714" t="s">
        <v>562</v>
      </c>
      <c r="B714" t="s">
        <v>563</v>
      </c>
      <c r="C714" t="s">
        <v>352</v>
      </c>
      <c r="D714">
        <v>381</v>
      </c>
      <c r="E714">
        <v>6</v>
      </c>
      <c r="F714">
        <v>5</v>
      </c>
      <c r="G714">
        <v>3605</v>
      </c>
    </row>
    <row r="715" spans="1:7">
      <c r="A715" t="s">
        <v>562</v>
      </c>
      <c r="B715" t="s">
        <v>563</v>
      </c>
      <c r="C715" t="s">
        <v>371</v>
      </c>
      <c r="D715">
        <v>224.1</v>
      </c>
      <c r="E715">
        <v>5</v>
      </c>
      <c r="F715">
        <v>2</v>
      </c>
      <c r="G715">
        <v>5328</v>
      </c>
    </row>
    <row r="716" spans="1:7">
      <c r="A716" t="s">
        <v>562</v>
      </c>
      <c r="B716" t="s">
        <v>563</v>
      </c>
      <c r="C716" t="s">
        <v>388</v>
      </c>
      <c r="D716">
        <v>83.2</v>
      </c>
      <c r="E716">
        <v>5</v>
      </c>
      <c r="F716">
        <v>1</v>
      </c>
      <c r="G716">
        <v>5840</v>
      </c>
    </row>
    <row r="717" spans="1:7">
      <c r="A717" t="s">
        <v>562</v>
      </c>
      <c r="B717" t="s">
        <v>563</v>
      </c>
      <c r="C717" t="s">
        <v>407</v>
      </c>
      <c r="D717">
        <v>43.5</v>
      </c>
      <c r="E717">
        <v>5</v>
      </c>
      <c r="F717">
        <v>0</v>
      </c>
      <c r="G717">
        <v>8429</v>
      </c>
    </row>
    <row r="718" spans="1:7">
      <c r="A718" t="s">
        <v>562</v>
      </c>
      <c r="B718" t="s">
        <v>563</v>
      </c>
      <c r="C718" t="s">
        <v>426</v>
      </c>
      <c r="D718">
        <v>37.799999999999997</v>
      </c>
      <c r="E718">
        <v>5</v>
      </c>
      <c r="F718">
        <v>1</v>
      </c>
      <c r="G718">
        <v>9276</v>
      </c>
    </row>
    <row r="719" spans="1:7">
      <c r="A719" t="s">
        <v>562</v>
      </c>
      <c r="B719" t="s">
        <v>563</v>
      </c>
      <c r="C719" t="s">
        <v>445</v>
      </c>
      <c r="D719">
        <v>192</v>
      </c>
      <c r="E719">
        <v>5</v>
      </c>
      <c r="F719">
        <v>0</v>
      </c>
      <c r="G719">
        <v>4938</v>
      </c>
    </row>
    <row r="720" spans="1:7">
      <c r="A720" t="s">
        <v>562</v>
      </c>
      <c r="B720" t="s">
        <v>563</v>
      </c>
      <c r="C720" t="s">
        <v>464</v>
      </c>
      <c r="D720">
        <v>175.2</v>
      </c>
      <c r="E720">
        <v>2</v>
      </c>
      <c r="F720">
        <v>3</v>
      </c>
      <c r="G720">
        <v>3063</v>
      </c>
    </row>
    <row r="721" spans="1:7">
      <c r="A721" t="s">
        <v>562</v>
      </c>
      <c r="B721" t="s">
        <v>563</v>
      </c>
      <c r="C721" t="s">
        <v>483</v>
      </c>
      <c r="D721">
        <v>28.3</v>
      </c>
      <c r="E721">
        <v>6</v>
      </c>
      <c r="F721">
        <v>0</v>
      </c>
      <c r="G721">
        <v>6435</v>
      </c>
    </row>
    <row r="722" spans="1:7">
      <c r="A722" t="s">
        <v>564</v>
      </c>
      <c r="B722" t="s">
        <v>565</v>
      </c>
      <c r="C722" t="s">
        <v>42</v>
      </c>
      <c r="D722">
        <v>336</v>
      </c>
      <c r="E722">
        <v>6</v>
      </c>
      <c r="F722">
        <v>6</v>
      </c>
      <c r="G722">
        <v>4535</v>
      </c>
    </row>
    <row r="723" spans="1:7">
      <c r="A723" t="s">
        <v>564</v>
      </c>
      <c r="B723" t="s">
        <v>565</v>
      </c>
      <c r="C723" t="s">
        <v>85</v>
      </c>
      <c r="D723">
        <v>335.9</v>
      </c>
      <c r="E723">
        <v>5</v>
      </c>
      <c r="F723">
        <v>5</v>
      </c>
      <c r="G723">
        <v>3575</v>
      </c>
    </row>
    <row r="724" spans="1:7">
      <c r="A724" t="s">
        <v>564</v>
      </c>
      <c r="B724" t="s">
        <v>565</v>
      </c>
      <c r="C724" t="s">
        <v>104</v>
      </c>
      <c r="D724">
        <v>210.2</v>
      </c>
      <c r="E724">
        <v>6</v>
      </c>
      <c r="F724">
        <v>2</v>
      </c>
      <c r="G724">
        <v>10391</v>
      </c>
    </row>
    <row r="725" spans="1:7">
      <c r="A725" t="s">
        <v>564</v>
      </c>
      <c r="B725" t="s">
        <v>565</v>
      </c>
      <c r="C725" t="s">
        <v>124</v>
      </c>
      <c r="D725">
        <v>88.7</v>
      </c>
      <c r="E725">
        <v>6</v>
      </c>
      <c r="F725">
        <v>0</v>
      </c>
      <c r="G725">
        <v>10084</v>
      </c>
    </row>
    <row r="726" spans="1:7">
      <c r="A726" t="s">
        <v>564</v>
      </c>
      <c r="B726" t="s">
        <v>565</v>
      </c>
      <c r="C726" t="s">
        <v>142</v>
      </c>
      <c r="D726">
        <v>99.4</v>
      </c>
      <c r="E726">
        <v>7</v>
      </c>
      <c r="F726">
        <v>0</v>
      </c>
      <c r="G726">
        <v>11367</v>
      </c>
    </row>
    <row r="727" spans="1:7">
      <c r="A727" t="s">
        <v>564</v>
      </c>
      <c r="B727" t="s">
        <v>565</v>
      </c>
      <c r="C727" t="s">
        <v>159</v>
      </c>
      <c r="D727">
        <v>155.4</v>
      </c>
      <c r="E727">
        <v>3</v>
      </c>
      <c r="F727">
        <v>4</v>
      </c>
      <c r="G727">
        <v>8748</v>
      </c>
    </row>
    <row r="728" spans="1:7">
      <c r="A728" t="s">
        <v>564</v>
      </c>
      <c r="B728" t="s">
        <v>565</v>
      </c>
      <c r="C728" t="s">
        <v>176</v>
      </c>
      <c r="D728">
        <v>355.9</v>
      </c>
      <c r="E728">
        <v>5</v>
      </c>
      <c r="F728">
        <v>6</v>
      </c>
      <c r="G728">
        <v>3207</v>
      </c>
    </row>
    <row r="729" spans="1:7">
      <c r="A729" t="s">
        <v>564</v>
      </c>
      <c r="B729" t="s">
        <v>565</v>
      </c>
      <c r="C729" t="s">
        <v>195</v>
      </c>
      <c r="D729">
        <v>57.8</v>
      </c>
      <c r="E729">
        <v>7</v>
      </c>
      <c r="F729">
        <v>0</v>
      </c>
      <c r="G729">
        <v>10240</v>
      </c>
    </row>
    <row r="730" spans="1:7">
      <c r="A730" t="s">
        <v>564</v>
      </c>
      <c r="B730" t="s">
        <v>565</v>
      </c>
      <c r="C730" t="s">
        <v>212</v>
      </c>
      <c r="D730">
        <v>65</v>
      </c>
      <c r="E730">
        <v>2</v>
      </c>
      <c r="F730">
        <v>1</v>
      </c>
      <c r="G730">
        <v>8323</v>
      </c>
    </row>
    <row r="731" spans="1:7">
      <c r="A731" t="s">
        <v>564</v>
      </c>
      <c r="B731" t="s">
        <v>565</v>
      </c>
      <c r="C731" t="s">
        <v>229</v>
      </c>
      <c r="D731">
        <v>167.3</v>
      </c>
      <c r="E731">
        <v>9</v>
      </c>
      <c r="F731">
        <v>1</v>
      </c>
      <c r="G731">
        <v>9375</v>
      </c>
    </row>
    <row r="732" spans="1:7">
      <c r="A732" t="s">
        <v>564</v>
      </c>
      <c r="B732" t="s">
        <v>565</v>
      </c>
      <c r="C732" t="s">
        <v>248</v>
      </c>
      <c r="D732">
        <v>49</v>
      </c>
      <c r="E732">
        <v>7</v>
      </c>
      <c r="F732">
        <v>0</v>
      </c>
      <c r="G732">
        <v>7453</v>
      </c>
    </row>
    <row r="733" spans="1:7">
      <c r="A733" t="s">
        <v>564</v>
      </c>
      <c r="B733" t="s">
        <v>565</v>
      </c>
      <c r="C733" t="s">
        <v>265</v>
      </c>
      <c r="D733">
        <v>35.9</v>
      </c>
      <c r="E733">
        <v>8</v>
      </c>
      <c r="F733">
        <v>2</v>
      </c>
      <c r="G733">
        <v>11216</v>
      </c>
    </row>
    <row r="734" spans="1:7">
      <c r="A734" t="s">
        <v>564</v>
      </c>
      <c r="B734" t="s">
        <v>565</v>
      </c>
      <c r="C734" t="s">
        <v>282</v>
      </c>
      <c r="D734">
        <v>72.5</v>
      </c>
      <c r="E734">
        <v>4</v>
      </c>
      <c r="F734">
        <v>0</v>
      </c>
      <c r="G734">
        <v>5282</v>
      </c>
    </row>
    <row r="735" spans="1:7">
      <c r="A735" t="s">
        <v>564</v>
      </c>
      <c r="B735" t="s">
        <v>565</v>
      </c>
      <c r="C735" t="s">
        <v>299</v>
      </c>
      <c r="D735">
        <v>132.80000000000001</v>
      </c>
      <c r="E735">
        <v>6</v>
      </c>
      <c r="F735">
        <v>1</v>
      </c>
      <c r="G735">
        <v>3670</v>
      </c>
    </row>
    <row r="736" spans="1:7">
      <c r="A736" t="s">
        <v>564</v>
      </c>
      <c r="B736" t="s">
        <v>565</v>
      </c>
      <c r="C736" t="s">
        <v>318</v>
      </c>
      <c r="D736">
        <v>98</v>
      </c>
      <c r="E736">
        <v>6</v>
      </c>
      <c r="F736">
        <v>1</v>
      </c>
      <c r="G736">
        <v>3241</v>
      </c>
    </row>
    <row r="737" spans="1:7">
      <c r="A737" t="s">
        <v>564</v>
      </c>
      <c r="B737" t="s">
        <v>565</v>
      </c>
      <c r="C737" t="s">
        <v>335</v>
      </c>
      <c r="D737">
        <v>104</v>
      </c>
      <c r="E737">
        <v>6</v>
      </c>
      <c r="F737">
        <v>1</v>
      </c>
      <c r="G737">
        <v>5422</v>
      </c>
    </row>
    <row r="738" spans="1:7">
      <c r="A738" t="s">
        <v>564</v>
      </c>
      <c r="B738" t="s">
        <v>565</v>
      </c>
      <c r="C738" t="s">
        <v>352</v>
      </c>
      <c r="D738">
        <v>329</v>
      </c>
      <c r="E738">
        <v>5</v>
      </c>
      <c r="F738">
        <v>7</v>
      </c>
      <c r="G738">
        <v>3687</v>
      </c>
    </row>
    <row r="739" spans="1:7">
      <c r="A739" t="s">
        <v>564</v>
      </c>
      <c r="B739" t="s">
        <v>565</v>
      </c>
      <c r="C739" t="s">
        <v>371</v>
      </c>
      <c r="D739">
        <v>168.5</v>
      </c>
      <c r="E739">
        <v>6</v>
      </c>
      <c r="F739">
        <v>1</v>
      </c>
      <c r="G739">
        <v>5563</v>
      </c>
    </row>
    <row r="740" spans="1:7">
      <c r="A740" t="s">
        <v>564</v>
      </c>
      <c r="B740" t="s">
        <v>565</v>
      </c>
      <c r="C740" t="s">
        <v>388</v>
      </c>
      <c r="D740">
        <v>80.099999999999994</v>
      </c>
      <c r="E740">
        <v>2</v>
      </c>
      <c r="F740">
        <v>0</v>
      </c>
      <c r="G740">
        <v>6580</v>
      </c>
    </row>
    <row r="741" spans="1:7">
      <c r="A741" t="s">
        <v>564</v>
      </c>
      <c r="B741" t="s">
        <v>565</v>
      </c>
      <c r="C741" t="s">
        <v>407</v>
      </c>
      <c r="D741">
        <v>59.9</v>
      </c>
      <c r="E741">
        <v>5</v>
      </c>
      <c r="F741">
        <v>1</v>
      </c>
      <c r="G741">
        <v>8527</v>
      </c>
    </row>
    <row r="742" spans="1:7">
      <c r="A742" t="s">
        <v>564</v>
      </c>
      <c r="B742" t="s">
        <v>565</v>
      </c>
      <c r="C742" t="s">
        <v>426</v>
      </c>
      <c r="D742">
        <v>36.700000000000003</v>
      </c>
      <c r="E742">
        <v>6</v>
      </c>
      <c r="F742">
        <v>1</v>
      </c>
      <c r="G742">
        <v>8263</v>
      </c>
    </row>
    <row r="743" spans="1:7">
      <c r="A743" t="s">
        <v>564</v>
      </c>
      <c r="B743" t="s">
        <v>565</v>
      </c>
      <c r="C743" t="s">
        <v>445</v>
      </c>
      <c r="D743">
        <v>190.9</v>
      </c>
      <c r="E743">
        <v>2</v>
      </c>
      <c r="F743">
        <v>5</v>
      </c>
      <c r="G743">
        <v>5641</v>
      </c>
    </row>
    <row r="744" spans="1:7">
      <c r="A744" t="s">
        <v>564</v>
      </c>
      <c r="B744" t="s">
        <v>565</v>
      </c>
      <c r="C744" t="s">
        <v>464</v>
      </c>
      <c r="D744">
        <v>287.89999999999998</v>
      </c>
      <c r="E744">
        <v>4</v>
      </c>
      <c r="F744">
        <v>5</v>
      </c>
      <c r="G744">
        <v>4454</v>
      </c>
    </row>
    <row r="745" spans="1:7">
      <c r="A745" t="s">
        <v>564</v>
      </c>
      <c r="B745" t="s">
        <v>565</v>
      </c>
      <c r="C745" t="s">
        <v>483</v>
      </c>
      <c r="D745">
        <v>34.799999999999997</v>
      </c>
      <c r="E745">
        <v>6</v>
      </c>
      <c r="F745">
        <v>1</v>
      </c>
      <c r="G745">
        <v>7291</v>
      </c>
    </row>
    <row r="746" spans="1:7">
      <c r="A746" t="s">
        <v>566</v>
      </c>
      <c r="B746" t="s">
        <v>567</v>
      </c>
      <c r="C746" t="s">
        <v>42</v>
      </c>
      <c r="D746">
        <v>282.3</v>
      </c>
      <c r="E746">
        <v>4</v>
      </c>
      <c r="F746">
        <v>3</v>
      </c>
      <c r="G746">
        <v>4990</v>
      </c>
    </row>
    <row r="747" spans="1:7">
      <c r="A747" t="s">
        <v>566</v>
      </c>
      <c r="B747" t="s">
        <v>567</v>
      </c>
      <c r="C747" t="s">
        <v>85</v>
      </c>
      <c r="D747">
        <v>331.2</v>
      </c>
      <c r="E747">
        <v>7</v>
      </c>
      <c r="F747">
        <v>4</v>
      </c>
      <c r="G747">
        <v>3509</v>
      </c>
    </row>
    <row r="748" spans="1:7">
      <c r="A748" t="s">
        <v>566</v>
      </c>
      <c r="B748" t="s">
        <v>567</v>
      </c>
      <c r="C748" t="s">
        <v>104</v>
      </c>
      <c r="D748">
        <v>181.3</v>
      </c>
      <c r="E748">
        <v>6</v>
      </c>
      <c r="F748">
        <v>3</v>
      </c>
      <c r="G748">
        <v>11442</v>
      </c>
    </row>
    <row r="749" spans="1:7">
      <c r="A749" t="s">
        <v>566</v>
      </c>
      <c r="B749" t="s">
        <v>567</v>
      </c>
      <c r="C749" t="s">
        <v>124</v>
      </c>
      <c r="D749">
        <v>93.3</v>
      </c>
      <c r="E749">
        <v>8</v>
      </c>
      <c r="F749">
        <v>2</v>
      </c>
      <c r="G749">
        <v>13348</v>
      </c>
    </row>
    <row r="750" spans="1:7">
      <c r="A750" t="s">
        <v>566</v>
      </c>
      <c r="B750" t="s">
        <v>567</v>
      </c>
      <c r="C750" t="s">
        <v>142</v>
      </c>
      <c r="D750">
        <v>84.2</v>
      </c>
      <c r="E750">
        <v>10</v>
      </c>
      <c r="F750">
        <v>0</v>
      </c>
      <c r="G750">
        <v>9260</v>
      </c>
    </row>
    <row r="751" spans="1:7">
      <c r="A751" t="s">
        <v>566</v>
      </c>
      <c r="B751" t="s">
        <v>567</v>
      </c>
      <c r="C751" t="s">
        <v>159</v>
      </c>
      <c r="D751">
        <v>140.1</v>
      </c>
      <c r="E751">
        <v>8</v>
      </c>
      <c r="F751">
        <v>3</v>
      </c>
      <c r="G751">
        <v>8666</v>
      </c>
    </row>
    <row r="752" spans="1:7">
      <c r="A752" t="s">
        <v>566</v>
      </c>
      <c r="B752" t="s">
        <v>567</v>
      </c>
      <c r="C752" t="s">
        <v>176</v>
      </c>
      <c r="D752">
        <v>464.1</v>
      </c>
      <c r="E752">
        <v>5</v>
      </c>
      <c r="F752">
        <v>9</v>
      </c>
      <c r="G752">
        <v>2615</v>
      </c>
    </row>
    <row r="753" spans="1:7">
      <c r="A753" t="s">
        <v>566</v>
      </c>
      <c r="B753" t="s">
        <v>567</v>
      </c>
      <c r="C753" t="s">
        <v>195</v>
      </c>
      <c r="D753">
        <v>67.099999999999994</v>
      </c>
      <c r="E753">
        <v>6</v>
      </c>
      <c r="F753">
        <v>0</v>
      </c>
      <c r="G753">
        <v>9057</v>
      </c>
    </row>
    <row r="754" spans="1:7">
      <c r="A754" t="s">
        <v>566</v>
      </c>
      <c r="B754" t="s">
        <v>567</v>
      </c>
      <c r="C754" t="s">
        <v>212</v>
      </c>
      <c r="D754">
        <v>62.2</v>
      </c>
      <c r="E754">
        <v>5</v>
      </c>
      <c r="F754">
        <v>4</v>
      </c>
      <c r="G754">
        <v>6262</v>
      </c>
    </row>
    <row r="755" spans="1:7">
      <c r="A755" t="s">
        <v>566</v>
      </c>
      <c r="B755" t="s">
        <v>567</v>
      </c>
      <c r="C755" t="s">
        <v>229</v>
      </c>
      <c r="D755">
        <v>121.5</v>
      </c>
      <c r="E755">
        <v>7</v>
      </c>
      <c r="F755">
        <v>3</v>
      </c>
      <c r="G755">
        <v>7719</v>
      </c>
    </row>
    <row r="756" spans="1:7">
      <c r="A756" t="s">
        <v>566</v>
      </c>
      <c r="B756" t="s">
        <v>567</v>
      </c>
      <c r="C756" t="s">
        <v>248</v>
      </c>
      <c r="D756">
        <v>49.7</v>
      </c>
      <c r="E756">
        <v>8</v>
      </c>
      <c r="F756">
        <v>1</v>
      </c>
      <c r="G756">
        <v>6189</v>
      </c>
    </row>
    <row r="757" spans="1:7">
      <c r="A757" t="s">
        <v>566</v>
      </c>
      <c r="B757" t="s">
        <v>567</v>
      </c>
      <c r="C757" t="s">
        <v>265</v>
      </c>
      <c r="D757">
        <v>32.9</v>
      </c>
      <c r="E757">
        <v>8</v>
      </c>
      <c r="F757">
        <v>1</v>
      </c>
      <c r="G757">
        <v>9692</v>
      </c>
    </row>
    <row r="758" spans="1:7">
      <c r="A758" t="s">
        <v>566</v>
      </c>
      <c r="B758" t="s">
        <v>567</v>
      </c>
      <c r="C758" t="s">
        <v>282</v>
      </c>
      <c r="D758">
        <v>87.6</v>
      </c>
      <c r="E758">
        <v>5</v>
      </c>
      <c r="F758">
        <v>2</v>
      </c>
      <c r="G758">
        <v>4005</v>
      </c>
    </row>
    <row r="759" spans="1:7">
      <c r="A759" t="s">
        <v>566</v>
      </c>
      <c r="B759" t="s">
        <v>567</v>
      </c>
      <c r="C759" t="s">
        <v>299</v>
      </c>
      <c r="D759">
        <v>96.2</v>
      </c>
      <c r="E759">
        <v>5</v>
      </c>
      <c r="F759">
        <v>1</v>
      </c>
      <c r="G759">
        <v>5117</v>
      </c>
    </row>
    <row r="760" spans="1:7">
      <c r="A760" t="s">
        <v>566</v>
      </c>
      <c r="B760" t="s">
        <v>567</v>
      </c>
      <c r="C760" t="s">
        <v>318</v>
      </c>
      <c r="D760">
        <v>106.8</v>
      </c>
      <c r="E760">
        <v>5</v>
      </c>
      <c r="F760">
        <v>3</v>
      </c>
      <c r="G760">
        <v>3598</v>
      </c>
    </row>
    <row r="761" spans="1:7">
      <c r="A761" t="s">
        <v>566</v>
      </c>
      <c r="B761" t="s">
        <v>567</v>
      </c>
      <c r="C761" t="s">
        <v>335</v>
      </c>
      <c r="D761">
        <v>81.8</v>
      </c>
      <c r="E761">
        <v>4</v>
      </c>
      <c r="F761">
        <v>0</v>
      </c>
      <c r="G761">
        <v>5382</v>
      </c>
    </row>
    <row r="762" spans="1:7">
      <c r="A762" t="s">
        <v>566</v>
      </c>
      <c r="B762" t="s">
        <v>567</v>
      </c>
      <c r="C762" t="s">
        <v>352</v>
      </c>
      <c r="D762">
        <v>411</v>
      </c>
      <c r="E762">
        <v>4</v>
      </c>
      <c r="F762">
        <v>4</v>
      </c>
      <c r="G762">
        <v>3230</v>
      </c>
    </row>
    <row r="763" spans="1:7">
      <c r="A763" t="s">
        <v>566</v>
      </c>
      <c r="B763" t="s">
        <v>567</v>
      </c>
      <c r="C763" t="s">
        <v>371</v>
      </c>
      <c r="D763">
        <v>154.9</v>
      </c>
      <c r="E763">
        <v>4</v>
      </c>
      <c r="F763">
        <v>3</v>
      </c>
      <c r="G763">
        <v>5254</v>
      </c>
    </row>
    <row r="764" spans="1:7">
      <c r="A764" t="s">
        <v>566</v>
      </c>
      <c r="B764" t="s">
        <v>567</v>
      </c>
      <c r="C764" t="s">
        <v>388</v>
      </c>
      <c r="D764">
        <v>96.8</v>
      </c>
      <c r="E764">
        <v>6</v>
      </c>
      <c r="F764">
        <v>3</v>
      </c>
      <c r="G764">
        <v>6434</v>
      </c>
    </row>
    <row r="765" spans="1:7">
      <c r="A765" t="s">
        <v>566</v>
      </c>
      <c r="B765" t="s">
        <v>567</v>
      </c>
      <c r="C765" t="s">
        <v>407</v>
      </c>
      <c r="D765">
        <v>47.6</v>
      </c>
      <c r="E765">
        <v>4</v>
      </c>
      <c r="F765">
        <v>0</v>
      </c>
      <c r="G765">
        <v>5881</v>
      </c>
    </row>
    <row r="766" spans="1:7">
      <c r="A766" t="s">
        <v>566</v>
      </c>
      <c r="B766" t="s">
        <v>567</v>
      </c>
      <c r="C766" t="s">
        <v>426</v>
      </c>
      <c r="D766">
        <v>41.9</v>
      </c>
      <c r="E766">
        <v>6</v>
      </c>
      <c r="F766">
        <v>0</v>
      </c>
      <c r="G766">
        <v>8384</v>
      </c>
    </row>
    <row r="767" spans="1:7">
      <c r="A767" t="s">
        <v>566</v>
      </c>
      <c r="B767" t="s">
        <v>567</v>
      </c>
      <c r="C767" t="s">
        <v>445</v>
      </c>
      <c r="D767">
        <v>229.4</v>
      </c>
      <c r="E767">
        <v>5</v>
      </c>
      <c r="F767">
        <v>7</v>
      </c>
      <c r="G767">
        <v>6002</v>
      </c>
    </row>
    <row r="768" spans="1:7">
      <c r="A768" t="s">
        <v>566</v>
      </c>
      <c r="B768" t="s">
        <v>567</v>
      </c>
      <c r="C768" t="s">
        <v>464</v>
      </c>
      <c r="D768">
        <v>198.6</v>
      </c>
      <c r="E768">
        <v>5</v>
      </c>
      <c r="F768">
        <v>3</v>
      </c>
      <c r="G768">
        <v>4553</v>
      </c>
    </row>
    <row r="769" spans="1:7">
      <c r="A769" t="s">
        <v>566</v>
      </c>
      <c r="B769" t="s">
        <v>567</v>
      </c>
      <c r="C769" t="s">
        <v>483</v>
      </c>
      <c r="D769">
        <v>48.8</v>
      </c>
      <c r="E769">
        <v>5</v>
      </c>
      <c r="F769">
        <v>2</v>
      </c>
      <c r="G769">
        <v>6978</v>
      </c>
    </row>
    <row r="770" spans="1:7">
      <c r="A770" t="s">
        <v>568</v>
      </c>
      <c r="B770" t="s">
        <v>569</v>
      </c>
      <c r="C770" t="s">
        <v>42</v>
      </c>
      <c r="D770">
        <v>273.8</v>
      </c>
      <c r="E770">
        <v>6</v>
      </c>
      <c r="F770">
        <v>5</v>
      </c>
      <c r="G770">
        <v>3868</v>
      </c>
    </row>
    <row r="771" spans="1:7">
      <c r="A771" t="s">
        <v>568</v>
      </c>
      <c r="B771" t="s">
        <v>569</v>
      </c>
      <c r="C771" t="s">
        <v>85</v>
      </c>
      <c r="D771">
        <v>570.4</v>
      </c>
      <c r="E771">
        <v>2</v>
      </c>
      <c r="F771">
        <v>6</v>
      </c>
      <c r="G771">
        <v>4197</v>
      </c>
    </row>
    <row r="772" spans="1:7">
      <c r="A772" t="s">
        <v>568</v>
      </c>
      <c r="B772" t="s">
        <v>569</v>
      </c>
      <c r="C772" t="s">
        <v>104</v>
      </c>
      <c r="D772">
        <v>207.9</v>
      </c>
      <c r="E772">
        <v>5</v>
      </c>
      <c r="F772">
        <v>3</v>
      </c>
      <c r="G772">
        <v>9951</v>
      </c>
    </row>
    <row r="773" spans="1:7">
      <c r="A773" t="s">
        <v>568</v>
      </c>
      <c r="B773" t="s">
        <v>569</v>
      </c>
      <c r="C773" t="s">
        <v>124</v>
      </c>
      <c r="D773">
        <v>100.2</v>
      </c>
      <c r="E773">
        <v>7</v>
      </c>
      <c r="F773">
        <v>0</v>
      </c>
      <c r="G773">
        <v>11080</v>
      </c>
    </row>
    <row r="774" spans="1:7">
      <c r="A774" t="s">
        <v>568</v>
      </c>
      <c r="B774" t="s">
        <v>569</v>
      </c>
      <c r="C774" t="s">
        <v>142</v>
      </c>
      <c r="D774">
        <v>160.30000000000001</v>
      </c>
      <c r="E774">
        <v>8</v>
      </c>
      <c r="F774">
        <v>4</v>
      </c>
      <c r="G774">
        <v>10270</v>
      </c>
    </row>
    <row r="775" spans="1:7">
      <c r="A775" t="s">
        <v>568</v>
      </c>
      <c r="B775" t="s">
        <v>569</v>
      </c>
      <c r="C775" t="s">
        <v>159</v>
      </c>
      <c r="D775">
        <v>197.5</v>
      </c>
      <c r="E775">
        <v>3</v>
      </c>
      <c r="F775">
        <v>5</v>
      </c>
      <c r="G775">
        <v>8704</v>
      </c>
    </row>
    <row r="776" spans="1:7">
      <c r="A776" t="s">
        <v>568</v>
      </c>
      <c r="B776" t="s">
        <v>569</v>
      </c>
      <c r="C776" t="s">
        <v>176</v>
      </c>
      <c r="D776">
        <v>470</v>
      </c>
      <c r="E776">
        <v>4</v>
      </c>
      <c r="F776">
        <v>9</v>
      </c>
      <c r="G776">
        <v>3629</v>
      </c>
    </row>
    <row r="777" spans="1:7">
      <c r="A777" t="s">
        <v>568</v>
      </c>
      <c r="B777" t="s">
        <v>569</v>
      </c>
      <c r="C777" t="s">
        <v>195</v>
      </c>
      <c r="D777">
        <v>95.2</v>
      </c>
      <c r="E777">
        <v>6</v>
      </c>
      <c r="F777">
        <v>2</v>
      </c>
      <c r="G777">
        <v>9925</v>
      </c>
    </row>
    <row r="778" spans="1:7">
      <c r="A778" t="s">
        <v>568</v>
      </c>
      <c r="B778" t="s">
        <v>569</v>
      </c>
      <c r="C778" t="s">
        <v>212</v>
      </c>
      <c r="D778">
        <v>109.3</v>
      </c>
      <c r="E778">
        <v>5</v>
      </c>
      <c r="F778">
        <v>3</v>
      </c>
      <c r="G778">
        <v>7244</v>
      </c>
    </row>
    <row r="779" spans="1:7">
      <c r="A779" t="s">
        <v>568</v>
      </c>
      <c r="B779" t="s">
        <v>569</v>
      </c>
      <c r="C779" t="s">
        <v>229</v>
      </c>
      <c r="D779">
        <v>243.1</v>
      </c>
      <c r="E779">
        <v>5</v>
      </c>
      <c r="F779">
        <v>4</v>
      </c>
      <c r="G779">
        <v>10299</v>
      </c>
    </row>
    <row r="780" spans="1:7">
      <c r="A780" t="s">
        <v>568</v>
      </c>
      <c r="B780" t="s">
        <v>569</v>
      </c>
      <c r="C780" t="s">
        <v>248</v>
      </c>
      <c r="D780">
        <v>142.5</v>
      </c>
      <c r="E780">
        <v>8</v>
      </c>
      <c r="F780">
        <v>2</v>
      </c>
      <c r="G780">
        <v>9230</v>
      </c>
    </row>
    <row r="781" spans="1:7">
      <c r="A781" t="s">
        <v>568</v>
      </c>
      <c r="B781" t="s">
        <v>569</v>
      </c>
      <c r="C781" t="s">
        <v>265</v>
      </c>
      <c r="D781">
        <v>79.099999999999994</v>
      </c>
      <c r="E781">
        <v>6</v>
      </c>
      <c r="F781">
        <v>0</v>
      </c>
      <c r="G781">
        <v>10076</v>
      </c>
    </row>
    <row r="782" spans="1:7">
      <c r="A782" t="s">
        <v>568</v>
      </c>
      <c r="B782" t="s">
        <v>569</v>
      </c>
      <c r="C782" t="s">
        <v>282</v>
      </c>
      <c r="D782">
        <v>94.9</v>
      </c>
      <c r="E782">
        <v>5</v>
      </c>
      <c r="F782">
        <v>2</v>
      </c>
      <c r="G782">
        <v>5416</v>
      </c>
    </row>
    <row r="783" spans="1:7">
      <c r="A783" t="s">
        <v>568</v>
      </c>
      <c r="B783" t="s">
        <v>569</v>
      </c>
      <c r="C783" t="s">
        <v>299</v>
      </c>
      <c r="D783">
        <v>40</v>
      </c>
      <c r="E783">
        <v>5</v>
      </c>
      <c r="F783">
        <v>0</v>
      </c>
      <c r="G783">
        <v>5515</v>
      </c>
    </row>
    <row r="784" spans="1:7">
      <c r="A784" t="s">
        <v>568</v>
      </c>
      <c r="B784" t="s">
        <v>569</v>
      </c>
      <c r="C784" t="s">
        <v>318</v>
      </c>
      <c r="D784">
        <v>115.7</v>
      </c>
      <c r="E784">
        <v>5</v>
      </c>
      <c r="F784">
        <v>2</v>
      </c>
      <c r="G784">
        <v>3474</v>
      </c>
    </row>
    <row r="785" spans="1:7">
      <c r="A785" t="s">
        <v>568</v>
      </c>
      <c r="B785" t="s">
        <v>569</v>
      </c>
      <c r="C785" t="s">
        <v>335</v>
      </c>
      <c r="D785">
        <v>80.7</v>
      </c>
      <c r="E785">
        <v>4</v>
      </c>
      <c r="F785">
        <v>0</v>
      </c>
      <c r="G785">
        <v>5257</v>
      </c>
    </row>
    <row r="786" spans="1:7">
      <c r="A786" t="s">
        <v>568</v>
      </c>
      <c r="B786" t="s">
        <v>569</v>
      </c>
      <c r="C786" t="s">
        <v>352</v>
      </c>
      <c r="D786">
        <v>411.4</v>
      </c>
      <c r="E786">
        <v>6</v>
      </c>
      <c r="F786">
        <v>6</v>
      </c>
      <c r="G786">
        <v>4646</v>
      </c>
    </row>
    <row r="787" spans="1:7">
      <c r="A787" t="s">
        <v>568</v>
      </c>
      <c r="B787" t="s">
        <v>569</v>
      </c>
      <c r="C787" t="s">
        <v>371</v>
      </c>
      <c r="D787">
        <v>174.6</v>
      </c>
      <c r="E787">
        <v>8</v>
      </c>
      <c r="F787">
        <v>2</v>
      </c>
      <c r="G787">
        <v>5595</v>
      </c>
    </row>
    <row r="788" spans="1:7">
      <c r="A788" t="s">
        <v>568</v>
      </c>
      <c r="B788" t="s">
        <v>569</v>
      </c>
      <c r="C788" t="s">
        <v>388</v>
      </c>
      <c r="D788">
        <v>78.8</v>
      </c>
      <c r="E788">
        <v>5</v>
      </c>
      <c r="F788">
        <v>2</v>
      </c>
      <c r="G788">
        <v>7723</v>
      </c>
    </row>
    <row r="789" spans="1:7">
      <c r="A789" t="s">
        <v>568</v>
      </c>
      <c r="B789" t="s">
        <v>569</v>
      </c>
      <c r="C789" t="s">
        <v>407</v>
      </c>
      <c r="D789">
        <v>109.6</v>
      </c>
      <c r="E789">
        <v>5</v>
      </c>
      <c r="F789">
        <v>2</v>
      </c>
      <c r="G789">
        <v>6614</v>
      </c>
    </row>
    <row r="790" spans="1:7">
      <c r="A790" t="s">
        <v>568</v>
      </c>
      <c r="B790" t="s">
        <v>569</v>
      </c>
      <c r="C790" t="s">
        <v>426</v>
      </c>
      <c r="D790">
        <v>86.6</v>
      </c>
      <c r="E790">
        <v>6</v>
      </c>
      <c r="F790">
        <v>0</v>
      </c>
      <c r="G790">
        <v>8741</v>
      </c>
    </row>
    <row r="791" spans="1:7">
      <c r="A791" t="s">
        <v>568</v>
      </c>
      <c r="B791" t="s">
        <v>569</v>
      </c>
      <c r="C791" t="s">
        <v>445</v>
      </c>
      <c r="D791">
        <v>291.3</v>
      </c>
      <c r="E791">
        <v>4</v>
      </c>
      <c r="F791">
        <v>2</v>
      </c>
      <c r="G791">
        <v>5982</v>
      </c>
    </row>
    <row r="792" spans="1:7">
      <c r="A792" t="s">
        <v>568</v>
      </c>
      <c r="B792" t="s">
        <v>569</v>
      </c>
      <c r="C792" t="s">
        <v>464</v>
      </c>
      <c r="D792">
        <v>206.3</v>
      </c>
      <c r="E792">
        <v>5</v>
      </c>
      <c r="F792">
        <v>4</v>
      </c>
      <c r="G792">
        <v>5128</v>
      </c>
    </row>
    <row r="793" spans="1:7">
      <c r="A793" t="s">
        <v>568</v>
      </c>
      <c r="B793" t="s">
        <v>569</v>
      </c>
      <c r="C793" t="s">
        <v>483</v>
      </c>
      <c r="D793">
        <v>31.6</v>
      </c>
      <c r="E793">
        <v>7</v>
      </c>
      <c r="F793">
        <v>0</v>
      </c>
      <c r="G793">
        <v>6987</v>
      </c>
    </row>
    <row r="794" spans="1:7">
      <c r="A794" t="s">
        <v>570</v>
      </c>
      <c r="B794" t="s">
        <v>571</v>
      </c>
      <c r="C794" t="s">
        <v>42</v>
      </c>
      <c r="D794">
        <v>276.3</v>
      </c>
      <c r="E794">
        <v>7</v>
      </c>
      <c r="F794">
        <v>4</v>
      </c>
      <c r="G794">
        <v>2292</v>
      </c>
    </row>
    <row r="795" spans="1:7">
      <c r="A795" t="s">
        <v>570</v>
      </c>
      <c r="B795" t="s">
        <v>571</v>
      </c>
      <c r="C795" t="s">
        <v>85</v>
      </c>
      <c r="D795">
        <v>327.39999999999998</v>
      </c>
      <c r="E795">
        <v>10</v>
      </c>
      <c r="F795">
        <v>5</v>
      </c>
      <c r="G795">
        <v>1541</v>
      </c>
    </row>
    <row r="796" spans="1:7">
      <c r="A796" t="s">
        <v>570</v>
      </c>
      <c r="B796" t="s">
        <v>571</v>
      </c>
      <c r="C796" t="s">
        <v>104</v>
      </c>
      <c r="D796">
        <v>160.69999999999999</v>
      </c>
      <c r="E796">
        <v>12</v>
      </c>
      <c r="F796">
        <v>3</v>
      </c>
      <c r="G796">
        <v>5495</v>
      </c>
    </row>
    <row r="797" spans="1:7">
      <c r="A797" t="s">
        <v>570</v>
      </c>
      <c r="B797" t="s">
        <v>571</v>
      </c>
      <c r="C797" t="s">
        <v>124</v>
      </c>
      <c r="D797">
        <v>76.900000000000006</v>
      </c>
      <c r="E797">
        <v>8</v>
      </c>
      <c r="F797">
        <v>0</v>
      </c>
      <c r="G797">
        <v>6512</v>
      </c>
    </row>
    <row r="798" spans="1:7">
      <c r="A798" t="s">
        <v>570</v>
      </c>
      <c r="B798" t="s">
        <v>571</v>
      </c>
      <c r="C798" t="s">
        <v>142</v>
      </c>
      <c r="D798">
        <v>94.9</v>
      </c>
      <c r="E798">
        <v>8</v>
      </c>
      <c r="F798">
        <v>0</v>
      </c>
      <c r="G798">
        <v>5102</v>
      </c>
    </row>
    <row r="799" spans="1:7">
      <c r="A799" t="s">
        <v>570</v>
      </c>
      <c r="B799" t="s">
        <v>571</v>
      </c>
      <c r="C799" t="s">
        <v>159</v>
      </c>
      <c r="D799">
        <v>94.4</v>
      </c>
      <c r="E799">
        <v>7</v>
      </c>
      <c r="F799">
        <v>0</v>
      </c>
      <c r="G799">
        <v>4504</v>
      </c>
    </row>
    <row r="800" spans="1:7">
      <c r="A800" t="s">
        <v>570</v>
      </c>
      <c r="B800" t="s">
        <v>571</v>
      </c>
      <c r="C800" t="s">
        <v>176</v>
      </c>
      <c r="D800">
        <v>385.3</v>
      </c>
      <c r="E800">
        <v>7</v>
      </c>
      <c r="F800">
        <v>4</v>
      </c>
      <c r="G800">
        <v>1910</v>
      </c>
    </row>
    <row r="801" spans="1:7">
      <c r="A801" t="s">
        <v>570</v>
      </c>
      <c r="B801" t="s">
        <v>571</v>
      </c>
      <c r="C801" t="s">
        <v>195</v>
      </c>
      <c r="D801">
        <v>56.8</v>
      </c>
      <c r="E801">
        <v>11</v>
      </c>
      <c r="F801">
        <v>2</v>
      </c>
      <c r="G801">
        <v>4221</v>
      </c>
    </row>
    <row r="802" spans="1:7">
      <c r="A802" t="s">
        <v>570</v>
      </c>
      <c r="B802" t="s">
        <v>571</v>
      </c>
      <c r="C802" t="s">
        <v>212</v>
      </c>
      <c r="D802">
        <v>59.3</v>
      </c>
      <c r="E802">
        <v>12</v>
      </c>
      <c r="F802">
        <v>0</v>
      </c>
      <c r="G802">
        <v>4031</v>
      </c>
    </row>
    <row r="803" spans="1:7">
      <c r="A803" t="s">
        <v>570</v>
      </c>
      <c r="B803" t="s">
        <v>571</v>
      </c>
      <c r="C803" t="s">
        <v>229</v>
      </c>
      <c r="D803">
        <v>139.19999999999999</v>
      </c>
      <c r="E803">
        <v>11</v>
      </c>
      <c r="F803">
        <v>2</v>
      </c>
      <c r="G803">
        <v>4667</v>
      </c>
    </row>
    <row r="804" spans="1:7">
      <c r="A804" t="s">
        <v>570</v>
      </c>
      <c r="B804" t="s">
        <v>571</v>
      </c>
      <c r="C804" t="s">
        <v>248</v>
      </c>
      <c r="D804">
        <v>64.8</v>
      </c>
      <c r="E804">
        <v>10</v>
      </c>
      <c r="F804">
        <v>1</v>
      </c>
      <c r="G804">
        <v>4221</v>
      </c>
    </row>
    <row r="805" spans="1:7">
      <c r="A805" t="s">
        <v>570</v>
      </c>
      <c r="B805" t="s">
        <v>571</v>
      </c>
      <c r="C805" t="s">
        <v>265</v>
      </c>
      <c r="D805">
        <v>44.8</v>
      </c>
      <c r="E805">
        <v>9</v>
      </c>
      <c r="F805">
        <v>2</v>
      </c>
      <c r="G805">
        <v>6084</v>
      </c>
    </row>
    <row r="806" spans="1:7">
      <c r="A806" t="s">
        <v>570</v>
      </c>
      <c r="B806" t="s">
        <v>571</v>
      </c>
      <c r="C806" t="s">
        <v>282</v>
      </c>
      <c r="D806">
        <v>72.900000000000006</v>
      </c>
      <c r="E806">
        <v>12</v>
      </c>
      <c r="F806">
        <v>4</v>
      </c>
      <c r="G806">
        <v>2847</v>
      </c>
    </row>
    <row r="807" spans="1:7">
      <c r="A807" t="s">
        <v>570</v>
      </c>
      <c r="B807" t="s">
        <v>571</v>
      </c>
      <c r="C807" t="s">
        <v>299</v>
      </c>
      <c r="D807">
        <v>138.19999999999999</v>
      </c>
      <c r="E807">
        <v>10</v>
      </c>
      <c r="F807">
        <v>0</v>
      </c>
      <c r="G807">
        <v>2151</v>
      </c>
    </row>
    <row r="808" spans="1:7">
      <c r="A808" t="s">
        <v>570</v>
      </c>
      <c r="B808" t="s">
        <v>571</v>
      </c>
      <c r="C808" t="s">
        <v>318</v>
      </c>
      <c r="D808">
        <v>135.4</v>
      </c>
      <c r="E808">
        <v>8</v>
      </c>
      <c r="F808">
        <v>0</v>
      </c>
      <c r="G808">
        <v>1857</v>
      </c>
    </row>
    <row r="809" spans="1:7">
      <c r="A809" t="s">
        <v>570</v>
      </c>
      <c r="B809" t="s">
        <v>571</v>
      </c>
      <c r="C809" t="s">
        <v>335</v>
      </c>
      <c r="D809">
        <v>88.3</v>
      </c>
      <c r="E809">
        <v>6</v>
      </c>
      <c r="F809">
        <v>0</v>
      </c>
      <c r="G809">
        <v>3513</v>
      </c>
    </row>
    <row r="810" spans="1:7">
      <c r="A810" t="s">
        <v>570</v>
      </c>
      <c r="B810" t="s">
        <v>571</v>
      </c>
      <c r="C810" t="s">
        <v>352</v>
      </c>
      <c r="D810">
        <v>202.1</v>
      </c>
      <c r="E810">
        <v>11</v>
      </c>
      <c r="F810">
        <v>1</v>
      </c>
      <c r="G810">
        <v>1986</v>
      </c>
    </row>
    <row r="811" spans="1:7">
      <c r="A811" t="s">
        <v>570</v>
      </c>
      <c r="B811" t="s">
        <v>571</v>
      </c>
      <c r="C811" t="s">
        <v>371</v>
      </c>
      <c r="D811">
        <v>178.8</v>
      </c>
      <c r="E811">
        <v>11</v>
      </c>
      <c r="F811">
        <v>3</v>
      </c>
      <c r="G811">
        <v>2396</v>
      </c>
    </row>
    <row r="812" spans="1:7">
      <c r="A812" t="s">
        <v>570</v>
      </c>
      <c r="B812" t="s">
        <v>571</v>
      </c>
      <c r="C812" t="s">
        <v>388</v>
      </c>
      <c r="D812">
        <v>71.7</v>
      </c>
      <c r="E812">
        <v>8</v>
      </c>
      <c r="F812">
        <v>1</v>
      </c>
      <c r="G812">
        <v>4023</v>
      </c>
    </row>
    <row r="813" spans="1:7">
      <c r="A813" t="s">
        <v>570</v>
      </c>
      <c r="B813" t="s">
        <v>571</v>
      </c>
      <c r="C813" t="s">
        <v>407</v>
      </c>
      <c r="D813">
        <v>59.4</v>
      </c>
      <c r="E813">
        <v>10</v>
      </c>
      <c r="F813">
        <v>0</v>
      </c>
      <c r="G813">
        <v>3151</v>
      </c>
    </row>
    <row r="814" spans="1:7">
      <c r="A814" t="s">
        <v>570</v>
      </c>
      <c r="B814" t="s">
        <v>571</v>
      </c>
      <c r="C814" t="s">
        <v>426</v>
      </c>
      <c r="D814">
        <v>51.7</v>
      </c>
      <c r="E814">
        <v>12</v>
      </c>
      <c r="F814">
        <v>2</v>
      </c>
      <c r="G814">
        <v>4737</v>
      </c>
    </row>
    <row r="815" spans="1:7">
      <c r="A815" t="s">
        <v>570</v>
      </c>
      <c r="B815" t="s">
        <v>571</v>
      </c>
      <c r="C815" t="s">
        <v>445</v>
      </c>
      <c r="D815">
        <v>151.69999999999999</v>
      </c>
      <c r="E815">
        <v>12</v>
      </c>
      <c r="F815">
        <v>1</v>
      </c>
      <c r="G815">
        <v>3354</v>
      </c>
    </row>
    <row r="816" spans="1:7">
      <c r="A816" t="s">
        <v>570</v>
      </c>
      <c r="B816" t="s">
        <v>571</v>
      </c>
      <c r="C816" t="s">
        <v>464</v>
      </c>
      <c r="D816">
        <v>144.30000000000001</v>
      </c>
      <c r="E816">
        <v>13</v>
      </c>
      <c r="F816">
        <v>0</v>
      </c>
      <c r="G816">
        <v>2293</v>
      </c>
    </row>
    <row r="817" spans="1:7">
      <c r="A817" t="s">
        <v>570</v>
      </c>
      <c r="B817" t="s">
        <v>571</v>
      </c>
      <c r="C817" t="s">
        <v>483</v>
      </c>
      <c r="D817">
        <v>35.6</v>
      </c>
      <c r="E817">
        <v>9</v>
      </c>
      <c r="F817">
        <v>1</v>
      </c>
      <c r="G817">
        <v>4466</v>
      </c>
    </row>
    <row r="818" spans="1:7">
      <c r="A818" t="s">
        <v>572</v>
      </c>
      <c r="B818" t="s">
        <v>573</v>
      </c>
      <c r="C818" t="s">
        <v>42</v>
      </c>
      <c r="D818">
        <v>295.8</v>
      </c>
      <c r="E818">
        <v>10</v>
      </c>
      <c r="F818">
        <v>0</v>
      </c>
      <c r="G818">
        <v>2365</v>
      </c>
    </row>
    <row r="819" spans="1:7">
      <c r="A819" t="s">
        <v>572</v>
      </c>
      <c r="B819" t="s">
        <v>573</v>
      </c>
      <c r="C819" t="s">
        <v>85</v>
      </c>
      <c r="D819">
        <v>266.3</v>
      </c>
      <c r="E819">
        <v>8</v>
      </c>
      <c r="F819">
        <v>4</v>
      </c>
      <c r="G819">
        <v>2016</v>
      </c>
    </row>
    <row r="820" spans="1:7">
      <c r="A820" t="s">
        <v>572</v>
      </c>
      <c r="B820" t="s">
        <v>573</v>
      </c>
      <c r="C820" t="s">
        <v>104</v>
      </c>
      <c r="D820">
        <v>136.1</v>
      </c>
      <c r="E820">
        <v>11</v>
      </c>
      <c r="F820">
        <v>0</v>
      </c>
      <c r="G820">
        <v>5200</v>
      </c>
    </row>
    <row r="821" spans="1:7">
      <c r="A821" t="s">
        <v>572</v>
      </c>
      <c r="B821" t="s">
        <v>573</v>
      </c>
      <c r="C821" t="s">
        <v>124</v>
      </c>
      <c r="D821">
        <v>105</v>
      </c>
      <c r="E821">
        <v>7</v>
      </c>
      <c r="F821">
        <v>0</v>
      </c>
      <c r="G821">
        <v>6546</v>
      </c>
    </row>
    <row r="822" spans="1:7">
      <c r="A822" t="s">
        <v>572</v>
      </c>
      <c r="B822" t="s">
        <v>573</v>
      </c>
      <c r="C822" t="s">
        <v>142</v>
      </c>
      <c r="D822">
        <v>112.4</v>
      </c>
      <c r="E822">
        <v>13</v>
      </c>
      <c r="F822">
        <v>0</v>
      </c>
      <c r="G822">
        <v>7128</v>
      </c>
    </row>
    <row r="823" spans="1:7">
      <c r="A823" t="s">
        <v>572</v>
      </c>
      <c r="B823" t="s">
        <v>573</v>
      </c>
      <c r="C823" t="s">
        <v>159</v>
      </c>
      <c r="D823">
        <v>88.8</v>
      </c>
      <c r="E823">
        <v>12</v>
      </c>
      <c r="F823">
        <v>0</v>
      </c>
      <c r="G823">
        <v>6200</v>
      </c>
    </row>
    <row r="824" spans="1:7">
      <c r="A824" t="s">
        <v>572</v>
      </c>
      <c r="B824" t="s">
        <v>573</v>
      </c>
      <c r="C824" t="s">
        <v>176</v>
      </c>
      <c r="D824">
        <v>356.1</v>
      </c>
      <c r="E824">
        <v>7</v>
      </c>
      <c r="F824">
        <v>3</v>
      </c>
      <c r="G824">
        <v>1959</v>
      </c>
    </row>
    <row r="825" spans="1:7">
      <c r="A825" t="s">
        <v>572</v>
      </c>
      <c r="B825" t="s">
        <v>573</v>
      </c>
      <c r="C825" t="s">
        <v>195</v>
      </c>
      <c r="D825">
        <v>64.7</v>
      </c>
      <c r="E825">
        <v>13</v>
      </c>
      <c r="F825">
        <v>0</v>
      </c>
      <c r="G825">
        <v>5289</v>
      </c>
    </row>
    <row r="826" spans="1:7">
      <c r="A826" t="s">
        <v>572</v>
      </c>
      <c r="B826" t="s">
        <v>573</v>
      </c>
      <c r="C826" t="s">
        <v>212</v>
      </c>
      <c r="D826">
        <v>69.8</v>
      </c>
      <c r="E826">
        <v>9</v>
      </c>
      <c r="F826">
        <v>0</v>
      </c>
      <c r="G826">
        <v>4057</v>
      </c>
    </row>
    <row r="827" spans="1:7">
      <c r="A827" t="s">
        <v>572</v>
      </c>
      <c r="B827" t="s">
        <v>573</v>
      </c>
      <c r="C827" t="s">
        <v>229</v>
      </c>
      <c r="D827">
        <v>142</v>
      </c>
      <c r="E827">
        <v>16</v>
      </c>
      <c r="F827">
        <v>3</v>
      </c>
      <c r="G827">
        <v>5606</v>
      </c>
    </row>
    <row r="828" spans="1:7">
      <c r="A828" t="s">
        <v>572</v>
      </c>
      <c r="B828" t="s">
        <v>573</v>
      </c>
      <c r="C828" t="s">
        <v>248</v>
      </c>
      <c r="D828">
        <v>90.2</v>
      </c>
      <c r="E828">
        <v>13</v>
      </c>
      <c r="F828">
        <v>2</v>
      </c>
      <c r="G828">
        <v>5132</v>
      </c>
    </row>
    <row r="829" spans="1:7">
      <c r="A829" t="s">
        <v>572</v>
      </c>
      <c r="B829" t="s">
        <v>573</v>
      </c>
      <c r="C829" t="s">
        <v>265</v>
      </c>
      <c r="D829">
        <v>34</v>
      </c>
      <c r="E829">
        <v>11</v>
      </c>
      <c r="F829">
        <v>0</v>
      </c>
      <c r="G829">
        <v>6937</v>
      </c>
    </row>
    <row r="830" spans="1:7">
      <c r="A830" t="s">
        <v>572</v>
      </c>
      <c r="B830" t="s">
        <v>573</v>
      </c>
      <c r="C830" t="s">
        <v>282</v>
      </c>
      <c r="D830">
        <v>87.5</v>
      </c>
      <c r="E830">
        <v>10</v>
      </c>
      <c r="F830">
        <v>2</v>
      </c>
      <c r="G830">
        <v>3134</v>
      </c>
    </row>
    <row r="831" spans="1:7">
      <c r="A831" t="s">
        <v>572</v>
      </c>
      <c r="B831" t="s">
        <v>573</v>
      </c>
      <c r="C831" t="s">
        <v>299</v>
      </c>
      <c r="D831">
        <v>107.2</v>
      </c>
      <c r="E831">
        <v>8</v>
      </c>
      <c r="F831">
        <v>3</v>
      </c>
      <c r="G831">
        <v>3207</v>
      </c>
    </row>
    <row r="832" spans="1:7">
      <c r="A832" t="s">
        <v>572</v>
      </c>
      <c r="B832" t="s">
        <v>573</v>
      </c>
      <c r="C832" t="s">
        <v>318</v>
      </c>
      <c r="D832">
        <v>100.5</v>
      </c>
      <c r="E832">
        <v>9</v>
      </c>
      <c r="F832">
        <v>1</v>
      </c>
      <c r="G832">
        <v>2277</v>
      </c>
    </row>
    <row r="833" spans="1:7">
      <c r="A833" t="s">
        <v>572</v>
      </c>
      <c r="B833" t="s">
        <v>573</v>
      </c>
      <c r="C833" t="s">
        <v>335</v>
      </c>
      <c r="D833">
        <v>92.5</v>
      </c>
      <c r="E833">
        <v>10</v>
      </c>
      <c r="F833">
        <v>2</v>
      </c>
      <c r="G833">
        <v>3349</v>
      </c>
    </row>
    <row r="834" spans="1:7">
      <c r="A834" t="s">
        <v>572</v>
      </c>
      <c r="B834" t="s">
        <v>573</v>
      </c>
      <c r="C834" t="s">
        <v>352</v>
      </c>
      <c r="D834">
        <v>215.5</v>
      </c>
      <c r="E834">
        <v>9</v>
      </c>
      <c r="F834">
        <v>2</v>
      </c>
      <c r="G834">
        <v>2082</v>
      </c>
    </row>
    <row r="835" spans="1:7">
      <c r="A835" t="s">
        <v>572</v>
      </c>
      <c r="B835" t="s">
        <v>573</v>
      </c>
      <c r="C835" t="s">
        <v>371</v>
      </c>
      <c r="D835">
        <v>110.9</v>
      </c>
      <c r="E835">
        <v>9</v>
      </c>
      <c r="F835">
        <v>1</v>
      </c>
      <c r="G835">
        <v>2947</v>
      </c>
    </row>
    <row r="836" spans="1:7">
      <c r="A836" t="s">
        <v>572</v>
      </c>
      <c r="B836" t="s">
        <v>573</v>
      </c>
      <c r="C836" t="s">
        <v>388</v>
      </c>
      <c r="D836">
        <v>57.7</v>
      </c>
      <c r="E836">
        <v>11</v>
      </c>
      <c r="F836">
        <v>0</v>
      </c>
      <c r="G836">
        <v>3653</v>
      </c>
    </row>
    <row r="837" spans="1:7">
      <c r="A837" t="s">
        <v>572</v>
      </c>
      <c r="B837" t="s">
        <v>573</v>
      </c>
      <c r="C837" t="s">
        <v>407</v>
      </c>
      <c r="D837">
        <v>52</v>
      </c>
      <c r="E837">
        <v>11</v>
      </c>
      <c r="F837">
        <v>3</v>
      </c>
      <c r="G837">
        <v>4452</v>
      </c>
    </row>
    <row r="838" spans="1:7">
      <c r="A838" t="s">
        <v>572</v>
      </c>
      <c r="B838" t="s">
        <v>573</v>
      </c>
      <c r="C838" t="s">
        <v>426</v>
      </c>
      <c r="D838">
        <v>35.6</v>
      </c>
      <c r="E838">
        <v>11</v>
      </c>
      <c r="F838">
        <v>1</v>
      </c>
      <c r="G838">
        <v>5425</v>
      </c>
    </row>
    <row r="839" spans="1:7">
      <c r="A839" t="s">
        <v>572</v>
      </c>
      <c r="B839" t="s">
        <v>573</v>
      </c>
      <c r="C839" t="s">
        <v>445</v>
      </c>
      <c r="D839">
        <v>207.1</v>
      </c>
      <c r="E839">
        <v>7</v>
      </c>
      <c r="F839">
        <v>2</v>
      </c>
      <c r="G839">
        <v>3781</v>
      </c>
    </row>
    <row r="840" spans="1:7">
      <c r="A840" t="s">
        <v>572</v>
      </c>
      <c r="B840" t="s">
        <v>573</v>
      </c>
      <c r="C840" t="s">
        <v>464</v>
      </c>
      <c r="D840">
        <v>182.6</v>
      </c>
      <c r="E840">
        <v>8</v>
      </c>
      <c r="F840">
        <v>1</v>
      </c>
      <c r="G840">
        <v>1976</v>
      </c>
    </row>
    <row r="841" spans="1:7">
      <c r="A841" t="s">
        <v>572</v>
      </c>
      <c r="B841" t="s">
        <v>573</v>
      </c>
      <c r="C841" t="s">
        <v>483</v>
      </c>
      <c r="D841">
        <v>31.7</v>
      </c>
      <c r="E841">
        <v>10</v>
      </c>
      <c r="F841">
        <v>0</v>
      </c>
      <c r="G841">
        <v>4257</v>
      </c>
    </row>
    <row r="842" spans="1:7">
      <c r="A842" t="s">
        <v>574</v>
      </c>
      <c r="B842" t="s">
        <v>575</v>
      </c>
      <c r="C842" t="s">
        <v>42</v>
      </c>
      <c r="D842">
        <v>317.10000000000002</v>
      </c>
      <c r="E842">
        <v>5</v>
      </c>
      <c r="F842">
        <v>4</v>
      </c>
      <c r="G842">
        <v>2257</v>
      </c>
    </row>
    <row r="843" spans="1:7">
      <c r="A843" t="s">
        <v>574</v>
      </c>
      <c r="B843" t="s">
        <v>575</v>
      </c>
      <c r="C843" t="s">
        <v>85</v>
      </c>
      <c r="D843">
        <v>302.60000000000002</v>
      </c>
      <c r="E843">
        <v>7</v>
      </c>
      <c r="F843">
        <v>3</v>
      </c>
      <c r="G843">
        <v>2133</v>
      </c>
    </row>
    <row r="844" spans="1:7">
      <c r="A844" t="s">
        <v>574</v>
      </c>
      <c r="B844" t="s">
        <v>575</v>
      </c>
      <c r="C844" t="s">
        <v>104</v>
      </c>
      <c r="D844">
        <v>147</v>
      </c>
      <c r="E844">
        <v>12</v>
      </c>
      <c r="F844">
        <v>1</v>
      </c>
      <c r="G844">
        <v>5236</v>
      </c>
    </row>
    <row r="845" spans="1:7">
      <c r="A845" t="s">
        <v>574</v>
      </c>
      <c r="B845" t="s">
        <v>575</v>
      </c>
      <c r="C845" t="s">
        <v>124</v>
      </c>
      <c r="D845">
        <v>71.099999999999994</v>
      </c>
      <c r="E845">
        <v>10</v>
      </c>
      <c r="F845">
        <v>1</v>
      </c>
      <c r="G845">
        <v>6734</v>
      </c>
    </row>
    <row r="846" spans="1:7">
      <c r="A846" t="s">
        <v>574</v>
      </c>
      <c r="B846" t="s">
        <v>575</v>
      </c>
      <c r="C846" t="s">
        <v>142</v>
      </c>
      <c r="D846">
        <v>93.9</v>
      </c>
      <c r="E846">
        <v>11</v>
      </c>
      <c r="F846">
        <v>0</v>
      </c>
      <c r="G846">
        <v>6304</v>
      </c>
    </row>
    <row r="847" spans="1:7">
      <c r="A847" t="s">
        <v>574</v>
      </c>
      <c r="B847" t="s">
        <v>575</v>
      </c>
      <c r="C847" t="s">
        <v>159</v>
      </c>
      <c r="D847">
        <v>103.7</v>
      </c>
      <c r="E847">
        <v>10</v>
      </c>
      <c r="F847">
        <v>4</v>
      </c>
      <c r="G847">
        <v>5389</v>
      </c>
    </row>
    <row r="848" spans="1:7">
      <c r="A848" t="s">
        <v>574</v>
      </c>
      <c r="B848" t="s">
        <v>575</v>
      </c>
      <c r="C848" t="s">
        <v>176</v>
      </c>
      <c r="D848">
        <v>375.6</v>
      </c>
      <c r="E848">
        <v>10</v>
      </c>
      <c r="F848">
        <v>4</v>
      </c>
      <c r="G848">
        <v>1893</v>
      </c>
    </row>
    <row r="849" spans="1:7">
      <c r="A849" t="s">
        <v>574</v>
      </c>
      <c r="B849" t="s">
        <v>575</v>
      </c>
      <c r="C849" t="s">
        <v>195</v>
      </c>
      <c r="D849">
        <v>54.6</v>
      </c>
      <c r="E849">
        <v>10</v>
      </c>
      <c r="F849">
        <v>0</v>
      </c>
      <c r="G849">
        <v>4301</v>
      </c>
    </row>
    <row r="850" spans="1:7">
      <c r="A850" t="s">
        <v>574</v>
      </c>
      <c r="B850" t="s">
        <v>575</v>
      </c>
      <c r="C850" t="s">
        <v>212</v>
      </c>
      <c r="D850">
        <v>57.2</v>
      </c>
      <c r="E850">
        <v>7</v>
      </c>
      <c r="F850">
        <v>1</v>
      </c>
      <c r="G850">
        <v>4487</v>
      </c>
    </row>
    <row r="851" spans="1:7">
      <c r="A851" t="s">
        <v>574</v>
      </c>
      <c r="B851" t="s">
        <v>575</v>
      </c>
      <c r="C851" t="s">
        <v>229</v>
      </c>
      <c r="D851">
        <v>112.5</v>
      </c>
      <c r="E851">
        <v>11</v>
      </c>
      <c r="F851">
        <v>0</v>
      </c>
      <c r="G851">
        <v>5019</v>
      </c>
    </row>
    <row r="852" spans="1:7">
      <c r="A852" t="s">
        <v>574</v>
      </c>
      <c r="B852" t="s">
        <v>575</v>
      </c>
      <c r="C852" t="s">
        <v>248</v>
      </c>
      <c r="D852">
        <v>58.6</v>
      </c>
      <c r="E852">
        <v>13</v>
      </c>
      <c r="F852">
        <v>0</v>
      </c>
      <c r="G852">
        <v>5613</v>
      </c>
    </row>
    <row r="853" spans="1:7">
      <c r="A853" t="s">
        <v>574</v>
      </c>
      <c r="B853" t="s">
        <v>575</v>
      </c>
      <c r="C853" t="s">
        <v>265</v>
      </c>
      <c r="D853">
        <v>31.4</v>
      </c>
      <c r="E853">
        <v>9</v>
      </c>
      <c r="F853">
        <v>1</v>
      </c>
      <c r="G853">
        <v>8172</v>
      </c>
    </row>
    <row r="854" spans="1:7">
      <c r="A854" t="s">
        <v>574</v>
      </c>
      <c r="B854" t="s">
        <v>575</v>
      </c>
      <c r="C854" t="s">
        <v>282</v>
      </c>
      <c r="D854">
        <v>97.4</v>
      </c>
      <c r="E854">
        <v>9</v>
      </c>
      <c r="F854">
        <v>0</v>
      </c>
      <c r="G854">
        <v>2402</v>
      </c>
    </row>
    <row r="855" spans="1:7">
      <c r="A855" t="s">
        <v>574</v>
      </c>
      <c r="B855" t="s">
        <v>575</v>
      </c>
      <c r="C855" t="s">
        <v>299</v>
      </c>
      <c r="D855">
        <v>112.3</v>
      </c>
      <c r="E855">
        <v>9</v>
      </c>
      <c r="F855">
        <v>0</v>
      </c>
      <c r="G855">
        <v>3122</v>
      </c>
    </row>
    <row r="856" spans="1:7">
      <c r="A856" t="s">
        <v>574</v>
      </c>
      <c r="B856" t="s">
        <v>575</v>
      </c>
      <c r="C856" t="s">
        <v>318</v>
      </c>
      <c r="D856">
        <v>132.4</v>
      </c>
      <c r="E856">
        <v>12</v>
      </c>
      <c r="F856">
        <v>2</v>
      </c>
      <c r="G856">
        <v>2518</v>
      </c>
    </row>
    <row r="857" spans="1:7">
      <c r="A857" t="s">
        <v>574</v>
      </c>
      <c r="B857" t="s">
        <v>575</v>
      </c>
      <c r="C857" t="s">
        <v>335</v>
      </c>
      <c r="D857">
        <v>80.099999999999994</v>
      </c>
      <c r="E857">
        <v>9</v>
      </c>
      <c r="F857">
        <v>2</v>
      </c>
      <c r="G857">
        <v>3143</v>
      </c>
    </row>
    <row r="858" spans="1:7">
      <c r="A858" t="s">
        <v>574</v>
      </c>
      <c r="B858" t="s">
        <v>575</v>
      </c>
      <c r="C858" t="s">
        <v>352</v>
      </c>
      <c r="D858">
        <v>376.5</v>
      </c>
      <c r="E858">
        <v>10</v>
      </c>
      <c r="F858">
        <v>4</v>
      </c>
      <c r="G858">
        <v>2331</v>
      </c>
    </row>
    <row r="859" spans="1:7">
      <c r="A859" t="s">
        <v>574</v>
      </c>
      <c r="B859" t="s">
        <v>575</v>
      </c>
      <c r="C859" t="s">
        <v>371</v>
      </c>
      <c r="D859">
        <v>202.5</v>
      </c>
      <c r="E859">
        <v>11</v>
      </c>
      <c r="F859">
        <v>0</v>
      </c>
      <c r="G859">
        <v>3734</v>
      </c>
    </row>
    <row r="860" spans="1:7">
      <c r="A860" t="s">
        <v>574</v>
      </c>
      <c r="B860" t="s">
        <v>575</v>
      </c>
      <c r="C860" t="s">
        <v>388</v>
      </c>
      <c r="D860">
        <v>56.8</v>
      </c>
      <c r="E860">
        <v>10</v>
      </c>
      <c r="F860">
        <v>0</v>
      </c>
      <c r="G860">
        <v>4874</v>
      </c>
    </row>
    <row r="861" spans="1:7">
      <c r="A861" t="s">
        <v>574</v>
      </c>
      <c r="B861" t="s">
        <v>575</v>
      </c>
      <c r="C861" t="s">
        <v>407</v>
      </c>
      <c r="D861">
        <v>49.6</v>
      </c>
      <c r="E861">
        <v>10</v>
      </c>
      <c r="F861">
        <v>0</v>
      </c>
      <c r="G861">
        <v>5314</v>
      </c>
    </row>
    <row r="862" spans="1:7">
      <c r="A862" t="s">
        <v>574</v>
      </c>
      <c r="B862" t="s">
        <v>575</v>
      </c>
      <c r="C862" t="s">
        <v>426</v>
      </c>
      <c r="D862">
        <v>61.8</v>
      </c>
      <c r="E862">
        <v>12</v>
      </c>
      <c r="F862">
        <v>1</v>
      </c>
      <c r="G862">
        <v>5375</v>
      </c>
    </row>
    <row r="863" spans="1:7">
      <c r="A863" t="s">
        <v>574</v>
      </c>
      <c r="B863" t="s">
        <v>575</v>
      </c>
      <c r="C863" t="s">
        <v>445</v>
      </c>
      <c r="D863">
        <v>226.8</v>
      </c>
      <c r="E863">
        <v>9</v>
      </c>
      <c r="F863">
        <v>2</v>
      </c>
      <c r="G863">
        <v>4232</v>
      </c>
    </row>
    <row r="864" spans="1:7">
      <c r="A864" t="s">
        <v>574</v>
      </c>
      <c r="B864" t="s">
        <v>575</v>
      </c>
      <c r="C864" t="s">
        <v>464</v>
      </c>
      <c r="D864">
        <v>146.80000000000001</v>
      </c>
      <c r="E864">
        <v>9</v>
      </c>
      <c r="F864">
        <v>0</v>
      </c>
      <c r="G864">
        <v>3026</v>
      </c>
    </row>
    <row r="865" spans="1:7">
      <c r="A865" t="s">
        <v>574</v>
      </c>
      <c r="B865" t="s">
        <v>575</v>
      </c>
      <c r="C865" t="s">
        <v>483</v>
      </c>
      <c r="D865">
        <v>47.7</v>
      </c>
      <c r="E865">
        <v>13</v>
      </c>
      <c r="F865">
        <v>3</v>
      </c>
      <c r="G865">
        <v>4009</v>
      </c>
    </row>
    <row r="866" spans="1:7">
      <c r="A866" t="s">
        <v>576</v>
      </c>
      <c r="B866" t="s">
        <v>577</v>
      </c>
      <c r="C866" t="s">
        <v>42</v>
      </c>
      <c r="D866">
        <v>365.6</v>
      </c>
      <c r="E866">
        <v>7</v>
      </c>
      <c r="F866">
        <v>4</v>
      </c>
      <c r="G866">
        <v>2449</v>
      </c>
    </row>
    <row r="867" spans="1:7">
      <c r="A867" t="s">
        <v>576</v>
      </c>
      <c r="B867" t="s">
        <v>577</v>
      </c>
      <c r="C867" t="s">
        <v>85</v>
      </c>
      <c r="D867">
        <v>284.60000000000002</v>
      </c>
      <c r="E867">
        <v>6</v>
      </c>
      <c r="F867">
        <v>1</v>
      </c>
      <c r="G867">
        <v>1701</v>
      </c>
    </row>
    <row r="868" spans="1:7">
      <c r="A868" t="s">
        <v>576</v>
      </c>
      <c r="B868" t="s">
        <v>577</v>
      </c>
      <c r="C868" t="s">
        <v>104</v>
      </c>
      <c r="D868">
        <v>151.5</v>
      </c>
      <c r="E868">
        <v>16</v>
      </c>
      <c r="F868">
        <v>3</v>
      </c>
      <c r="G868">
        <v>4530</v>
      </c>
    </row>
    <row r="869" spans="1:7">
      <c r="A869" t="s">
        <v>576</v>
      </c>
      <c r="B869" t="s">
        <v>577</v>
      </c>
      <c r="C869" t="s">
        <v>124</v>
      </c>
      <c r="D869">
        <v>244</v>
      </c>
      <c r="E869">
        <v>14</v>
      </c>
      <c r="F869">
        <v>0</v>
      </c>
      <c r="G869">
        <v>6267</v>
      </c>
    </row>
    <row r="870" spans="1:7">
      <c r="A870" t="s">
        <v>576</v>
      </c>
      <c r="B870" t="s">
        <v>577</v>
      </c>
      <c r="C870" t="s">
        <v>142</v>
      </c>
      <c r="D870">
        <v>116.5</v>
      </c>
      <c r="E870">
        <v>13</v>
      </c>
      <c r="F870">
        <v>0</v>
      </c>
      <c r="G870">
        <v>6257</v>
      </c>
    </row>
    <row r="871" spans="1:7">
      <c r="A871" t="s">
        <v>576</v>
      </c>
      <c r="B871" t="s">
        <v>577</v>
      </c>
      <c r="C871" t="s">
        <v>159</v>
      </c>
      <c r="D871">
        <v>71</v>
      </c>
      <c r="E871">
        <v>9</v>
      </c>
      <c r="F871">
        <v>2</v>
      </c>
      <c r="G871">
        <v>5231</v>
      </c>
    </row>
    <row r="872" spans="1:7">
      <c r="A872" t="s">
        <v>576</v>
      </c>
      <c r="B872" t="s">
        <v>577</v>
      </c>
      <c r="C872" t="s">
        <v>176</v>
      </c>
      <c r="D872">
        <v>526.29999999999995</v>
      </c>
      <c r="E872">
        <v>11</v>
      </c>
      <c r="F872">
        <v>7</v>
      </c>
      <c r="G872">
        <v>2079</v>
      </c>
    </row>
    <row r="873" spans="1:7">
      <c r="A873" t="s">
        <v>576</v>
      </c>
      <c r="B873" t="s">
        <v>577</v>
      </c>
      <c r="C873" t="s">
        <v>195</v>
      </c>
      <c r="D873">
        <v>154.6</v>
      </c>
      <c r="E873">
        <v>14</v>
      </c>
      <c r="F873">
        <v>3</v>
      </c>
      <c r="G873">
        <v>4819</v>
      </c>
    </row>
    <row r="874" spans="1:7">
      <c r="A874" t="s">
        <v>576</v>
      </c>
      <c r="B874" t="s">
        <v>577</v>
      </c>
      <c r="C874" t="s">
        <v>212</v>
      </c>
      <c r="D874">
        <v>112.1</v>
      </c>
      <c r="E874">
        <v>9</v>
      </c>
      <c r="F874">
        <v>0</v>
      </c>
      <c r="G874">
        <v>3403</v>
      </c>
    </row>
    <row r="875" spans="1:7">
      <c r="A875" t="s">
        <v>576</v>
      </c>
      <c r="B875" t="s">
        <v>577</v>
      </c>
      <c r="C875" t="s">
        <v>229</v>
      </c>
      <c r="D875">
        <v>285.8</v>
      </c>
      <c r="E875">
        <v>12</v>
      </c>
      <c r="F875">
        <v>5</v>
      </c>
      <c r="G875">
        <v>4748</v>
      </c>
    </row>
    <row r="876" spans="1:7">
      <c r="A876" t="s">
        <v>576</v>
      </c>
      <c r="B876" t="s">
        <v>577</v>
      </c>
      <c r="C876" t="s">
        <v>248</v>
      </c>
      <c r="D876">
        <v>129.19999999999999</v>
      </c>
      <c r="E876">
        <v>14</v>
      </c>
      <c r="F876">
        <v>1</v>
      </c>
      <c r="G876">
        <v>4804</v>
      </c>
    </row>
    <row r="877" spans="1:7">
      <c r="A877" t="s">
        <v>576</v>
      </c>
      <c r="B877" t="s">
        <v>577</v>
      </c>
      <c r="C877" t="s">
        <v>265</v>
      </c>
      <c r="D877">
        <v>84.6</v>
      </c>
      <c r="E877">
        <v>14</v>
      </c>
      <c r="F877">
        <v>2</v>
      </c>
      <c r="G877">
        <v>5369</v>
      </c>
    </row>
    <row r="878" spans="1:7">
      <c r="A878" t="s">
        <v>576</v>
      </c>
      <c r="B878" t="s">
        <v>577</v>
      </c>
      <c r="C878" t="s">
        <v>282</v>
      </c>
      <c r="D878">
        <v>92.4</v>
      </c>
      <c r="E878">
        <v>13</v>
      </c>
      <c r="F878">
        <v>1</v>
      </c>
      <c r="G878">
        <v>2836</v>
      </c>
    </row>
    <row r="879" spans="1:7">
      <c r="A879" t="s">
        <v>576</v>
      </c>
      <c r="B879" t="s">
        <v>577</v>
      </c>
      <c r="C879" t="s">
        <v>299</v>
      </c>
      <c r="D879">
        <v>42</v>
      </c>
      <c r="E879">
        <v>7</v>
      </c>
      <c r="F879">
        <v>1</v>
      </c>
      <c r="G879">
        <v>2393</v>
      </c>
    </row>
    <row r="880" spans="1:7">
      <c r="A880" t="s">
        <v>576</v>
      </c>
      <c r="B880" t="s">
        <v>577</v>
      </c>
      <c r="C880" t="s">
        <v>318</v>
      </c>
      <c r="D880">
        <v>117.6</v>
      </c>
      <c r="E880">
        <v>12</v>
      </c>
      <c r="F880">
        <v>2</v>
      </c>
      <c r="G880">
        <v>1915</v>
      </c>
    </row>
    <row r="881" spans="1:7">
      <c r="A881" t="s">
        <v>576</v>
      </c>
      <c r="B881" t="s">
        <v>577</v>
      </c>
      <c r="C881" t="s">
        <v>335</v>
      </c>
      <c r="D881">
        <v>171.8</v>
      </c>
      <c r="E881">
        <v>9</v>
      </c>
      <c r="F881">
        <v>2</v>
      </c>
      <c r="G881">
        <v>3386</v>
      </c>
    </row>
    <row r="882" spans="1:7">
      <c r="A882" t="s">
        <v>576</v>
      </c>
      <c r="B882" t="s">
        <v>577</v>
      </c>
      <c r="C882" t="s">
        <v>352</v>
      </c>
      <c r="D882">
        <v>213.6</v>
      </c>
      <c r="E882">
        <v>10</v>
      </c>
      <c r="F882">
        <v>2</v>
      </c>
      <c r="G882">
        <v>1663</v>
      </c>
    </row>
    <row r="883" spans="1:7">
      <c r="A883" t="s">
        <v>576</v>
      </c>
      <c r="B883" t="s">
        <v>577</v>
      </c>
      <c r="C883" t="s">
        <v>371</v>
      </c>
      <c r="D883">
        <v>264.10000000000002</v>
      </c>
      <c r="E883">
        <v>13</v>
      </c>
      <c r="F883">
        <v>3</v>
      </c>
      <c r="G883">
        <v>2490</v>
      </c>
    </row>
    <row r="884" spans="1:7">
      <c r="A884" t="s">
        <v>576</v>
      </c>
      <c r="B884" t="s">
        <v>577</v>
      </c>
      <c r="C884" t="s">
        <v>388</v>
      </c>
      <c r="D884">
        <v>46.9</v>
      </c>
      <c r="E884">
        <v>9</v>
      </c>
      <c r="F884">
        <v>3</v>
      </c>
      <c r="G884">
        <v>4056</v>
      </c>
    </row>
    <row r="885" spans="1:7">
      <c r="A885" t="s">
        <v>576</v>
      </c>
      <c r="B885" t="s">
        <v>577</v>
      </c>
      <c r="C885" t="s">
        <v>407</v>
      </c>
      <c r="D885">
        <v>101.7</v>
      </c>
      <c r="E885">
        <v>10</v>
      </c>
      <c r="F885">
        <v>2</v>
      </c>
      <c r="G885">
        <v>3341</v>
      </c>
    </row>
    <row r="886" spans="1:7">
      <c r="A886" t="s">
        <v>576</v>
      </c>
      <c r="B886" t="s">
        <v>577</v>
      </c>
      <c r="C886" t="s">
        <v>426</v>
      </c>
      <c r="D886">
        <v>52.3</v>
      </c>
      <c r="E886">
        <v>11</v>
      </c>
      <c r="F886">
        <v>2</v>
      </c>
      <c r="G886">
        <v>4608</v>
      </c>
    </row>
    <row r="887" spans="1:7">
      <c r="A887" t="s">
        <v>576</v>
      </c>
      <c r="B887" t="s">
        <v>577</v>
      </c>
      <c r="C887" t="s">
        <v>445</v>
      </c>
      <c r="D887">
        <v>254.1</v>
      </c>
      <c r="E887">
        <v>10</v>
      </c>
      <c r="F887">
        <v>2</v>
      </c>
      <c r="G887">
        <v>3576</v>
      </c>
    </row>
    <row r="888" spans="1:7">
      <c r="A888" t="s">
        <v>576</v>
      </c>
      <c r="B888" t="s">
        <v>577</v>
      </c>
      <c r="C888" t="s">
        <v>464</v>
      </c>
      <c r="D888">
        <v>153.30000000000001</v>
      </c>
      <c r="E888">
        <v>8</v>
      </c>
      <c r="F888">
        <v>4</v>
      </c>
      <c r="G888">
        <v>2828</v>
      </c>
    </row>
    <row r="889" spans="1:7">
      <c r="A889" t="s">
        <v>576</v>
      </c>
      <c r="B889" t="s">
        <v>577</v>
      </c>
      <c r="C889" t="s">
        <v>483</v>
      </c>
      <c r="D889">
        <v>31</v>
      </c>
      <c r="E889">
        <v>13</v>
      </c>
      <c r="F889">
        <v>0</v>
      </c>
      <c r="G889">
        <v>3476</v>
      </c>
    </row>
    <row r="890" spans="1:7">
      <c r="A890" t="s">
        <v>578</v>
      </c>
      <c r="B890" t="s">
        <v>579</v>
      </c>
      <c r="C890" t="s">
        <v>42</v>
      </c>
      <c r="D890">
        <v>377.6</v>
      </c>
      <c r="E890">
        <v>6</v>
      </c>
      <c r="F890">
        <v>6</v>
      </c>
      <c r="G890">
        <v>2675</v>
      </c>
    </row>
    <row r="891" spans="1:7">
      <c r="A891" t="s">
        <v>578</v>
      </c>
      <c r="B891" t="s">
        <v>579</v>
      </c>
      <c r="C891" t="s">
        <v>85</v>
      </c>
      <c r="D891">
        <v>270.7</v>
      </c>
      <c r="E891">
        <v>10</v>
      </c>
      <c r="F891">
        <v>4</v>
      </c>
      <c r="G891">
        <v>2210</v>
      </c>
    </row>
    <row r="892" spans="1:7">
      <c r="A892" t="s">
        <v>578</v>
      </c>
      <c r="B892" t="s">
        <v>579</v>
      </c>
      <c r="C892" t="s">
        <v>104</v>
      </c>
      <c r="D892">
        <v>157</v>
      </c>
      <c r="E892">
        <v>12</v>
      </c>
      <c r="F892">
        <v>0</v>
      </c>
      <c r="G892">
        <v>6694</v>
      </c>
    </row>
    <row r="893" spans="1:7">
      <c r="A893" t="s">
        <v>578</v>
      </c>
      <c r="B893" t="s">
        <v>579</v>
      </c>
      <c r="C893" t="s">
        <v>124</v>
      </c>
      <c r="D893">
        <v>202.1</v>
      </c>
      <c r="E893">
        <v>15</v>
      </c>
      <c r="F893">
        <v>4</v>
      </c>
      <c r="G893">
        <v>6948</v>
      </c>
    </row>
    <row r="894" spans="1:7">
      <c r="A894" t="s">
        <v>578</v>
      </c>
      <c r="B894" t="s">
        <v>579</v>
      </c>
      <c r="C894" t="s">
        <v>142</v>
      </c>
      <c r="D894">
        <v>91.9</v>
      </c>
      <c r="E894">
        <v>13</v>
      </c>
      <c r="F894">
        <v>2</v>
      </c>
      <c r="G894">
        <v>7795</v>
      </c>
    </row>
    <row r="895" spans="1:7">
      <c r="A895" t="s">
        <v>578</v>
      </c>
      <c r="B895" t="s">
        <v>579</v>
      </c>
      <c r="C895" t="s">
        <v>159</v>
      </c>
      <c r="D895">
        <v>106</v>
      </c>
      <c r="E895">
        <v>9</v>
      </c>
      <c r="F895">
        <v>1</v>
      </c>
      <c r="G895">
        <v>5178</v>
      </c>
    </row>
    <row r="896" spans="1:7">
      <c r="A896" t="s">
        <v>578</v>
      </c>
      <c r="B896" t="s">
        <v>579</v>
      </c>
      <c r="C896" t="s">
        <v>176</v>
      </c>
      <c r="D896">
        <v>401.2</v>
      </c>
      <c r="E896">
        <v>10</v>
      </c>
      <c r="F896">
        <v>6</v>
      </c>
      <c r="G896">
        <v>1899</v>
      </c>
    </row>
    <row r="897" spans="1:7">
      <c r="A897" t="s">
        <v>578</v>
      </c>
      <c r="B897" t="s">
        <v>579</v>
      </c>
      <c r="C897" t="s">
        <v>195</v>
      </c>
      <c r="D897">
        <v>77.599999999999994</v>
      </c>
      <c r="E897">
        <v>16</v>
      </c>
      <c r="F897">
        <v>1</v>
      </c>
      <c r="G897">
        <v>5681</v>
      </c>
    </row>
    <row r="898" spans="1:7">
      <c r="A898" t="s">
        <v>578</v>
      </c>
      <c r="B898" t="s">
        <v>579</v>
      </c>
      <c r="C898" t="s">
        <v>212</v>
      </c>
      <c r="D898">
        <v>68.3</v>
      </c>
      <c r="E898">
        <v>14</v>
      </c>
      <c r="F898">
        <v>0</v>
      </c>
      <c r="G898">
        <v>4724</v>
      </c>
    </row>
    <row r="899" spans="1:7">
      <c r="A899" t="s">
        <v>578</v>
      </c>
      <c r="B899" t="s">
        <v>579</v>
      </c>
      <c r="C899" t="s">
        <v>229</v>
      </c>
      <c r="D899">
        <v>114.4</v>
      </c>
      <c r="E899">
        <v>10</v>
      </c>
      <c r="F899">
        <v>1</v>
      </c>
      <c r="G899">
        <v>6761</v>
      </c>
    </row>
    <row r="900" spans="1:7">
      <c r="A900" t="s">
        <v>578</v>
      </c>
      <c r="B900" t="s">
        <v>579</v>
      </c>
      <c r="C900" t="s">
        <v>248</v>
      </c>
      <c r="D900">
        <v>73.400000000000006</v>
      </c>
      <c r="E900">
        <v>12</v>
      </c>
      <c r="F900">
        <v>0</v>
      </c>
      <c r="G900">
        <v>7235</v>
      </c>
    </row>
    <row r="901" spans="1:7">
      <c r="A901" t="s">
        <v>578</v>
      </c>
      <c r="B901" t="s">
        <v>579</v>
      </c>
      <c r="C901" t="s">
        <v>265</v>
      </c>
      <c r="D901">
        <v>37.4</v>
      </c>
      <c r="E901">
        <v>10</v>
      </c>
      <c r="F901">
        <v>0</v>
      </c>
      <c r="G901">
        <v>8722</v>
      </c>
    </row>
    <row r="902" spans="1:7">
      <c r="A902" t="s">
        <v>578</v>
      </c>
      <c r="B902" t="s">
        <v>579</v>
      </c>
      <c r="C902" t="s">
        <v>282</v>
      </c>
      <c r="D902">
        <v>105.1</v>
      </c>
      <c r="E902">
        <v>15</v>
      </c>
      <c r="F902">
        <v>0</v>
      </c>
      <c r="G902">
        <v>3874</v>
      </c>
    </row>
    <row r="903" spans="1:7">
      <c r="A903" t="s">
        <v>578</v>
      </c>
      <c r="B903" t="s">
        <v>579</v>
      </c>
      <c r="C903" t="s">
        <v>299</v>
      </c>
      <c r="D903">
        <v>111.2</v>
      </c>
      <c r="E903">
        <v>11</v>
      </c>
      <c r="F903">
        <v>0</v>
      </c>
      <c r="G903">
        <v>4008</v>
      </c>
    </row>
    <row r="904" spans="1:7">
      <c r="A904" t="s">
        <v>578</v>
      </c>
      <c r="B904" t="s">
        <v>579</v>
      </c>
      <c r="C904" t="s">
        <v>318</v>
      </c>
      <c r="D904">
        <v>147.4</v>
      </c>
      <c r="E904">
        <v>9</v>
      </c>
      <c r="F904">
        <v>3</v>
      </c>
      <c r="G904">
        <v>2225</v>
      </c>
    </row>
    <row r="905" spans="1:7">
      <c r="A905" t="s">
        <v>578</v>
      </c>
      <c r="B905" t="s">
        <v>579</v>
      </c>
      <c r="C905" t="s">
        <v>335</v>
      </c>
      <c r="D905">
        <v>72.900000000000006</v>
      </c>
      <c r="E905">
        <v>8</v>
      </c>
      <c r="F905">
        <v>0</v>
      </c>
      <c r="G905">
        <v>4233</v>
      </c>
    </row>
    <row r="906" spans="1:7">
      <c r="A906" t="s">
        <v>578</v>
      </c>
      <c r="B906" t="s">
        <v>579</v>
      </c>
      <c r="C906" t="s">
        <v>352</v>
      </c>
      <c r="D906">
        <v>363</v>
      </c>
      <c r="E906">
        <v>8</v>
      </c>
      <c r="F906">
        <v>5</v>
      </c>
      <c r="G906">
        <v>2350</v>
      </c>
    </row>
    <row r="907" spans="1:7">
      <c r="A907" t="s">
        <v>578</v>
      </c>
      <c r="B907" t="s">
        <v>579</v>
      </c>
      <c r="C907" t="s">
        <v>371</v>
      </c>
      <c r="D907">
        <v>268.8</v>
      </c>
      <c r="E907">
        <v>8</v>
      </c>
      <c r="F907">
        <v>2</v>
      </c>
      <c r="G907">
        <v>3952</v>
      </c>
    </row>
    <row r="908" spans="1:7">
      <c r="A908" t="s">
        <v>578</v>
      </c>
      <c r="B908" t="s">
        <v>579</v>
      </c>
      <c r="C908" t="s">
        <v>388</v>
      </c>
      <c r="D908">
        <v>59.4</v>
      </c>
      <c r="E908">
        <v>14</v>
      </c>
      <c r="F908">
        <v>1</v>
      </c>
      <c r="G908">
        <v>4570</v>
      </c>
    </row>
    <row r="909" spans="1:7">
      <c r="A909" t="s">
        <v>578</v>
      </c>
      <c r="B909" t="s">
        <v>579</v>
      </c>
      <c r="C909" t="s">
        <v>407</v>
      </c>
      <c r="D909">
        <v>66.900000000000006</v>
      </c>
      <c r="E909">
        <v>11</v>
      </c>
      <c r="F909">
        <v>2</v>
      </c>
      <c r="G909">
        <v>5392</v>
      </c>
    </row>
    <row r="910" spans="1:7">
      <c r="A910" t="s">
        <v>578</v>
      </c>
      <c r="B910" t="s">
        <v>579</v>
      </c>
      <c r="C910" t="s">
        <v>426</v>
      </c>
      <c r="D910">
        <v>40.5</v>
      </c>
      <c r="E910">
        <v>11</v>
      </c>
      <c r="F910">
        <v>0</v>
      </c>
      <c r="G910">
        <v>5345</v>
      </c>
    </row>
    <row r="911" spans="1:7">
      <c r="A911" t="s">
        <v>578</v>
      </c>
      <c r="B911" t="s">
        <v>579</v>
      </c>
      <c r="C911" t="s">
        <v>445</v>
      </c>
      <c r="D911">
        <v>182.2</v>
      </c>
      <c r="E911">
        <v>12</v>
      </c>
      <c r="F911">
        <v>3</v>
      </c>
      <c r="G911">
        <v>3605</v>
      </c>
    </row>
    <row r="912" spans="1:7">
      <c r="A912" t="s">
        <v>578</v>
      </c>
      <c r="B912" t="s">
        <v>579</v>
      </c>
      <c r="C912" t="s">
        <v>464</v>
      </c>
      <c r="D912">
        <v>124.7</v>
      </c>
      <c r="E912">
        <v>13</v>
      </c>
      <c r="F912">
        <v>2</v>
      </c>
      <c r="G912">
        <v>2868</v>
      </c>
    </row>
    <row r="913" spans="1:7">
      <c r="A913" t="s">
        <v>578</v>
      </c>
      <c r="B913" t="s">
        <v>579</v>
      </c>
      <c r="C913" t="s">
        <v>483</v>
      </c>
      <c r="D913">
        <v>33.5</v>
      </c>
      <c r="E913">
        <v>8</v>
      </c>
      <c r="F913">
        <v>2</v>
      </c>
      <c r="G913">
        <v>4635</v>
      </c>
    </row>
    <row r="914" spans="1:7">
      <c r="A914" t="s">
        <v>580</v>
      </c>
      <c r="B914" t="s">
        <v>581</v>
      </c>
      <c r="C914" t="s">
        <v>42</v>
      </c>
      <c r="D914">
        <v>756.7</v>
      </c>
      <c r="E914">
        <v>10</v>
      </c>
      <c r="F914">
        <v>10</v>
      </c>
      <c r="G914">
        <v>1929</v>
      </c>
    </row>
    <row r="915" spans="1:7">
      <c r="A915" t="s">
        <v>580</v>
      </c>
      <c r="B915" t="s">
        <v>581</v>
      </c>
      <c r="C915" t="s">
        <v>85</v>
      </c>
      <c r="D915">
        <v>321</v>
      </c>
      <c r="E915">
        <v>11</v>
      </c>
      <c r="F915">
        <v>4</v>
      </c>
      <c r="G915">
        <v>1714</v>
      </c>
    </row>
    <row r="916" spans="1:7">
      <c r="A916" t="s">
        <v>580</v>
      </c>
      <c r="B916" t="s">
        <v>581</v>
      </c>
      <c r="C916" t="s">
        <v>104</v>
      </c>
      <c r="D916">
        <v>134.9</v>
      </c>
      <c r="E916">
        <v>16</v>
      </c>
      <c r="F916">
        <v>0</v>
      </c>
      <c r="G916">
        <v>4652</v>
      </c>
    </row>
    <row r="917" spans="1:7">
      <c r="A917" t="s">
        <v>580</v>
      </c>
      <c r="B917" t="s">
        <v>581</v>
      </c>
      <c r="C917" t="s">
        <v>124</v>
      </c>
      <c r="D917">
        <v>90.2</v>
      </c>
      <c r="E917">
        <v>12</v>
      </c>
      <c r="F917">
        <v>0</v>
      </c>
      <c r="G917">
        <v>5590</v>
      </c>
    </row>
    <row r="918" spans="1:7">
      <c r="A918" t="s">
        <v>580</v>
      </c>
      <c r="B918" t="s">
        <v>581</v>
      </c>
      <c r="C918" t="s">
        <v>142</v>
      </c>
      <c r="D918">
        <v>82.7</v>
      </c>
      <c r="E918">
        <v>8</v>
      </c>
      <c r="F918">
        <v>1</v>
      </c>
      <c r="G918">
        <v>4319</v>
      </c>
    </row>
    <row r="919" spans="1:7">
      <c r="A919" t="s">
        <v>580</v>
      </c>
      <c r="B919" t="s">
        <v>581</v>
      </c>
      <c r="C919" t="s">
        <v>159</v>
      </c>
      <c r="D919">
        <v>75.8</v>
      </c>
      <c r="E919">
        <v>10</v>
      </c>
      <c r="F919">
        <v>1</v>
      </c>
      <c r="G919">
        <v>4609</v>
      </c>
    </row>
    <row r="920" spans="1:7">
      <c r="A920" t="s">
        <v>580</v>
      </c>
      <c r="B920" t="s">
        <v>581</v>
      </c>
      <c r="C920" t="s">
        <v>176</v>
      </c>
      <c r="D920">
        <v>416.1</v>
      </c>
      <c r="E920">
        <v>5</v>
      </c>
      <c r="F920">
        <v>2</v>
      </c>
      <c r="G920">
        <v>1864</v>
      </c>
    </row>
    <row r="921" spans="1:7">
      <c r="A921" t="s">
        <v>580</v>
      </c>
      <c r="B921" t="s">
        <v>581</v>
      </c>
      <c r="C921" t="s">
        <v>195</v>
      </c>
      <c r="D921">
        <v>59.2</v>
      </c>
      <c r="E921">
        <v>13</v>
      </c>
      <c r="F921">
        <v>0</v>
      </c>
      <c r="G921">
        <v>3934</v>
      </c>
    </row>
    <row r="922" spans="1:7">
      <c r="A922" t="s">
        <v>580</v>
      </c>
      <c r="B922" t="s">
        <v>581</v>
      </c>
      <c r="C922" t="s">
        <v>212</v>
      </c>
      <c r="D922">
        <v>58.7</v>
      </c>
      <c r="E922">
        <v>11</v>
      </c>
      <c r="F922">
        <v>1</v>
      </c>
      <c r="G922">
        <v>2998</v>
      </c>
    </row>
    <row r="923" spans="1:7">
      <c r="A923" t="s">
        <v>580</v>
      </c>
      <c r="B923" t="s">
        <v>581</v>
      </c>
      <c r="C923" t="s">
        <v>229</v>
      </c>
      <c r="D923">
        <v>109.9</v>
      </c>
      <c r="E923">
        <v>12</v>
      </c>
      <c r="F923">
        <v>0</v>
      </c>
      <c r="G923">
        <v>4166</v>
      </c>
    </row>
    <row r="924" spans="1:7">
      <c r="A924" t="s">
        <v>580</v>
      </c>
      <c r="B924" t="s">
        <v>581</v>
      </c>
      <c r="C924" t="s">
        <v>248</v>
      </c>
      <c r="D924">
        <v>83.7</v>
      </c>
      <c r="E924">
        <v>14</v>
      </c>
      <c r="F924">
        <v>2</v>
      </c>
      <c r="G924">
        <v>3715</v>
      </c>
    </row>
    <row r="925" spans="1:7">
      <c r="A925" t="s">
        <v>580</v>
      </c>
      <c r="B925" t="s">
        <v>581</v>
      </c>
      <c r="C925" t="s">
        <v>265</v>
      </c>
      <c r="D925">
        <v>29.3</v>
      </c>
      <c r="E925">
        <v>9</v>
      </c>
      <c r="F925">
        <v>2</v>
      </c>
      <c r="G925">
        <v>4676</v>
      </c>
    </row>
    <row r="926" spans="1:7">
      <c r="A926" t="s">
        <v>580</v>
      </c>
      <c r="B926" t="s">
        <v>581</v>
      </c>
      <c r="C926" t="s">
        <v>282</v>
      </c>
      <c r="D926">
        <v>80.5</v>
      </c>
      <c r="E926">
        <v>9</v>
      </c>
      <c r="F926">
        <v>0</v>
      </c>
      <c r="G926">
        <v>1966</v>
      </c>
    </row>
    <row r="927" spans="1:7">
      <c r="A927" t="s">
        <v>580</v>
      </c>
      <c r="B927" t="s">
        <v>581</v>
      </c>
      <c r="C927" t="s">
        <v>299</v>
      </c>
      <c r="D927">
        <v>109.1</v>
      </c>
      <c r="E927">
        <v>8</v>
      </c>
      <c r="F927">
        <v>0</v>
      </c>
      <c r="G927">
        <v>2134</v>
      </c>
    </row>
    <row r="928" spans="1:7">
      <c r="A928" t="s">
        <v>580</v>
      </c>
      <c r="B928" t="s">
        <v>581</v>
      </c>
      <c r="C928" t="s">
        <v>318</v>
      </c>
      <c r="D928">
        <v>141.30000000000001</v>
      </c>
      <c r="E928">
        <v>9</v>
      </c>
      <c r="F928">
        <v>1</v>
      </c>
      <c r="G928">
        <v>1762</v>
      </c>
    </row>
    <row r="929" spans="1:7">
      <c r="A929" t="s">
        <v>580</v>
      </c>
      <c r="B929" t="s">
        <v>581</v>
      </c>
      <c r="C929" t="s">
        <v>335</v>
      </c>
      <c r="D929">
        <v>78.2</v>
      </c>
      <c r="E929">
        <v>9</v>
      </c>
      <c r="F929">
        <v>1</v>
      </c>
      <c r="G929">
        <v>2825</v>
      </c>
    </row>
    <row r="930" spans="1:7">
      <c r="A930" t="s">
        <v>580</v>
      </c>
      <c r="B930" t="s">
        <v>581</v>
      </c>
      <c r="C930" t="s">
        <v>352</v>
      </c>
      <c r="D930">
        <v>234.4</v>
      </c>
      <c r="E930">
        <v>10</v>
      </c>
      <c r="F930">
        <v>1</v>
      </c>
      <c r="G930">
        <v>1501</v>
      </c>
    </row>
    <row r="931" spans="1:7">
      <c r="A931" t="s">
        <v>580</v>
      </c>
      <c r="B931" t="s">
        <v>581</v>
      </c>
      <c r="C931" t="s">
        <v>371</v>
      </c>
      <c r="D931">
        <v>169.6</v>
      </c>
      <c r="E931">
        <v>10</v>
      </c>
      <c r="F931">
        <v>2</v>
      </c>
      <c r="G931">
        <v>2475</v>
      </c>
    </row>
    <row r="932" spans="1:7">
      <c r="A932" t="s">
        <v>580</v>
      </c>
      <c r="B932" t="s">
        <v>581</v>
      </c>
      <c r="C932" t="s">
        <v>388</v>
      </c>
      <c r="D932">
        <v>60.4</v>
      </c>
      <c r="E932">
        <v>11</v>
      </c>
      <c r="F932">
        <v>2</v>
      </c>
      <c r="G932">
        <v>3814</v>
      </c>
    </row>
    <row r="933" spans="1:7">
      <c r="A933" t="s">
        <v>580</v>
      </c>
      <c r="B933" t="s">
        <v>581</v>
      </c>
      <c r="C933" t="s">
        <v>407</v>
      </c>
      <c r="D933">
        <v>54.1</v>
      </c>
      <c r="E933">
        <v>13</v>
      </c>
      <c r="F933">
        <v>1</v>
      </c>
      <c r="G933">
        <v>3457</v>
      </c>
    </row>
    <row r="934" spans="1:7">
      <c r="A934" t="s">
        <v>580</v>
      </c>
      <c r="B934" t="s">
        <v>581</v>
      </c>
      <c r="C934" t="s">
        <v>426</v>
      </c>
      <c r="D934">
        <v>47.1</v>
      </c>
      <c r="E934">
        <v>12</v>
      </c>
      <c r="F934">
        <v>0</v>
      </c>
      <c r="G934">
        <v>4537</v>
      </c>
    </row>
    <row r="935" spans="1:7">
      <c r="A935" t="s">
        <v>580</v>
      </c>
      <c r="B935" t="s">
        <v>581</v>
      </c>
      <c r="C935" t="s">
        <v>445</v>
      </c>
      <c r="D935">
        <v>449.3</v>
      </c>
      <c r="E935">
        <v>9</v>
      </c>
      <c r="F935">
        <v>5</v>
      </c>
      <c r="G935">
        <v>2713</v>
      </c>
    </row>
    <row r="936" spans="1:7">
      <c r="A936" t="s">
        <v>580</v>
      </c>
      <c r="B936" t="s">
        <v>581</v>
      </c>
      <c r="C936" t="s">
        <v>464</v>
      </c>
      <c r="D936">
        <v>148</v>
      </c>
      <c r="E936">
        <v>13</v>
      </c>
      <c r="F936">
        <v>1</v>
      </c>
      <c r="G936">
        <v>1993</v>
      </c>
    </row>
    <row r="937" spans="1:7">
      <c r="A937" t="s">
        <v>580</v>
      </c>
      <c r="B937" t="s">
        <v>581</v>
      </c>
      <c r="C937" t="s">
        <v>483</v>
      </c>
      <c r="D937">
        <v>27.1</v>
      </c>
      <c r="E937">
        <v>10</v>
      </c>
      <c r="F937">
        <v>0</v>
      </c>
      <c r="G937">
        <v>3538</v>
      </c>
    </row>
    <row r="938" spans="1:7">
      <c r="A938" t="s">
        <v>582</v>
      </c>
      <c r="B938" t="s">
        <v>583</v>
      </c>
      <c r="C938" t="s">
        <v>42</v>
      </c>
      <c r="D938">
        <v>951.6</v>
      </c>
      <c r="E938">
        <v>9</v>
      </c>
      <c r="F938">
        <v>8</v>
      </c>
      <c r="G938">
        <v>3588</v>
      </c>
    </row>
    <row r="939" spans="1:7">
      <c r="A939" t="s">
        <v>582</v>
      </c>
      <c r="B939" t="s">
        <v>583</v>
      </c>
      <c r="C939" t="s">
        <v>85</v>
      </c>
      <c r="D939">
        <v>299.10000000000002</v>
      </c>
      <c r="E939">
        <v>12</v>
      </c>
      <c r="F939">
        <v>3</v>
      </c>
      <c r="G939">
        <v>2668</v>
      </c>
    </row>
    <row r="940" spans="1:7">
      <c r="A940" t="s">
        <v>582</v>
      </c>
      <c r="B940" t="s">
        <v>583</v>
      </c>
      <c r="C940" t="s">
        <v>104</v>
      </c>
      <c r="D940">
        <v>217.7</v>
      </c>
      <c r="E940">
        <v>13</v>
      </c>
      <c r="F940">
        <v>2</v>
      </c>
      <c r="G940">
        <v>7631</v>
      </c>
    </row>
    <row r="941" spans="1:7">
      <c r="A941" t="s">
        <v>582</v>
      </c>
      <c r="B941" t="s">
        <v>583</v>
      </c>
      <c r="C941" t="s">
        <v>124</v>
      </c>
      <c r="D941">
        <v>87.2</v>
      </c>
      <c r="E941">
        <v>9</v>
      </c>
      <c r="F941">
        <v>1</v>
      </c>
      <c r="G941">
        <v>7690</v>
      </c>
    </row>
    <row r="942" spans="1:7">
      <c r="A942" t="s">
        <v>582</v>
      </c>
      <c r="B942" t="s">
        <v>583</v>
      </c>
      <c r="C942" t="s">
        <v>142</v>
      </c>
      <c r="D942">
        <v>79.2</v>
      </c>
      <c r="E942">
        <v>13</v>
      </c>
      <c r="F942">
        <v>1</v>
      </c>
      <c r="G942">
        <v>9017</v>
      </c>
    </row>
    <row r="943" spans="1:7">
      <c r="A943" t="s">
        <v>582</v>
      </c>
      <c r="B943" t="s">
        <v>583</v>
      </c>
      <c r="C943" t="s">
        <v>159</v>
      </c>
      <c r="D943">
        <v>168.2</v>
      </c>
      <c r="E943">
        <v>12</v>
      </c>
      <c r="F943">
        <v>3</v>
      </c>
      <c r="G943">
        <v>7919</v>
      </c>
    </row>
    <row r="944" spans="1:7">
      <c r="A944" t="s">
        <v>582</v>
      </c>
      <c r="B944" t="s">
        <v>583</v>
      </c>
      <c r="C944" t="s">
        <v>176</v>
      </c>
      <c r="D944">
        <v>440.8</v>
      </c>
      <c r="E944">
        <v>11</v>
      </c>
      <c r="F944">
        <v>4</v>
      </c>
      <c r="G944">
        <v>2243</v>
      </c>
    </row>
    <row r="945" spans="1:7">
      <c r="A945" t="s">
        <v>582</v>
      </c>
      <c r="B945" t="s">
        <v>583</v>
      </c>
      <c r="C945" t="s">
        <v>195</v>
      </c>
      <c r="D945">
        <v>74.900000000000006</v>
      </c>
      <c r="E945">
        <v>13</v>
      </c>
      <c r="F945">
        <v>2</v>
      </c>
      <c r="G945">
        <v>6098</v>
      </c>
    </row>
    <row r="946" spans="1:7">
      <c r="A946" t="s">
        <v>582</v>
      </c>
      <c r="B946" t="s">
        <v>583</v>
      </c>
      <c r="C946" t="s">
        <v>212</v>
      </c>
      <c r="D946">
        <v>56.2</v>
      </c>
      <c r="E946">
        <v>11</v>
      </c>
      <c r="F946">
        <v>0</v>
      </c>
      <c r="G946">
        <v>4437</v>
      </c>
    </row>
    <row r="947" spans="1:7">
      <c r="A947" t="s">
        <v>582</v>
      </c>
      <c r="B947" t="s">
        <v>583</v>
      </c>
      <c r="C947" t="s">
        <v>229</v>
      </c>
      <c r="D947">
        <v>138</v>
      </c>
      <c r="E947">
        <v>7</v>
      </c>
      <c r="F947">
        <v>0</v>
      </c>
      <c r="G947">
        <v>7995</v>
      </c>
    </row>
    <row r="948" spans="1:7">
      <c r="A948" t="s">
        <v>582</v>
      </c>
      <c r="B948" t="s">
        <v>583</v>
      </c>
      <c r="C948" t="s">
        <v>248</v>
      </c>
      <c r="D948">
        <v>73.599999999999994</v>
      </c>
      <c r="E948">
        <v>9</v>
      </c>
      <c r="F948">
        <v>0</v>
      </c>
      <c r="G948">
        <v>6531</v>
      </c>
    </row>
    <row r="949" spans="1:7">
      <c r="A949" t="s">
        <v>582</v>
      </c>
      <c r="B949" t="s">
        <v>583</v>
      </c>
      <c r="C949" t="s">
        <v>265</v>
      </c>
      <c r="D949">
        <v>53.2</v>
      </c>
      <c r="E949">
        <v>10</v>
      </c>
      <c r="F949">
        <v>0</v>
      </c>
      <c r="G949">
        <v>10482</v>
      </c>
    </row>
    <row r="950" spans="1:7">
      <c r="A950" t="s">
        <v>582</v>
      </c>
      <c r="B950" t="s">
        <v>583</v>
      </c>
      <c r="C950" t="s">
        <v>282</v>
      </c>
      <c r="D950">
        <v>84.8</v>
      </c>
      <c r="E950">
        <v>11</v>
      </c>
      <c r="F950">
        <v>0</v>
      </c>
      <c r="G950">
        <v>3827</v>
      </c>
    </row>
    <row r="951" spans="1:7">
      <c r="A951" t="s">
        <v>582</v>
      </c>
      <c r="B951" t="s">
        <v>583</v>
      </c>
      <c r="C951" t="s">
        <v>299</v>
      </c>
      <c r="D951">
        <v>84.3</v>
      </c>
      <c r="E951">
        <v>7</v>
      </c>
      <c r="F951">
        <v>2</v>
      </c>
      <c r="G951">
        <v>4008</v>
      </c>
    </row>
    <row r="952" spans="1:7">
      <c r="A952" t="s">
        <v>582</v>
      </c>
      <c r="B952" t="s">
        <v>583</v>
      </c>
      <c r="C952" t="s">
        <v>318</v>
      </c>
      <c r="D952">
        <v>123.5</v>
      </c>
      <c r="E952">
        <v>8</v>
      </c>
      <c r="F952">
        <v>1</v>
      </c>
      <c r="G952">
        <v>2956</v>
      </c>
    </row>
    <row r="953" spans="1:7">
      <c r="A953" t="s">
        <v>582</v>
      </c>
      <c r="B953" t="s">
        <v>583</v>
      </c>
      <c r="C953" t="s">
        <v>335</v>
      </c>
      <c r="D953">
        <v>93.6</v>
      </c>
      <c r="E953">
        <v>4</v>
      </c>
      <c r="F953">
        <v>0</v>
      </c>
      <c r="G953">
        <v>4630</v>
      </c>
    </row>
    <row r="954" spans="1:7">
      <c r="A954" t="s">
        <v>582</v>
      </c>
      <c r="B954" t="s">
        <v>583</v>
      </c>
      <c r="C954" t="s">
        <v>352</v>
      </c>
      <c r="D954">
        <v>330.7</v>
      </c>
      <c r="E954">
        <v>10</v>
      </c>
      <c r="F954">
        <v>4</v>
      </c>
      <c r="G954">
        <v>2766</v>
      </c>
    </row>
    <row r="955" spans="1:7">
      <c r="A955" t="s">
        <v>582</v>
      </c>
      <c r="B955" t="s">
        <v>583</v>
      </c>
      <c r="C955" t="s">
        <v>371</v>
      </c>
      <c r="D955">
        <v>137.9</v>
      </c>
      <c r="E955">
        <v>9</v>
      </c>
      <c r="F955">
        <v>3</v>
      </c>
      <c r="G955">
        <v>3838</v>
      </c>
    </row>
    <row r="956" spans="1:7">
      <c r="A956" t="s">
        <v>582</v>
      </c>
      <c r="B956" t="s">
        <v>583</v>
      </c>
      <c r="C956" t="s">
        <v>388</v>
      </c>
      <c r="D956">
        <v>83.2</v>
      </c>
      <c r="E956">
        <v>10</v>
      </c>
      <c r="F956">
        <v>3</v>
      </c>
      <c r="G956">
        <v>5786</v>
      </c>
    </row>
    <row r="957" spans="1:7">
      <c r="A957" t="s">
        <v>582</v>
      </c>
      <c r="B957" t="s">
        <v>583</v>
      </c>
      <c r="C957" t="s">
        <v>407</v>
      </c>
      <c r="D957">
        <v>64.099999999999994</v>
      </c>
      <c r="E957">
        <v>12</v>
      </c>
      <c r="F957">
        <v>1</v>
      </c>
      <c r="G957">
        <v>5462</v>
      </c>
    </row>
    <row r="958" spans="1:7">
      <c r="A958" t="s">
        <v>582</v>
      </c>
      <c r="B958" t="s">
        <v>583</v>
      </c>
      <c r="C958" t="s">
        <v>426</v>
      </c>
      <c r="D958">
        <v>42.7</v>
      </c>
      <c r="E958">
        <v>11</v>
      </c>
      <c r="F958">
        <v>2</v>
      </c>
      <c r="G958">
        <v>7467</v>
      </c>
    </row>
    <row r="959" spans="1:7">
      <c r="A959" t="s">
        <v>582</v>
      </c>
      <c r="B959" t="s">
        <v>583</v>
      </c>
      <c r="C959" t="s">
        <v>445</v>
      </c>
      <c r="D959">
        <v>295.89999999999998</v>
      </c>
      <c r="E959">
        <v>7</v>
      </c>
      <c r="F959">
        <v>2</v>
      </c>
      <c r="G959">
        <v>6254</v>
      </c>
    </row>
    <row r="960" spans="1:7">
      <c r="A960" t="s">
        <v>582</v>
      </c>
      <c r="B960" t="s">
        <v>583</v>
      </c>
      <c r="C960" t="s">
        <v>464</v>
      </c>
      <c r="D960">
        <v>202.2</v>
      </c>
      <c r="E960">
        <v>8</v>
      </c>
      <c r="F960">
        <v>4</v>
      </c>
      <c r="G960">
        <v>3755</v>
      </c>
    </row>
    <row r="961" spans="1:7">
      <c r="A961" t="s">
        <v>582</v>
      </c>
      <c r="B961" t="s">
        <v>583</v>
      </c>
      <c r="C961" t="s">
        <v>483</v>
      </c>
      <c r="D961">
        <v>38.4</v>
      </c>
      <c r="E961">
        <v>11</v>
      </c>
      <c r="F961">
        <v>0</v>
      </c>
      <c r="G961">
        <v>5614</v>
      </c>
    </row>
    <row r="962" spans="1:7">
      <c r="A962" t="s">
        <v>584</v>
      </c>
      <c r="B962" t="s">
        <v>585</v>
      </c>
      <c r="C962" t="s">
        <v>42</v>
      </c>
      <c r="D962">
        <v>256.5</v>
      </c>
      <c r="E962">
        <v>15</v>
      </c>
      <c r="F962">
        <v>2</v>
      </c>
      <c r="G962">
        <v>1532</v>
      </c>
    </row>
    <row r="963" spans="1:7">
      <c r="A963" t="s">
        <v>584</v>
      </c>
      <c r="B963" t="s">
        <v>585</v>
      </c>
      <c r="C963" t="s">
        <v>85</v>
      </c>
      <c r="D963">
        <v>283.89999999999998</v>
      </c>
      <c r="E963">
        <v>8</v>
      </c>
      <c r="F963">
        <v>2</v>
      </c>
      <c r="G963">
        <v>1487</v>
      </c>
    </row>
    <row r="964" spans="1:7">
      <c r="A964" t="s">
        <v>584</v>
      </c>
      <c r="B964" t="s">
        <v>585</v>
      </c>
      <c r="C964" t="s">
        <v>104</v>
      </c>
      <c r="D964">
        <v>160.80000000000001</v>
      </c>
      <c r="E964">
        <v>15</v>
      </c>
      <c r="F964">
        <v>2</v>
      </c>
      <c r="G964">
        <v>2857</v>
      </c>
    </row>
    <row r="965" spans="1:7">
      <c r="A965" t="s">
        <v>584</v>
      </c>
      <c r="B965" t="s">
        <v>585</v>
      </c>
      <c r="C965" t="s">
        <v>124</v>
      </c>
      <c r="D965">
        <v>72.5</v>
      </c>
      <c r="E965">
        <v>16</v>
      </c>
      <c r="F965">
        <v>1</v>
      </c>
      <c r="G965">
        <v>2930</v>
      </c>
    </row>
    <row r="966" spans="1:7">
      <c r="A966" t="s">
        <v>584</v>
      </c>
      <c r="B966" t="s">
        <v>585</v>
      </c>
      <c r="C966" t="s">
        <v>142</v>
      </c>
      <c r="D966">
        <v>70.7</v>
      </c>
      <c r="E966">
        <v>18</v>
      </c>
      <c r="F966">
        <v>0</v>
      </c>
      <c r="G966">
        <v>3394</v>
      </c>
    </row>
    <row r="967" spans="1:7">
      <c r="A967" t="s">
        <v>584</v>
      </c>
      <c r="B967" t="s">
        <v>585</v>
      </c>
      <c r="C967" t="s">
        <v>159</v>
      </c>
      <c r="D967">
        <v>82.3</v>
      </c>
      <c r="E967">
        <v>18</v>
      </c>
      <c r="F967">
        <v>0</v>
      </c>
      <c r="G967">
        <v>3474</v>
      </c>
    </row>
    <row r="968" spans="1:7">
      <c r="A968" t="s">
        <v>584</v>
      </c>
      <c r="B968" t="s">
        <v>585</v>
      </c>
      <c r="C968" t="s">
        <v>176</v>
      </c>
      <c r="D968">
        <v>288.8</v>
      </c>
      <c r="E968">
        <v>12</v>
      </c>
      <c r="F968">
        <v>3</v>
      </c>
      <c r="G968">
        <v>1201</v>
      </c>
    </row>
    <row r="969" spans="1:7">
      <c r="A969" t="s">
        <v>584</v>
      </c>
      <c r="B969" t="s">
        <v>585</v>
      </c>
      <c r="C969" t="s">
        <v>195</v>
      </c>
      <c r="D969">
        <v>73.599999999999994</v>
      </c>
      <c r="E969">
        <v>19</v>
      </c>
      <c r="F969">
        <v>1</v>
      </c>
      <c r="G969">
        <v>2322</v>
      </c>
    </row>
    <row r="970" spans="1:7">
      <c r="A970" t="s">
        <v>584</v>
      </c>
      <c r="B970" t="s">
        <v>585</v>
      </c>
      <c r="C970" t="s">
        <v>212</v>
      </c>
      <c r="D970">
        <v>60.1</v>
      </c>
      <c r="E970">
        <v>12</v>
      </c>
      <c r="F970">
        <v>0</v>
      </c>
      <c r="G970">
        <v>2195</v>
      </c>
    </row>
    <row r="971" spans="1:7">
      <c r="A971" t="s">
        <v>584</v>
      </c>
      <c r="B971" t="s">
        <v>585</v>
      </c>
      <c r="C971" t="s">
        <v>229</v>
      </c>
      <c r="D971">
        <v>108.6</v>
      </c>
      <c r="E971">
        <v>19</v>
      </c>
      <c r="F971">
        <v>0</v>
      </c>
      <c r="G971">
        <v>2738</v>
      </c>
    </row>
    <row r="972" spans="1:7">
      <c r="A972" t="s">
        <v>584</v>
      </c>
      <c r="B972" t="s">
        <v>585</v>
      </c>
      <c r="C972" t="s">
        <v>248</v>
      </c>
      <c r="D972">
        <v>50.9</v>
      </c>
      <c r="E972">
        <v>22</v>
      </c>
      <c r="F972">
        <v>1</v>
      </c>
      <c r="G972">
        <v>2864</v>
      </c>
    </row>
    <row r="973" spans="1:7">
      <c r="A973" t="s">
        <v>584</v>
      </c>
      <c r="B973" t="s">
        <v>585</v>
      </c>
      <c r="C973" t="s">
        <v>265</v>
      </c>
      <c r="D973">
        <v>35.4</v>
      </c>
      <c r="E973">
        <v>18</v>
      </c>
      <c r="F973">
        <v>0</v>
      </c>
      <c r="G973">
        <v>3249</v>
      </c>
    </row>
    <row r="974" spans="1:7">
      <c r="A974" t="s">
        <v>584</v>
      </c>
      <c r="B974" t="s">
        <v>585</v>
      </c>
      <c r="C974" t="s">
        <v>282</v>
      </c>
      <c r="D974">
        <v>86.3</v>
      </c>
      <c r="E974">
        <v>13</v>
      </c>
      <c r="F974">
        <v>0</v>
      </c>
      <c r="G974">
        <v>1284</v>
      </c>
    </row>
    <row r="975" spans="1:7">
      <c r="A975" t="s">
        <v>584</v>
      </c>
      <c r="B975" t="s">
        <v>585</v>
      </c>
      <c r="C975" t="s">
        <v>299</v>
      </c>
      <c r="D975">
        <v>75.7</v>
      </c>
      <c r="E975">
        <v>12</v>
      </c>
      <c r="F975">
        <v>1</v>
      </c>
      <c r="G975">
        <v>1300</v>
      </c>
    </row>
    <row r="976" spans="1:7">
      <c r="A976" t="s">
        <v>584</v>
      </c>
      <c r="B976" t="s">
        <v>585</v>
      </c>
      <c r="C976" t="s">
        <v>318</v>
      </c>
      <c r="D976">
        <v>104.4</v>
      </c>
      <c r="E976">
        <v>21</v>
      </c>
      <c r="F976">
        <v>0</v>
      </c>
      <c r="G976">
        <v>1140</v>
      </c>
    </row>
    <row r="977" spans="1:7">
      <c r="A977" t="s">
        <v>584</v>
      </c>
      <c r="B977" t="s">
        <v>585</v>
      </c>
      <c r="C977" t="s">
        <v>335</v>
      </c>
      <c r="D977">
        <v>88.7</v>
      </c>
      <c r="E977">
        <v>18</v>
      </c>
      <c r="F977">
        <v>0</v>
      </c>
      <c r="G977">
        <v>1706</v>
      </c>
    </row>
    <row r="978" spans="1:7">
      <c r="A978" t="s">
        <v>584</v>
      </c>
      <c r="B978" t="s">
        <v>585</v>
      </c>
      <c r="C978" t="s">
        <v>352</v>
      </c>
      <c r="D978">
        <v>185.3</v>
      </c>
      <c r="E978">
        <v>23</v>
      </c>
      <c r="F978">
        <v>0</v>
      </c>
      <c r="G978">
        <v>980</v>
      </c>
    </row>
    <row r="979" spans="1:7">
      <c r="A979" t="s">
        <v>584</v>
      </c>
      <c r="B979" t="s">
        <v>585</v>
      </c>
      <c r="C979" t="s">
        <v>371</v>
      </c>
      <c r="D979">
        <v>127</v>
      </c>
      <c r="E979">
        <v>11</v>
      </c>
      <c r="F979">
        <v>3</v>
      </c>
      <c r="G979">
        <v>2089</v>
      </c>
    </row>
    <row r="980" spans="1:7">
      <c r="A980" t="s">
        <v>584</v>
      </c>
      <c r="B980" t="s">
        <v>585</v>
      </c>
      <c r="C980" t="s">
        <v>388</v>
      </c>
      <c r="D980">
        <v>55.6</v>
      </c>
      <c r="E980">
        <v>11</v>
      </c>
      <c r="F980">
        <v>0</v>
      </c>
      <c r="G980">
        <v>2239</v>
      </c>
    </row>
    <row r="981" spans="1:7">
      <c r="A981" t="s">
        <v>584</v>
      </c>
      <c r="B981" t="s">
        <v>585</v>
      </c>
      <c r="C981" t="s">
        <v>407</v>
      </c>
      <c r="D981">
        <v>52.3</v>
      </c>
      <c r="E981">
        <v>13</v>
      </c>
      <c r="F981">
        <v>1</v>
      </c>
      <c r="G981">
        <v>2246</v>
      </c>
    </row>
    <row r="982" spans="1:7">
      <c r="A982" t="s">
        <v>584</v>
      </c>
      <c r="B982" t="s">
        <v>585</v>
      </c>
      <c r="C982" t="s">
        <v>426</v>
      </c>
      <c r="D982">
        <v>47.4</v>
      </c>
      <c r="E982">
        <v>16</v>
      </c>
      <c r="F982">
        <v>0</v>
      </c>
      <c r="G982">
        <v>3013</v>
      </c>
    </row>
    <row r="983" spans="1:7">
      <c r="A983" t="s">
        <v>584</v>
      </c>
      <c r="B983" t="s">
        <v>585</v>
      </c>
      <c r="C983" t="s">
        <v>445</v>
      </c>
      <c r="D983">
        <v>190.4</v>
      </c>
      <c r="E983">
        <v>18</v>
      </c>
      <c r="F983">
        <v>3</v>
      </c>
      <c r="G983">
        <v>1625</v>
      </c>
    </row>
    <row r="984" spans="1:7">
      <c r="A984" t="s">
        <v>584</v>
      </c>
      <c r="B984" t="s">
        <v>585</v>
      </c>
      <c r="C984" t="s">
        <v>464</v>
      </c>
      <c r="D984">
        <v>127.2</v>
      </c>
      <c r="E984">
        <v>13</v>
      </c>
      <c r="F984">
        <v>0</v>
      </c>
      <c r="G984">
        <v>1521</v>
      </c>
    </row>
    <row r="985" spans="1:7">
      <c r="A985" t="s">
        <v>584</v>
      </c>
      <c r="B985" t="s">
        <v>585</v>
      </c>
      <c r="C985" t="s">
        <v>483</v>
      </c>
      <c r="D985">
        <v>37</v>
      </c>
      <c r="E985">
        <v>21</v>
      </c>
      <c r="F985">
        <v>1</v>
      </c>
      <c r="G985">
        <v>2251</v>
      </c>
    </row>
    <row r="986" spans="1:7">
      <c r="A986" t="s">
        <v>586</v>
      </c>
      <c r="B986" t="s">
        <v>587</v>
      </c>
      <c r="C986" t="s">
        <v>42</v>
      </c>
      <c r="D986">
        <v>387.7</v>
      </c>
      <c r="E986">
        <v>17</v>
      </c>
      <c r="F986">
        <v>3</v>
      </c>
      <c r="G986">
        <v>1324</v>
      </c>
    </row>
    <row r="987" spans="1:7">
      <c r="A987" t="s">
        <v>586</v>
      </c>
      <c r="B987" t="s">
        <v>587</v>
      </c>
      <c r="C987" t="s">
        <v>85</v>
      </c>
      <c r="D987">
        <v>285.2</v>
      </c>
      <c r="E987">
        <v>15</v>
      </c>
      <c r="F987">
        <v>1</v>
      </c>
      <c r="G987">
        <v>1070</v>
      </c>
    </row>
    <row r="988" spans="1:7">
      <c r="A988" t="s">
        <v>586</v>
      </c>
      <c r="B988" t="s">
        <v>587</v>
      </c>
      <c r="C988" t="s">
        <v>104</v>
      </c>
      <c r="D988">
        <v>170.6</v>
      </c>
      <c r="E988">
        <v>17</v>
      </c>
      <c r="F988">
        <v>3</v>
      </c>
      <c r="G988">
        <v>2246</v>
      </c>
    </row>
    <row r="989" spans="1:7">
      <c r="A989" t="s">
        <v>586</v>
      </c>
      <c r="B989" t="s">
        <v>587</v>
      </c>
      <c r="C989" t="s">
        <v>124</v>
      </c>
      <c r="D989">
        <v>160.6</v>
      </c>
      <c r="E989">
        <v>17</v>
      </c>
      <c r="F989">
        <v>0</v>
      </c>
      <c r="G989">
        <v>4211</v>
      </c>
    </row>
    <row r="990" spans="1:7">
      <c r="A990" t="s">
        <v>586</v>
      </c>
      <c r="B990" t="s">
        <v>587</v>
      </c>
      <c r="C990" t="s">
        <v>142</v>
      </c>
      <c r="D990">
        <v>84.1</v>
      </c>
      <c r="E990">
        <v>16</v>
      </c>
      <c r="F990">
        <v>1</v>
      </c>
      <c r="G990">
        <v>2347</v>
      </c>
    </row>
    <row r="991" spans="1:7">
      <c r="A991" t="s">
        <v>586</v>
      </c>
      <c r="B991" t="s">
        <v>587</v>
      </c>
      <c r="C991" t="s">
        <v>159</v>
      </c>
      <c r="D991">
        <v>88.6</v>
      </c>
      <c r="E991">
        <v>19</v>
      </c>
      <c r="F991">
        <v>0</v>
      </c>
      <c r="G991">
        <v>2383</v>
      </c>
    </row>
    <row r="992" spans="1:7">
      <c r="A992" t="s">
        <v>586</v>
      </c>
      <c r="B992" t="s">
        <v>587</v>
      </c>
      <c r="C992" t="s">
        <v>176</v>
      </c>
      <c r="D992">
        <v>702.9</v>
      </c>
      <c r="E992">
        <v>20</v>
      </c>
      <c r="F992">
        <v>6</v>
      </c>
      <c r="G992">
        <v>856</v>
      </c>
    </row>
    <row r="993" spans="1:7">
      <c r="A993" t="s">
        <v>586</v>
      </c>
      <c r="B993" t="s">
        <v>587</v>
      </c>
      <c r="C993" t="s">
        <v>195</v>
      </c>
      <c r="D993">
        <v>80.8</v>
      </c>
      <c r="E993">
        <v>15</v>
      </c>
      <c r="F993">
        <v>0</v>
      </c>
      <c r="G993">
        <v>2086</v>
      </c>
    </row>
    <row r="994" spans="1:7">
      <c r="A994" t="s">
        <v>586</v>
      </c>
      <c r="B994" t="s">
        <v>587</v>
      </c>
      <c r="C994" t="s">
        <v>212</v>
      </c>
      <c r="D994">
        <v>58.9</v>
      </c>
      <c r="E994">
        <v>12</v>
      </c>
      <c r="F994">
        <v>0</v>
      </c>
      <c r="G994">
        <v>1936</v>
      </c>
    </row>
    <row r="995" spans="1:7">
      <c r="A995" t="s">
        <v>586</v>
      </c>
      <c r="B995" t="s">
        <v>587</v>
      </c>
      <c r="C995" t="s">
        <v>229</v>
      </c>
      <c r="D995">
        <v>135</v>
      </c>
      <c r="E995">
        <v>23</v>
      </c>
      <c r="F995">
        <v>0</v>
      </c>
      <c r="G995">
        <v>2464</v>
      </c>
    </row>
    <row r="996" spans="1:7">
      <c r="A996" t="s">
        <v>586</v>
      </c>
      <c r="B996" t="s">
        <v>587</v>
      </c>
      <c r="C996" t="s">
        <v>248</v>
      </c>
      <c r="D996">
        <v>57.8</v>
      </c>
      <c r="E996">
        <v>17</v>
      </c>
      <c r="F996">
        <v>1</v>
      </c>
      <c r="G996">
        <v>2450</v>
      </c>
    </row>
    <row r="997" spans="1:7">
      <c r="A997" t="s">
        <v>586</v>
      </c>
      <c r="B997" t="s">
        <v>587</v>
      </c>
      <c r="C997" t="s">
        <v>265</v>
      </c>
      <c r="D997">
        <v>42.2</v>
      </c>
      <c r="E997">
        <v>17</v>
      </c>
      <c r="F997">
        <v>0</v>
      </c>
      <c r="G997">
        <v>2633</v>
      </c>
    </row>
    <row r="998" spans="1:7">
      <c r="A998" t="s">
        <v>586</v>
      </c>
      <c r="B998" t="s">
        <v>587</v>
      </c>
      <c r="C998" t="s">
        <v>282</v>
      </c>
      <c r="D998">
        <v>79.099999999999994</v>
      </c>
      <c r="E998">
        <v>14</v>
      </c>
      <c r="F998">
        <v>0</v>
      </c>
      <c r="G998">
        <v>1417</v>
      </c>
    </row>
    <row r="999" spans="1:7">
      <c r="A999" t="s">
        <v>586</v>
      </c>
      <c r="B999" t="s">
        <v>587</v>
      </c>
      <c r="C999" t="s">
        <v>299</v>
      </c>
      <c r="D999">
        <v>133.19999999999999</v>
      </c>
      <c r="E999">
        <v>13</v>
      </c>
      <c r="F999">
        <v>1</v>
      </c>
      <c r="G999">
        <v>1245</v>
      </c>
    </row>
    <row r="1000" spans="1:7">
      <c r="A1000" t="s">
        <v>586</v>
      </c>
      <c r="B1000" t="s">
        <v>587</v>
      </c>
      <c r="C1000" t="s">
        <v>318</v>
      </c>
      <c r="D1000">
        <v>123.8</v>
      </c>
      <c r="E1000">
        <v>13</v>
      </c>
      <c r="F1000">
        <v>2</v>
      </c>
      <c r="G1000">
        <v>919</v>
      </c>
    </row>
    <row r="1001" spans="1:7">
      <c r="A1001" t="s">
        <v>586</v>
      </c>
      <c r="B1001" t="s">
        <v>587</v>
      </c>
      <c r="C1001" t="s">
        <v>335</v>
      </c>
      <c r="D1001">
        <v>188.1</v>
      </c>
      <c r="E1001">
        <v>15</v>
      </c>
      <c r="F1001">
        <v>1</v>
      </c>
      <c r="G1001">
        <v>1372</v>
      </c>
    </row>
    <row r="1002" spans="1:7">
      <c r="A1002" t="s">
        <v>586</v>
      </c>
      <c r="B1002" t="s">
        <v>587</v>
      </c>
      <c r="C1002" t="s">
        <v>352</v>
      </c>
      <c r="D1002">
        <v>249.9</v>
      </c>
      <c r="E1002">
        <v>18</v>
      </c>
      <c r="F1002">
        <v>2</v>
      </c>
      <c r="G1002">
        <v>1266</v>
      </c>
    </row>
    <row r="1003" spans="1:7">
      <c r="A1003" t="s">
        <v>586</v>
      </c>
      <c r="B1003" t="s">
        <v>587</v>
      </c>
      <c r="C1003" t="s">
        <v>371</v>
      </c>
      <c r="D1003">
        <v>320.5</v>
      </c>
      <c r="E1003">
        <v>15</v>
      </c>
      <c r="F1003">
        <v>2</v>
      </c>
      <c r="G1003">
        <v>1516</v>
      </c>
    </row>
    <row r="1004" spans="1:7">
      <c r="A1004" t="s">
        <v>586</v>
      </c>
      <c r="B1004" t="s">
        <v>587</v>
      </c>
      <c r="C1004" t="s">
        <v>388</v>
      </c>
      <c r="D1004">
        <v>52.5</v>
      </c>
      <c r="E1004">
        <v>19</v>
      </c>
      <c r="F1004">
        <v>1</v>
      </c>
      <c r="G1004">
        <v>2129</v>
      </c>
    </row>
    <row r="1005" spans="1:7">
      <c r="A1005" t="s">
        <v>586</v>
      </c>
      <c r="B1005" t="s">
        <v>587</v>
      </c>
      <c r="C1005" t="s">
        <v>407</v>
      </c>
      <c r="D1005">
        <v>61.4</v>
      </c>
      <c r="E1005">
        <v>21</v>
      </c>
      <c r="F1005">
        <v>1</v>
      </c>
      <c r="G1005">
        <v>1911</v>
      </c>
    </row>
    <row r="1006" spans="1:7">
      <c r="A1006" t="s">
        <v>586</v>
      </c>
      <c r="B1006" t="s">
        <v>587</v>
      </c>
      <c r="C1006" t="s">
        <v>426</v>
      </c>
      <c r="D1006">
        <v>57.3</v>
      </c>
      <c r="E1006">
        <v>21</v>
      </c>
      <c r="F1006">
        <v>0</v>
      </c>
      <c r="G1006">
        <v>2521</v>
      </c>
    </row>
    <row r="1007" spans="1:7">
      <c r="A1007" t="s">
        <v>586</v>
      </c>
      <c r="B1007" t="s">
        <v>587</v>
      </c>
      <c r="C1007" t="s">
        <v>445</v>
      </c>
      <c r="D1007">
        <v>254.8</v>
      </c>
      <c r="E1007">
        <v>17</v>
      </c>
      <c r="F1007">
        <v>0</v>
      </c>
      <c r="G1007">
        <v>1443</v>
      </c>
    </row>
    <row r="1008" spans="1:7">
      <c r="A1008" t="s">
        <v>586</v>
      </c>
      <c r="B1008" t="s">
        <v>587</v>
      </c>
      <c r="C1008" t="s">
        <v>464</v>
      </c>
      <c r="D1008">
        <v>138.80000000000001</v>
      </c>
      <c r="E1008">
        <v>12</v>
      </c>
      <c r="F1008">
        <v>0</v>
      </c>
      <c r="G1008">
        <v>1351</v>
      </c>
    </row>
    <row r="1009" spans="1:7">
      <c r="A1009" t="s">
        <v>586</v>
      </c>
      <c r="B1009" t="s">
        <v>587</v>
      </c>
      <c r="C1009" t="s">
        <v>483</v>
      </c>
      <c r="D1009">
        <v>34.1</v>
      </c>
      <c r="E1009">
        <v>18</v>
      </c>
      <c r="F1009">
        <v>0</v>
      </c>
      <c r="G1009">
        <v>1882</v>
      </c>
    </row>
    <row r="1010" spans="1:7">
      <c r="A1010" t="s">
        <v>588</v>
      </c>
      <c r="B1010" t="s">
        <v>589</v>
      </c>
      <c r="C1010" t="s">
        <v>42</v>
      </c>
      <c r="D1010">
        <v>351.5</v>
      </c>
      <c r="E1010">
        <v>17</v>
      </c>
      <c r="F1010">
        <v>2</v>
      </c>
      <c r="G1010">
        <v>1400</v>
      </c>
    </row>
    <row r="1011" spans="1:7">
      <c r="A1011" t="s">
        <v>588</v>
      </c>
      <c r="B1011" t="s">
        <v>589</v>
      </c>
      <c r="C1011" t="s">
        <v>85</v>
      </c>
      <c r="D1011">
        <v>398.1</v>
      </c>
      <c r="E1011">
        <v>15</v>
      </c>
      <c r="F1011">
        <v>2</v>
      </c>
      <c r="G1011">
        <v>1187</v>
      </c>
    </row>
    <row r="1012" spans="1:7">
      <c r="A1012" t="s">
        <v>588</v>
      </c>
      <c r="B1012" t="s">
        <v>589</v>
      </c>
      <c r="C1012" t="s">
        <v>104</v>
      </c>
      <c r="D1012">
        <v>142.1</v>
      </c>
      <c r="E1012">
        <v>17</v>
      </c>
      <c r="F1012">
        <v>1</v>
      </c>
      <c r="G1012">
        <v>2909</v>
      </c>
    </row>
    <row r="1013" spans="1:7">
      <c r="A1013" t="s">
        <v>588</v>
      </c>
      <c r="B1013" t="s">
        <v>589</v>
      </c>
      <c r="C1013" t="s">
        <v>124</v>
      </c>
      <c r="D1013">
        <v>77.2</v>
      </c>
      <c r="E1013">
        <v>17</v>
      </c>
      <c r="F1013">
        <v>0</v>
      </c>
      <c r="G1013">
        <v>3721</v>
      </c>
    </row>
    <row r="1014" spans="1:7">
      <c r="A1014" t="s">
        <v>588</v>
      </c>
      <c r="B1014" t="s">
        <v>589</v>
      </c>
      <c r="C1014" t="s">
        <v>142</v>
      </c>
      <c r="D1014">
        <v>82.6</v>
      </c>
      <c r="E1014">
        <v>18</v>
      </c>
      <c r="F1014">
        <v>2</v>
      </c>
      <c r="G1014">
        <v>3536</v>
      </c>
    </row>
    <row r="1015" spans="1:7">
      <c r="A1015" t="s">
        <v>588</v>
      </c>
      <c r="B1015" t="s">
        <v>589</v>
      </c>
      <c r="C1015" t="s">
        <v>159</v>
      </c>
      <c r="D1015">
        <v>106.6</v>
      </c>
      <c r="E1015">
        <v>14</v>
      </c>
      <c r="F1015">
        <v>2</v>
      </c>
      <c r="G1015">
        <v>3325</v>
      </c>
    </row>
    <row r="1016" spans="1:7">
      <c r="A1016" t="s">
        <v>588</v>
      </c>
      <c r="B1016" t="s">
        <v>589</v>
      </c>
      <c r="C1016" t="s">
        <v>176</v>
      </c>
      <c r="D1016">
        <v>654.70000000000005</v>
      </c>
      <c r="E1016">
        <v>18</v>
      </c>
      <c r="F1016">
        <v>6</v>
      </c>
      <c r="G1016">
        <v>1088</v>
      </c>
    </row>
    <row r="1017" spans="1:7">
      <c r="A1017" t="s">
        <v>588</v>
      </c>
      <c r="B1017" t="s">
        <v>589</v>
      </c>
      <c r="C1017" t="s">
        <v>195</v>
      </c>
      <c r="D1017">
        <v>87.4</v>
      </c>
      <c r="E1017">
        <v>21</v>
      </c>
      <c r="F1017">
        <v>0</v>
      </c>
      <c r="G1017">
        <v>2669</v>
      </c>
    </row>
    <row r="1018" spans="1:7">
      <c r="A1018" t="s">
        <v>588</v>
      </c>
      <c r="B1018" t="s">
        <v>589</v>
      </c>
      <c r="C1018" t="s">
        <v>212</v>
      </c>
      <c r="D1018">
        <v>66.900000000000006</v>
      </c>
      <c r="E1018">
        <v>17</v>
      </c>
      <c r="F1018">
        <v>0</v>
      </c>
      <c r="G1018">
        <v>2291</v>
      </c>
    </row>
    <row r="1019" spans="1:7">
      <c r="A1019" t="s">
        <v>588</v>
      </c>
      <c r="B1019" t="s">
        <v>589</v>
      </c>
      <c r="C1019" t="s">
        <v>229</v>
      </c>
      <c r="D1019">
        <v>128.1</v>
      </c>
      <c r="E1019">
        <v>10</v>
      </c>
      <c r="F1019">
        <v>1</v>
      </c>
      <c r="G1019">
        <v>2865</v>
      </c>
    </row>
    <row r="1020" spans="1:7">
      <c r="A1020" t="s">
        <v>588</v>
      </c>
      <c r="B1020" t="s">
        <v>589</v>
      </c>
      <c r="C1020" t="s">
        <v>248</v>
      </c>
      <c r="D1020">
        <v>53.6</v>
      </c>
      <c r="E1020">
        <v>22</v>
      </c>
      <c r="F1020">
        <v>0</v>
      </c>
      <c r="G1020">
        <v>2512</v>
      </c>
    </row>
    <row r="1021" spans="1:7">
      <c r="A1021" t="s">
        <v>588</v>
      </c>
      <c r="B1021" t="s">
        <v>589</v>
      </c>
      <c r="C1021" t="s">
        <v>265</v>
      </c>
      <c r="D1021">
        <v>26.3</v>
      </c>
      <c r="E1021">
        <v>16</v>
      </c>
      <c r="F1021">
        <v>0</v>
      </c>
      <c r="G1021">
        <v>3536</v>
      </c>
    </row>
    <row r="1022" spans="1:7">
      <c r="A1022" t="s">
        <v>588</v>
      </c>
      <c r="B1022" t="s">
        <v>589</v>
      </c>
      <c r="C1022" t="s">
        <v>282</v>
      </c>
      <c r="D1022">
        <v>107.5</v>
      </c>
      <c r="E1022">
        <v>18</v>
      </c>
      <c r="F1022">
        <v>1</v>
      </c>
      <c r="G1022">
        <v>1584</v>
      </c>
    </row>
    <row r="1023" spans="1:7">
      <c r="A1023" t="s">
        <v>588</v>
      </c>
      <c r="B1023" t="s">
        <v>589</v>
      </c>
      <c r="C1023" t="s">
        <v>299</v>
      </c>
      <c r="D1023">
        <v>129.6</v>
      </c>
      <c r="E1023">
        <v>15</v>
      </c>
      <c r="F1023">
        <v>0</v>
      </c>
      <c r="G1023">
        <v>1412</v>
      </c>
    </row>
    <row r="1024" spans="1:7">
      <c r="A1024" t="s">
        <v>588</v>
      </c>
      <c r="B1024" t="s">
        <v>589</v>
      </c>
      <c r="C1024" t="s">
        <v>318</v>
      </c>
      <c r="D1024">
        <v>121.1</v>
      </c>
      <c r="E1024">
        <v>18</v>
      </c>
      <c r="F1024">
        <v>4</v>
      </c>
      <c r="G1024">
        <v>1218</v>
      </c>
    </row>
    <row r="1025" spans="1:7">
      <c r="A1025" t="s">
        <v>588</v>
      </c>
      <c r="B1025" t="s">
        <v>589</v>
      </c>
      <c r="C1025" t="s">
        <v>335</v>
      </c>
      <c r="D1025">
        <v>141.6</v>
      </c>
      <c r="E1025">
        <v>12</v>
      </c>
      <c r="F1025">
        <v>2</v>
      </c>
      <c r="G1025">
        <v>1585</v>
      </c>
    </row>
    <row r="1026" spans="1:7">
      <c r="A1026" t="s">
        <v>588</v>
      </c>
      <c r="B1026" t="s">
        <v>589</v>
      </c>
      <c r="C1026" t="s">
        <v>352</v>
      </c>
      <c r="D1026">
        <v>262.10000000000002</v>
      </c>
      <c r="E1026">
        <v>18</v>
      </c>
      <c r="F1026">
        <v>3</v>
      </c>
      <c r="G1026">
        <v>1181</v>
      </c>
    </row>
    <row r="1027" spans="1:7">
      <c r="A1027" t="s">
        <v>588</v>
      </c>
      <c r="B1027" t="s">
        <v>589</v>
      </c>
      <c r="C1027" t="s">
        <v>371</v>
      </c>
      <c r="D1027">
        <v>164.2</v>
      </c>
      <c r="E1027">
        <v>16</v>
      </c>
      <c r="F1027">
        <v>0</v>
      </c>
      <c r="G1027">
        <v>2157</v>
      </c>
    </row>
    <row r="1028" spans="1:7">
      <c r="A1028" t="s">
        <v>588</v>
      </c>
      <c r="B1028" t="s">
        <v>589</v>
      </c>
      <c r="C1028" t="s">
        <v>388</v>
      </c>
      <c r="D1028">
        <v>56.7</v>
      </c>
      <c r="E1028">
        <v>18</v>
      </c>
      <c r="F1028">
        <v>0</v>
      </c>
      <c r="G1028">
        <v>2911</v>
      </c>
    </row>
    <row r="1029" spans="1:7">
      <c r="A1029" t="s">
        <v>588</v>
      </c>
      <c r="B1029" t="s">
        <v>589</v>
      </c>
      <c r="C1029" t="s">
        <v>407</v>
      </c>
      <c r="D1029">
        <v>69.599999999999994</v>
      </c>
      <c r="E1029">
        <v>16</v>
      </c>
      <c r="F1029">
        <v>1</v>
      </c>
      <c r="G1029">
        <v>2515</v>
      </c>
    </row>
    <row r="1030" spans="1:7">
      <c r="A1030" t="s">
        <v>588</v>
      </c>
      <c r="B1030" t="s">
        <v>589</v>
      </c>
      <c r="C1030" t="s">
        <v>426</v>
      </c>
      <c r="D1030">
        <v>40.6</v>
      </c>
      <c r="E1030">
        <v>19</v>
      </c>
      <c r="F1030">
        <v>0</v>
      </c>
      <c r="G1030">
        <v>2881</v>
      </c>
    </row>
    <row r="1031" spans="1:7">
      <c r="A1031" t="s">
        <v>588</v>
      </c>
      <c r="B1031" t="s">
        <v>589</v>
      </c>
      <c r="C1031" t="s">
        <v>445</v>
      </c>
      <c r="D1031">
        <v>295.8</v>
      </c>
      <c r="E1031">
        <v>19</v>
      </c>
      <c r="F1031">
        <v>1</v>
      </c>
      <c r="G1031">
        <v>1928</v>
      </c>
    </row>
    <row r="1032" spans="1:7">
      <c r="A1032" t="s">
        <v>588</v>
      </c>
      <c r="B1032" t="s">
        <v>589</v>
      </c>
      <c r="C1032" t="s">
        <v>464</v>
      </c>
      <c r="D1032">
        <v>144.30000000000001</v>
      </c>
      <c r="E1032">
        <v>18</v>
      </c>
      <c r="F1032">
        <v>0</v>
      </c>
      <c r="G1032">
        <v>1602</v>
      </c>
    </row>
    <row r="1033" spans="1:7">
      <c r="A1033" t="s">
        <v>588</v>
      </c>
      <c r="B1033" t="s">
        <v>589</v>
      </c>
      <c r="C1033" t="s">
        <v>483</v>
      </c>
      <c r="D1033">
        <v>39.4</v>
      </c>
      <c r="E1033">
        <v>17</v>
      </c>
      <c r="F1033">
        <v>2</v>
      </c>
      <c r="G1033">
        <v>2340</v>
      </c>
    </row>
    <row r="1034" spans="1:7">
      <c r="A1034" t="s">
        <v>590</v>
      </c>
      <c r="B1034" t="s">
        <v>591</v>
      </c>
      <c r="C1034" t="s">
        <v>42</v>
      </c>
      <c r="D1034">
        <v>309.2</v>
      </c>
      <c r="E1034">
        <v>12</v>
      </c>
      <c r="F1034">
        <v>4</v>
      </c>
      <c r="G1034">
        <v>1149</v>
      </c>
    </row>
    <row r="1035" spans="1:7">
      <c r="A1035" t="s">
        <v>590</v>
      </c>
      <c r="B1035" t="s">
        <v>591</v>
      </c>
      <c r="C1035" t="s">
        <v>85</v>
      </c>
      <c r="D1035">
        <v>296.10000000000002</v>
      </c>
      <c r="E1035">
        <v>15</v>
      </c>
      <c r="F1035">
        <v>1</v>
      </c>
      <c r="G1035">
        <v>1029</v>
      </c>
    </row>
    <row r="1036" spans="1:7">
      <c r="A1036" t="s">
        <v>590</v>
      </c>
      <c r="B1036" t="s">
        <v>591</v>
      </c>
      <c r="C1036" t="s">
        <v>104</v>
      </c>
      <c r="D1036">
        <v>174.7</v>
      </c>
      <c r="E1036">
        <v>18</v>
      </c>
      <c r="F1036">
        <v>0</v>
      </c>
      <c r="G1036">
        <v>3206</v>
      </c>
    </row>
    <row r="1037" spans="1:7">
      <c r="A1037" t="s">
        <v>590</v>
      </c>
      <c r="B1037" t="s">
        <v>591</v>
      </c>
      <c r="C1037" t="s">
        <v>124</v>
      </c>
      <c r="D1037">
        <v>87.9</v>
      </c>
      <c r="E1037">
        <v>26</v>
      </c>
      <c r="F1037">
        <v>1</v>
      </c>
      <c r="G1037">
        <v>3452</v>
      </c>
    </row>
    <row r="1038" spans="1:7">
      <c r="A1038" t="s">
        <v>590</v>
      </c>
      <c r="B1038" t="s">
        <v>591</v>
      </c>
      <c r="C1038" t="s">
        <v>142</v>
      </c>
      <c r="D1038">
        <v>106.7</v>
      </c>
      <c r="E1038">
        <v>12</v>
      </c>
      <c r="F1038">
        <v>1</v>
      </c>
      <c r="G1038">
        <v>4047</v>
      </c>
    </row>
    <row r="1039" spans="1:7">
      <c r="A1039" t="s">
        <v>590</v>
      </c>
      <c r="B1039" t="s">
        <v>591</v>
      </c>
      <c r="C1039" t="s">
        <v>159</v>
      </c>
      <c r="D1039">
        <v>98.2</v>
      </c>
      <c r="E1039">
        <v>10</v>
      </c>
      <c r="F1039">
        <v>0</v>
      </c>
      <c r="G1039">
        <v>3403</v>
      </c>
    </row>
    <row r="1040" spans="1:7">
      <c r="A1040" t="s">
        <v>590</v>
      </c>
      <c r="B1040" t="s">
        <v>591</v>
      </c>
      <c r="C1040" t="s">
        <v>176</v>
      </c>
      <c r="D1040">
        <v>403.6</v>
      </c>
      <c r="E1040">
        <v>13</v>
      </c>
      <c r="F1040">
        <v>2</v>
      </c>
      <c r="G1040">
        <v>940</v>
      </c>
    </row>
    <row r="1041" spans="1:7">
      <c r="A1041" t="s">
        <v>590</v>
      </c>
      <c r="B1041" t="s">
        <v>591</v>
      </c>
      <c r="C1041" t="s">
        <v>195</v>
      </c>
      <c r="D1041">
        <v>74.2</v>
      </c>
      <c r="E1041">
        <v>22</v>
      </c>
      <c r="F1041">
        <v>2</v>
      </c>
      <c r="G1041">
        <v>2734</v>
      </c>
    </row>
    <row r="1042" spans="1:7">
      <c r="A1042" t="s">
        <v>590</v>
      </c>
      <c r="B1042" t="s">
        <v>591</v>
      </c>
      <c r="C1042" t="s">
        <v>212</v>
      </c>
      <c r="D1042">
        <v>52.5</v>
      </c>
      <c r="E1042">
        <v>11</v>
      </c>
      <c r="F1042">
        <v>1</v>
      </c>
      <c r="G1042">
        <v>1811</v>
      </c>
    </row>
    <row r="1043" spans="1:7">
      <c r="A1043" t="s">
        <v>590</v>
      </c>
      <c r="B1043" t="s">
        <v>591</v>
      </c>
      <c r="C1043" t="s">
        <v>229</v>
      </c>
      <c r="D1043">
        <v>125.4</v>
      </c>
      <c r="E1043">
        <v>18</v>
      </c>
      <c r="F1043">
        <v>0</v>
      </c>
      <c r="G1043">
        <v>2368</v>
      </c>
    </row>
    <row r="1044" spans="1:7">
      <c r="A1044" t="s">
        <v>590</v>
      </c>
      <c r="B1044" t="s">
        <v>591</v>
      </c>
      <c r="C1044" t="s">
        <v>248</v>
      </c>
      <c r="D1044">
        <v>54.2</v>
      </c>
      <c r="E1044">
        <v>19</v>
      </c>
      <c r="F1044">
        <v>2</v>
      </c>
      <c r="G1044">
        <v>2673</v>
      </c>
    </row>
    <row r="1045" spans="1:7">
      <c r="A1045" t="s">
        <v>590</v>
      </c>
      <c r="B1045" t="s">
        <v>591</v>
      </c>
      <c r="C1045" t="s">
        <v>265</v>
      </c>
      <c r="D1045">
        <v>40.5</v>
      </c>
      <c r="E1045">
        <v>15</v>
      </c>
      <c r="F1045">
        <v>0</v>
      </c>
      <c r="G1045">
        <v>3214</v>
      </c>
    </row>
    <row r="1046" spans="1:7">
      <c r="A1046" t="s">
        <v>590</v>
      </c>
      <c r="B1046" t="s">
        <v>591</v>
      </c>
      <c r="C1046" t="s">
        <v>282</v>
      </c>
      <c r="D1046">
        <v>96.1</v>
      </c>
      <c r="E1046">
        <v>17</v>
      </c>
      <c r="F1046">
        <v>0</v>
      </c>
      <c r="G1046">
        <v>1376</v>
      </c>
    </row>
    <row r="1047" spans="1:7">
      <c r="A1047" t="s">
        <v>590</v>
      </c>
      <c r="B1047" t="s">
        <v>591</v>
      </c>
      <c r="C1047" t="s">
        <v>299</v>
      </c>
      <c r="D1047">
        <v>133.4</v>
      </c>
      <c r="E1047">
        <v>16</v>
      </c>
      <c r="F1047">
        <v>0</v>
      </c>
      <c r="G1047">
        <v>2009</v>
      </c>
    </row>
    <row r="1048" spans="1:7">
      <c r="A1048" t="s">
        <v>590</v>
      </c>
      <c r="B1048" t="s">
        <v>591</v>
      </c>
      <c r="C1048" t="s">
        <v>318</v>
      </c>
      <c r="D1048">
        <v>129.4</v>
      </c>
      <c r="E1048">
        <v>17</v>
      </c>
      <c r="F1048">
        <v>2</v>
      </c>
      <c r="G1048">
        <v>1056</v>
      </c>
    </row>
    <row r="1049" spans="1:7">
      <c r="A1049" t="s">
        <v>590</v>
      </c>
      <c r="B1049" t="s">
        <v>591</v>
      </c>
      <c r="C1049" t="s">
        <v>335</v>
      </c>
      <c r="D1049">
        <v>71.2</v>
      </c>
      <c r="E1049">
        <v>22</v>
      </c>
      <c r="F1049">
        <v>2</v>
      </c>
      <c r="G1049">
        <v>1916</v>
      </c>
    </row>
    <row r="1050" spans="1:7">
      <c r="A1050" t="s">
        <v>590</v>
      </c>
      <c r="B1050" t="s">
        <v>591</v>
      </c>
      <c r="C1050" t="s">
        <v>352</v>
      </c>
      <c r="D1050">
        <v>329</v>
      </c>
      <c r="E1050">
        <v>12</v>
      </c>
      <c r="F1050">
        <v>4</v>
      </c>
      <c r="G1050">
        <v>1003</v>
      </c>
    </row>
    <row r="1051" spans="1:7">
      <c r="A1051" t="s">
        <v>590</v>
      </c>
      <c r="B1051" t="s">
        <v>591</v>
      </c>
      <c r="C1051" t="s">
        <v>371</v>
      </c>
      <c r="D1051">
        <v>157</v>
      </c>
      <c r="E1051">
        <v>10</v>
      </c>
      <c r="F1051">
        <v>0</v>
      </c>
      <c r="G1051">
        <v>1657</v>
      </c>
    </row>
    <row r="1052" spans="1:7">
      <c r="A1052" t="s">
        <v>590</v>
      </c>
      <c r="B1052" t="s">
        <v>591</v>
      </c>
      <c r="C1052" t="s">
        <v>388</v>
      </c>
      <c r="D1052">
        <v>52.7</v>
      </c>
      <c r="E1052">
        <v>9</v>
      </c>
      <c r="F1052">
        <v>1</v>
      </c>
      <c r="G1052">
        <v>2904</v>
      </c>
    </row>
    <row r="1053" spans="1:7">
      <c r="A1053" t="s">
        <v>590</v>
      </c>
      <c r="B1053" t="s">
        <v>591</v>
      </c>
      <c r="C1053" t="s">
        <v>407</v>
      </c>
      <c r="D1053">
        <v>68.7</v>
      </c>
      <c r="E1053">
        <v>15</v>
      </c>
      <c r="F1053">
        <v>1</v>
      </c>
      <c r="G1053">
        <v>2371</v>
      </c>
    </row>
    <row r="1054" spans="1:7">
      <c r="A1054" t="s">
        <v>590</v>
      </c>
      <c r="B1054" t="s">
        <v>591</v>
      </c>
      <c r="C1054" t="s">
        <v>426</v>
      </c>
      <c r="D1054">
        <v>53.9</v>
      </c>
      <c r="E1054">
        <v>16</v>
      </c>
      <c r="F1054">
        <v>0</v>
      </c>
      <c r="G1054">
        <v>2894</v>
      </c>
    </row>
    <row r="1055" spans="1:7">
      <c r="A1055" t="s">
        <v>590</v>
      </c>
      <c r="B1055" t="s">
        <v>591</v>
      </c>
      <c r="C1055" t="s">
        <v>445</v>
      </c>
      <c r="D1055">
        <v>207.6</v>
      </c>
      <c r="E1055">
        <v>15</v>
      </c>
      <c r="F1055">
        <v>1</v>
      </c>
      <c r="G1055">
        <v>2211</v>
      </c>
    </row>
    <row r="1056" spans="1:7">
      <c r="A1056" t="s">
        <v>590</v>
      </c>
      <c r="B1056" t="s">
        <v>591</v>
      </c>
      <c r="C1056" t="s">
        <v>464</v>
      </c>
      <c r="D1056">
        <v>194.2</v>
      </c>
      <c r="E1056">
        <v>17</v>
      </c>
      <c r="F1056">
        <v>4</v>
      </c>
      <c r="G1056">
        <v>1342</v>
      </c>
    </row>
    <row r="1057" spans="1:7">
      <c r="A1057" t="s">
        <v>590</v>
      </c>
      <c r="B1057" t="s">
        <v>591</v>
      </c>
      <c r="C1057" t="s">
        <v>483</v>
      </c>
      <c r="D1057">
        <v>45.4</v>
      </c>
      <c r="E1057">
        <v>19</v>
      </c>
      <c r="F1057">
        <v>5</v>
      </c>
      <c r="G1057">
        <v>1930</v>
      </c>
    </row>
    <row r="1058" spans="1:7">
      <c r="A1058" t="s">
        <v>592</v>
      </c>
      <c r="B1058" t="s">
        <v>593</v>
      </c>
      <c r="C1058" t="s">
        <v>42</v>
      </c>
      <c r="D1058">
        <v>286.60000000000002</v>
      </c>
      <c r="E1058">
        <v>17</v>
      </c>
      <c r="F1058">
        <v>3</v>
      </c>
      <c r="G1058">
        <v>1549</v>
      </c>
    </row>
    <row r="1059" spans="1:7">
      <c r="A1059" t="s">
        <v>592</v>
      </c>
      <c r="B1059" t="s">
        <v>593</v>
      </c>
      <c r="C1059" t="s">
        <v>85</v>
      </c>
      <c r="D1059">
        <v>251.6</v>
      </c>
      <c r="E1059">
        <v>18</v>
      </c>
      <c r="F1059">
        <v>4</v>
      </c>
      <c r="G1059">
        <v>1189</v>
      </c>
    </row>
    <row r="1060" spans="1:7">
      <c r="A1060" t="s">
        <v>592</v>
      </c>
      <c r="B1060" t="s">
        <v>593</v>
      </c>
      <c r="C1060" t="s">
        <v>104</v>
      </c>
      <c r="D1060">
        <v>66</v>
      </c>
      <c r="E1060">
        <v>22</v>
      </c>
      <c r="F1060">
        <v>2</v>
      </c>
      <c r="G1060">
        <v>3311</v>
      </c>
    </row>
    <row r="1061" spans="1:7">
      <c r="A1061" t="s">
        <v>592</v>
      </c>
      <c r="B1061" t="s">
        <v>593</v>
      </c>
      <c r="C1061" t="s">
        <v>124</v>
      </c>
      <c r="D1061">
        <v>93</v>
      </c>
      <c r="E1061">
        <v>18</v>
      </c>
      <c r="F1061">
        <v>1</v>
      </c>
      <c r="G1061">
        <v>3863</v>
      </c>
    </row>
    <row r="1062" spans="1:7">
      <c r="A1062" t="s">
        <v>592</v>
      </c>
      <c r="B1062" t="s">
        <v>593</v>
      </c>
      <c r="C1062" t="s">
        <v>142</v>
      </c>
      <c r="D1062">
        <v>85.4</v>
      </c>
      <c r="E1062">
        <v>15</v>
      </c>
      <c r="F1062">
        <v>0</v>
      </c>
      <c r="G1062">
        <v>2992</v>
      </c>
    </row>
    <row r="1063" spans="1:7">
      <c r="A1063" t="s">
        <v>592</v>
      </c>
      <c r="B1063" t="s">
        <v>593</v>
      </c>
      <c r="C1063" t="s">
        <v>159</v>
      </c>
      <c r="D1063">
        <v>51.8</v>
      </c>
      <c r="E1063">
        <v>15</v>
      </c>
      <c r="F1063">
        <v>1</v>
      </c>
      <c r="G1063">
        <v>3064</v>
      </c>
    </row>
    <row r="1064" spans="1:7">
      <c r="A1064" t="s">
        <v>592</v>
      </c>
      <c r="B1064" t="s">
        <v>593</v>
      </c>
      <c r="C1064" t="s">
        <v>176</v>
      </c>
      <c r="D1064">
        <v>343.7</v>
      </c>
      <c r="E1064">
        <v>20</v>
      </c>
      <c r="F1064">
        <v>2</v>
      </c>
      <c r="G1064">
        <v>953</v>
      </c>
    </row>
    <row r="1065" spans="1:7">
      <c r="A1065" t="s">
        <v>592</v>
      </c>
      <c r="B1065" t="s">
        <v>593</v>
      </c>
      <c r="C1065" t="s">
        <v>195</v>
      </c>
      <c r="D1065">
        <v>75.599999999999994</v>
      </c>
      <c r="E1065">
        <v>12</v>
      </c>
      <c r="F1065">
        <v>0</v>
      </c>
      <c r="G1065">
        <v>2896</v>
      </c>
    </row>
    <row r="1066" spans="1:7">
      <c r="A1066" t="s">
        <v>592</v>
      </c>
      <c r="B1066" t="s">
        <v>593</v>
      </c>
      <c r="C1066" t="s">
        <v>212</v>
      </c>
      <c r="D1066">
        <v>49.2</v>
      </c>
      <c r="E1066">
        <v>19</v>
      </c>
      <c r="F1066">
        <v>2</v>
      </c>
      <c r="G1066">
        <v>2016</v>
      </c>
    </row>
    <row r="1067" spans="1:7">
      <c r="A1067" t="s">
        <v>592</v>
      </c>
      <c r="B1067" t="s">
        <v>593</v>
      </c>
      <c r="C1067" t="s">
        <v>229</v>
      </c>
      <c r="D1067">
        <v>54.5</v>
      </c>
      <c r="E1067">
        <v>21</v>
      </c>
      <c r="F1067">
        <v>0</v>
      </c>
      <c r="G1067">
        <v>2915</v>
      </c>
    </row>
    <row r="1068" spans="1:7">
      <c r="A1068" t="s">
        <v>592</v>
      </c>
      <c r="B1068" t="s">
        <v>593</v>
      </c>
      <c r="C1068" t="s">
        <v>248</v>
      </c>
      <c r="D1068">
        <v>49.4</v>
      </c>
      <c r="E1068">
        <v>16</v>
      </c>
      <c r="F1068">
        <v>0</v>
      </c>
      <c r="G1068">
        <v>2596</v>
      </c>
    </row>
    <row r="1069" spans="1:7">
      <c r="A1069" t="s">
        <v>592</v>
      </c>
      <c r="B1069" t="s">
        <v>593</v>
      </c>
      <c r="C1069" t="s">
        <v>265</v>
      </c>
      <c r="D1069">
        <v>19.3</v>
      </c>
      <c r="E1069">
        <v>17</v>
      </c>
      <c r="F1069">
        <v>0</v>
      </c>
      <c r="G1069">
        <v>3018</v>
      </c>
    </row>
    <row r="1070" spans="1:7">
      <c r="A1070" t="s">
        <v>592</v>
      </c>
      <c r="B1070" t="s">
        <v>593</v>
      </c>
      <c r="C1070" t="s">
        <v>282</v>
      </c>
      <c r="D1070">
        <v>124.6</v>
      </c>
      <c r="E1070">
        <v>21</v>
      </c>
      <c r="F1070">
        <v>1</v>
      </c>
      <c r="G1070">
        <v>1438</v>
      </c>
    </row>
    <row r="1071" spans="1:7">
      <c r="A1071" t="s">
        <v>592</v>
      </c>
      <c r="B1071" t="s">
        <v>593</v>
      </c>
      <c r="C1071" t="s">
        <v>299</v>
      </c>
      <c r="D1071">
        <v>124.3</v>
      </c>
      <c r="E1071">
        <v>15</v>
      </c>
      <c r="F1071">
        <v>0</v>
      </c>
      <c r="G1071">
        <v>1395</v>
      </c>
    </row>
    <row r="1072" spans="1:7">
      <c r="A1072" t="s">
        <v>592</v>
      </c>
      <c r="B1072" t="s">
        <v>593</v>
      </c>
      <c r="C1072" t="s">
        <v>318</v>
      </c>
      <c r="D1072">
        <v>260.60000000000002</v>
      </c>
      <c r="E1072">
        <v>7</v>
      </c>
      <c r="F1072">
        <v>3</v>
      </c>
      <c r="G1072">
        <v>1045</v>
      </c>
    </row>
    <row r="1073" spans="1:7">
      <c r="A1073" t="s">
        <v>592</v>
      </c>
      <c r="B1073" t="s">
        <v>593</v>
      </c>
      <c r="C1073" t="s">
        <v>335</v>
      </c>
      <c r="D1073">
        <v>74.900000000000006</v>
      </c>
      <c r="E1073">
        <v>21</v>
      </c>
      <c r="F1073">
        <v>0</v>
      </c>
      <c r="G1073">
        <v>1624</v>
      </c>
    </row>
    <row r="1074" spans="1:7">
      <c r="A1074" t="s">
        <v>592</v>
      </c>
      <c r="B1074" t="s">
        <v>593</v>
      </c>
      <c r="C1074" t="s">
        <v>352</v>
      </c>
      <c r="D1074">
        <v>235</v>
      </c>
      <c r="E1074">
        <v>17</v>
      </c>
      <c r="F1074">
        <v>1</v>
      </c>
      <c r="G1074">
        <v>925</v>
      </c>
    </row>
    <row r="1075" spans="1:7">
      <c r="A1075" t="s">
        <v>592</v>
      </c>
      <c r="B1075" t="s">
        <v>593</v>
      </c>
      <c r="C1075" t="s">
        <v>371</v>
      </c>
      <c r="D1075">
        <v>130.6</v>
      </c>
      <c r="E1075">
        <v>20</v>
      </c>
      <c r="F1075">
        <v>1</v>
      </c>
      <c r="G1075">
        <v>1681</v>
      </c>
    </row>
    <row r="1076" spans="1:7">
      <c r="A1076" t="s">
        <v>592</v>
      </c>
      <c r="B1076" t="s">
        <v>593</v>
      </c>
      <c r="C1076" t="s">
        <v>388</v>
      </c>
      <c r="D1076">
        <v>57.5</v>
      </c>
      <c r="E1076">
        <v>13</v>
      </c>
      <c r="F1076">
        <v>3</v>
      </c>
      <c r="G1076">
        <v>2253</v>
      </c>
    </row>
    <row r="1077" spans="1:7">
      <c r="A1077" t="s">
        <v>592</v>
      </c>
      <c r="B1077" t="s">
        <v>593</v>
      </c>
      <c r="C1077" t="s">
        <v>407</v>
      </c>
      <c r="D1077">
        <v>30.7</v>
      </c>
      <c r="E1077">
        <v>19</v>
      </c>
      <c r="F1077">
        <v>0</v>
      </c>
      <c r="G1077">
        <v>2014</v>
      </c>
    </row>
    <row r="1078" spans="1:7">
      <c r="A1078" t="s">
        <v>592</v>
      </c>
      <c r="B1078" t="s">
        <v>593</v>
      </c>
      <c r="C1078" t="s">
        <v>426</v>
      </c>
      <c r="D1078">
        <v>22.5</v>
      </c>
      <c r="E1078">
        <v>18</v>
      </c>
      <c r="F1078">
        <v>1</v>
      </c>
      <c r="G1078">
        <v>3524</v>
      </c>
    </row>
    <row r="1079" spans="1:7">
      <c r="A1079" t="s">
        <v>592</v>
      </c>
      <c r="B1079" t="s">
        <v>593</v>
      </c>
      <c r="C1079" t="s">
        <v>445</v>
      </c>
      <c r="D1079">
        <v>200.5</v>
      </c>
      <c r="E1079">
        <v>8</v>
      </c>
      <c r="F1079">
        <v>2</v>
      </c>
      <c r="G1079">
        <v>1908</v>
      </c>
    </row>
    <row r="1080" spans="1:7">
      <c r="A1080" t="s">
        <v>592</v>
      </c>
      <c r="B1080" t="s">
        <v>593</v>
      </c>
      <c r="C1080" t="s">
        <v>464</v>
      </c>
      <c r="D1080">
        <v>161.1</v>
      </c>
      <c r="E1080">
        <v>16</v>
      </c>
      <c r="F1080">
        <v>1</v>
      </c>
      <c r="G1080">
        <v>1392</v>
      </c>
    </row>
    <row r="1081" spans="1:7">
      <c r="A1081" t="s">
        <v>592</v>
      </c>
      <c r="B1081" t="s">
        <v>593</v>
      </c>
      <c r="C1081" t="s">
        <v>483</v>
      </c>
      <c r="D1081">
        <v>38.6</v>
      </c>
      <c r="E1081">
        <v>16</v>
      </c>
      <c r="F1081">
        <v>0</v>
      </c>
      <c r="G1081">
        <v>3068</v>
      </c>
    </row>
    <row r="1082" spans="1:7">
      <c r="A1082" t="s">
        <v>594</v>
      </c>
      <c r="B1082" t="s">
        <v>595</v>
      </c>
      <c r="C1082" t="s">
        <v>42</v>
      </c>
      <c r="D1082">
        <v>285.39999999999998</v>
      </c>
      <c r="E1082">
        <v>16</v>
      </c>
      <c r="F1082">
        <v>0</v>
      </c>
      <c r="G1082">
        <v>1140</v>
      </c>
    </row>
    <row r="1083" spans="1:7">
      <c r="A1083" t="s">
        <v>594</v>
      </c>
      <c r="B1083" t="s">
        <v>595</v>
      </c>
      <c r="C1083" t="s">
        <v>85</v>
      </c>
      <c r="D1083">
        <v>241.2</v>
      </c>
      <c r="E1083">
        <v>14</v>
      </c>
      <c r="F1083">
        <v>3</v>
      </c>
      <c r="G1083">
        <v>1043</v>
      </c>
    </row>
    <row r="1084" spans="1:7">
      <c r="A1084" t="s">
        <v>594</v>
      </c>
      <c r="B1084" t="s">
        <v>595</v>
      </c>
      <c r="C1084" t="s">
        <v>104</v>
      </c>
      <c r="D1084">
        <v>84.3</v>
      </c>
      <c r="E1084">
        <v>12</v>
      </c>
      <c r="F1084">
        <v>3</v>
      </c>
      <c r="G1084">
        <v>2447</v>
      </c>
    </row>
    <row r="1085" spans="1:7">
      <c r="A1085" t="s">
        <v>594</v>
      </c>
      <c r="B1085" t="s">
        <v>595</v>
      </c>
      <c r="C1085" t="s">
        <v>124</v>
      </c>
      <c r="D1085">
        <v>114.9</v>
      </c>
      <c r="E1085">
        <v>21</v>
      </c>
      <c r="F1085">
        <v>2</v>
      </c>
      <c r="G1085">
        <v>2949</v>
      </c>
    </row>
    <row r="1086" spans="1:7">
      <c r="A1086" t="s">
        <v>594</v>
      </c>
      <c r="B1086" t="s">
        <v>595</v>
      </c>
      <c r="C1086" t="s">
        <v>142</v>
      </c>
      <c r="D1086">
        <v>87.1</v>
      </c>
      <c r="E1086">
        <v>16</v>
      </c>
      <c r="F1086">
        <v>1</v>
      </c>
      <c r="G1086">
        <v>2846</v>
      </c>
    </row>
    <row r="1087" spans="1:7">
      <c r="A1087" t="s">
        <v>594</v>
      </c>
      <c r="B1087" t="s">
        <v>595</v>
      </c>
      <c r="C1087" t="s">
        <v>159</v>
      </c>
      <c r="D1087">
        <v>36.1</v>
      </c>
      <c r="E1087">
        <v>19</v>
      </c>
      <c r="F1087">
        <v>0</v>
      </c>
      <c r="G1087">
        <v>2474</v>
      </c>
    </row>
    <row r="1088" spans="1:7">
      <c r="A1088" t="s">
        <v>594</v>
      </c>
      <c r="B1088" t="s">
        <v>595</v>
      </c>
      <c r="C1088" t="s">
        <v>176</v>
      </c>
      <c r="D1088">
        <v>347.4</v>
      </c>
      <c r="E1088">
        <v>17</v>
      </c>
      <c r="F1088">
        <v>1</v>
      </c>
      <c r="G1088">
        <v>702</v>
      </c>
    </row>
    <row r="1089" spans="1:7">
      <c r="A1089" t="s">
        <v>594</v>
      </c>
      <c r="B1089" t="s">
        <v>595</v>
      </c>
      <c r="C1089" t="s">
        <v>195</v>
      </c>
      <c r="D1089">
        <v>74.7</v>
      </c>
      <c r="E1089">
        <v>19</v>
      </c>
      <c r="F1089">
        <v>0</v>
      </c>
      <c r="G1089">
        <v>2062</v>
      </c>
    </row>
    <row r="1090" spans="1:7">
      <c r="A1090" t="s">
        <v>594</v>
      </c>
      <c r="B1090" t="s">
        <v>595</v>
      </c>
      <c r="C1090" t="s">
        <v>212</v>
      </c>
      <c r="D1090">
        <v>65.900000000000006</v>
      </c>
      <c r="E1090">
        <v>11</v>
      </c>
      <c r="F1090">
        <v>0</v>
      </c>
      <c r="G1090">
        <v>1740</v>
      </c>
    </row>
    <row r="1091" spans="1:7">
      <c r="A1091" t="s">
        <v>594</v>
      </c>
      <c r="B1091" t="s">
        <v>595</v>
      </c>
      <c r="C1091" t="s">
        <v>229</v>
      </c>
      <c r="D1091">
        <v>59.5</v>
      </c>
      <c r="E1091">
        <v>16</v>
      </c>
      <c r="F1091">
        <v>0</v>
      </c>
      <c r="G1091">
        <v>2957</v>
      </c>
    </row>
    <row r="1092" spans="1:7">
      <c r="A1092" t="s">
        <v>594</v>
      </c>
      <c r="B1092" t="s">
        <v>595</v>
      </c>
      <c r="C1092" t="s">
        <v>248</v>
      </c>
      <c r="D1092">
        <v>58.2</v>
      </c>
      <c r="E1092">
        <v>19</v>
      </c>
      <c r="F1092">
        <v>0</v>
      </c>
      <c r="G1092">
        <v>2107</v>
      </c>
    </row>
    <row r="1093" spans="1:7">
      <c r="A1093" t="s">
        <v>594</v>
      </c>
      <c r="B1093" t="s">
        <v>595</v>
      </c>
      <c r="C1093" t="s">
        <v>265</v>
      </c>
      <c r="D1093">
        <v>11.3</v>
      </c>
      <c r="E1093">
        <v>21</v>
      </c>
      <c r="F1093">
        <v>1</v>
      </c>
      <c r="G1093">
        <v>3000</v>
      </c>
    </row>
    <row r="1094" spans="1:7">
      <c r="A1094" t="s">
        <v>594</v>
      </c>
      <c r="B1094" t="s">
        <v>595</v>
      </c>
      <c r="C1094" t="s">
        <v>282</v>
      </c>
      <c r="D1094">
        <v>114.5</v>
      </c>
      <c r="E1094">
        <v>18</v>
      </c>
      <c r="F1094">
        <v>0</v>
      </c>
      <c r="G1094">
        <v>1265</v>
      </c>
    </row>
    <row r="1095" spans="1:7">
      <c r="A1095" t="s">
        <v>594</v>
      </c>
      <c r="B1095" t="s">
        <v>595</v>
      </c>
      <c r="C1095" t="s">
        <v>299</v>
      </c>
      <c r="D1095">
        <v>91.7</v>
      </c>
      <c r="E1095">
        <v>21</v>
      </c>
      <c r="F1095">
        <v>2</v>
      </c>
      <c r="G1095">
        <v>1095</v>
      </c>
    </row>
    <row r="1096" spans="1:7">
      <c r="A1096" t="s">
        <v>594</v>
      </c>
      <c r="B1096" t="s">
        <v>595</v>
      </c>
      <c r="C1096" t="s">
        <v>318</v>
      </c>
      <c r="D1096">
        <v>163.30000000000001</v>
      </c>
      <c r="E1096">
        <v>15</v>
      </c>
      <c r="F1096">
        <v>1</v>
      </c>
      <c r="G1096">
        <v>856</v>
      </c>
    </row>
    <row r="1097" spans="1:7">
      <c r="A1097" t="s">
        <v>594</v>
      </c>
      <c r="B1097" t="s">
        <v>595</v>
      </c>
      <c r="C1097" t="s">
        <v>335</v>
      </c>
      <c r="D1097">
        <v>109.2</v>
      </c>
      <c r="E1097">
        <v>17</v>
      </c>
      <c r="F1097">
        <v>1</v>
      </c>
      <c r="G1097">
        <v>1460</v>
      </c>
    </row>
    <row r="1098" spans="1:7">
      <c r="A1098" t="s">
        <v>594</v>
      </c>
      <c r="B1098" t="s">
        <v>595</v>
      </c>
      <c r="C1098" t="s">
        <v>352</v>
      </c>
      <c r="D1098">
        <v>269.39999999999998</v>
      </c>
      <c r="E1098">
        <v>14</v>
      </c>
      <c r="F1098">
        <v>2</v>
      </c>
      <c r="G1098">
        <v>1059</v>
      </c>
    </row>
    <row r="1099" spans="1:7">
      <c r="A1099" t="s">
        <v>594</v>
      </c>
      <c r="B1099" t="s">
        <v>595</v>
      </c>
      <c r="C1099" t="s">
        <v>371</v>
      </c>
      <c r="D1099">
        <v>115.6</v>
      </c>
      <c r="E1099">
        <v>21</v>
      </c>
      <c r="F1099">
        <v>1</v>
      </c>
      <c r="G1099">
        <v>1658</v>
      </c>
    </row>
    <row r="1100" spans="1:7">
      <c r="A1100" t="s">
        <v>594</v>
      </c>
      <c r="B1100" t="s">
        <v>595</v>
      </c>
      <c r="C1100" t="s">
        <v>388</v>
      </c>
      <c r="D1100">
        <v>50.5</v>
      </c>
      <c r="E1100">
        <v>13</v>
      </c>
      <c r="F1100">
        <v>0</v>
      </c>
      <c r="G1100">
        <v>2128</v>
      </c>
    </row>
    <row r="1101" spans="1:7">
      <c r="A1101" t="s">
        <v>594</v>
      </c>
      <c r="B1101" t="s">
        <v>595</v>
      </c>
      <c r="C1101" t="s">
        <v>407</v>
      </c>
      <c r="D1101">
        <v>33.4</v>
      </c>
      <c r="E1101">
        <v>14</v>
      </c>
      <c r="F1101">
        <v>0</v>
      </c>
      <c r="G1101">
        <v>1683</v>
      </c>
    </row>
    <row r="1102" spans="1:7">
      <c r="A1102" t="s">
        <v>594</v>
      </c>
      <c r="B1102" t="s">
        <v>595</v>
      </c>
      <c r="C1102" t="s">
        <v>426</v>
      </c>
      <c r="D1102">
        <v>22.3</v>
      </c>
      <c r="E1102">
        <v>16</v>
      </c>
      <c r="F1102">
        <v>0</v>
      </c>
      <c r="G1102">
        <v>2988</v>
      </c>
    </row>
    <row r="1103" spans="1:7">
      <c r="A1103" t="s">
        <v>594</v>
      </c>
      <c r="B1103" t="s">
        <v>595</v>
      </c>
      <c r="C1103" t="s">
        <v>445</v>
      </c>
      <c r="D1103">
        <v>187.5</v>
      </c>
      <c r="E1103">
        <v>20</v>
      </c>
      <c r="F1103">
        <v>1</v>
      </c>
      <c r="G1103">
        <v>1757</v>
      </c>
    </row>
    <row r="1104" spans="1:7">
      <c r="A1104" t="s">
        <v>594</v>
      </c>
      <c r="B1104" t="s">
        <v>595</v>
      </c>
      <c r="C1104" t="s">
        <v>464</v>
      </c>
      <c r="D1104">
        <v>158.6</v>
      </c>
      <c r="E1104">
        <v>10</v>
      </c>
      <c r="F1104">
        <v>3</v>
      </c>
      <c r="G1104">
        <v>1241</v>
      </c>
    </row>
    <row r="1105" spans="1:7">
      <c r="A1105" t="s">
        <v>594</v>
      </c>
      <c r="B1105" t="s">
        <v>595</v>
      </c>
      <c r="C1105" t="s">
        <v>483</v>
      </c>
      <c r="D1105">
        <v>110.4</v>
      </c>
      <c r="E1105">
        <v>15</v>
      </c>
      <c r="F1105">
        <v>1</v>
      </c>
      <c r="G1105">
        <v>1800</v>
      </c>
    </row>
    <row r="1106" spans="1:7">
      <c r="A1106" t="s">
        <v>596</v>
      </c>
      <c r="B1106" t="s">
        <v>597</v>
      </c>
      <c r="C1106" t="s">
        <v>42</v>
      </c>
      <c r="D1106">
        <v>390</v>
      </c>
      <c r="E1106">
        <v>16</v>
      </c>
      <c r="F1106">
        <v>3</v>
      </c>
      <c r="G1106">
        <v>1016</v>
      </c>
    </row>
    <row r="1107" spans="1:7">
      <c r="A1107" t="s">
        <v>596</v>
      </c>
      <c r="B1107" t="s">
        <v>597</v>
      </c>
      <c r="C1107" t="s">
        <v>85</v>
      </c>
      <c r="D1107">
        <v>336.9</v>
      </c>
      <c r="E1107">
        <v>18</v>
      </c>
      <c r="F1107">
        <v>1</v>
      </c>
      <c r="G1107">
        <v>713</v>
      </c>
    </row>
    <row r="1108" spans="1:7">
      <c r="A1108" t="s">
        <v>596</v>
      </c>
      <c r="B1108" t="s">
        <v>597</v>
      </c>
      <c r="C1108" t="s">
        <v>104</v>
      </c>
      <c r="D1108">
        <v>65.599999999999994</v>
      </c>
      <c r="E1108">
        <v>20</v>
      </c>
      <c r="F1108">
        <v>1</v>
      </c>
      <c r="G1108">
        <v>1862</v>
      </c>
    </row>
    <row r="1109" spans="1:7">
      <c r="A1109" t="s">
        <v>596</v>
      </c>
      <c r="B1109" t="s">
        <v>597</v>
      </c>
      <c r="C1109" t="s">
        <v>124</v>
      </c>
      <c r="D1109">
        <v>87.3</v>
      </c>
      <c r="E1109">
        <v>13</v>
      </c>
      <c r="F1109">
        <v>1</v>
      </c>
      <c r="G1109">
        <v>2100</v>
      </c>
    </row>
    <row r="1110" spans="1:7">
      <c r="A1110" t="s">
        <v>596</v>
      </c>
      <c r="B1110" t="s">
        <v>597</v>
      </c>
      <c r="C1110" t="s">
        <v>142</v>
      </c>
      <c r="D1110">
        <v>92.5</v>
      </c>
      <c r="E1110">
        <v>19</v>
      </c>
      <c r="F1110">
        <v>3</v>
      </c>
      <c r="G1110">
        <v>2497</v>
      </c>
    </row>
    <row r="1111" spans="1:7">
      <c r="A1111" t="s">
        <v>596</v>
      </c>
      <c r="B1111" t="s">
        <v>597</v>
      </c>
      <c r="C1111" t="s">
        <v>159</v>
      </c>
      <c r="D1111">
        <v>46.7</v>
      </c>
      <c r="E1111">
        <v>18</v>
      </c>
      <c r="F1111">
        <v>0</v>
      </c>
      <c r="G1111">
        <v>1826</v>
      </c>
    </row>
    <row r="1112" spans="1:7">
      <c r="A1112" t="s">
        <v>596</v>
      </c>
      <c r="B1112" t="s">
        <v>597</v>
      </c>
      <c r="C1112" t="s">
        <v>176</v>
      </c>
      <c r="D1112">
        <v>601.20000000000005</v>
      </c>
      <c r="E1112">
        <v>9</v>
      </c>
      <c r="F1112">
        <v>4</v>
      </c>
      <c r="G1112">
        <v>626</v>
      </c>
    </row>
    <row r="1113" spans="1:7">
      <c r="A1113" t="s">
        <v>596</v>
      </c>
      <c r="B1113" t="s">
        <v>597</v>
      </c>
      <c r="C1113" t="s">
        <v>195</v>
      </c>
      <c r="D1113">
        <v>85.4</v>
      </c>
      <c r="E1113">
        <v>14</v>
      </c>
      <c r="F1113">
        <v>1</v>
      </c>
      <c r="G1113">
        <v>1824</v>
      </c>
    </row>
    <row r="1114" spans="1:7">
      <c r="A1114" t="s">
        <v>596</v>
      </c>
      <c r="B1114" t="s">
        <v>597</v>
      </c>
      <c r="C1114" t="s">
        <v>212</v>
      </c>
      <c r="D1114">
        <v>81.3</v>
      </c>
      <c r="E1114">
        <v>16</v>
      </c>
      <c r="F1114">
        <v>0</v>
      </c>
      <c r="G1114">
        <v>1431</v>
      </c>
    </row>
    <row r="1115" spans="1:7">
      <c r="A1115" t="s">
        <v>596</v>
      </c>
      <c r="B1115" t="s">
        <v>597</v>
      </c>
      <c r="C1115" t="s">
        <v>229</v>
      </c>
      <c r="D1115">
        <v>41.9</v>
      </c>
      <c r="E1115">
        <v>19</v>
      </c>
      <c r="F1115">
        <v>1</v>
      </c>
      <c r="G1115">
        <v>2434</v>
      </c>
    </row>
    <row r="1116" spans="1:7">
      <c r="A1116" t="s">
        <v>596</v>
      </c>
      <c r="B1116" t="s">
        <v>597</v>
      </c>
      <c r="C1116" t="s">
        <v>248</v>
      </c>
      <c r="D1116">
        <v>49.8</v>
      </c>
      <c r="E1116">
        <v>17</v>
      </c>
      <c r="F1116">
        <v>0</v>
      </c>
      <c r="G1116">
        <v>1791</v>
      </c>
    </row>
    <row r="1117" spans="1:7">
      <c r="A1117" t="s">
        <v>596</v>
      </c>
      <c r="B1117" t="s">
        <v>597</v>
      </c>
      <c r="C1117" t="s">
        <v>265</v>
      </c>
      <c r="D1117">
        <v>17</v>
      </c>
      <c r="E1117">
        <v>17</v>
      </c>
      <c r="F1117">
        <v>2</v>
      </c>
      <c r="G1117">
        <v>2224</v>
      </c>
    </row>
    <row r="1118" spans="1:7">
      <c r="A1118" t="s">
        <v>596</v>
      </c>
      <c r="B1118" t="s">
        <v>597</v>
      </c>
      <c r="C1118" t="s">
        <v>282</v>
      </c>
      <c r="D1118">
        <v>137</v>
      </c>
      <c r="E1118">
        <v>17</v>
      </c>
      <c r="F1118">
        <v>1</v>
      </c>
      <c r="G1118">
        <v>1014</v>
      </c>
    </row>
    <row r="1119" spans="1:7">
      <c r="A1119" t="s">
        <v>596</v>
      </c>
      <c r="B1119" t="s">
        <v>597</v>
      </c>
      <c r="C1119" t="s">
        <v>299</v>
      </c>
      <c r="D1119">
        <v>697.4</v>
      </c>
      <c r="E1119">
        <v>13</v>
      </c>
      <c r="F1119">
        <v>6</v>
      </c>
      <c r="G1119">
        <v>999</v>
      </c>
    </row>
    <row r="1120" spans="1:7">
      <c r="A1120" t="s">
        <v>596</v>
      </c>
      <c r="B1120" t="s">
        <v>597</v>
      </c>
      <c r="C1120" t="s">
        <v>318</v>
      </c>
      <c r="D1120">
        <v>359.8</v>
      </c>
      <c r="E1120">
        <v>18</v>
      </c>
      <c r="F1120">
        <v>2</v>
      </c>
      <c r="G1120">
        <v>815</v>
      </c>
    </row>
    <row r="1121" spans="1:7">
      <c r="A1121" t="s">
        <v>596</v>
      </c>
      <c r="B1121" t="s">
        <v>597</v>
      </c>
      <c r="C1121" t="s">
        <v>335</v>
      </c>
      <c r="D1121">
        <v>83.4</v>
      </c>
      <c r="E1121">
        <v>14</v>
      </c>
      <c r="F1121">
        <v>2</v>
      </c>
      <c r="G1121">
        <v>1279</v>
      </c>
    </row>
    <row r="1122" spans="1:7">
      <c r="A1122" t="s">
        <v>596</v>
      </c>
      <c r="B1122" t="s">
        <v>597</v>
      </c>
      <c r="C1122" t="s">
        <v>352</v>
      </c>
      <c r="D1122">
        <v>248.4</v>
      </c>
      <c r="E1122">
        <v>15</v>
      </c>
      <c r="F1122">
        <v>2</v>
      </c>
      <c r="G1122">
        <v>790</v>
      </c>
    </row>
    <row r="1123" spans="1:7">
      <c r="A1123" t="s">
        <v>596</v>
      </c>
      <c r="B1123" t="s">
        <v>597</v>
      </c>
      <c r="C1123" t="s">
        <v>371</v>
      </c>
      <c r="D1123">
        <v>151.4</v>
      </c>
      <c r="E1123">
        <v>13</v>
      </c>
      <c r="F1123">
        <v>4</v>
      </c>
      <c r="G1123">
        <v>998</v>
      </c>
    </row>
    <row r="1124" spans="1:7">
      <c r="A1124" t="s">
        <v>596</v>
      </c>
      <c r="B1124" t="s">
        <v>597</v>
      </c>
      <c r="C1124" t="s">
        <v>388</v>
      </c>
      <c r="D1124">
        <v>64.2</v>
      </c>
      <c r="E1124">
        <v>14</v>
      </c>
      <c r="F1124">
        <v>3</v>
      </c>
      <c r="G1124">
        <v>1458</v>
      </c>
    </row>
    <row r="1125" spans="1:7">
      <c r="A1125" t="s">
        <v>596</v>
      </c>
      <c r="B1125" t="s">
        <v>597</v>
      </c>
      <c r="C1125" t="s">
        <v>407</v>
      </c>
      <c r="D1125">
        <v>29.3</v>
      </c>
      <c r="E1125">
        <v>12</v>
      </c>
      <c r="F1125">
        <v>1</v>
      </c>
      <c r="G1125">
        <v>1294</v>
      </c>
    </row>
    <row r="1126" spans="1:7">
      <c r="A1126" t="s">
        <v>596</v>
      </c>
      <c r="B1126" t="s">
        <v>597</v>
      </c>
      <c r="C1126" t="s">
        <v>426</v>
      </c>
      <c r="D1126">
        <v>20.8</v>
      </c>
      <c r="E1126">
        <v>11</v>
      </c>
      <c r="F1126">
        <v>0</v>
      </c>
      <c r="G1126">
        <v>1855</v>
      </c>
    </row>
    <row r="1127" spans="1:7">
      <c r="A1127" t="s">
        <v>596</v>
      </c>
      <c r="B1127" t="s">
        <v>597</v>
      </c>
      <c r="C1127" t="s">
        <v>445</v>
      </c>
      <c r="D1127">
        <v>194.7</v>
      </c>
      <c r="E1127">
        <v>19</v>
      </c>
      <c r="F1127">
        <v>0</v>
      </c>
      <c r="G1127">
        <v>1452</v>
      </c>
    </row>
    <row r="1128" spans="1:7">
      <c r="A1128" t="s">
        <v>596</v>
      </c>
      <c r="B1128" t="s">
        <v>597</v>
      </c>
      <c r="C1128" t="s">
        <v>464</v>
      </c>
      <c r="D1128">
        <v>143</v>
      </c>
      <c r="E1128">
        <v>21</v>
      </c>
      <c r="F1128">
        <v>2</v>
      </c>
      <c r="G1128">
        <v>877</v>
      </c>
    </row>
    <row r="1129" spans="1:7">
      <c r="A1129" t="s">
        <v>596</v>
      </c>
      <c r="B1129" t="s">
        <v>597</v>
      </c>
      <c r="C1129" t="s">
        <v>483</v>
      </c>
      <c r="D1129">
        <v>84.6</v>
      </c>
      <c r="E1129">
        <v>19</v>
      </c>
      <c r="F1129">
        <v>0</v>
      </c>
      <c r="G1129">
        <v>1512</v>
      </c>
    </row>
    <row r="1130" spans="1:7">
      <c r="A1130" t="s">
        <v>598</v>
      </c>
      <c r="B1130" t="s">
        <v>599</v>
      </c>
      <c r="C1130" t="s">
        <v>42</v>
      </c>
      <c r="D1130">
        <v>392.2</v>
      </c>
      <c r="E1130">
        <v>13</v>
      </c>
      <c r="F1130">
        <v>3</v>
      </c>
      <c r="G1130">
        <v>972</v>
      </c>
    </row>
    <row r="1131" spans="1:7">
      <c r="A1131" t="s">
        <v>598</v>
      </c>
      <c r="B1131" t="s">
        <v>599</v>
      </c>
      <c r="C1131" t="s">
        <v>85</v>
      </c>
      <c r="D1131">
        <v>318.7</v>
      </c>
      <c r="E1131">
        <v>15</v>
      </c>
      <c r="F1131">
        <v>2</v>
      </c>
      <c r="G1131">
        <v>636</v>
      </c>
    </row>
    <row r="1132" spans="1:7">
      <c r="A1132" t="s">
        <v>598</v>
      </c>
      <c r="B1132" t="s">
        <v>599</v>
      </c>
      <c r="C1132" t="s">
        <v>104</v>
      </c>
      <c r="D1132">
        <v>65</v>
      </c>
      <c r="E1132">
        <v>19</v>
      </c>
      <c r="F1132">
        <v>0</v>
      </c>
      <c r="G1132">
        <v>2188</v>
      </c>
    </row>
    <row r="1133" spans="1:7">
      <c r="A1133" t="s">
        <v>598</v>
      </c>
      <c r="B1133" t="s">
        <v>599</v>
      </c>
      <c r="C1133" t="s">
        <v>124</v>
      </c>
      <c r="D1133">
        <v>106.3</v>
      </c>
      <c r="E1133">
        <v>14</v>
      </c>
      <c r="F1133">
        <v>0</v>
      </c>
      <c r="G1133">
        <v>2573</v>
      </c>
    </row>
    <row r="1134" spans="1:7">
      <c r="A1134" t="s">
        <v>598</v>
      </c>
      <c r="B1134" t="s">
        <v>599</v>
      </c>
      <c r="C1134" t="s">
        <v>142</v>
      </c>
      <c r="D1134">
        <v>75.900000000000006</v>
      </c>
      <c r="E1134">
        <v>22</v>
      </c>
      <c r="F1134">
        <v>2</v>
      </c>
      <c r="G1134">
        <v>2349</v>
      </c>
    </row>
    <row r="1135" spans="1:7">
      <c r="A1135" t="s">
        <v>598</v>
      </c>
      <c r="B1135" t="s">
        <v>599</v>
      </c>
      <c r="C1135" t="s">
        <v>159</v>
      </c>
      <c r="D1135">
        <v>66.599999999999994</v>
      </c>
      <c r="E1135">
        <v>11</v>
      </c>
      <c r="F1135">
        <v>0</v>
      </c>
      <c r="G1135">
        <v>2113</v>
      </c>
    </row>
    <row r="1136" spans="1:7">
      <c r="A1136" t="s">
        <v>598</v>
      </c>
      <c r="B1136" t="s">
        <v>599</v>
      </c>
      <c r="C1136" t="s">
        <v>176</v>
      </c>
      <c r="D1136">
        <v>492.4</v>
      </c>
      <c r="E1136">
        <v>16</v>
      </c>
      <c r="F1136">
        <v>2</v>
      </c>
      <c r="G1136">
        <v>755</v>
      </c>
    </row>
    <row r="1137" spans="1:7">
      <c r="A1137" t="s">
        <v>598</v>
      </c>
      <c r="B1137" t="s">
        <v>599</v>
      </c>
      <c r="C1137" t="s">
        <v>195</v>
      </c>
      <c r="D1137">
        <v>99.5</v>
      </c>
      <c r="E1137">
        <v>18</v>
      </c>
      <c r="F1137">
        <v>0</v>
      </c>
      <c r="G1137">
        <v>1636</v>
      </c>
    </row>
    <row r="1138" spans="1:7">
      <c r="A1138" t="s">
        <v>598</v>
      </c>
      <c r="B1138" t="s">
        <v>599</v>
      </c>
      <c r="C1138" t="s">
        <v>212</v>
      </c>
      <c r="D1138">
        <v>71.099999999999994</v>
      </c>
      <c r="E1138">
        <v>16</v>
      </c>
      <c r="F1138">
        <v>0</v>
      </c>
      <c r="G1138">
        <v>1685</v>
      </c>
    </row>
    <row r="1139" spans="1:7">
      <c r="A1139" t="s">
        <v>598</v>
      </c>
      <c r="B1139" t="s">
        <v>599</v>
      </c>
      <c r="C1139" t="s">
        <v>229</v>
      </c>
      <c r="D1139">
        <v>53.1</v>
      </c>
      <c r="E1139">
        <v>15</v>
      </c>
      <c r="F1139">
        <v>2</v>
      </c>
      <c r="G1139">
        <v>1722</v>
      </c>
    </row>
    <row r="1140" spans="1:7">
      <c r="A1140" t="s">
        <v>598</v>
      </c>
      <c r="B1140" t="s">
        <v>599</v>
      </c>
      <c r="C1140" t="s">
        <v>248</v>
      </c>
      <c r="D1140">
        <v>49.3</v>
      </c>
      <c r="E1140">
        <v>19</v>
      </c>
      <c r="F1140">
        <v>3</v>
      </c>
      <c r="G1140">
        <v>2092</v>
      </c>
    </row>
    <row r="1141" spans="1:7">
      <c r="A1141" t="s">
        <v>598</v>
      </c>
      <c r="B1141" t="s">
        <v>599</v>
      </c>
      <c r="C1141" t="s">
        <v>265</v>
      </c>
      <c r="D1141">
        <v>16.899999999999999</v>
      </c>
      <c r="E1141">
        <v>19</v>
      </c>
      <c r="F1141">
        <v>1</v>
      </c>
      <c r="G1141">
        <v>2073</v>
      </c>
    </row>
    <row r="1142" spans="1:7">
      <c r="A1142" t="s">
        <v>598</v>
      </c>
      <c r="B1142" t="s">
        <v>599</v>
      </c>
      <c r="C1142" t="s">
        <v>282</v>
      </c>
      <c r="D1142">
        <v>129.69999999999999</v>
      </c>
      <c r="E1142">
        <v>13</v>
      </c>
      <c r="F1142">
        <v>1</v>
      </c>
      <c r="G1142">
        <v>1024</v>
      </c>
    </row>
    <row r="1143" spans="1:7">
      <c r="A1143" t="s">
        <v>598</v>
      </c>
      <c r="B1143" t="s">
        <v>599</v>
      </c>
      <c r="C1143" t="s">
        <v>299</v>
      </c>
      <c r="D1143">
        <v>512.5</v>
      </c>
      <c r="E1143">
        <v>16</v>
      </c>
      <c r="F1143">
        <v>0</v>
      </c>
      <c r="G1143">
        <v>1107</v>
      </c>
    </row>
    <row r="1144" spans="1:7">
      <c r="A1144" t="s">
        <v>598</v>
      </c>
      <c r="B1144" t="s">
        <v>599</v>
      </c>
      <c r="C1144" t="s">
        <v>318</v>
      </c>
      <c r="D1144">
        <v>299.7</v>
      </c>
      <c r="E1144">
        <v>17</v>
      </c>
      <c r="F1144">
        <v>2</v>
      </c>
      <c r="G1144">
        <v>922</v>
      </c>
    </row>
    <row r="1145" spans="1:7">
      <c r="A1145" t="s">
        <v>598</v>
      </c>
      <c r="B1145" t="s">
        <v>599</v>
      </c>
      <c r="C1145" t="s">
        <v>335</v>
      </c>
      <c r="D1145">
        <v>84.1</v>
      </c>
      <c r="E1145">
        <v>17</v>
      </c>
      <c r="F1145">
        <v>2</v>
      </c>
      <c r="G1145">
        <v>1275</v>
      </c>
    </row>
    <row r="1146" spans="1:7">
      <c r="A1146" t="s">
        <v>598</v>
      </c>
      <c r="B1146" t="s">
        <v>599</v>
      </c>
      <c r="C1146" t="s">
        <v>352</v>
      </c>
      <c r="D1146">
        <v>207.9</v>
      </c>
      <c r="E1146">
        <v>8</v>
      </c>
      <c r="F1146">
        <v>1</v>
      </c>
      <c r="G1146">
        <v>837</v>
      </c>
    </row>
    <row r="1147" spans="1:7">
      <c r="A1147" t="s">
        <v>598</v>
      </c>
      <c r="B1147" t="s">
        <v>599</v>
      </c>
      <c r="C1147" t="s">
        <v>371</v>
      </c>
      <c r="D1147">
        <v>141.80000000000001</v>
      </c>
      <c r="E1147">
        <v>18</v>
      </c>
      <c r="F1147">
        <v>1</v>
      </c>
      <c r="G1147">
        <v>1290</v>
      </c>
    </row>
    <row r="1148" spans="1:7">
      <c r="A1148" t="s">
        <v>598</v>
      </c>
      <c r="B1148" t="s">
        <v>599</v>
      </c>
      <c r="C1148" t="s">
        <v>388</v>
      </c>
      <c r="D1148">
        <v>57.2</v>
      </c>
      <c r="E1148">
        <v>17</v>
      </c>
      <c r="F1148">
        <v>1</v>
      </c>
      <c r="G1148">
        <v>1899</v>
      </c>
    </row>
    <row r="1149" spans="1:7">
      <c r="A1149" t="s">
        <v>598</v>
      </c>
      <c r="B1149" t="s">
        <v>599</v>
      </c>
      <c r="C1149" t="s">
        <v>407</v>
      </c>
      <c r="D1149">
        <v>25.1</v>
      </c>
      <c r="E1149">
        <v>14</v>
      </c>
      <c r="F1149">
        <v>1</v>
      </c>
      <c r="G1149">
        <v>1784</v>
      </c>
    </row>
    <row r="1150" spans="1:7">
      <c r="A1150" t="s">
        <v>598</v>
      </c>
      <c r="B1150" t="s">
        <v>599</v>
      </c>
      <c r="C1150" t="s">
        <v>426</v>
      </c>
      <c r="D1150">
        <v>23.4</v>
      </c>
      <c r="E1150">
        <v>17</v>
      </c>
      <c r="F1150">
        <v>1</v>
      </c>
      <c r="G1150">
        <v>2157</v>
      </c>
    </row>
    <row r="1151" spans="1:7">
      <c r="A1151" t="s">
        <v>598</v>
      </c>
      <c r="B1151" t="s">
        <v>599</v>
      </c>
      <c r="C1151" t="s">
        <v>445</v>
      </c>
      <c r="D1151">
        <v>233.2</v>
      </c>
      <c r="E1151">
        <v>17</v>
      </c>
      <c r="F1151">
        <v>3</v>
      </c>
      <c r="G1151">
        <v>1637</v>
      </c>
    </row>
    <row r="1152" spans="1:7">
      <c r="A1152" t="s">
        <v>598</v>
      </c>
      <c r="B1152" t="s">
        <v>599</v>
      </c>
      <c r="C1152" t="s">
        <v>464</v>
      </c>
      <c r="D1152">
        <v>180.2</v>
      </c>
      <c r="E1152">
        <v>16</v>
      </c>
      <c r="F1152">
        <v>1</v>
      </c>
      <c r="G1152">
        <v>1042</v>
      </c>
    </row>
    <row r="1153" spans="1:7">
      <c r="A1153" t="s">
        <v>598</v>
      </c>
      <c r="B1153" t="s">
        <v>599</v>
      </c>
      <c r="C1153" t="s">
        <v>483</v>
      </c>
      <c r="D1153">
        <v>96.2</v>
      </c>
      <c r="E1153">
        <v>18</v>
      </c>
      <c r="F1153">
        <v>0</v>
      </c>
      <c r="G1153">
        <v>1776</v>
      </c>
    </row>
    <row r="1154" spans="1:7">
      <c r="A1154" t="s">
        <v>600</v>
      </c>
      <c r="B1154" t="s">
        <v>601</v>
      </c>
      <c r="C1154" t="s">
        <v>42</v>
      </c>
      <c r="D1154">
        <v>266.60000000000002</v>
      </c>
      <c r="E1154">
        <v>14</v>
      </c>
      <c r="F1154">
        <v>2</v>
      </c>
      <c r="G1154">
        <v>1089</v>
      </c>
    </row>
    <row r="1155" spans="1:7">
      <c r="A1155" t="s">
        <v>600</v>
      </c>
      <c r="B1155" t="s">
        <v>601</v>
      </c>
      <c r="C1155" t="s">
        <v>85</v>
      </c>
      <c r="D1155">
        <v>261.7</v>
      </c>
      <c r="E1155">
        <v>13</v>
      </c>
      <c r="F1155">
        <v>1</v>
      </c>
      <c r="G1155">
        <v>924</v>
      </c>
    </row>
    <row r="1156" spans="1:7">
      <c r="A1156" t="s">
        <v>600</v>
      </c>
      <c r="B1156" t="s">
        <v>601</v>
      </c>
      <c r="C1156" t="s">
        <v>104</v>
      </c>
      <c r="D1156">
        <v>49.1</v>
      </c>
      <c r="E1156">
        <v>14</v>
      </c>
      <c r="F1156">
        <v>4</v>
      </c>
      <c r="G1156">
        <v>2316</v>
      </c>
    </row>
    <row r="1157" spans="1:7">
      <c r="A1157" t="s">
        <v>600</v>
      </c>
      <c r="B1157" t="s">
        <v>601</v>
      </c>
      <c r="C1157" t="s">
        <v>124</v>
      </c>
      <c r="D1157">
        <v>75.400000000000006</v>
      </c>
      <c r="E1157">
        <v>17</v>
      </c>
      <c r="F1157">
        <v>1</v>
      </c>
      <c r="G1157">
        <v>2766</v>
      </c>
    </row>
    <row r="1158" spans="1:7">
      <c r="A1158" t="s">
        <v>600</v>
      </c>
      <c r="B1158" t="s">
        <v>601</v>
      </c>
      <c r="C1158" t="s">
        <v>142</v>
      </c>
      <c r="D1158">
        <v>114.1</v>
      </c>
      <c r="E1158">
        <v>19</v>
      </c>
      <c r="F1158">
        <v>0</v>
      </c>
      <c r="G1158">
        <v>2481</v>
      </c>
    </row>
    <row r="1159" spans="1:7">
      <c r="A1159" t="s">
        <v>600</v>
      </c>
      <c r="B1159" t="s">
        <v>601</v>
      </c>
      <c r="C1159" t="s">
        <v>159</v>
      </c>
      <c r="D1159">
        <v>44.7</v>
      </c>
      <c r="E1159">
        <v>12</v>
      </c>
      <c r="F1159">
        <v>0</v>
      </c>
      <c r="G1159">
        <v>1709</v>
      </c>
    </row>
    <row r="1160" spans="1:7">
      <c r="A1160" t="s">
        <v>600</v>
      </c>
      <c r="B1160" t="s">
        <v>601</v>
      </c>
      <c r="C1160" t="s">
        <v>176</v>
      </c>
      <c r="D1160">
        <v>493.8</v>
      </c>
      <c r="E1160">
        <v>12</v>
      </c>
      <c r="F1160">
        <v>4</v>
      </c>
      <c r="G1160">
        <v>613</v>
      </c>
    </row>
    <row r="1161" spans="1:7">
      <c r="A1161" t="s">
        <v>600</v>
      </c>
      <c r="B1161" t="s">
        <v>601</v>
      </c>
      <c r="C1161" t="s">
        <v>195</v>
      </c>
      <c r="D1161">
        <v>50.8</v>
      </c>
      <c r="E1161">
        <v>14</v>
      </c>
      <c r="F1161">
        <v>0</v>
      </c>
      <c r="G1161">
        <v>1703</v>
      </c>
    </row>
    <row r="1162" spans="1:7">
      <c r="A1162" t="s">
        <v>600</v>
      </c>
      <c r="B1162" t="s">
        <v>601</v>
      </c>
      <c r="C1162" t="s">
        <v>212</v>
      </c>
      <c r="D1162">
        <v>82.9</v>
      </c>
      <c r="E1162">
        <v>14</v>
      </c>
      <c r="F1162">
        <v>2</v>
      </c>
      <c r="G1162">
        <v>1467</v>
      </c>
    </row>
    <row r="1163" spans="1:7">
      <c r="A1163" t="s">
        <v>600</v>
      </c>
      <c r="B1163" t="s">
        <v>601</v>
      </c>
      <c r="C1163" t="s">
        <v>229</v>
      </c>
      <c r="D1163">
        <v>51.6</v>
      </c>
      <c r="E1163">
        <v>15</v>
      </c>
      <c r="F1163">
        <v>0</v>
      </c>
      <c r="G1163">
        <v>1705</v>
      </c>
    </row>
    <row r="1164" spans="1:7">
      <c r="A1164" t="s">
        <v>600</v>
      </c>
      <c r="B1164" t="s">
        <v>601</v>
      </c>
      <c r="C1164" t="s">
        <v>248</v>
      </c>
      <c r="D1164">
        <v>56.5</v>
      </c>
      <c r="E1164">
        <v>17</v>
      </c>
      <c r="F1164">
        <v>0</v>
      </c>
      <c r="G1164">
        <v>1952</v>
      </c>
    </row>
    <row r="1165" spans="1:7">
      <c r="A1165" t="s">
        <v>600</v>
      </c>
      <c r="B1165" t="s">
        <v>601</v>
      </c>
      <c r="C1165" t="s">
        <v>265</v>
      </c>
      <c r="D1165">
        <v>17.100000000000001</v>
      </c>
      <c r="E1165">
        <v>16</v>
      </c>
      <c r="F1165">
        <v>0</v>
      </c>
      <c r="G1165">
        <v>2358</v>
      </c>
    </row>
    <row r="1166" spans="1:7">
      <c r="A1166" t="s">
        <v>600</v>
      </c>
      <c r="B1166" t="s">
        <v>601</v>
      </c>
      <c r="C1166" t="s">
        <v>282</v>
      </c>
      <c r="D1166">
        <v>101.8</v>
      </c>
      <c r="E1166">
        <v>16</v>
      </c>
      <c r="F1166">
        <v>0</v>
      </c>
      <c r="G1166">
        <v>946</v>
      </c>
    </row>
    <row r="1167" spans="1:7">
      <c r="A1167" t="s">
        <v>600</v>
      </c>
      <c r="B1167" t="s">
        <v>601</v>
      </c>
      <c r="C1167" t="s">
        <v>299</v>
      </c>
      <c r="D1167">
        <v>364.8</v>
      </c>
      <c r="E1167">
        <v>14</v>
      </c>
      <c r="F1167">
        <v>4</v>
      </c>
      <c r="G1167">
        <v>1005</v>
      </c>
    </row>
    <row r="1168" spans="1:7">
      <c r="A1168" t="s">
        <v>600</v>
      </c>
      <c r="B1168" t="s">
        <v>601</v>
      </c>
      <c r="C1168" t="s">
        <v>318</v>
      </c>
      <c r="D1168">
        <v>404.7</v>
      </c>
      <c r="E1168">
        <v>18</v>
      </c>
      <c r="F1168">
        <v>5</v>
      </c>
      <c r="G1168">
        <v>840</v>
      </c>
    </row>
    <row r="1169" spans="1:7">
      <c r="A1169" t="s">
        <v>600</v>
      </c>
      <c r="B1169" t="s">
        <v>601</v>
      </c>
      <c r="C1169" t="s">
        <v>335</v>
      </c>
      <c r="D1169">
        <v>107.6</v>
      </c>
      <c r="E1169">
        <v>13</v>
      </c>
      <c r="F1169">
        <v>0</v>
      </c>
      <c r="G1169">
        <v>1166</v>
      </c>
    </row>
    <row r="1170" spans="1:7">
      <c r="A1170" t="s">
        <v>600</v>
      </c>
      <c r="B1170" t="s">
        <v>601</v>
      </c>
      <c r="C1170" t="s">
        <v>352</v>
      </c>
      <c r="D1170">
        <v>262.39999999999998</v>
      </c>
      <c r="E1170">
        <v>16</v>
      </c>
      <c r="F1170">
        <v>2</v>
      </c>
      <c r="G1170">
        <v>890</v>
      </c>
    </row>
    <row r="1171" spans="1:7">
      <c r="A1171" t="s">
        <v>600</v>
      </c>
      <c r="B1171" t="s">
        <v>601</v>
      </c>
      <c r="C1171" t="s">
        <v>371</v>
      </c>
      <c r="D1171">
        <v>159.5</v>
      </c>
      <c r="E1171">
        <v>18</v>
      </c>
      <c r="F1171">
        <v>0</v>
      </c>
      <c r="G1171">
        <v>993</v>
      </c>
    </row>
    <row r="1172" spans="1:7">
      <c r="A1172" t="s">
        <v>600</v>
      </c>
      <c r="B1172" t="s">
        <v>601</v>
      </c>
      <c r="C1172" t="s">
        <v>388</v>
      </c>
      <c r="D1172">
        <v>77.7</v>
      </c>
      <c r="E1172">
        <v>16</v>
      </c>
      <c r="F1172">
        <v>0</v>
      </c>
      <c r="G1172">
        <v>1504</v>
      </c>
    </row>
    <row r="1173" spans="1:7">
      <c r="A1173" t="s">
        <v>600</v>
      </c>
      <c r="B1173" t="s">
        <v>601</v>
      </c>
      <c r="C1173" t="s">
        <v>407</v>
      </c>
      <c r="D1173">
        <v>29.7</v>
      </c>
      <c r="E1173">
        <v>13</v>
      </c>
      <c r="F1173">
        <v>0</v>
      </c>
      <c r="G1173">
        <v>1276</v>
      </c>
    </row>
    <row r="1174" spans="1:7">
      <c r="A1174" t="s">
        <v>600</v>
      </c>
      <c r="B1174" t="s">
        <v>601</v>
      </c>
      <c r="C1174" t="s">
        <v>426</v>
      </c>
      <c r="D1174">
        <v>21.8</v>
      </c>
      <c r="E1174">
        <v>16</v>
      </c>
      <c r="F1174">
        <v>2</v>
      </c>
      <c r="G1174">
        <v>2024</v>
      </c>
    </row>
    <row r="1175" spans="1:7">
      <c r="A1175" t="s">
        <v>600</v>
      </c>
      <c r="B1175" t="s">
        <v>601</v>
      </c>
      <c r="C1175" t="s">
        <v>445</v>
      </c>
      <c r="D1175">
        <v>257.7</v>
      </c>
      <c r="E1175">
        <v>13</v>
      </c>
      <c r="F1175">
        <v>2</v>
      </c>
      <c r="G1175">
        <v>1384</v>
      </c>
    </row>
    <row r="1176" spans="1:7">
      <c r="A1176" t="s">
        <v>600</v>
      </c>
      <c r="B1176" t="s">
        <v>601</v>
      </c>
      <c r="C1176" t="s">
        <v>464</v>
      </c>
      <c r="D1176">
        <v>179.4</v>
      </c>
      <c r="E1176">
        <v>15</v>
      </c>
      <c r="F1176">
        <v>3</v>
      </c>
      <c r="G1176">
        <v>981</v>
      </c>
    </row>
    <row r="1177" spans="1:7">
      <c r="A1177" t="s">
        <v>600</v>
      </c>
      <c r="B1177" t="s">
        <v>601</v>
      </c>
      <c r="C1177" t="s">
        <v>483</v>
      </c>
      <c r="D1177">
        <v>111.3</v>
      </c>
      <c r="E1177">
        <v>16</v>
      </c>
      <c r="F1177">
        <v>0</v>
      </c>
      <c r="G1177">
        <v>1586</v>
      </c>
    </row>
    <row r="1178" spans="1:7">
      <c r="A1178" t="s">
        <v>602</v>
      </c>
      <c r="B1178" t="s">
        <v>603</v>
      </c>
      <c r="C1178" t="s">
        <v>42</v>
      </c>
      <c r="D1178">
        <v>359.4</v>
      </c>
      <c r="E1178">
        <v>17</v>
      </c>
      <c r="F1178">
        <v>3</v>
      </c>
      <c r="G1178">
        <v>962</v>
      </c>
    </row>
    <row r="1179" spans="1:7">
      <c r="A1179" t="s">
        <v>602</v>
      </c>
      <c r="B1179" t="s">
        <v>603</v>
      </c>
      <c r="C1179" t="s">
        <v>85</v>
      </c>
      <c r="D1179">
        <v>246.1</v>
      </c>
      <c r="E1179">
        <v>17</v>
      </c>
      <c r="F1179">
        <v>2</v>
      </c>
      <c r="G1179">
        <v>827</v>
      </c>
    </row>
    <row r="1180" spans="1:7">
      <c r="A1180" t="s">
        <v>602</v>
      </c>
      <c r="B1180" t="s">
        <v>603</v>
      </c>
      <c r="C1180" t="s">
        <v>104</v>
      </c>
      <c r="D1180">
        <v>167.2</v>
      </c>
      <c r="E1180">
        <v>15</v>
      </c>
      <c r="F1180">
        <v>0</v>
      </c>
      <c r="G1180">
        <v>2969</v>
      </c>
    </row>
    <row r="1181" spans="1:7">
      <c r="A1181" t="s">
        <v>602</v>
      </c>
      <c r="B1181" t="s">
        <v>603</v>
      </c>
      <c r="C1181" t="s">
        <v>124</v>
      </c>
      <c r="D1181">
        <v>103.4</v>
      </c>
      <c r="E1181">
        <v>16</v>
      </c>
      <c r="F1181">
        <v>1</v>
      </c>
      <c r="G1181">
        <v>2929</v>
      </c>
    </row>
    <row r="1182" spans="1:7">
      <c r="A1182" t="s">
        <v>602</v>
      </c>
      <c r="B1182" t="s">
        <v>603</v>
      </c>
      <c r="C1182" t="s">
        <v>142</v>
      </c>
      <c r="D1182">
        <v>54.8</v>
      </c>
      <c r="E1182">
        <v>15</v>
      </c>
      <c r="F1182">
        <v>0</v>
      </c>
      <c r="G1182">
        <v>2500</v>
      </c>
    </row>
    <row r="1183" spans="1:7">
      <c r="A1183" t="s">
        <v>602</v>
      </c>
      <c r="B1183" t="s">
        <v>603</v>
      </c>
      <c r="C1183" t="s">
        <v>159</v>
      </c>
      <c r="D1183">
        <v>104</v>
      </c>
      <c r="E1183">
        <v>19</v>
      </c>
      <c r="F1183">
        <v>0</v>
      </c>
      <c r="G1183">
        <v>2065</v>
      </c>
    </row>
    <row r="1184" spans="1:7">
      <c r="A1184" t="s">
        <v>602</v>
      </c>
      <c r="B1184" t="s">
        <v>603</v>
      </c>
      <c r="C1184" t="s">
        <v>176</v>
      </c>
      <c r="D1184">
        <v>400.3</v>
      </c>
      <c r="E1184">
        <v>14</v>
      </c>
      <c r="F1184">
        <v>3</v>
      </c>
      <c r="G1184">
        <v>775</v>
      </c>
    </row>
    <row r="1185" spans="1:7">
      <c r="A1185" t="s">
        <v>602</v>
      </c>
      <c r="B1185" t="s">
        <v>603</v>
      </c>
      <c r="C1185" t="s">
        <v>195</v>
      </c>
      <c r="D1185">
        <v>100.2</v>
      </c>
      <c r="E1185">
        <v>10</v>
      </c>
      <c r="F1185">
        <v>0</v>
      </c>
      <c r="G1185">
        <v>2079</v>
      </c>
    </row>
    <row r="1186" spans="1:7">
      <c r="A1186" t="s">
        <v>602</v>
      </c>
      <c r="B1186" t="s">
        <v>603</v>
      </c>
      <c r="C1186" t="s">
        <v>212</v>
      </c>
      <c r="D1186">
        <v>57.4</v>
      </c>
      <c r="E1186">
        <v>18</v>
      </c>
      <c r="F1186">
        <v>2</v>
      </c>
      <c r="G1186">
        <v>1671</v>
      </c>
    </row>
    <row r="1187" spans="1:7">
      <c r="A1187" t="s">
        <v>602</v>
      </c>
      <c r="B1187" t="s">
        <v>603</v>
      </c>
      <c r="C1187" t="s">
        <v>229</v>
      </c>
      <c r="D1187">
        <v>49.8</v>
      </c>
      <c r="E1187">
        <v>17</v>
      </c>
      <c r="F1187">
        <v>0</v>
      </c>
      <c r="G1187">
        <v>2102</v>
      </c>
    </row>
    <row r="1188" spans="1:7">
      <c r="A1188" t="s">
        <v>602</v>
      </c>
      <c r="B1188" t="s">
        <v>603</v>
      </c>
      <c r="C1188" t="s">
        <v>248</v>
      </c>
      <c r="D1188">
        <v>53.4</v>
      </c>
      <c r="E1188">
        <v>18</v>
      </c>
      <c r="F1188">
        <v>1</v>
      </c>
      <c r="G1188">
        <v>1747</v>
      </c>
    </row>
    <row r="1189" spans="1:7">
      <c r="A1189" t="s">
        <v>602</v>
      </c>
      <c r="B1189" t="s">
        <v>603</v>
      </c>
      <c r="C1189" t="s">
        <v>265</v>
      </c>
      <c r="D1189">
        <v>33.799999999999997</v>
      </c>
      <c r="E1189">
        <v>12</v>
      </c>
      <c r="F1189">
        <v>1</v>
      </c>
      <c r="G1189">
        <v>2796</v>
      </c>
    </row>
    <row r="1190" spans="1:7">
      <c r="A1190" t="s">
        <v>602</v>
      </c>
      <c r="B1190" t="s">
        <v>603</v>
      </c>
      <c r="C1190" t="s">
        <v>282</v>
      </c>
      <c r="D1190">
        <v>97.6</v>
      </c>
      <c r="E1190">
        <v>11</v>
      </c>
      <c r="F1190">
        <v>3</v>
      </c>
      <c r="G1190">
        <v>1122</v>
      </c>
    </row>
    <row r="1191" spans="1:7">
      <c r="A1191" t="s">
        <v>602</v>
      </c>
      <c r="B1191" t="s">
        <v>603</v>
      </c>
      <c r="C1191" t="s">
        <v>299</v>
      </c>
      <c r="D1191">
        <v>485.9</v>
      </c>
      <c r="E1191">
        <v>18</v>
      </c>
      <c r="F1191">
        <v>2</v>
      </c>
      <c r="G1191">
        <v>1168</v>
      </c>
    </row>
    <row r="1192" spans="1:7">
      <c r="A1192" t="s">
        <v>602</v>
      </c>
      <c r="B1192" t="s">
        <v>603</v>
      </c>
      <c r="C1192" t="s">
        <v>318</v>
      </c>
      <c r="D1192">
        <v>173.9</v>
      </c>
      <c r="E1192">
        <v>25</v>
      </c>
      <c r="F1192">
        <v>2</v>
      </c>
      <c r="G1192">
        <v>1050</v>
      </c>
    </row>
    <row r="1193" spans="1:7">
      <c r="A1193" t="s">
        <v>602</v>
      </c>
      <c r="B1193" t="s">
        <v>603</v>
      </c>
      <c r="C1193" t="s">
        <v>335</v>
      </c>
      <c r="D1193">
        <v>97</v>
      </c>
      <c r="E1193">
        <v>17</v>
      </c>
      <c r="F1193">
        <v>0</v>
      </c>
      <c r="G1193">
        <v>1573</v>
      </c>
    </row>
    <row r="1194" spans="1:7">
      <c r="A1194" t="s">
        <v>602</v>
      </c>
      <c r="B1194" t="s">
        <v>603</v>
      </c>
      <c r="C1194" t="s">
        <v>352</v>
      </c>
      <c r="D1194">
        <v>188.8</v>
      </c>
      <c r="E1194">
        <v>21</v>
      </c>
      <c r="F1194">
        <v>2</v>
      </c>
      <c r="G1194">
        <v>657</v>
      </c>
    </row>
    <row r="1195" spans="1:7">
      <c r="A1195" t="s">
        <v>602</v>
      </c>
      <c r="B1195" t="s">
        <v>603</v>
      </c>
      <c r="C1195" t="s">
        <v>371</v>
      </c>
      <c r="D1195">
        <v>142</v>
      </c>
      <c r="E1195">
        <v>18</v>
      </c>
      <c r="F1195">
        <v>1</v>
      </c>
      <c r="G1195">
        <v>1385</v>
      </c>
    </row>
    <row r="1196" spans="1:7">
      <c r="A1196" t="s">
        <v>602</v>
      </c>
      <c r="B1196" t="s">
        <v>603</v>
      </c>
      <c r="C1196" t="s">
        <v>388</v>
      </c>
      <c r="D1196">
        <v>52.4</v>
      </c>
      <c r="E1196">
        <v>11</v>
      </c>
      <c r="F1196">
        <v>0</v>
      </c>
      <c r="G1196">
        <v>1846</v>
      </c>
    </row>
    <row r="1197" spans="1:7">
      <c r="A1197" t="s">
        <v>602</v>
      </c>
      <c r="B1197" t="s">
        <v>603</v>
      </c>
      <c r="C1197" t="s">
        <v>407</v>
      </c>
      <c r="D1197">
        <v>52</v>
      </c>
      <c r="E1197">
        <v>19</v>
      </c>
      <c r="F1197">
        <v>0</v>
      </c>
      <c r="G1197">
        <v>1780</v>
      </c>
    </row>
    <row r="1198" spans="1:7">
      <c r="A1198" t="s">
        <v>602</v>
      </c>
      <c r="B1198" t="s">
        <v>603</v>
      </c>
      <c r="C1198" t="s">
        <v>426</v>
      </c>
      <c r="D1198">
        <v>45.5</v>
      </c>
      <c r="E1198">
        <v>13</v>
      </c>
      <c r="F1198">
        <v>0</v>
      </c>
      <c r="G1198">
        <v>2243</v>
      </c>
    </row>
    <row r="1199" spans="1:7">
      <c r="A1199" t="s">
        <v>602</v>
      </c>
      <c r="B1199" t="s">
        <v>603</v>
      </c>
      <c r="C1199" t="s">
        <v>445</v>
      </c>
      <c r="D1199">
        <v>260.89999999999998</v>
      </c>
      <c r="E1199">
        <v>17</v>
      </c>
      <c r="F1199">
        <v>0</v>
      </c>
      <c r="G1199">
        <v>1080</v>
      </c>
    </row>
    <row r="1200" spans="1:7">
      <c r="A1200" t="s">
        <v>602</v>
      </c>
      <c r="B1200" t="s">
        <v>603</v>
      </c>
      <c r="C1200" t="s">
        <v>464</v>
      </c>
      <c r="D1200">
        <v>179.9</v>
      </c>
      <c r="E1200">
        <v>15</v>
      </c>
      <c r="F1200">
        <v>3</v>
      </c>
      <c r="G1200">
        <v>1017</v>
      </c>
    </row>
    <row r="1201" spans="1:7">
      <c r="A1201" t="s">
        <v>602</v>
      </c>
      <c r="B1201" t="s">
        <v>603</v>
      </c>
      <c r="C1201" t="s">
        <v>483</v>
      </c>
      <c r="D1201">
        <v>37</v>
      </c>
      <c r="E1201">
        <v>20</v>
      </c>
      <c r="F1201">
        <v>0</v>
      </c>
      <c r="G1201">
        <v>1679</v>
      </c>
    </row>
    <row r="1202" spans="1:7">
      <c r="A1202" t="s">
        <v>604</v>
      </c>
      <c r="B1202" t="s">
        <v>605</v>
      </c>
      <c r="C1202" t="s">
        <v>42</v>
      </c>
      <c r="D1202">
        <v>321.3</v>
      </c>
      <c r="E1202">
        <v>17</v>
      </c>
      <c r="F1202">
        <v>2</v>
      </c>
      <c r="G1202">
        <v>1252</v>
      </c>
    </row>
    <row r="1203" spans="1:7">
      <c r="A1203" t="s">
        <v>604</v>
      </c>
      <c r="B1203" t="s">
        <v>605</v>
      </c>
      <c r="C1203" t="s">
        <v>85</v>
      </c>
      <c r="D1203">
        <v>260.10000000000002</v>
      </c>
      <c r="E1203">
        <v>11</v>
      </c>
      <c r="F1203">
        <v>5</v>
      </c>
      <c r="G1203">
        <v>926</v>
      </c>
    </row>
    <row r="1204" spans="1:7">
      <c r="A1204" t="s">
        <v>604</v>
      </c>
      <c r="B1204" t="s">
        <v>605</v>
      </c>
      <c r="C1204" t="s">
        <v>104</v>
      </c>
      <c r="D1204">
        <v>70.3</v>
      </c>
      <c r="E1204">
        <v>17</v>
      </c>
      <c r="F1204">
        <v>1</v>
      </c>
      <c r="G1204">
        <v>2674</v>
      </c>
    </row>
    <row r="1205" spans="1:7">
      <c r="A1205" t="s">
        <v>604</v>
      </c>
      <c r="B1205" t="s">
        <v>605</v>
      </c>
      <c r="C1205" t="s">
        <v>124</v>
      </c>
      <c r="D1205">
        <v>89.7</v>
      </c>
      <c r="E1205">
        <v>17</v>
      </c>
      <c r="F1205">
        <v>1</v>
      </c>
      <c r="G1205">
        <v>2500</v>
      </c>
    </row>
    <row r="1206" spans="1:7">
      <c r="A1206" t="s">
        <v>604</v>
      </c>
      <c r="B1206" t="s">
        <v>605</v>
      </c>
      <c r="C1206" t="s">
        <v>142</v>
      </c>
      <c r="D1206">
        <v>114.8</v>
      </c>
      <c r="E1206">
        <v>17</v>
      </c>
      <c r="F1206">
        <v>2</v>
      </c>
      <c r="G1206">
        <v>2514</v>
      </c>
    </row>
    <row r="1207" spans="1:7">
      <c r="A1207" t="s">
        <v>604</v>
      </c>
      <c r="B1207" t="s">
        <v>605</v>
      </c>
      <c r="C1207" t="s">
        <v>159</v>
      </c>
      <c r="D1207">
        <v>46.4</v>
      </c>
      <c r="E1207">
        <v>13</v>
      </c>
      <c r="F1207">
        <v>2</v>
      </c>
      <c r="G1207">
        <v>2447</v>
      </c>
    </row>
    <row r="1208" spans="1:7">
      <c r="A1208" t="s">
        <v>604</v>
      </c>
      <c r="B1208" t="s">
        <v>605</v>
      </c>
      <c r="C1208" t="s">
        <v>176</v>
      </c>
      <c r="D1208">
        <v>429</v>
      </c>
      <c r="E1208">
        <v>13</v>
      </c>
      <c r="F1208">
        <v>3</v>
      </c>
      <c r="G1208">
        <v>876</v>
      </c>
    </row>
    <row r="1209" spans="1:7">
      <c r="A1209" t="s">
        <v>604</v>
      </c>
      <c r="B1209" t="s">
        <v>605</v>
      </c>
      <c r="C1209" t="s">
        <v>195</v>
      </c>
      <c r="D1209">
        <v>86</v>
      </c>
      <c r="E1209">
        <v>11</v>
      </c>
      <c r="F1209">
        <v>0</v>
      </c>
      <c r="G1209">
        <v>1889</v>
      </c>
    </row>
    <row r="1210" spans="1:7">
      <c r="A1210" t="s">
        <v>604</v>
      </c>
      <c r="B1210" t="s">
        <v>605</v>
      </c>
      <c r="C1210" t="s">
        <v>212</v>
      </c>
      <c r="D1210">
        <v>54.6</v>
      </c>
      <c r="E1210">
        <v>13</v>
      </c>
      <c r="F1210">
        <v>0</v>
      </c>
      <c r="G1210">
        <v>1743</v>
      </c>
    </row>
    <row r="1211" spans="1:7">
      <c r="A1211" t="s">
        <v>604</v>
      </c>
      <c r="B1211" t="s">
        <v>605</v>
      </c>
      <c r="C1211" t="s">
        <v>229</v>
      </c>
      <c r="D1211">
        <v>37.700000000000003</v>
      </c>
      <c r="E1211">
        <v>14</v>
      </c>
      <c r="F1211">
        <v>2</v>
      </c>
      <c r="G1211">
        <v>2493</v>
      </c>
    </row>
    <row r="1212" spans="1:7">
      <c r="A1212" t="s">
        <v>604</v>
      </c>
      <c r="B1212" t="s">
        <v>605</v>
      </c>
      <c r="C1212" t="s">
        <v>248</v>
      </c>
      <c r="D1212">
        <v>56.7</v>
      </c>
      <c r="E1212">
        <v>14</v>
      </c>
      <c r="F1212">
        <v>0</v>
      </c>
      <c r="G1212">
        <v>1985</v>
      </c>
    </row>
    <row r="1213" spans="1:7">
      <c r="A1213" t="s">
        <v>604</v>
      </c>
      <c r="B1213" t="s">
        <v>605</v>
      </c>
      <c r="C1213" t="s">
        <v>265</v>
      </c>
      <c r="D1213">
        <v>15.9</v>
      </c>
      <c r="E1213">
        <v>20</v>
      </c>
      <c r="F1213">
        <v>1</v>
      </c>
      <c r="G1213">
        <v>3280</v>
      </c>
    </row>
    <row r="1214" spans="1:7">
      <c r="A1214" t="s">
        <v>604</v>
      </c>
      <c r="B1214" t="s">
        <v>605</v>
      </c>
      <c r="C1214" t="s">
        <v>282</v>
      </c>
      <c r="D1214">
        <v>104</v>
      </c>
      <c r="E1214">
        <v>16</v>
      </c>
      <c r="F1214">
        <v>0</v>
      </c>
      <c r="G1214">
        <v>1320</v>
      </c>
    </row>
    <row r="1215" spans="1:7">
      <c r="A1215" t="s">
        <v>604</v>
      </c>
      <c r="B1215" t="s">
        <v>605</v>
      </c>
      <c r="C1215" t="s">
        <v>299</v>
      </c>
      <c r="D1215">
        <v>152.4</v>
      </c>
      <c r="E1215">
        <v>10</v>
      </c>
      <c r="F1215">
        <v>1</v>
      </c>
      <c r="G1215">
        <v>1594</v>
      </c>
    </row>
    <row r="1216" spans="1:7">
      <c r="A1216" t="s">
        <v>604</v>
      </c>
      <c r="B1216" t="s">
        <v>605</v>
      </c>
      <c r="C1216" t="s">
        <v>318</v>
      </c>
      <c r="D1216">
        <v>164.5</v>
      </c>
      <c r="E1216">
        <v>13</v>
      </c>
      <c r="F1216">
        <v>0</v>
      </c>
      <c r="G1216">
        <v>966</v>
      </c>
    </row>
    <row r="1217" spans="1:7">
      <c r="A1217" t="s">
        <v>604</v>
      </c>
      <c r="B1217" t="s">
        <v>605</v>
      </c>
      <c r="C1217" t="s">
        <v>335</v>
      </c>
      <c r="D1217">
        <v>62</v>
      </c>
      <c r="E1217">
        <v>17</v>
      </c>
      <c r="F1217">
        <v>1</v>
      </c>
      <c r="G1217">
        <v>1666</v>
      </c>
    </row>
    <row r="1218" spans="1:7">
      <c r="A1218" t="s">
        <v>604</v>
      </c>
      <c r="B1218" t="s">
        <v>605</v>
      </c>
      <c r="C1218" t="s">
        <v>352</v>
      </c>
      <c r="D1218">
        <v>261</v>
      </c>
      <c r="E1218">
        <v>16</v>
      </c>
      <c r="F1218">
        <v>1</v>
      </c>
      <c r="G1218">
        <v>954</v>
      </c>
    </row>
    <row r="1219" spans="1:7">
      <c r="A1219" t="s">
        <v>604</v>
      </c>
      <c r="B1219" t="s">
        <v>605</v>
      </c>
      <c r="C1219" t="s">
        <v>371</v>
      </c>
      <c r="D1219">
        <v>211.7</v>
      </c>
      <c r="E1219">
        <v>16</v>
      </c>
      <c r="F1219">
        <v>0</v>
      </c>
      <c r="G1219">
        <v>1469</v>
      </c>
    </row>
    <row r="1220" spans="1:7">
      <c r="A1220" t="s">
        <v>604</v>
      </c>
      <c r="B1220" t="s">
        <v>605</v>
      </c>
      <c r="C1220" t="s">
        <v>388</v>
      </c>
      <c r="D1220">
        <v>48.3</v>
      </c>
      <c r="E1220">
        <v>12</v>
      </c>
      <c r="F1220">
        <v>0</v>
      </c>
      <c r="G1220">
        <v>1971</v>
      </c>
    </row>
    <row r="1221" spans="1:7">
      <c r="A1221" t="s">
        <v>604</v>
      </c>
      <c r="B1221" t="s">
        <v>605</v>
      </c>
      <c r="C1221" t="s">
        <v>407</v>
      </c>
      <c r="D1221">
        <v>38.299999999999997</v>
      </c>
      <c r="E1221">
        <v>17</v>
      </c>
      <c r="F1221">
        <v>1</v>
      </c>
      <c r="G1221">
        <v>1715</v>
      </c>
    </row>
    <row r="1222" spans="1:7">
      <c r="A1222" t="s">
        <v>604</v>
      </c>
      <c r="B1222" t="s">
        <v>605</v>
      </c>
      <c r="C1222" t="s">
        <v>426</v>
      </c>
      <c r="D1222">
        <v>20.6</v>
      </c>
      <c r="E1222">
        <v>18</v>
      </c>
      <c r="F1222">
        <v>0</v>
      </c>
      <c r="G1222">
        <v>2444</v>
      </c>
    </row>
    <row r="1223" spans="1:7">
      <c r="A1223" t="s">
        <v>604</v>
      </c>
      <c r="B1223" t="s">
        <v>605</v>
      </c>
      <c r="C1223" t="s">
        <v>445</v>
      </c>
      <c r="D1223">
        <v>203.9</v>
      </c>
      <c r="E1223">
        <v>14</v>
      </c>
      <c r="F1223">
        <v>2</v>
      </c>
      <c r="G1223">
        <v>2037</v>
      </c>
    </row>
    <row r="1224" spans="1:7">
      <c r="A1224" t="s">
        <v>604</v>
      </c>
      <c r="B1224" t="s">
        <v>605</v>
      </c>
      <c r="C1224" t="s">
        <v>464</v>
      </c>
      <c r="D1224">
        <v>155.69999999999999</v>
      </c>
      <c r="E1224">
        <v>19</v>
      </c>
      <c r="F1224">
        <v>2</v>
      </c>
      <c r="G1224">
        <v>1072</v>
      </c>
    </row>
    <row r="1225" spans="1:7">
      <c r="A1225" t="s">
        <v>604</v>
      </c>
      <c r="B1225" t="s">
        <v>605</v>
      </c>
      <c r="C1225" t="s">
        <v>483</v>
      </c>
      <c r="D1225">
        <v>29.3</v>
      </c>
      <c r="E1225">
        <v>15</v>
      </c>
      <c r="F1225">
        <v>0</v>
      </c>
      <c r="G1225">
        <v>1960</v>
      </c>
    </row>
    <row r="1226" spans="1:7">
      <c r="A1226" t="s">
        <v>606</v>
      </c>
      <c r="B1226" t="s">
        <v>607</v>
      </c>
      <c r="C1226" t="s">
        <v>42</v>
      </c>
      <c r="D1226">
        <v>353.1</v>
      </c>
      <c r="E1226">
        <v>20</v>
      </c>
      <c r="F1226">
        <v>3</v>
      </c>
      <c r="G1226">
        <v>833</v>
      </c>
    </row>
    <row r="1227" spans="1:7">
      <c r="A1227" t="s">
        <v>606</v>
      </c>
      <c r="B1227" t="s">
        <v>607</v>
      </c>
      <c r="C1227" t="s">
        <v>85</v>
      </c>
      <c r="D1227">
        <v>200.7</v>
      </c>
      <c r="E1227">
        <v>16</v>
      </c>
      <c r="F1227">
        <v>2</v>
      </c>
      <c r="G1227">
        <v>786</v>
      </c>
    </row>
    <row r="1228" spans="1:7">
      <c r="A1228" t="s">
        <v>606</v>
      </c>
      <c r="B1228" t="s">
        <v>607</v>
      </c>
      <c r="C1228" t="s">
        <v>104</v>
      </c>
      <c r="D1228">
        <v>107.9</v>
      </c>
      <c r="E1228">
        <v>21</v>
      </c>
      <c r="F1228">
        <v>2</v>
      </c>
      <c r="G1228">
        <v>1952</v>
      </c>
    </row>
    <row r="1229" spans="1:7">
      <c r="A1229" t="s">
        <v>606</v>
      </c>
      <c r="B1229" t="s">
        <v>607</v>
      </c>
      <c r="C1229" t="s">
        <v>124</v>
      </c>
      <c r="D1229">
        <v>82.9</v>
      </c>
      <c r="E1229">
        <v>17</v>
      </c>
      <c r="F1229">
        <v>0</v>
      </c>
      <c r="G1229">
        <v>2663</v>
      </c>
    </row>
    <row r="1230" spans="1:7">
      <c r="A1230" t="s">
        <v>606</v>
      </c>
      <c r="B1230" t="s">
        <v>607</v>
      </c>
      <c r="C1230" t="s">
        <v>142</v>
      </c>
      <c r="D1230">
        <v>90</v>
      </c>
      <c r="E1230">
        <v>14</v>
      </c>
      <c r="F1230">
        <v>2</v>
      </c>
      <c r="G1230">
        <v>2301</v>
      </c>
    </row>
    <row r="1231" spans="1:7">
      <c r="A1231" t="s">
        <v>606</v>
      </c>
      <c r="B1231" t="s">
        <v>607</v>
      </c>
      <c r="C1231" t="s">
        <v>159</v>
      </c>
      <c r="D1231">
        <v>37.9</v>
      </c>
      <c r="E1231">
        <v>15</v>
      </c>
      <c r="F1231">
        <v>1</v>
      </c>
      <c r="G1231">
        <v>2259</v>
      </c>
    </row>
    <row r="1232" spans="1:7">
      <c r="A1232" t="s">
        <v>606</v>
      </c>
      <c r="B1232" t="s">
        <v>607</v>
      </c>
      <c r="C1232" t="s">
        <v>176</v>
      </c>
      <c r="D1232">
        <v>360</v>
      </c>
      <c r="E1232">
        <v>18</v>
      </c>
      <c r="F1232">
        <v>3</v>
      </c>
      <c r="G1232">
        <v>606</v>
      </c>
    </row>
    <row r="1233" spans="1:7">
      <c r="A1233" t="s">
        <v>606</v>
      </c>
      <c r="B1233" t="s">
        <v>607</v>
      </c>
      <c r="C1233" t="s">
        <v>195</v>
      </c>
      <c r="D1233">
        <v>55.8</v>
      </c>
      <c r="E1233">
        <v>21</v>
      </c>
      <c r="F1233">
        <v>2</v>
      </c>
      <c r="G1233">
        <v>1886</v>
      </c>
    </row>
    <row r="1234" spans="1:7">
      <c r="A1234" t="s">
        <v>606</v>
      </c>
      <c r="B1234" t="s">
        <v>607</v>
      </c>
      <c r="C1234" t="s">
        <v>212</v>
      </c>
      <c r="D1234">
        <v>82.6</v>
      </c>
      <c r="E1234">
        <v>19</v>
      </c>
      <c r="F1234">
        <v>2</v>
      </c>
      <c r="G1234">
        <v>1330</v>
      </c>
    </row>
    <row r="1235" spans="1:7">
      <c r="A1235" t="s">
        <v>606</v>
      </c>
      <c r="B1235" t="s">
        <v>607</v>
      </c>
      <c r="C1235" t="s">
        <v>229</v>
      </c>
      <c r="D1235">
        <v>68.599999999999994</v>
      </c>
      <c r="E1235">
        <v>19</v>
      </c>
      <c r="F1235">
        <v>0</v>
      </c>
      <c r="G1235">
        <v>1724</v>
      </c>
    </row>
    <row r="1236" spans="1:7">
      <c r="A1236" t="s">
        <v>606</v>
      </c>
      <c r="B1236" t="s">
        <v>607</v>
      </c>
      <c r="C1236" t="s">
        <v>248</v>
      </c>
      <c r="D1236">
        <v>57.3</v>
      </c>
      <c r="E1236">
        <v>12</v>
      </c>
      <c r="F1236">
        <v>1</v>
      </c>
      <c r="G1236">
        <v>1576</v>
      </c>
    </row>
    <row r="1237" spans="1:7">
      <c r="A1237" t="s">
        <v>606</v>
      </c>
      <c r="B1237" t="s">
        <v>607</v>
      </c>
      <c r="C1237" t="s">
        <v>265</v>
      </c>
      <c r="D1237">
        <v>17</v>
      </c>
      <c r="E1237">
        <v>16</v>
      </c>
      <c r="F1237">
        <v>0</v>
      </c>
      <c r="G1237">
        <v>2190</v>
      </c>
    </row>
    <row r="1238" spans="1:7">
      <c r="A1238" t="s">
        <v>606</v>
      </c>
      <c r="B1238" t="s">
        <v>607</v>
      </c>
      <c r="C1238" t="s">
        <v>282</v>
      </c>
      <c r="D1238">
        <v>114</v>
      </c>
      <c r="E1238">
        <v>22</v>
      </c>
      <c r="F1238">
        <v>3</v>
      </c>
      <c r="G1238">
        <v>1092</v>
      </c>
    </row>
    <row r="1239" spans="1:7">
      <c r="A1239" t="s">
        <v>606</v>
      </c>
      <c r="B1239" t="s">
        <v>607</v>
      </c>
      <c r="C1239" t="s">
        <v>299</v>
      </c>
      <c r="D1239">
        <v>109.6</v>
      </c>
      <c r="E1239">
        <v>18</v>
      </c>
      <c r="F1239">
        <v>2</v>
      </c>
      <c r="G1239">
        <v>990</v>
      </c>
    </row>
    <row r="1240" spans="1:7">
      <c r="A1240" t="s">
        <v>606</v>
      </c>
      <c r="B1240" t="s">
        <v>607</v>
      </c>
      <c r="C1240" t="s">
        <v>318</v>
      </c>
      <c r="D1240">
        <v>205.4</v>
      </c>
      <c r="E1240">
        <v>10</v>
      </c>
      <c r="F1240">
        <v>3</v>
      </c>
      <c r="G1240">
        <v>966</v>
      </c>
    </row>
    <row r="1241" spans="1:7">
      <c r="A1241" t="s">
        <v>606</v>
      </c>
      <c r="B1241" t="s">
        <v>607</v>
      </c>
      <c r="C1241" t="s">
        <v>335</v>
      </c>
      <c r="D1241">
        <v>81</v>
      </c>
      <c r="E1241">
        <v>9</v>
      </c>
      <c r="F1241">
        <v>1</v>
      </c>
      <c r="G1241">
        <v>1109</v>
      </c>
    </row>
    <row r="1242" spans="1:7">
      <c r="A1242" t="s">
        <v>606</v>
      </c>
      <c r="B1242" t="s">
        <v>607</v>
      </c>
      <c r="C1242" t="s">
        <v>352</v>
      </c>
      <c r="D1242">
        <v>269.8</v>
      </c>
      <c r="E1242">
        <v>18</v>
      </c>
      <c r="F1242">
        <v>2</v>
      </c>
      <c r="G1242">
        <v>730</v>
      </c>
    </row>
    <row r="1243" spans="1:7">
      <c r="A1243" t="s">
        <v>606</v>
      </c>
      <c r="B1243" t="s">
        <v>607</v>
      </c>
      <c r="C1243" t="s">
        <v>371</v>
      </c>
      <c r="D1243">
        <v>135.19999999999999</v>
      </c>
      <c r="E1243">
        <v>16</v>
      </c>
      <c r="F1243">
        <v>0</v>
      </c>
      <c r="G1243">
        <v>991</v>
      </c>
    </row>
    <row r="1244" spans="1:7">
      <c r="A1244" t="s">
        <v>606</v>
      </c>
      <c r="B1244" t="s">
        <v>607</v>
      </c>
      <c r="C1244" t="s">
        <v>388</v>
      </c>
      <c r="D1244">
        <v>56.9</v>
      </c>
      <c r="E1244">
        <v>17</v>
      </c>
      <c r="F1244">
        <v>0</v>
      </c>
      <c r="G1244">
        <v>1378</v>
      </c>
    </row>
    <row r="1245" spans="1:7">
      <c r="A1245" t="s">
        <v>606</v>
      </c>
      <c r="B1245" t="s">
        <v>607</v>
      </c>
      <c r="C1245" t="s">
        <v>407</v>
      </c>
      <c r="D1245">
        <v>38.700000000000003</v>
      </c>
      <c r="E1245">
        <v>7</v>
      </c>
      <c r="F1245">
        <v>0</v>
      </c>
      <c r="G1245">
        <v>1406</v>
      </c>
    </row>
    <row r="1246" spans="1:7">
      <c r="A1246" t="s">
        <v>606</v>
      </c>
      <c r="B1246" t="s">
        <v>607</v>
      </c>
      <c r="C1246" t="s">
        <v>426</v>
      </c>
      <c r="D1246">
        <v>23</v>
      </c>
      <c r="E1246">
        <v>19</v>
      </c>
      <c r="F1246">
        <v>2</v>
      </c>
      <c r="G1246">
        <v>1812</v>
      </c>
    </row>
    <row r="1247" spans="1:7">
      <c r="A1247" t="s">
        <v>606</v>
      </c>
      <c r="B1247" t="s">
        <v>607</v>
      </c>
      <c r="C1247" t="s">
        <v>445</v>
      </c>
      <c r="D1247">
        <v>208.7</v>
      </c>
      <c r="E1247">
        <v>16</v>
      </c>
      <c r="F1247">
        <v>0</v>
      </c>
      <c r="G1247">
        <v>1639</v>
      </c>
    </row>
    <row r="1248" spans="1:7">
      <c r="A1248" t="s">
        <v>606</v>
      </c>
      <c r="B1248" t="s">
        <v>607</v>
      </c>
      <c r="C1248" t="s">
        <v>464</v>
      </c>
      <c r="D1248">
        <v>127.1</v>
      </c>
      <c r="E1248">
        <v>17</v>
      </c>
      <c r="F1248">
        <v>1</v>
      </c>
      <c r="G1248">
        <v>1010</v>
      </c>
    </row>
    <row r="1249" spans="1:7">
      <c r="A1249" t="s">
        <v>606</v>
      </c>
      <c r="B1249" t="s">
        <v>607</v>
      </c>
      <c r="C1249" t="s">
        <v>483</v>
      </c>
      <c r="D1249">
        <v>32.299999999999997</v>
      </c>
      <c r="E1249">
        <v>20</v>
      </c>
      <c r="F1249">
        <v>0</v>
      </c>
      <c r="G1249">
        <v>1529</v>
      </c>
    </row>
  </sheetData>
  <pageMargins left="0.75" right="0.75" top="1" bottom="1" header="0.511811023622047" footer="0.511811023622047"/>
  <ignoredErrors>
    <ignoredError sqref="A1:G1249"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601"/>
  <sheetViews>
    <sheetView workbookViewId="0"/>
  </sheetViews>
  <sheetFormatPr defaultRowHeight="15"/>
  <sheetData>
    <row r="1" spans="1:8">
      <c r="A1" t="s">
        <v>608</v>
      </c>
      <c r="B1" t="s">
        <v>609</v>
      </c>
      <c r="C1" t="s">
        <v>501</v>
      </c>
      <c r="D1" t="s">
        <v>502</v>
      </c>
      <c r="E1" t="s">
        <v>610</v>
      </c>
      <c r="F1" t="s">
        <v>611</v>
      </c>
      <c r="G1" t="s">
        <v>612</v>
      </c>
      <c r="H1" t="s">
        <v>613</v>
      </c>
    </row>
    <row r="2" spans="1:8">
      <c r="A2" t="s">
        <v>614</v>
      </c>
      <c r="B2" t="s">
        <v>615</v>
      </c>
      <c r="C2" t="s">
        <v>507</v>
      </c>
      <c r="D2" t="s">
        <v>508</v>
      </c>
      <c r="E2" t="s">
        <v>616</v>
      </c>
      <c r="F2" t="s">
        <v>465</v>
      </c>
      <c r="G2" t="s">
        <v>617</v>
      </c>
      <c r="H2" t="s">
        <v>48</v>
      </c>
    </row>
    <row r="3" spans="1:8">
      <c r="A3" t="s">
        <v>618</v>
      </c>
      <c r="B3" t="s">
        <v>619</v>
      </c>
      <c r="C3" t="s">
        <v>507</v>
      </c>
      <c r="D3" t="s">
        <v>508</v>
      </c>
      <c r="E3" t="s">
        <v>620</v>
      </c>
      <c r="F3" t="s">
        <v>389</v>
      </c>
      <c r="G3" t="s">
        <v>617</v>
      </c>
      <c r="H3" t="s">
        <v>48</v>
      </c>
    </row>
    <row r="4" spans="1:8">
      <c r="A4" t="s">
        <v>621</v>
      </c>
      <c r="B4" t="s">
        <v>622</v>
      </c>
      <c r="C4" t="s">
        <v>507</v>
      </c>
      <c r="D4" t="s">
        <v>508</v>
      </c>
      <c r="E4" t="s">
        <v>623</v>
      </c>
      <c r="F4" t="s">
        <v>300</v>
      </c>
      <c r="G4" t="s">
        <v>617</v>
      </c>
      <c r="H4" t="s">
        <v>48</v>
      </c>
    </row>
    <row r="5" spans="1:8">
      <c r="A5" t="s">
        <v>624</v>
      </c>
      <c r="B5" t="s">
        <v>625</v>
      </c>
      <c r="C5" t="s">
        <v>507</v>
      </c>
      <c r="D5" t="s">
        <v>508</v>
      </c>
      <c r="E5" t="s">
        <v>616</v>
      </c>
      <c r="F5" t="s">
        <v>484</v>
      </c>
      <c r="G5" t="s">
        <v>617</v>
      </c>
      <c r="H5" t="s">
        <v>48</v>
      </c>
    </row>
    <row r="6" spans="1:8">
      <c r="A6" t="s">
        <v>626</v>
      </c>
      <c r="B6" t="s">
        <v>627</v>
      </c>
      <c r="C6" t="s">
        <v>507</v>
      </c>
      <c r="D6" t="s">
        <v>508</v>
      </c>
      <c r="E6" t="s">
        <v>628</v>
      </c>
      <c r="F6" t="s">
        <v>484</v>
      </c>
      <c r="G6" t="s">
        <v>629</v>
      </c>
      <c r="H6" t="s">
        <v>48</v>
      </c>
    </row>
    <row r="7" spans="1:8">
      <c r="A7" t="s">
        <v>630</v>
      </c>
      <c r="B7" t="s">
        <v>631</v>
      </c>
      <c r="C7" t="s">
        <v>507</v>
      </c>
      <c r="D7" t="s">
        <v>508</v>
      </c>
      <c r="E7" t="s">
        <v>620</v>
      </c>
      <c r="F7" t="s">
        <v>105</v>
      </c>
      <c r="G7" t="s">
        <v>632</v>
      </c>
      <c r="H7" t="s">
        <v>48</v>
      </c>
    </row>
    <row r="8" spans="1:8">
      <c r="A8" t="s">
        <v>633</v>
      </c>
      <c r="B8" t="s">
        <v>634</v>
      </c>
      <c r="C8" t="s">
        <v>507</v>
      </c>
      <c r="D8" t="s">
        <v>508</v>
      </c>
      <c r="E8" t="s">
        <v>620</v>
      </c>
      <c r="F8" t="s">
        <v>446</v>
      </c>
      <c r="G8" t="s">
        <v>629</v>
      </c>
      <c r="H8" t="s">
        <v>48</v>
      </c>
    </row>
    <row r="9" spans="1:8">
      <c r="A9" t="s">
        <v>635</v>
      </c>
      <c r="B9" t="s">
        <v>636</v>
      </c>
      <c r="C9" t="s">
        <v>507</v>
      </c>
      <c r="D9" t="s">
        <v>508</v>
      </c>
      <c r="E9" t="s">
        <v>616</v>
      </c>
      <c r="F9" t="s">
        <v>105</v>
      </c>
      <c r="G9" t="s">
        <v>637</v>
      </c>
      <c r="H9" t="s">
        <v>48</v>
      </c>
    </row>
    <row r="10" spans="1:8">
      <c r="A10" t="s">
        <v>638</v>
      </c>
      <c r="B10" t="s">
        <v>639</v>
      </c>
      <c r="C10" t="s">
        <v>507</v>
      </c>
      <c r="D10" t="s">
        <v>508</v>
      </c>
      <c r="E10" t="s">
        <v>620</v>
      </c>
      <c r="F10" t="s">
        <v>465</v>
      </c>
      <c r="G10" t="s">
        <v>640</v>
      </c>
      <c r="H10" t="s">
        <v>48</v>
      </c>
    </row>
    <row r="11" spans="1:8">
      <c r="A11" t="s">
        <v>641</v>
      </c>
      <c r="B11" t="s">
        <v>642</v>
      </c>
      <c r="C11" t="s">
        <v>507</v>
      </c>
      <c r="D11" t="s">
        <v>508</v>
      </c>
      <c r="E11" t="s">
        <v>620</v>
      </c>
      <c r="F11" t="s">
        <v>408</v>
      </c>
      <c r="G11" t="s">
        <v>637</v>
      </c>
      <c r="H11" t="s">
        <v>48</v>
      </c>
    </row>
    <row r="12" spans="1:8">
      <c r="A12" t="s">
        <v>643</v>
      </c>
      <c r="B12" t="s">
        <v>644</v>
      </c>
      <c r="C12" t="s">
        <v>507</v>
      </c>
      <c r="D12" t="s">
        <v>508</v>
      </c>
      <c r="E12" t="s">
        <v>645</v>
      </c>
      <c r="F12" t="s">
        <v>446</v>
      </c>
      <c r="G12" t="s">
        <v>617</v>
      </c>
      <c r="H12" t="s">
        <v>48</v>
      </c>
    </row>
    <row r="13" spans="1:8">
      <c r="A13" t="s">
        <v>646</v>
      </c>
      <c r="B13" t="s">
        <v>647</v>
      </c>
      <c r="C13" t="s">
        <v>507</v>
      </c>
      <c r="D13" t="s">
        <v>508</v>
      </c>
      <c r="E13" t="s">
        <v>645</v>
      </c>
      <c r="F13" t="s">
        <v>230</v>
      </c>
      <c r="G13" t="s">
        <v>632</v>
      </c>
      <c r="H13" t="s">
        <v>48</v>
      </c>
    </row>
    <row r="14" spans="1:8">
      <c r="A14" t="s">
        <v>648</v>
      </c>
      <c r="B14" t="s">
        <v>639</v>
      </c>
      <c r="C14" t="s">
        <v>507</v>
      </c>
      <c r="D14" t="s">
        <v>508</v>
      </c>
      <c r="E14" t="s">
        <v>620</v>
      </c>
      <c r="F14" t="s">
        <v>465</v>
      </c>
      <c r="G14" t="s">
        <v>629</v>
      </c>
      <c r="H14" t="s">
        <v>48</v>
      </c>
    </row>
    <row r="15" spans="1:8">
      <c r="A15" t="s">
        <v>649</v>
      </c>
      <c r="B15" t="s">
        <v>650</v>
      </c>
      <c r="C15" t="s">
        <v>507</v>
      </c>
      <c r="D15" t="s">
        <v>508</v>
      </c>
      <c r="E15" t="s">
        <v>616</v>
      </c>
      <c r="F15" t="s">
        <v>408</v>
      </c>
      <c r="G15" t="s">
        <v>637</v>
      </c>
      <c r="H15" t="s">
        <v>651</v>
      </c>
    </row>
    <row r="16" spans="1:8">
      <c r="A16" t="s">
        <v>652</v>
      </c>
      <c r="B16" t="s">
        <v>631</v>
      </c>
      <c r="C16" t="s">
        <v>507</v>
      </c>
      <c r="D16" t="s">
        <v>508</v>
      </c>
      <c r="E16" t="s">
        <v>620</v>
      </c>
      <c r="F16" t="s">
        <v>105</v>
      </c>
      <c r="G16" t="s">
        <v>640</v>
      </c>
      <c r="H16" t="s">
        <v>651</v>
      </c>
    </row>
    <row r="17" spans="1:8">
      <c r="A17" t="s">
        <v>653</v>
      </c>
      <c r="B17" t="s">
        <v>654</v>
      </c>
      <c r="C17" t="s">
        <v>507</v>
      </c>
      <c r="D17" t="s">
        <v>508</v>
      </c>
      <c r="E17" t="s">
        <v>645</v>
      </c>
      <c r="F17" t="s">
        <v>177</v>
      </c>
      <c r="G17" t="s">
        <v>640</v>
      </c>
      <c r="H17" t="s">
        <v>48</v>
      </c>
    </row>
    <row r="18" spans="1:8">
      <c r="A18" t="s">
        <v>655</v>
      </c>
      <c r="B18" t="s">
        <v>656</v>
      </c>
      <c r="C18" t="s">
        <v>507</v>
      </c>
      <c r="D18" t="s">
        <v>508</v>
      </c>
      <c r="E18" t="s">
        <v>645</v>
      </c>
      <c r="F18" t="s">
        <v>177</v>
      </c>
      <c r="G18" t="s">
        <v>637</v>
      </c>
      <c r="H18" t="s">
        <v>651</v>
      </c>
    </row>
    <row r="19" spans="1:8">
      <c r="A19" t="s">
        <v>657</v>
      </c>
      <c r="B19" t="s">
        <v>658</v>
      </c>
      <c r="C19" t="s">
        <v>507</v>
      </c>
      <c r="D19" t="s">
        <v>508</v>
      </c>
      <c r="E19" t="s">
        <v>623</v>
      </c>
      <c r="F19" t="s">
        <v>389</v>
      </c>
      <c r="G19" t="s">
        <v>617</v>
      </c>
      <c r="H19" t="s">
        <v>48</v>
      </c>
    </row>
    <row r="20" spans="1:8">
      <c r="A20" t="s">
        <v>659</v>
      </c>
      <c r="B20" t="s">
        <v>660</v>
      </c>
      <c r="C20" t="s">
        <v>507</v>
      </c>
      <c r="D20" t="s">
        <v>508</v>
      </c>
      <c r="E20" t="s">
        <v>645</v>
      </c>
      <c r="F20" t="s">
        <v>105</v>
      </c>
      <c r="G20" t="s">
        <v>617</v>
      </c>
      <c r="H20" t="s">
        <v>48</v>
      </c>
    </row>
    <row r="21" spans="1:8">
      <c r="A21" t="s">
        <v>661</v>
      </c>
      <c r="B21" t="s">
        <v>662</v>
      </c>
      <c r="C21" t="s">
        <v>507</v>
      </c>
      <c r="D21" t="s">
        <v>508</v>
      </c>
      <c r="E21" t="s">
        <v>623</v>
      </c>
      <c r="F21" t="s">
        <v>300</v>
      </c>
      <c r="G21" t="s">
        <v>632</v>
      </c>
      <c r="H21" t="s">
        <v>48</v>
      </c>
    </row>
    <row r="22" spans="1:8">
      <c r="A22" t="s">
        <v>663</v>
      </c>
      <c r="B22" t="s">
        <v>664</v>
      </c>
      <c r="C22" t="s">
        <v>507</v>
      </c>
      <c r="D22" t="s">
        <v>508</v>
      </c>
      <c r="E22" t="s">
        <v>628</v>
      </c>
      <c r="F22" t="s">
        <v>353</v>
      </c>
      <c r="G22" t="s">
        <v>617</v>
      </c>
      <c r="H22" t="s">
        <v>48</v>
      </c>
    </row>
    <row r="23" spans="1:8">
      <c r="A23" t="s">
        <v>665</v>
      </c>
      <c r="B23" t="s">
        <v>666</v>
      </c>
      <c r="C23" t="s">
        <v>507</v>
      </c>
      <c r="D23" t="s">
        <v>508</v>
      </c>
      <c r="E23" t="s">
        <v>616</v>
      </c>
      <c r="F23" t="s">
        <v>484</v>
      </c>
      <c r="G23" t="s">
        <v>637</v>
      </c>
      <c r="H23" t="s">
        <v>48</v>
      </c>
    </row>
    <row r="24" spans="1:8">
      <c r="A24" t="s">
        <v>667</v>
      </c>
      <c r="B24" t="s">
        <v>668</v>
      </c>
      <c r="C24" t="s">
        <v>507</v>
      </c>
      <c r="D24" t="s">
        <v>508</v>
      </c>
      <c r="E24" t="s">
        <v>628</v>
      </c>
      <c r="F24" t="s">
        <v>300</v>
      </c>
      <c r="G24" t="s">
        <v>640</v>
      </c>
      <c r="H24" t="s">
        <v>651</v>
      </c>
    </row>
    <row r="25" spans="1:8">
      <c r="A25" t="s">
        <v>669</v>
      </c>
      <c r="B25" t="s">
        <v>670</v>
      </c>
      <c r="C25" t="s">
        <v>507</v>
      </c>
      <c r="D25" t="s">
        <v>508</v>
      </c>
      <c r="E25" t="s">
        <v>616</v>
      </c>
      <c r="F25" t="s">
        <v>446</v>
      </c>
      <c r="G25" t="s">
        <v>637</v>
      </c>
      <c r="H25" t="s">
        <v>48</v>
      </c>
    </row>
    <row r="26" spans="1:8">
      <c r="A26" t="s">
        <v>671</v>
      </c>
      <c r="B26" t="s">
        <v>672</v>
      </c>
      <c r="C26" t="s">
        <v>509</v>
      </c>
      <c r="D26" t="s">
        <v>508</v>
      </c>
      <c r="E26" t="s">
        <v>673</v>
      </c>
      <c r="F26" t="s">
        <v>446</v>
      </c>
      <c r="G26" t="s">
        <v>632</v>
      </c>
      <c r="H26" t="s">
        <v>48</v>
      </c>
    </row>
    <row r="27" spans="1:8">
      <c r="A27" t="s">
        <v>674</v>
      </c>
      <c r="B27" t="s">
        <v>675</v>
      </c>
      <c r="C27" t="s">
        <v>509</v>
      </c>
      <c r="D27" t="s">
        <v>508</v>
      </c>
      <c r="E27" t="s">
        <v>676</v>
      </c>
      <c r="F27" t="s">
        <v>105</v>
      </c>
      <c r="G27" t="s">
        <v>617</v>
      </c>
      <c r="H27" t="s">
        <v>48</v>
      </c>
    </row>
    <row r="28" spans="1:8">
      <c r="A28" t="s">
        <v>677</v>
      </c>
      <c r="B28" t="s">
        <v>678</v>
      </c>
      <c r="C28" t="s">
        <v>509</v>
      </c>
      <c r="D28" t="s">
        <v>508</v>
      </c>
      <c r="E28" t="s">
        <v>679</v>
      </c>
      <c r="F28" t="s">
        <v>105</v>
      </c>
      <c r="G28" t="s">
        <v>637</v>
      </c>
      <c r="H28" t="s">
        <v>651</v>
      </c>
    </row>
    <row r="29" spans="1:8">
      <c r="A29" t="s">
        <v>680</v>
      </c>
      <c r="B29" t="s">
        <v>681</v>
      </c>
      <c r="C29" t="s">
        <v>509</v>
      </c>
      <c r="D29" t="s">
        <v>508</v>
      </c>
      <c r="E29" t="s">
        <v>682</v>
      </c>
      <c r="F29" t="s">
        <v>43</v>
      </c>
      <c r="G29" t="s">
        <v>617</v>
      </c>
      <c r="H29" t="s">
        <v>48</v>
      </c>
    </row>
    <row r="30" spans="1:8">
      <c r="A30" t="s">
        <v>683</v>
      </c>
      <c r="B30" t="s">
        <v>684</v>
      </c>
      <c r="C30" t="s">
        <v>509</v>
      </c>
      <c r="D30" t="s">
        <v>508</v>
      </c>
      <c r="E30" t="s">
        <v>682</v>
      </c>
      <c r="F30" t="s">
        <v>105</v>
      </c>
      <c r="G30" t="s">
        <v>640</v>
      </c>
      <c r="H30" t="s">
        <v>48</v>
      </c>
    </row>
    <row r="31" spans="1:8">
      <c r="A31" t="s">
        <v>685</v>
      </c>
      <c r="B31" t="s">
        <v>686</v>
      </c>
      <c r="C31" t="s">
        <v>509</v>
      </c>
      <c r="D31" t="s">
        <v>508</v>
      </c>
      <c r="E31" t="s">
        <v>687</v>
      </c>
      <c r="F31" t="s">
        <v>408</v>
      </c>
      <c r="G31" t="s">
        <v>632</v>
      </c>
      <c r="H31" t="s">
        <v>48</v>
      </c>
    </row>
    <row r="32" spans="1:8">
      <c r="A32" t="s">
        <v>688</v>
      </c>
      <c r="B32" t="s">
        <v>689</v>
      </c>
      <c r="C32" t="s">
        <v>509</v>
      </c>
      <c r="D32" t="s">
        <v>508</v>
      </c>
      <c r="E32" t="s">
        <v>682</v>
      </c>
      <c r="F32" t="s">
        <v>177</v>
      </c>
      <c r="G32" t="s">
        <v>629</v>
      </c>
      <c r="H32" t="s">
        <v>48</v>
      </c>
    </row>
    <row r="33" spans="1:8">
      <c r="A33" t="s">
        <v>690</v>
      </c>
      <c r="B33" t="s">
        <v>691</v>
      </c>
      <c r="C33" t="s">
        <v>509</v>
      </c>
      <c r="D33" t="s">
        <v>508</v>
      </c>
      <c r="E33" t="s">
        <v>682</v>
      </c>
      <c r="F33" t="s">
        <v>43</v>
      </c>
      <c r="G33" t="s">
        <v>617</v>
      </c>
      <c r="H33" t="s">
        <v>48</v>
      </c>
    </row>
    <row r="34" spans="1:8">
      <c r="A34" t="s">
        <v>692</v>
      </c>
      <c r="B34" t="s">
        <v>693</v>
      </c>
      <c r="C34" t="s">
        <v>509</v>
      </c>
      <c r="D34" t="s">
        <v>508</v>
      </c>
      <c r="E34" t="s">
        <v>687</v>
      </c>
      <c r="F34" t="s">
        <v>230</v>
      </c>
      <c r="G34" t="s">
        <v>617</v>
      </c>
      <c r="H34" t="s">
        <v>48</v>
      </c>
    </row>
    <row r="35" spans="1:8">
      <c r="A35" t="s">
        <v>694</v>
      </c>
      <c r="B35" t="s">
        <v>695</v>
      </c>
      <c r="C35" t="s">
        <v>509</v>
      </c>
      <c r="D35" t="s">
        <v>508</v>
      </c>
      <c r="E35" t="s">
        <v>687</v>
      </c>
      <c r="F35" t="s">
        <v>446</v>
      </c>
      <c r="G35" t="s">
        <v>637</v>
      </c>
      <c r="H35" t="s">
        <v>651</v>
      </c>
    </row>
    <row r="36" spans="1:8">
      <c r="A36" t="s">
        <v>696</v>
      </c>
      <c r="B36" t="s">
        <v>697</v>
      </c>
      <c r="C36" t="s">
        <v>509</v>
      </c>
      <c r="D36" t="s">
        <v>508</v>
      </c>
      <c r="E36" t="s">
        <v>673</v>
      </c>
      <c r="F36" t="s">
        <v>230</v>
      </c>
      <c r="G36" t="s">
        <v>640</v>
      </c>
      <c r="H36" t="s">
        <v>48</v>
      </c>
    </row>
    <row r="37" spans="1:8">
      <c r="A37" t="s">
        <v>698</v>
      </c>
      <c r="B37" t="s">
        <v>699</v>
      </c>
      <c r="C37" t="s">
        <v>509</v>
      </c>
      <c r="D37" t="s">
        <v>508</v>
      </c>
      <c r="E37" t="s">
        <v>679</v>
      </c>
      <c r="F37" t="s">
        <v>105</v>
      </c>
      <c r="G37" t="s">
        <v>617</v>
      </c>
      <c r="H37" t="s">
        <v>48</v>
      </c>
    </row>
    <row r="38" spans="1:8">
      <c r="A38" t="s">
        <v>700</v>
      </c>
      <c r="B38" t="s">
        <v>701</v>
      </c>
      <c r="C38" t="s">
        <v>509</v>
      </c>
      <c r="D38" t="s">
        <v>508</v>
      </c>
      <c r="E38" t="s">
        <v>673</v>
      </c>
      <c r="F38" t="s">
        <v>389</v>
      </c>
      <c r="G38" t="s">
        <v>637</v>
      </c>
      <c r="H38" t="s">
        <v>48</v>
      </c>
    </row>
    <row r="39" spans="1:8">
      <c r="A39" t="s">
        <v>702</v>
      </c>
      <c r="B39" t="s">
        <v>703</v>
      </c>
      <c r="C39" t="s">
        <v>509</v>
      </c>
      <c r="D39" t="s">
        <v>508</v>
      </c>
      <c r="E39" t="s">
        <v>676</v>
      </c>
      <c r="F39" t="s">
        <v>446</v>
      </c>
      <c r="G39" t="s">
        <v>629</v>
      </c>
      <c r="H39" t="s">
        <v>48</v>
      </c>
    </row>
    <row r="40" spans="1:8">
      <c r="A40" t="s">
        <v>704</v>
      </c>
      <c r="B40" t="s">
        <v>705</v>
      </c>
      <c r="C40" t="s">
        <v>509</v>
      </c>
      <c r="D40" t="s">
        <v>508</v>
      </c>
      <c r="E40" t="s">
        <v>676</v>
      </c>
      <c r="F40" t="s">
        <v>230</v>
      </c>
      <c r="G40" t="s">
        <v>629</v>
      </c>
      <c r="H40" t="s">
        <v>651</v>
      </c>
    </row>
    <row r="41" spans="1:8">
      <c r="A41" t="s">
        <v>706</v>
      </c>
      <c r="B41" t="s">
        <v>707</v>
      </c>
      <c r="C41" t="s">
        <v>509</v>
      </c>
      <c r="D41" t="s">
        <v>508</v>
      </c>
      <c r="E41" t="s">
        <v>682</v>
      </c>
      <c r="F41" t="s">
        <v>230</v>
      </c>
      <c r="G41" t="s">
        <v>617</v>
      </c>
      <c r="H41" t="s">
        <v>48</v>
      </c>
    </row>
    <row r="42" spans="1:8">
      <c r="A42" t="s">
        <v>708</v>
      </c>
      <c r="B42" t="s">
        <v>709</v>
      </c>
      <c r="C42" t="s">
        <v>509</v>
      </c>
      <c r="D42" t="s">
        <v>508</v>
      </c>
      <c r="E42" t="s">
        <v>676</v>
      </c>
      <c r="F42" t="s">
        <v>408</v>
      </c>
      <c r="G42" t="s">
        <v>629</v>
      </c>
      <c r="H42" t="s">
        <v>48</v>
      </c>
    </row>
    <row r="43" spans="1:8">
      <c r="A43" t="s">
        <v>710</v>
      </c>
      <c r="B43" t="s">
        <v>711</v>
      </c>
      <c r="C43" t="s">
        <v>509</v>
      </c>
      <c r="D43" t="s">
        <v>508</v>
      </c>
      <c r="E43" t="s">
        <v>687</v>
      </c>
      <c r="F43" t="s">
        <v>230</v>
      </c>
      <c r="G43" t="s">
        <v>629</v>
      </c>
      <c r="H43" t="s">
        <v>48</v>
      </c>
    </row>
    <row r="44" spans="1:8">
      <c r="A44" t="s">
        <v>712</v>
      </c>
      <c r="B44" t="s">
        <v>713</v>
      </c>
      <c r="C44" t="s">
        <v>509</v>
      </c>
      <c r="D44" t="s">
        <v>508</v>
      </c>
      <c r="E44" t="s">
        <v>673</v>
      </c>
      <c r="F44" t="s">
        <v>446</v>
      </c>
      <c r="G44" t="s">
        <v>629</v>
      </c>
      <c r="H44" t="s">
        <v>651</v>
      </c>
    </row>
    <row r="45" spans="1:8">
      <c r="A45" t="s">
        <v>714</v>
      </c>
      <c r="B45" t="s">
        <v>689</v>
      </c>
      <c r="C45" t="s">
        <v>509</v>
      </c>
      <c r="D45" t="s">
        <v>508</v>
      </c>
      <c r="E45" t="s">
        <v>682</v>
      </c>
      <c r="F45" t="s">
        <v>177</v>
      </c>
      <c r="G45" t="s">
        <v>617</v>
      </c>
      <c r="H45" t="s">
        <v>48</v>
      </c>
    </row>
    <row r="46" spans="1:8">
      <c r="A46" t="s">
        <v>715</v>
      </c>
      <c r="B46" t="s">
        <v>716</v>
      </c>
      <c r="C46" t="s">
        <v>509</v>
      </c>
      <c r="D46" t="s">
        <v>508</v>
      </c>
      <c r="E46" t="s">
        <v>682</v>
      </c>
      <c r="F46" t="s">
        <v>446</v>
      </c>
      <c r="G46" t="s">
        <v>617</v>
      </c>
      <c r="H46" t="s">
        <v>651</v>
      </c>
    </row>
    <row r="47" spans="1:8">
      <c r="A47" t="s">
        <v>717</v>
      </c>
      <c r="B47" t="s">
        <v>718</v>
      </c>
      <c r="C47" t="s">
        <v>509</v>
      </c>
      <c r="D47" t="s">
        <v>508</v>
      </c>
      <c r="E47" t="s">
        <v>676</v>
      </c>
      <c r="F47" t="s">
        <v>446</v>
      </c>
      <c r="G47" t="s">
        <v>637</v>
      </c>
      <c r="H47" t="s">
        <v>651</v>
      </c>
    </row>
    <row r="48" spans="1:8">
      <c r="A48" t="s">
        <v>719</v>
      </c>
      <c r="B48" t="s">
        <v>720</v>
      </c>
      <c r="C48" t="s">
        <v>509</v>
      </c>
      <c r="D48" t="s">
        <v>508</v>
      </c>
      <c r="E48" t="s">
        <v>679</v>
      </c>
      <c r="F48" t="s">
        <v>408</v>
      </c>
      <c r="G48" t="s">
        <v>637</v>
      </c>
      <c r="H48" t="s">
        <v>48</v>
      </c>
    </row>
    <row r="49" spans="1:8">
      <c r="A49" t="s">
        <v>721</v>
      </c>
      <c r="B49" t="s">
        <v>722</v>
      </c>
      <c r="C49" t="s">
        <v>509</v>
      </c>
      <c r="D49" t="s">
        <v>508</v>
      </c>
      <c r="E49" t="s">
        <v>682</v>
      </c>
      <c r="F49" t="s">
        <v>427</v>
      </c>
      <c r="G49" t="s">
        <v>640</v>
      </c>
      <c r="H49" t="s">
        <v>651</v>
      </c>
    </row>
    <row r="50" spans="1:8">
      <c r="A50" t="s">
        <v>723</v>
      </c>
      <c r="B50" t="s">
        <v>724</v>
      </c>
      <c r="C50" t="s">
        <v>510</v>
      </c>
      <c r="D50" t="s">
        <v>511</v>
      </c>
      <c r="E50" t="s">
        <v>725</v>
      </c>
      <c r="F50" t="s">
        <v>408</v>
      </c>
      <c r="G50" t="s">
        <v>617</v>
      </c>
      <c r="H50" t="s">
        <v>48</v>
      </c>
    </row>
    <row r="51" spans="1:8">
      <c r="A51" t="s">
        <v>726</v>
      </c>
      <c r="B51" t="s">
        <v>727</v>
      </c>
      <c r="C51" t="s">
        <v>510</v>
      </c>
      <c r="D51" t="s">
        <v>511</v>
      </c>
      <c r="E51" t="s">
        <v>725</v>
      </c>
      <c r="F51" t="s">
        <v>105</v>
      </c>
      <c r="G51" t="s">
        <v>640</v>
      </c>
      <c r="H51" t="s">
        <v>48</v>
      </c>
    </row>
    <row r="52" spans="1:8">
      <c r="A52" t="s">
        <v>728</v>
      </c>
      <c r="B52" t="s">
        <v>729</v>
      </c>
      <c r="C52" t="s">
        <v>510</v>
      </c>
      <c r="D52" t="s">
        <v>511</v>
      </c>
      <c r="E52" t="s">
        <v>725</v>
      </c>
      <c r="F52" t="s">
        <v>177</v>
      </c>
      <c r="G52" t="s">
        <v>640</v>
      </c>
      <c r="H52" t="s">
        <v>48</v>
      </c>
    </row>
    <row r="53" spans="1:8">
      <c r="A53" t="s">
        <v>730</v>
      </c>
      <c r="B53" t="s">
        <v>731</v>
      </c>
      <c r="C53" t="s">
        <v>510</v>
      </c>
      <c r="D53" t="s">
        <v>511</v>
      </c>
      <c r="E53" t="s">
        <v>732</v>
      </c>
      <c r="F53" t="s">
        <v>427</v>
      </c>
      <c r="G53" t="s">
        <v>640</v>
      </c>
      <c r="H53" t="s">
        <v>651</v>
      </c>
    </row>
    <row r="54" spans="1:8">
      <c r="A54" t="s">
        <v>733</v>
      </c>
      <c r="B54" t="s">
        <v>734</v>
      </c>
      <c r="C54" t="s">
        <v>510</v>
      </c>
      <c r="D54" t="s">
        <v>511</v>
      </c>
      <c r="E54" t="s">
        <v>732</v>
      </c>
      <c r="F54" t="s">
        <v>300</v>
      </c>
      <c r="G54" t="s">
        <v>640</v>
      </c>
      <c r="H54" t="s">
        <v>48</v>
      </c>
    </row>
    <row r="55" spans="1:8">
      <c r="A55" t="s">
        <v>735</v>
      </c>
      <c r="B55" t="s">
        <v>736</v>
      </c>
      <c r="C55" t="s">
        <v>510</v>
      </c>
      <c r="D55" t="s">
        <v>511</v>
      </c>
      <c r="E55" t="s">
        <v>732</v>
      </c>
      <c r="F55" t="s">
        <v>43</v>
      </c>
      <c r="G55" t="s">
        <v>629</v>
      </c>
      <c r="H55" t="s">
        <v>48</v>
      </c>
    </row>
    <row r="56" spans="1:8">
      <c r="A56" t="s">
        <v>737</v>
      </c>
      <c r="B56" t="s">
        <v>738</v>
      </c>
      <c r="C56" t="s">
        <v>510</v>
      </c>
      <c r="D56" t="s">
        <v>511</v>
      </c>
      <c r="E56" t="s">
        <v>725</v>
      </c>
      <c r="F56" t="s">
        <v>353</v>
      </c>
      <c r="G56" t="s">
        <v>617</v>
      </c>
      <c r="H56" t="s">
        <v>48</v>
      </c>
    </row>
    <row r="57" spans="1:8">
      <c r="A57" t="s">
        <v>739</v>
      </c>
      <c r="B57" t="s">
        <v>740</v>
      </c>
      <c r="C57" t="s">
        <v>510</v>
      </c>
      <c r="D57" t="s">
        <v>511</v>
      </c>
      <c r="E57" t="s">
        <v>732</v>
      </c>
      <c r="F57" t="s">
        <v>484</v>
      </c>
      <c r="G57" t="s">
        <v>632</v>
      </c>
      <c r="H57" t="s">
        <v>48</v>
      </c>
    </row>
    <row r="58" spans="1:8">
      <c r="A58" t="s">
        <v>741</v>
      </c>
      <c r="B58" t="s">
        <v>729</v>
      </c>
      <c r="C58" t="s">
        <v>510</v>
      </c>
      <c r="D58" t="s">
        <v>511</v>
      </c>
      <c r="E58" t="s">
        <v>725</v>
      </c>
      <c r="F58" t="s">
        <v>177</v>
      </c>
      <c r="G58" t="s">
        <v>637</v>
      </c>
      <c r="H58" t="s">
        <v>48</v>
      </c>
    </row>
    <row r="59" spans="1:8">
      <c r="A59" t="s">
        <v>742</v>
      </c>
      <c r="B59" t="s">
        <v>734</v>
      </c>
      <c r="C59" t="s">
        <v>510</v>
      </c>
      <c r="D59" t="s">
        <v>511</v>
      </c>
      <c r="E59" t="s">
        <v>732</v>
      </c>
      <c r="F59" t="s">
        <v>300</v>
      </c>
      <c r="G59" t="s">
        <v>632</v>
      </c>
      <c r="H59" t="s">
        <v>48</v>
      </c>
    </row>
    <row r="60" spans="1:8">
      <c r="A60" t="s">
        <v>743</v>
      </c>
      <c r="B60" t="s">
        <v>736</v>
      </c>
      <c r="C60" t="s">
        <v>510</v>
      </c>
      <c r="D60" t="s">
        <v>511</v>
      </c>
      <c r="E60" t="s">
        <v>732</v>
      </c>
      <c r="F60" t="s">
        <v>43</v>
      </c>
      <c r="G60" t="s">
        <v>617</v>
      </c>
      <c r="H60" t="s">
        <v>48</v>
      </c>
    </row>
    <row r="61" spans="1:8">
      <c r="A61" t="s">
        <v>744</v>
      </c>
      <c r="B61" t="s">
        <v>745</v>
      </c>
      <c r="C61" t="s">
        <v>510</v>
      </c>
      <c r="D61" t="s">
        <v>511</v>
      </c>
      <c r="E61" t="s">
        <v>725</v>
      </c>
      <c r="F61" t="s">
        <v>43</v>
      </c>
      <c r="G61" t="s">
        <v>640</v>
      </c>
      <c r="H61" t="s">
        <v>651</v>
      </c>
    </row>
    <row r="62" spans="1:8">
      <c r="A62" t="s">
        <v>746</v>
      </c>
      <c r="B62" t="s">
        <v>747</v>
      </c>
      <c r="C62" t="s">
        <v>510</v>
      </c>
      <c r="D62" t="s">
        <v>511</v>
      </c>
      <c r="E62" t="s">
        <v>748</v>
      </c>
      <c r="F62" t="s">
        <v>389</v>
      </c>
      <c r="G62" t="s">
        <v>629</v>
      </c>
      <c r="H62" t="s">
        <v>48</v>
      </c>
    </row>
    <row r="63" spans="1:8">
      <c r="A63" t="s">
        <v>749</v>
      </c>
      <c r="B63" t="s">
        <v>750</v>
      </c>
      <c r="C63" t="s">
        <v>510</v>
      </c>
      <c r="D63" t="s">
        <v>511</v>
      </c>
      <c r="E63" t="s">
        <v>732</v>
      </c>
      <c r="F63" t="s">
        <v>465</v>
      </c>
      <c r="G63" t="s">
        <v>629</v>
      </c>
      <c r="H63" t="s">
        <v>48</v>
      </c>
    </row>
    <row r="64" spans="1:8">
      <c r="A64" t="s">
        <v>751</v>
      </c>
      <c r="B64" t="s">
        <v>752</v>
      </c>
      <c r="C64" t="s">
        <v>512</v>
      </c>
      <c r="D64" t="s">
        <v>513</v>
      </c>
      <c r="E64" t="s">
        <v>753</v>
      </c>
      <c r="F64" t="s">
        <v>353</v>
      </c>
      <c r="G64" t="s">
        <v>632</v>
      </c>
      <c r="H64" t="s">
        <v>48</v>
      </c>
    </row>
    <row r="65" spans="1:8">
      <c r="A65" t="s">
        <v>754</v>
      </c>
      <c r="B65" t="s">
        <v>755</v>
      </c>
      <c r="C65" t="s">
        <v>512</v>
      </c>
      <c r="D65" t="s">
        <v>513</v>
      </c>
      <c r="E65" t="s">
        <v>756</v>
      </c>
      <c r="F65" t="s">
        <v>177</v>
      </c>
      <c r="G65" t="s">
        <v>640</v>
      </c>
      <c r="H65" t="s">
        <v>48</v>
      </c>
    </row>
    <row r="66" spans="1:8">
      <c r="A66" t="s">
        <v>757</v>
      </c>
      <c r="B66" t="s">
        <v>758</v>
      </c>
      <c r="C66" t="s">
        <v>512</v>
      </c>
      <c r="D66" t="s">
        <v>513</v>
      </c>
      <c r="E66" t="s">
        <v>753</v>
      </c>
      <c r="F66" t="s">
        <v>300</v>
      </c>
      <c r="G66" t="s">
        <v>632</v>
      </c>
      <c r="H66" t="s">
        <v>48</v>
      </c>
    </row>
    <row r="67" spans="1:8">
      <c r="A67" t="s">
        <v>759</v>
      </c>
      <c r="B67" t="s">
        <v>760</v>
      </c>
      <c r="C67" t="s">
        <v>512</v>
      </c>
      <c r="D67" t="s">
        <v>513</v>
      </c>
      <c r="E67" t="s">
        <v>753</v>
      </c>
      <c r="F67" t="s">
        <v>43</v>
      </c>
      <c r="G67" t="s">
        <v>637</v>
      </c>
      <c r="H67" t="s">
        <v>48</v>
      </c>
    </row>
    <row r="68" spans="1:8">
      <c r="A68" t="s">
        <v>761</v>
      </c>
      <c r="B68" t="s">
        <v>762</v>
      </c>
      <c r="C68" t="s">
        <v>512</v>
      </c>
      <c r="D68" t="s">
        <v>513</v>
      </c>
      <c r="E68" t="s">
        <v>753</v>
      </c>
      <c r="F68" t="s">
        <v>177</v>
      </c>
      <c r="G68" t="s">
        <v>640</v>
      </c>
      <c r="H68" t="s">
        <v>651</v>
      </c>
    </row>
    <row r="69" spans="1:8">
      <c r="A69" t="s">
        <v>763</v>
      </c>
      <c r="B69" t="s">
        <v>764</v>
      </c>
      <c r="C69" t="s">
        <v>512</v>
      </c>
      <c r="D69" t="s">
        <v>513</v>
      </c>
      <c r="E69" t="s">
        <v>765</v>
      </c>
      <c r="F69" t="s">
        <v>300</v>
      </c>
      <c r="G69" t="s">
        <v>632</v>
      </c>
      <c r="H69" t="s">
        <v>651</v>
      </c>
    </row>
    <row r="70" spans="1:8">
      <c r="A70" t="s">
        <v>766</v>
      </c>
      <c r="B70" t="s">
        <v>767</v>
      </c>
      <c r="C70" t="s">
        <v>512</v>
      </c>
      <c r="D70" t="s">
        <v>513</v>
      </c>
      <c r="E70" t="s">
        <v>765</v>
      </c>
      <c r="F70" t="s">
        <v>353</v>
      </c>
      <c r="G70" t="s">
        <v>640</v>
      </c>
      <c r="H70" t="s">
        <v>651</v>
      </c>
    </row>
    <row r="71" spans="1:8">
      <c r="A71" t="s">
        <v>768</v>
      </c>
      <c r="B71" t="s">
        <v>769</v>
      </c>
      <c r="C71" t="s">
        <v>512</v>
      </c>
      <c r="D71" t="s">
        <v>513</v>
      </c>
      <c r="E71" t="s">
        <v>765</v>
      </c>
      <c r="F71" t="s">
        <v>465</v>
      </c>
      <c r="G71" t="s">
        <v>629</v>
      </c>
      <c r="H71" t="s">
        <v>48</v>
      </c>
    </row>
    <row r="72" spans="1:8">
      <c r="A72" t="s">
        <v>770</v>
      </c>
      <c r="B72" t="s">
        <v>771</v>
      </c>
      <c r="C72" t="s">
        <v>514</v>
      </c>
      <c r="D72" t="s">
        <v>515</v>
      </c>
      <c r="E72" t="s">
        <v>772</v>
      </c>
      <c r="F72" t="s">
        <v>177</v>
      </c>
      <c r="G72" t="s">
        <v>629</v>
      </c>
      <c r="H72" t="s">
        <v>48</v>
      </c>
    </row>
    <row r="73" spans="1:8">
      <c r="A73" t="s">
        <v>773</v>
      </c>
      <c r="B73" t="s">
        <v>774</v>
      </c>
      <c r="C73" t="s">
        <v>514</v>
      </c>
      <c r="D73" t="s">
        <v>515</v>
      </c>
      <c r="E73" t="s">
        <v>775</v>
      </c>
      <c r="F73" t="s">
        <v>105</v>
      </c>
      <c r="G73" t="s">
        <v>637</v>
      </c>
      <c r="H73" t="s">
        <v>651</v>
      </c>
    </row>
    <row r="74" spans="1:8">
      <c r="A74" t="s">
        <v>776</v>
      </c>
      <c r="B74" t="s">
        <v>777</v>
      </c>
      <c r="C74" t="s">
        <v>514</v>
      </c>
      <c r="D74" t="s">
        <v>515</v>
      </c>
      <c r="E74" t="s">
        <v>772</v>
      </c>
      <c r="F74" t="s">
        <v>465</v>
      </c>
      <c r="G74" t="s">
        <v>632</v>
      </c>
      <c r="H74" t="s">
        <v>48</v>
      </c>
    </row>
    <row r="75" spans="1:8">
      <c r="A75" t="s">
        <v>778</v>
      </c>
      <c r="B75" t="s">
        <v>779</v>
      </c>
      <c r="C75" t="s">
        <v>514</v>
      </c>
      <c r="D75" t="s">
        <v>515</v>
      </c>
      <c r="E75" t="s">
        <v>775</v>
      </c>
      <c r="F75" t="s">
        <v>177</v>
      </c>
      <c r="G75" t="s">
        <v>617</v>
      </c>
      <c r="H75" t="s">
        <v>651</v>
      </c>
    </row>
    <row r="76" spans="1:8">
      <c r="A76" t="s">
        <v>780</v>
      </c>
      <c r="B76" t="s">
        <v>781</v>
      </c>
      <c r="C76" t="s">
        <v>514</v>
      </c>
      <c r="D76" t="s">
        <v>515</v>
      </c>
      <c r="E76" t="s">
        <v>782</v>
      </c>
      <c r="F76" t="s">
        <v>43</v>
      </c>
      <c r="G76" t="s">
        <v>617</v>
      </c>
      <c r="H76" t="s">
        <v>48</v>
      </c>
    </row>
    <row r="77" spans="1:8">
      <c r="A77" t="s">
        <v>783</v>
      </c>
      <c r="B77" t="s">
        <v>774</v>
      </c>
      <c r="C77" t="s">
        <v>514</v>
      </c>
      <c r="D77" t="s">
        <v>515</v>
      </c>
      <c r="E77" t="s">
        <v>775</v>
      </c>
      <c r="F77" t="s">
        <v>105</v>
      </c>
      <c r="G77" t="s">
        <v>640</v>
      </c>
      <c r="H77" t="s">
        <v>48</v>
      </c>
    </row>
    <row r="78" spans="1:8">
      <c r="A78" t="s">
        <v>784</v>
      </c>
      <c r="B78" t="s">
        <v>785</v>
      </c>
      <c r="C78" t="s">
        <v>514</v>
      </c>
      <c r="D78" t="s">
        <v>515</v>
      </c>
      <c r="E78" t="s">
        <v>772</v>
      </c>
      <c r="F78" t="s">
        <v>408</v>
      </c>
      <c r="G78" t="s">
        <v>637</v>
      </c>
      <c r="H78" t="s">
        <v>48</v>
      </c>
    </row>
    <row r="79" spans="1:8">
      <c r="A79" t="s">
        <v>786</v>
      </c>
      <c r="B79" t="s">
        <v>787</v>
      </c>
      <c r="C79" t="s">
        <v>514</v>
      </c>
      <c r="D79" t="s">
        <v>515</v>
      </c>
      <c r="E79" t="s">
        <v>775</v>
      </c>
      <c r="F79" t="s">
        <v>408</v>
      </c>
      <c r="G79" t="s">
        <v>632</v>
      </c>
      <c r="H79" t="s">
        <v>48</v>
      </c>
    </row>
    <row r="80" spans="1:8">
      <c r="A80" t="s">
        <v>788</v>
      </c>
      <c r="B80" t="s">
        <v>789</v>
      </c>
      <c r="C80" t="s">
        <v>514</v>
      </c>
      <c r="D80" t="s">
        <v>515</v>
      </c>
      <c r="E80" t="s">
        <v>772</v>
      </c>
      <c r="F80" t="s">
        <v>389</v>
      </c>
      <c r="G80" t="s">
        <v>629</v>
      </c>
      <c r="H80" t="s">
        <v>651</v>
      </c>
    </row>
    <row r="81" spans="1:8">
      <c r="A81" t="s">
        <v>790</v>
      </c>
      <c r="B81" t="s">
        <v>791</v>
      </c>
      <c r="C81" t="s">
        <v>514</v>
      </c>
      <c r="D81" t="s">
        <v>515</v>
      </c>
      <c r="E81" t="s">
        <v>782</v>
      </c>
      <c r="F81" t="s">
        <v>300</v>
      </c>
      <c r="G81" t="s">
        <v>632</v>
      </c>
      <c r="H81" t="s">
        <v>651</v>
      </c>
    </row>
    <row r="82" spans="1:8">
      <c r="A82" t="s">
        <v>792</v>
      </c>
      <c r="B82" t="s">
        <v>793</v>
      </c>
      <c r="C82" t="s">
        <v>514</v>
      </c>
      <c r="D82" t="s">
        <v>515</v>
      </c>
      <c r="E82" t="s">
        <v>794</v>
      </c>
      <c r="F82" t="s">
        <v>230</v>
      </c>
      <c r="G82" t="s">
        <v>640</v>
      </c>
      <c r="H82" t="s">
        <v>48</v>
      </c>
    </row>
    <row r="83" spans="1:8">
      <c r="A83" t="s">
        <v>795</v>
      </c>
      <c r="B83" t="s">
        <v>796</v>
      </c>
      <c r="C83" t="s">
        <v>514</v>
      </c>
      <c r="D83" t="s">
        <v>515</v>
      </c>
      <c r="E83" t="s">
        <v>794</v>
      </c>
      <c r="F83" t="s">
        <v>427</v>
      </c>
      <c r="G83" t="s">
        <v>640</v>
      </c>
      <c r="H83" t="s">
        <v>48</v>
      </c>
    </row>
    <row r="84" spans="1:8">
      <c r="A84" t="s">
        <v>797</v>
      </c>
      <c r="B84" t="s">
        <v>798</v>
      </c>
      <c r="C84" t="s">
        <v>516</v>
      </c>
      <c r="D84" t="s">
        <v>517</v>
      </c>
      <c r="E84" t="s">
        <v>799</v>
      </c>
      <c r="F84" t="s">
        <v>353</v>
      </c>
      <c r="G84" t="s">
        <v>640</v>
      </c>
      <c r="H84" t="s">
        <v>48</v>
      </c>
    </row>
    <row r="85" spans="1:8">
      <c r="A85" t="s">
        <v>800</v>
      </c>
      <c r="B85" t="s">
        <v>801</v>
      </c>
      <c r="C85" t="s">
        <v>516</v>
      </c>
      <c r="D85" t="s">
        <v>517</v>
      </c>
      <c r="E85" t="s">
        <v>802</v>
      </c>
      <c r="F85" t="s">
        <v>446</v>
      </c>
      <c r="G85" t="s">
        <v>640</v>
      </c>
      <c r="H85" t="s">
        <v>48</v>
      </c>
    </row>
    <row r="86" spans="1:8">
      <c r="A86" t="s">
        <v>803</v>
      </c>
      <c r="B86" t="s">
        <v>804</v>
      </c>
      <c r="C86" t="s">
        <v>516</v>
      </c>
      <c r="D86" t="s">
        <v>517</v>
      </c>
      <c r="E86" t="s">
        <v>802</v>
      </c>
      <c r="F86" t="s">
        <v>105</v>
      </c>
      <c r="G86" t="s">
        <v>629</v>
      </c>
      <c r="H86" t="s">
        <v>48</v>
      </c>
    </row>
    <row r="87" spans="1:8">
      <c r="A87" t="s">
        <v>805</v>
      </c>
      <c r="B87" t="s">
        <v>806</v>
      </c>
      <c r="C87" t="s">
        <v>516</v>
      </c>
      <c r="D87" t="s">
        <v>517</v>
      </c>
      <c r="E87" t="s">
        <v>802</v>
      </c>
      <c r="F87" t="s">
        <v>389</v>
      </c>
      <c r="G87" t="s">
        <v>632</v>
      </c>
      <c r="H87" t="s">
        <v>48</v>
      </c>
    </row>
    <row r="88" spans="1:8">
      <c r="A88" t="s">
        <v>807</v>
      </c>
      <c r="B88" t="s">
        <v>808</v>
      </c>
      <c r="C88" t="s">
        <v>516</v>
      </c>
      <c r="D88" t="s">
        <v>517</v>
      </c>
      <c r="E88" t="s">
        <v>799</v>
      </c>
      <c r="F88" t="s">
        <v>353</v>
      </c>
      <c r="G88" t="s">
        <v>632</v>
      </c>
      <c r="H88" t="s">
        <v>651</v>
      </c>
    </row>
    <row r="89" spans="1:8">
      <c r="A89" t="s">
        <v>809</v>
      </c>
      <c r="B89" t="s">
        <v>810</v>
      </c>
      <c r="C89" t="s">
        <v>516</v>
      </c>
      <c r="D89" t="s">
        <v>517</v>
      </c>
      <c r="E89" t="s">
        <v>811</v>
      </c>
      <c r="F89" t="s">
        <v>105</v>
      </c>
      <c r="G89" t="s">
        <v>632</v>
      </c>
      <c r="H89" t="s">
        <v>48</v>
      </c>
    </row>
    <row r="90" spans="1:8">
      <c r="A90" t="s">
        <v>812</v>
      </c>
      <c r="B90" t="s">
        <v>813</v>
      </c>
      <c r="C90" t="s">
        <v>516</v>
      </c>
      <c r="D90" t="s">
        <v>517</v>
      </c>
      <c r="E90" t="s">
        <v>802</v>
      </c>
      <c r="F90" t="s">
        <v>230</v>
      </c>
      <c r="G90" t="s">
        <v>617</v>
      </c>
      <c r="H90" t="s">
        <v>48</v>
      </c>
    </row>
    <row r="91" spans="1:8">
      <c r="A91" t="s">
        <v>814</v>
      </c>
      <c r="B91" t="s">
        <v>815</v>
      </c>
      <c r="C91" t="s">
        <v>516</v>
      </c>
      <c r="D91" t="s">
        <v>517</v>
      </c>
      <c r="E91" t="s">
        <v>816</v>
      </c>
      <c r="F91" t="s">
        <v>389</v>
      </c>
      <c r="G91" t="s">
        <v>637</v>
      </c>
      <c r="H91" t="s">
        <v>48</v>
      </c>
    </row>
    <row r="92" spans="1:8">
      <c r="A92" t="s">
        <v>817</v>
      </c>
      <c r="B92" t="s">
        <v>818</v>
      </c>
      <c r="C92" t="s">
        <v>516</v>
      </c>
      <c r="D92" t="s">
        <v>517</v>
      </c>
      <c r="E92" t="s">
        <v>811</v>
      </c>
      <c r="F92" t="s">
        <v>465</v>
      </c>
      <c r="G92" t="s">
        <v>617</v>
      </c>
      <c r="H92" t="s">
        <v>48</v>
      </c>
    </row>
    <row r="93" spans="1:8">
      <c r="A93" t="s">
        <v>819</v>
      </c>
      <c r="B93" t="s">
        <v>820</v>
      </c>
      <c r="C93" t="s">
        <v>516</v>
      </c>
      <c r="D93" t="s">
        <v>517</v>
      </c>
      <c r="E93" t="s">
        <v>821</v>
      </c>
      <c r="F93" t="s">
        <v>300</v>
      </c>
      <c r="G93" t="s">
        <v>629</v>
      </c>
      <c r="H93" t="s">
        <v>48</v>
      </c>
    </row>
    <row r="94" spans="1:8">
      <c r="A94" t="s">
        <v>822</v>
      </c>
      <c r="B94" t="s">
        <v>823</v>
      </c>
      <c r="C94" t="s">
        <v>516</v>
      </c>
      <c r="D94" t="s">
        <v>517</v>
      </c>
      <c r="E94" t="s">
        <v>799</v>
      </c>
      <c r="F94" t="s">
        <v>408</v>
      </c>
      <c r="G94" t="s">
        <v>629</v>
      </c>
      <c r="H94" t="s">
        <v>651</v>
      </c>
    </row>
    <row r="95" spans="1:8">
      <c r="A95" t="s">
        <v>824</v>
      </c>
      <c r="B95" t="s">
        <v>825</v>
      </c>
      <c r="C95" t="s">
        <v>516</v>
      </c>
      <c r="D95" t="s">
        <v>517</v>
      </c>
      <c r="E95" t="s">
        <v>799</v>
      </c>
      <c r="F95" t="s">
        <v>105</v>
      </c>
      <c r="G95" t="s">
        <v>617</v>
      </c>
      <c r="H95" t="s">
        <v>48</v>
      </c>
    </row>
    <row r="96" spans="1:8">
      <c r="A96" t="s">
        <v>826</v>
      </c>
      <c r="B96" t="s">
        <v>827</v>
      </c>
      <c r="C96" t="s">
        <v>516</v>
      </c>
      <c r="D96" t="s">
        <v>517</v>
      </c>
      <c r="E96" t="s">
        <v>811</v>
      </c>
      <c r="F96" t="s">
        <v>408</v>
      </c>
      <c r="G96" t="s">
        <v>632</v>
      </c>
      <c r="H96" t="s">
        <v>48</v>
      </c>
    </row>
    <row r="97" spans="1:8">
      <c r="A97" t="s">
        <v>828</v>
      </c>
      <c r="B97" t="s">
        <v>829</v>
      </c>
      <c r="C97" t="s">
        <v>516</v>
      </c>
      <c r="D97" t="s">
        <v>517</v>
      </c>
      <c r="E97" t="s">
        <v>816</v>
      </c>
      <c r="F97" t="s">
        <v>408</v>
      </c>
      <c r="G97" t="s">
        <v>632</v>
      </c>
      <c r="H97" t="s">
        <v>48</v>
      </c>
    </row>
    <row r="98" spans="1:8">
      <c r="A98" t="s">
        <v>830</v>
      </c>
      <c r="B98" t="s">
        <v>831</v>
      </c>
      <c r="C98" t="s">
        <v>516</v>
      </c>
      <c r="D98" t="s">
        <v>517</v>
      </c>
      <c r="E98" t="s">
        <v>816</v>
      </c>
      <c r="F98" t="s">
        <v>484</v>
      </c>
      <c r="G98" t="s">
        <v>617</v>
      </c>
      <c r="H98" t="s">
        <v>48</v>
      </c>
    </row>
    <row r="99" spans="1:8">
      <c r="A99" t="s">
        <v>832</v>
      </c>
      <c r="B99" t="s">
        <v>833</v>
      </c>
      <c r="C99" t="s">
        <v>516</v>
      </c>
      <c r="D99" t="s">
        <v>517</v>
      </c>
      <c r="E99" t="s">
        <v>802</v>
      </c>
      <c r="F99" t="s">
        <v>427</v>
      </c>
      <c r="G99" t="s">
        <v>637</v>
      </c>
      <c r="H99" t="s">
        <v>48</v>
      </c>
    </row>
    <row r="100" spans="1:8">
      <c r="A100" t="s">
        <v>834</v>
      </c>
      <c r="B100" t="s">
        <v>835</v>
      </c>
      <c r="C100" t="s">
        <v>516</v>
      </c>
      <c r="D100" t="s">
        <v>517</v>
      </c>
      <c r="E100" t="s">
        <v>811</v>
      </c>
      <c r="F100" t="s">
        <v>105</v>
      </c>
      <c r="G100" t="s">
        <v>629</v>
      </c>
      <c r="H100" t="s">
        <v>48</v>
      </c>
    </row>
    <row r="101" spans="1:8">
      <c r="A101" t="s">
        <v>836</v>
      </c>
      <c r="B101" t="s">
        <v>808</v>
      </c>
      <c r="C101" t="s">
        <v>516</v>
      </c>
      <c r="D101" t="s">
        <v>517</v>
      </c>
      <c r="E101" t="s">
        <v>799</v>
      </c>
      <c r="F101" t="s">
        <v>353</v>
      </c>
      <c r="G101" t="s">
        <v>617</v>
      </c>
      <c r="H101" t="s">
        <v>48</v>
      </c>
    </row>
    <row r="102" spans="1:8">
      <c r="A102" t="s">
        <v>837</v>
      </c>
      <c r="B102" t="s">
        <v>798</v>
      </c>
      <c r="C102" t="s">
        <v>516</v>
      </c>
      <c r="D102" t="s">
        <v>517</v>
      </c>
      <c r="E102" t="s">
        <v>799</v>
      </c>
      <c r="F102" t="s">
        <v>353</v>
      </c>
      <c r="G102" t="s">
        <v>632</v>
      </c>
      <c r="H102" t="s">
        <v>48</v>
      </c>
    </row>
    <row r="103" spans="1:8">
      <c r="A103" t="s">
        <v>838</v>
      </c>
      <c r="B103" t="s">
        <v>839</v>
      </c>
      <c r="C103" t="s">
        <v>516</v>
      </c>
      <c r="D103" t="s">
        <v>517</v>
      </c>
      <c r="E103" t="s">
        <v>802</v>
      </c>
      <c r="F103" t="s">
        <v>105</v>
      </c>
      <c r="G103" t="s">
        <v>629</v>
      </c>
      <c r="H103" t="s">
        <v>48</v>
      </c>
    </row>
    <row r="104" spans="1:8">
      <c r="A104" t="s">
        <v>840</v>
      </c>
      <c r="B104" t="s">
        <v>841</v>
      </c>
      <c r="C104" t="s">
        <v>516</v>
      </c>
      <c r="D104" t="s">
        <v>517</v>
      </c>
      <c r="E104" t="s">
        <v>842</v>
      </c>
      <c r="F104" t="s">
        <v>300</v>
      </c>
      <c r="G104" t="s">
        <v>640</v>
      </c>
      <c r="H104" t="s">
        <v>48</v>
      </c>
    </row>
    <row r="105" spans="1:8">
      <c r="A105" t="s">
        <v>843</v>
      </c>
      <c r="B105" t="s">
        <v>844</v>
      </c>
      <c r="C105" t="s">
        <v>516</v>
      </c>
      <c r="D105" t="s">
        <v>517</v>
      </c>
      <c r="E105" t="s">
        <v>816</v>
      </c>
      <c r="F105" t="s">
        <v>353</v>
      </c>
      <c r="G105" t="s">
        <v>617</v>
      </c>
      <c r="H105" t="s">
        <v>48</v>
      </c>
    </row>
    <row r="106" spans="1:8">
      <c r="A106" t="s">
        <v>845</v>
      </c>
      <c r="B106" t="s">
        <v>846</v>
      </c>
      <c r="C106" t="s">
        <v>516</v>
      </c>
      <c r="D106" t="s">
        <v>517</v>
      </c>
      <c r="E106" t="s">
        <v>842</v>
      </c>
      <c r="F106" t="s">
        <v>230</v>
      </c>
      <c r="G106" t="s">
        <v>640</v>
      </c>
      <c r="H106" t="s">
        <v>48</v>
      </c>
    </row>
    <row r="107" spans="1:8">
      <c r="A107" t="s">
        <v>847</v>
      </c>
      <c r="B107" t="s">
        <v>848</v>
      </c>
      <c r="C107" t="s">
        <v>516</v>
      </c>
      <c r="D107" t="s">
        <v>517</v>
      </c>
      <c r="E107" t="s">
        <v>842</v>
      </c>
      <c r="F107" t="s">
        <v>389</v>
      </c>
      <c r="G107" t="s">
        <v>632</v>
      </c>
      <c r="H107" t="s">
        <v>48</v>
      </c>
    </row>
    <row r="108" spans="1:8">
      <c r="A108" t="s">
        <v>849</v>
      </c>
      <c r="B108" t="s">
        <v>850</v>
      </c>
      <c r="C108" t="s">
        <v>516</v>
      </c>
      <c r="D108" t="s">
        <v>517</v>
      </c>
      <c r="E108" t="s">
        <v>799</v>
      </c>
      <c r="F108" t="s">
        <v>446</v>
      </c>
      <c r="G108" t="s">
        <v>640</v>
      </c>
      <c r="H108" t="s">
        <v>48</v>
      </c>
    </row>
    <row r="109" spans="1:8">
      <c r="A109" t="s">
        <v>851</v>
      </c>
      <c r="B109" t="s">
        <v>852</v>
      </c>
      <c r="C109" t="s">
        <v>516</v>
      </c>
      <c r="D109" t="s">
        <v>517</v>
      </c>
      <c r="E109" t="s">
        <v>816</v>
      </c>
      <c r="F109" t="s">
        <v>230</v>
      </c>
      <c r="G109" t="s">
        <v>640</v>
      </c>
      <c r="H109" t="s">
        <v>48</v>
      </c>
    </row>
    <row r="110" spans="1:8">
      <c r="A110" t="s">
        <v>853</v>
      </c>
      <c r="B110" t="s">
        <v>854</v>
      </c>
      <c r="C110" t="s">
        <v>516</v>
      </c>
      <c r="D110" t="s">
        <v>517</v>
      </c>
      <c r="E110" t="s">
        <v>816</v>
      </c>
      <c r="F110" t="s">
        <v>300</v>
      </c>
      <c r="G110" t="s">
        <v>637</v>
      </c>
      <c r="H110" t="s">
        <v>48</v>
      </c>
    </row>
    <row r="111" spans="1:8">
      <c r="A111" t="s">
        <v>855</v>
      </c>
      <c r="B111" t="s">
        <v>856</v>
      </c>
      <c r="C111" t="s">
        <v>516</v>
      </c>
      <c r="D111" t="s">
        <v>517</v>
      </c>
      <c r="E111" t="s">
        <v>799</v>
      </c>
      <c r="F111" t="s">
        <v>105</v>
      </c>
      <c r="G111" t="s">
        <v>637</v>
      </c>
      <c r="H111" t="s">
        <v>48</v>
      </c>
    </row>
    <row r="112" spans="1:8">
      <c r="A112" t="s">
        <v>857</v>
      </c>
      <c r="B112" t="s">
        <v>806</v>
      </c>
      <c r="C112" t="s">
        <v>516</v>
      </c>
      <c r="D112" t="s">
        <v>517</v>
      </c>
      <c r="E112" t="s">
        <v>802</v>
      </c>
      <c r="F112" t="s">
        <v>389</v>
      </c>
      <c r="G112" t="s">
        <v>637</v>
      </c>
      <c r="H112" t="s">
        <v>48</v>
      </c>
    </row>
    <row r="113" spans="1:8">
      <c r="A113" t="s">
        <v>858</v>
      </c>
      <c r="B113" t="s">
        <v>859</v>
      </c>
      <c r="C113" t="s">
        <v>516</v>
      </c>
      <c r="D113" t="s">
        <v>517</v>
      </c>
      <c r="E113" t="s">
        <v>821</v>
      </c>
      <c r="F113" t="s">
        <v>465</v>
      </c>
      <c r="G113" t="s">
        <v>640</v>
      </c>
      <c r="H113" t="s">
        <v>651</v>
      </c>
    </row>
    <row r="114" spans="1:8">
      <c r="A114" t="s">
        <v>860</v>
      </c>
      <c r="B114" t="s">
        <v>815</v>
      </c>
      <c r="C114" t="s">
        <v>516</v>
      </c>
      <c r="D114" t="s">
        <v>517</v>
      </c>
      <c r="E114" t="s">
        <v>816</v>
      </c>
      <c r="F114" t="s">
        <v>389</v>
      </c>
      <c r="G114" t="s">
        <v>629</v>
      </c>
      <c r="H114" t="s">
        <v>48</v>
      </c>
    </row>
    <row r="115" spans="1:8">
      <c r="A115" t="s">
        <v>861</v>
      </c>
      <c r="B115" t="s">
        <v>862</v>
      </c>
      <c r="C115" t="s">
        <v>516</v>
      </c>
      <c r="D115" t="s">
        <v>517</v>
      </c>
      <c r="E115" t="s">
        <v>821</v>
      </c>
      <c r="F115" t="s">
        <v>300</v>
      </c>
      <c r="G115" t="s">
        <v>617</v>
      </c>
      <c r="H115" t="s">
        <v>48</v>
      </c>
    </row>
    <row r="116" spans="1:8">
      <c r="A116" t="s">
        <v>863</v>
      </c>
      <c r="B116" t="s">
        <v>864</v>
      </c>
      <c r="C116" t="s">
        <v>516</v>
      </c>
      <c r="D116" t="s">
        <v>517</v>
      </c>
      <c r="E116" t="s">
        <v>802</v>
      </c>
      <c r="F116" t="s">
        <v>230</v>
      </c>
      <c r="G116" t="s">
        <v>632</v>
      </c>
      <c r="H116" t="s">
        <v>651</v>
      </c>
    </row>
    <row r="117" spans="1:8">
      <c r="A117" t="s">
        <v>865</v>
      </c>
      <c r="B117" t="s">
        <v>835</v>
      </c>
      <c r="C117" t="s">
        <v>516</v>
      </c>
      <c r="D117" t="s">
        <v>517</v>
      </c>
      <c r="E117" t="s">
        <v>811</v>
      </c>
      <c r="F117" t="s">
        <v>105</v>
      </c>
      <c r="G117" t="s">
        <v>617</v>
      </c>
      <c r="H117" t="s">
        <v>48</v>
      </c>
    </row>
    <row r="118" spans="1:8">
      <c r="A118" t="s">
        <v>866</v>
      </c>
      <c r="B118" t="s">
        <v>867</v>
      </c>
      <c r="C118" t="s">
        <v>516</v>
      </c>
      <c r="D118" t="s">
        <v>517</v>
      </c>
      <c r="E118" t="s">
        <v>842</v>
      </c>
      <c r="F118" t="s">
        <v>300</v>
      </c>
      <c r="G118" t="s">
        <v>632</v>
      </c>
      <c r="H118" t="s">
        <v>48</v>
      </c>
    </row>
    <row r="119" spans="1:8">
      <c r="A119" t="s">
        <v>868</v>
      </c>
      <c r="B119" t="s">
        <v>798</v>
      </c>
      <c r="C119" t="s">
        <v>516</v>
      </c>
      <c r="D119" t="s">
        <v>517</v>
      </c>
      <c r="E119" t="s">
        <v>799</v>
      </c>
      <c r="F119" t="s">
        <v>353</v>
      </c>
      <c r="G119" t="s">
        <v>632</v>
      </c>
      <c r="H119" t="s">
        <v>48</v>
      </c>
    </row>
    <row r="120" spans="1:8">
      <c r="A120" t="s">
        <v>869</v>
      </c>
      <c r="B120" t="s">
        <v>870</v>
      </c>
      <c r="C120" t="s">
        <v>516</v>
      </c>
      <c r="D120" t="s">
        <v>517</v>
      </c>
      <c r="E120" t="s">
        <v>811</v>
      </c>
      <c r="F120" t="s">
        <v>177</v>
      </c>
      <c r="G120" t="s">
        <v>617</v>
      </c>
      <c r="H120" t="s">
        <v>48</v>
      </c>
    </row>
    <row r="121" spans="1:8">
      <c r="A121" t="s">
        <v>871</v>
      </c>
      <c r="B121" t="s">
        <v>872</v>
      </c>
      <c r="C121" t="s">
        <v>516</v>
      </c>
      <c r="D121" t="s">
        <v>517</v>
      </c>
      <c r="E121" t="s">
        <v>816</v>
      </c>
      <c r="F121" t="s">
        <v>389</v>
      </c>
      <c r="G121" t="s">
        <v>637</v>
      </c>
      <c r="H121" t="s">
        <v>48</v>
      </c>
    </row>
    <row r="122" spans="1:8">
      <c r="A122" t="s">
        <v>873</v>
      </c>
      <c r="B122" t="s">
        <v>874</v>
      </c>
      <c r="C122" t="s">
        <v>516</v>
      </c>
      <c r="D122" t="s">
        <v>517</v>
      </c>
      <c r="E122" t="s">
        <v>821</v>
      </c>
      <c r="F122" t="s">
        <v>177</v>
      </c>
      <c r="G122" t="s">
        <v>632</v>
      </c>
      <c r="H122" t="s">
        <v>48</v>
      </c>
    </row>
    <row r="123" spans="1:8">
      <c r="A123" t="s">
        <v>875</v>
      </c>
      <c r="B123" t="s">
        <v>876</v>
      </c>
      <c r="C123" t="s">
        <v>516</v>
      </c>
      <c r="D123" t="s">
        <v>517</v>
      </c>
      <c r="E123" t="s">
        <v>821</v>
      </c>
      <c r="F123" t="s">
        <v>484</v>
      </c>
      <c r="G123" t="s">
        <v>632</v>
      </c>
      <c r="H123" t="s">
        <v>48</v>
      </c>
    </row>
    <row r="124" spans="1:8">
      <c r="A124" t="s">
        <v>877</v>
      </c>
      <c r="B124" t="s">
        <v>878</v>
      </c>
      <c r="C124" t="s">
        <v>516</v>
      </c>
      <c r="D124" t="s">
        <v>517</v>
      </c>
      <c r="E124" t="s">
        <v>842</v>
      </c>
      <c r="F124" t="s">
        <v>465</v>
      </c>
      <c r="G124" t="s">
        <v>617</v>
      </c>
      <c r="H124" t="s">
        <v>48</v>
      </c>
    </row>
    <row r="125" spans="1:8">
      <c r="A125" t="s">
        <v>879</v>
      </c>
      <c r="B125" t="s">
        <v>880</v>
      </c>
      <c r="C125" t="s">
        <v>516</v>
      </c>
      <c r="D125" t="s">
        <v>517</v>
      </c>
      <c r="E125" t="s">
        <v>842</v>
      </c>
      <c r="F125" t="s">
        <v>427</v>
      </c>
      <c r="G125" t="s">
        <v>632</v>
      </c>
      <c r="H125" t="s">
        <v>651</v>
      </c>
    </row>
    <row r="126" spans="1:8">
      <c r="A126" t="s">
        <v>881</v>
      </c>
      <c r="B126" t="s">
        <v>882</v>
      </c>
      <c r="C126" t="s">
        <v>516</v>
      </c>
      <c r="D126" t="s">
        <v>517</v>
      </c>
      <c r="E126" t="s">
        <v>802</v>
      </c>
      <c r="F126" t="s">
        <v>300</v>
      </c>
      <c r="G126" t="s">
        <v>617</v>
      </c>
      <c r="H126" t="s">
        <v>48</v>
      </c>
    </row>
    <row r="127" spans="1:8">
      <c r="A127" t="s">
        <v>883</v>
      </c>
      <c r="B127" t="s">
        <v>884</v>
      </c>
      <c r="C127" t="s">
        <v>518</v>
      </c>
      <c r="D127" t="s">
        <v>519</v>
      </c>
      <c r="E127" t="s">
        <v>885</v>
      </c>
      <c r="F127" t="s">
        <v>465</v>
      </c>
      <c r="G127" t="s">
        <v>632</v>
      </c>
      <c r="H127" t="s">
        <v>48</v>
      </c>
    </row>
    <row r="128" spans="1:8">
      <c r="A128" t="s">
        <v>886</v>
      </c>
      <c r="B128" t="s">
        <v>887</v>
      </c>
      <c r="C128" t="s">
        <v>518</v>
      </c>
      <c r="D128" t="s">
        <v>519</v>
      </c>
      <c r="E128" t="s">
        <v>885</v>
      </c>
      <c r="F128" t="s">
        <v>465</v>
      </c>
      <c r="G128" t="s">
        <v>637</v>
      </c>
      <c r="H128" t="s">
        <v>48</v>
      </c>
    </row>
    <row r="129" spans="1:8">
      <c r="A129" t="s">
        <v>888</v>
      </c>
      <c r="B129" t="s">
        <v>889</v>
      </c>
      <c r="C129" t="s">
        <v>518</v>
      </c>
      <c r="D129" t="s">
        <v>519</v>
      </c>
      <c r="E129" t="s">
        <v>890</v>
      </c>
      <c r="F129" t="s">
        <v>300</v>
      </c>
      <c r="G129" t="s">
        <v>617</v>
      </c>
      <c r="H129" t="s">
        <v>48</v>
      </c>
    </row>
    <row r="130" spans="1:8">
      <c r="A130" t="s">
        <v>891</v>
      </c>
      <c r="B130" t="s">
        <v>892</v>
      </c>
      <c r="C130" t="s">
        <v>518</v>
      </c>
      <c r="D130" t="s">
        <v>519</v>
      </c>
      <c r="E130" t="s">
        <v>885</v>
      </c>
      <c r="F130" t="s">
        <v>177</v>
      </c>
      <c r="G130" t="s">
        <v>632</v>
      </c>
      <c r="H130" t="s">
        <v>651</v>
      </c>
    </row>
    <row r="131" spans="1:8">
      <c r="A131" t="s">
        <v>893</v>
      </c>
      <c r="B131" t="s">
        <v>894</v>
      </c>
      <c r="C131" t="s">
        <v>518</v>
      </c>
      <c r="D131" t="s">
        <v>519</v>
      </c>
      <c r="E131" t="s">
        <v>895</v>
      </c>
      <c r="F131" t="s">
        <v>408</v>
      </c>
      <c r="G131" t="s">
        <v>640</v>
      </c>
      <c r="H131" t="s">
        <v>48</v>
      </c>
    </row>
    <row r="132" spans="1:8">
      <c r="A132" t="s">
        <v>896</v>
      </c>
      <c r="B132" t="s">
        <v>897</v>
      </c>
      <c r="C132" t="s">
        <v>518</v>
      </c>
      <c r="D132" t="s">
        <v>519</v>
      </c>
      <c r="E132" t="s">
        <v>885</v>
      </c>
      <c r="F132" t="s">
        <v>105</v>
      </c>
      <c r="G132" t="s">
        <v>617</v>
      </c>
      <c r="H132" t="s">
        <v>48</v>
      </c>
    </row>
    <row r="133" spans="1:8">
      <c r="A133" t="s">
        <v>898</v>
      </c>
      <c r="B133" t="s">
        <v>899</v>
      </c>
      <c r="C133" t="s">
        <v>518</v>
      </c>
      <c r="D133" t="s">
        <v>519</v>
      </c>
      <c r="E133" t="s">
        <v>885</v>
      </c>
      <c r="F133" t="s">
        <v>408</v>
      </c>
      <c r="G133" t="s">
        <v>637</v>
      </c>
      <c r="H133" t="s">
        <v>48</v>
      </c>
    </row>
    <row r="134" spans="1:8">
      <c r="A134" t="s">
        <v>900</v>
      </c>
      <c r="B134" t="s">
        <v>901</v>
      </c>
      <c r="C134" t="s">
        <v>518</v>
      </c>
      <c r="D134" t="s">
        <v>519</v>
      </c>
      <c r="E134" t="s">
        <v>895</v>
      </c>
      <c r="F134" t="s">
        <v>105</v>
      </c>
      <c r="G134" t="s">
        <v>629</v>
      </c>
      <c r="H134" t="s">
        <v>651</v>
      </c>
    </row>
    <row r="135" spans="1:8">
      <c r="A135" t="s">
        <v>902</v>
      </c>
      <c r="B135" t="s">
        <v>903</v>
      </c>
      <c r="C135" t="s">
        <v>518</v>
      </c>
      <c r="D135" t="s">
        <v>519</v>
      </c>
      <c r="E135" t="s">
        <v>885</v>
      </c>
      <c r="F135" t="s">
        <v>353</v>
      </c>
      <c r="G135" t="s">
        <v>640</v>
      </c>
      <c r="H135" t="s">
        <v>48</v>
      </c>
    </row>
    <row r="136" spans="1:8">
      <c r="A136" t="s">
        <v>904</v>
      </c>
      <c r="B136" t="s">
        <v>905</v>
      </c>
      <c r="C136" t="s">
        <v>518</v>
      </c>
      <c r="D136" t="s">
        <v>519</v>
      </c>
      <c r="E136" t="s">
        <v>906</v>
      </c>
      <c r="F136" t="s">
        <v>177</v>
      </c>
      <c r="G136" t="s">
        <v>640</v>
      </c>
      <c r="H136" t="s">
        <v>651</v>
      </c>
    </row>
    <row r="137" spans="1:8">
      <c r="A137" t="s">
        <v>907</v>
      </c>
      <c r="B137" t="s">
        <v>908</v>
      </c>
      <c r="C137" t="s">
        <v>518</v>
      </c>
      <c r="D137" t="s">
        <v>519</v>
      </c>
      <c r="E137" t="s">
        <v>885</v>
      </c>
      <c r="F137" t="s">
        <v>300</v>
      </c>
      <c r="G137" t="s">
        <v>632</v>
      </c>
      <c r="H137" t="s">
        <v>48</v>
      </c>
    </row>
    <row r="138" spans="1:8">
      <c r="A138" t="s">
        <v>909</v>
      </c>
      <c r="B138" t="s">
        <v>910</v>
      </c>
      <c r="C138" t="s">
        <v>518</v>
      </c>
      <c r="D138" t="s">
        <v>519</v>
      </c>
      <c r="E138" t="s">
        <v>890</v>
      </c>
      <c r="F138" t="s">
        <v>300</v>
      </c>
      <c r="G138" t="s">
        <v>640</v>
      </c>
      <c r="H138" t="s">
        <v>48</v>
      </c>
    </row>
    <row r="139" spans="1:8">
      <c r="A139" t="s">
        <v>911</v>
      </c>
      <c r="B139" t="s">
        <v>912</v>
      </c>
      <c r="C139" t="s">
        <v>518</v>
      </c>
      <c r="D139" t="s">
        <v>519</v>
      </c>
      <c r="E139" t="s">
        <v>906</v>
      </c>
      <c r="F139" t="s">
        <v>389</v>
      </c>
      <c r="G139" t="s">
        <v>629</v>
      </c>
      <c r="H139" t="s">
        <v>48</v>
      </c>
    </row>
    <row r="140" spans="1:8">
      <c r="A140" t="s">
        <v>913</v>
      </c>
      <c r="B140" t="s">
        <v>914</v>
      </c>
      <c r="C140" t="s">
        <v>518</v>
      </c>
      <c r="D140" t="s">
        <v>519</v>
      </c>
      <c r="E140" t="s">
        <v>895</v>
      </c>
      <c r="F140" t="s">
        <v>446</v>
      </c>
      <c r="G140" t="s">
        <v>617</v>
      </c>
      <c r="H140" t="s">
        <v>48</v>
      </c>
    </row>
    <row r="141" spans="1:8">
      <c r="A141" t="s">
        <v>915</v>
      </c>
      <c r="B141" t="s">
        <v>916</v>
      </c>
      <c r="C141" t="s">
        <v>518</v>
      </c>
      <c r="D141" t="s">
        <v>519</v>
      </c>
      <c r="E141" t="s">
        <v>890</v>
      </c>
      <c r="F141" t="s">
        <v>465</v>
      </c>
      <c r="G141" t="s">
        <v>617</v>
      </c>
      <c r="H141" t="s">
        <v>48</v>
      </c>
    </row>
    <row r="142" spans="1:8">
      <c r="A142" t="s">
        <v>917</v>
      </c>
      <c r="B142" t="s">
        <v>918</v>
      </c>
      <c r="C142" t="s">
        <v>520</v>
      </c>
      <c r="D142" t="s">
        <v>521</v>
      </c>
      <c r="E142" t="s">
        <v>919</v>
      </c>
      <c r="F142" t="s">
        <v>446</v>
      </c>
      <c r="G142" t="s">
        <v>629</v>
      </c>
      <c r="H142" t="s">
        <v>48</v>
      </c>
    </row>
    <row r="143" spans="1:8">
      <c r="A143" t="s">
        <v>920</v>
      </c>
      <c r="B143" t="s">
        <v>921</v>
      </c>
      <c r="C143" t="s">
        <v>520</v>
      </c>
      <c r="D143" t="s">
        <v>521</v>
      </c>
      <c r="E143" t="s">
        <v>919</v>
      </c>
      <c r="F143" t="s">
        <v>300</v>
      </c>
      <c r="G143" t="s">
        <v>629</v>
      </c>
      <c r="H143" t="s">
        <v>48</v>
      </c>
    </row>
    <row r="144" spans="1:8">
      <c r="A144" t="s">
        <v>922</v>
      </c>
      <c r="B144" t="s">
        <v>923</v>
      </c>
      <c r="C144" t="s">
        <v>520</v>
      </c>
      <c r="D144" t="s">
        <v>521</v>
      </c>
      <c r="E144" t="s">
        <v>924</v>
      </c>
      <c r="F144" t="s">
        <v>465</v>
      </c>
      <c r="G144" t="s">
        <v>640</v>
      </c>
      <c r="H144" t="s">
        <v>48</v>
      </c>
    </row>
    <row r="145" spans="1:8">
      <c r="A145" t="s">
        <v>925</v>
      </c>
      <c r="B145" t="s">
        <v>926</v>
      </c>
      <c r="C145" t="s">
        <v>520</v>
      </c>
      <c r="D145" t="s">
        <v>521</v>
      </c>
      <c r="E145" t="s">
        <v>927</v>
      </c>
      <c r="F145" t="s">
        <v>300</v>
      </c>
      <c r="G145" t="s">
        <v>632</v>
      </c>
      <c r="H145" t="s">
        <v>48</v>
      </c>
    </row>
    <row r="146" spans="1:8">
      <c r="A146" t="s">
        <v>928</v>
      </c>
      <c r="B146" t="s">
        <v>929</v>
      </c>
      <c r="C146" t="s">
        <v>520</v>
      </c>
      <c r="D146" t="s">
        <v>521</v>
      </c>
      <c r="E146" t="s">
        <v>924</v>
      </c>
      <c r="F146" t="s">
        <v>408</v>
      </c>
      <c r="G146" t="s">
        <v>637</v>
      </c>
      <c r="H146" t="s">
        <v>48</v>
      </c>
    </row>
    <row r="147" spans="1:8">
      <c r="A147" t="s">
        <v>930</v>
      </c>
      <c r="B147" t="s">
        <v>931</v>
      </c>
      <c r="C147" t="s">
        <v>520</v>
      </c>
      <c r="D147" t="s">
        <v>521</v>
      </c>
      <c r="E147" t="s">
        <v>927</v>
      </c>
      <c r="F147" t="s">
        <v>177</v>
      </c>
      <c r="G147" t="s">
        <v>640</v>
      </c>
      <c r="H147" t="s">
        <v>48</v>
      </c>
    </row>
    <row r="148" spans="1:8">
      <c r="A148" t="s">
        <v>932</v>
      </c>
      <c r="B148" t="s">
        <v>933</v>
      </c>
      <c r="C148" t="s">
        <v>520</v>
      </c>
      <c r="D148" t="s">
        <v>521</v>
      </c>
      <c r="E148" t="s">
        <v>924</v>
      </c>
      <c r="F148" t="s">
        <v>43</v>
      </c>
      <c r="G148" t="s">
        <v>632</v>
      </c>
      <c r="H148" t="s">
        <v>48</v>
      </c>
    </row>
    <row r="149" spans="1:8">
      <c r="A149" t="s">
        <v>934</v>
      </c>
      <c r="B149" t="s">
        <v>933</v>
      </c>
      <c r="C149" t="s">
        <v>520</v>
      </c>
      <c r="D149" t="s">
        <v>521</v>
      </c>
      <c r="E149" t="s">
        <v>924</v>
      </c>
      <c r="F149" t="s">
        <v>43</v>
      </c>
      <c r="G149" t="s">
        <v>632</v>
      </c>
      <c r="H149" t="s">
        <v>48</v>
      </c>
    </row>
    <row r="150" spans="1:8">
      <c r="A150" t="s">
        <v>935</v>
      </c>
      <c r="B150" t="s">
        <v>936</v>
      </c>
      <c r="C150" t="s">
        <v>522</v>
      </c>
      <c r="D150" t="s">
        <v>523</v>
      </c>
      <c r="E150" t="s">
        <v>937</v>
      </c>
      <c r="F150" t="s">
        <v>105</v>
      </c>
      <c r="G150" t="s">
        <v>617</v>
      </c>
      <c r="H150" t="s">
        <v>48</v>
      </c>
    </row>
    <row r="151" spans="1:8">
      <c r="A151" t="s">
        <v>938</v>
      </c>
      <c r="B151" t="s">
        <v>939</v>
      </c>
      <c r="C151" t="s">
        <v>522</v>
      </c>
      <c r="D151" t="s">
        <v>523</v>
      </c>
      <c r="E151" t="s">
        <v>940</v>
      </c>
      <c r="F151" t="s">
        <v>300</v>
      </c>
      <c r="G151" t="s">
        <v>632</v>
      </c>
      <c r="H151" t="s">
        <v>48</v>
      </c>
    </row>
    <row r="152" spans="1:8">
      <c r="A152" t="s">
        <v>941</v>
      </c>
      <c r="B152" t="s">
        <v>942</v>
      </c>
      <c r="C152" t="s">
        <v>522</v>
      </c>
      <c r="D152" t="s">
        <v>523</v>
      </c>
      <c r="E152" t="s">
        <v>940</v>
      </c>
      <c r="F152" t="s">
        <v>389</v>
      </c>
      <c r="G152" t="s">
        <v>617</v>
      </c>
      <c r="H152" t="s">
        <v>48</v>
      </c>
    </row>
    <row r="153" spans="1:8">
      <c r="A153" t="s">
        <v>943</v>
      </c>
      <c r="B153" t="s">
        <v>944</v>
      </c>
      <c r="C153" t="s">
        <v>522</v>
      </c>
      <c r="D153" t="s">
        <v>523</v>
      </c>
      <c r="E153" t="s">
        <v>945</v>
      </c>
      <c r="F153" t="s">
        <v>389</v>
      </c>
      <c r="G153" t="s">
        <v>632</v>
      </c>
      <c r="H153" t="s">
        <v>48</v>
      </c>
    </row>
    <row r="154" spans="1:8">
      <c r="A154" t="s">
        <v>946</v>
      </c>
      <c r="B154" t="s">
        <v>936</v>
      </c>
      <c r="C154" t="s">
        <v>522</v>
      </c>
      <c r="D154" t="s">
        <v>523</v>
      </c>
      <c r="E154" t="s">
        <v>937</v>
      </c>
      <c r="F154" t="s">
        <v>105</v>
      </c>
      <c r="G154" t="s">
        <v>637</v>
      </c>
      <c r="H154" t="s">
        <v>48</v>
      </c>
    </row>
    <row r="155" spans="1:8">
      <c r="A155" t="s">
        <v>947</v>
      </c>
      <c r="B155" t="s">
        <v>948</v>
      </c>
      <c r="C155" t="s">
        <v>522</v>
      </c>
      <c r="D155" t="s">
        <v>523</v>
      </c>
      <c r="E155" t="s">
        <v>940</v>
      </c>
      <c r="F155" t="s">
        <v>105</v>
      </c>
      <c r="G155" t="s">
        <v>637</v>
      </c>
      <c r="H155" t="s">
        <v>48</v>
      </c>
    </row>
    <row r="156" spans="1:8">
      <c r="A156" t="s">
        <v>949</v>
      </c>
      <c r="B156" t="s">
        <v>939</v>
      </c>
      <c r="C156" t="s">
        <v>522</v>
      </c>
      <c r="D156" t="s">
        <v>523</v>
      </c>
      <c r="E156" t="s">
        <v>940</v>
      </c>
      <c r="F156" t="s">
        <v>300</v>
      </c>
      <c r="G156" t="s">
        <v>632</v>
      </c>
      <c r="H156" t="s">
        <v>48</v>
      </c>
    </row>
    <row r="157" spans="1:8">
      <c r="A157" t="s">
        <v>950</v>
      </c>
      <c r="B157" t="s">
        <v>951</v>
      </c>
      <c r="C157" t="s">
        <v>522</v>
      </c>
      <c r="D157" t="s">
        <v>523</v>
      </c>
      <c r="E157" t="s">
        <v>940</v>
      </c>
      <c r="F157" t="s">
        <v>446</v>
      </c>
      <c r="G157" t="s">
        <v>640</v>
      </c>
      <c r="H157" t="s">
        <v>48</v>
      </c>
    </row>
    <row r="158" spans="1:8">
      <c r="A158" t="s">
        <v>952</v>
      </c>
      <c r="B158" t="s">
        <v>953</v>
      </c>
      <c r="C158" t="s">
        <v>522</v>
      </c>
      <c r="D158" t="s">
        <v>523</v>
      </c>
      <c r="E158" t="s">
        <v>937</v>
      </c>
      <c r="F158" t="s">
        <v>353</v>
      </c>
      <c r="G158" t="s">
        <v>629</v>
      </c>
      <c r="H158" t="s">
        <v>48</v>
      </c>
    </row>
    <row r="159" spans="1:8">
      <c r="A159" t="s">
        <v>954</v>
      </c>
      <c r="B159" t="s">
        <v>955</v>
      </c>
      <c r="C159" t="s">
        <v>522</v>
      </c>
      <c r="D159" t="s">
        <v>523</v>
      </c>
      <c r="E159" t="s">
        <v>940</v>
      </c>
      <c r="F159" t="s">
        <v>105</v>
      </c>
      <c r="G159" t="s">
        <v>632</v>
      </c>
      <c r="H159" t="s">
        <v>48</v>
      </c>
    </row>
    <row r="160" spans="1:8">
      <c r="A160" t="s">
        <v>956</v>
      </c>
      <c r="B160" t="s">
        <v>957</v>
      </c>
      <c r="C160" t="s">
        <v>522</v>
      </c>
      <c r="D160" t="s">
        <v>523</v>
      </c>
      <c r="E160" t="s">
        <v>940</v>
      </c>
      <c r="F160" t="s">
        <v>427</v>
      </c>
      <c r="G160" t="s">
        <v>632</v>
      </c>
      <c r="H160" t="s">
        <v>48</v>
      </c>
    </row>
    <row r="161" spans="1:8">
      <c r="A161" t="s">
        <v>958</v>
      </c>
      <c r="B161" t="s">
        <v>959</v>
      </c>
      <c r="C161" t="s">
        <v>522</v>
      </c>
      <c r="D161" t="s">
        <v>523</v>
      </c>
      <c r="E161" t="s">
        <v>945</v>
      </c>
      <c r="F161" t="s">
        <v>300</v>
      </c>
      <c r="G161" t="s">
        <v>637</v>
      </c>
      <c r="H161" t="s">
        <v>48</v>
      </c>
    </row>
    <row r="162" spans="1:8">
      <c r="A162" t="s">
        <v>960</v>
      </c>
      <c r="B162" t="s">
        <v>961</v>
      </c>
      <c r="C162" t="s">
        <v>522</v>
      </c>
      <c r="D162" t="s">
        <v>523</v>
      </c>
      <c r="E162" t="s">
        <v>940</v>
      </c>
      <c r="F162" t="s">
        <v>230</v>
      </c>
      <c r="G162" t="s">
        <v>640</v>
      </c>
      <c r="H162" t="s">
        <v>48</v>
      </c>
    </row>
    <row r="163" spans="1:8">
      <c r="A163" t="s">
        <v>962</v>
      </c>
      <c r="B163" t="s">
        <v>963</v>
      </c>
      <c r="C163" t="s">
        <v>522</v>
      </c>
      <c r="D163" t="s">
        <v>523</v>
      </c>
      <c r="E163" t="s">
        <v>937</v>
      </c>
      <c r="F163" t="s">
        <v>300</v>
      </c>
      <c r="G163" t="s">
        <v>640</v>
      </c>
      <c r="H163" t="s">
        <v>48</v>
      </c>
    </row>
    <row r="164" spans="1:8">
      <c r="A164" t="s">
        <v>964</v>
      </c>
      <c r="B164" t="s">
        <v>965</v>
      </c>
      <c r="C164" t="s">
        <v>524</v>
      </c>
      <c r="D164" t="s">
        <v>519</v>
      </c>
      <c r="E164" t="s">
        <v>966</v>
      </c>
      <c r="F164" t="s">
        <v>427</v>
      </c>
      <c r="G164" t="s">
        <v>637</v>
      </c>
      <c r="H164" t="s">
        <v>48</v>
      </c>
    </row>
    <row r="165" spans="1:8">
      <c r="A165" t="s">
        <v>967</v>
      </c>
      <c r="B165" t="s">
        <v>968</v>
      </c>
      <c r="C165" t="s">
        <v>524</v>
      </c>
      <c r="D165" t="s">
        <v>519</v>
      </c>
      <c r="E165" t="s">
        <v>969</v>
      </c>
      <c r="F165" t="s">
        <v>230</v>
      </c>
      <c r="G165" t="s">
        <v>617</v>
      </c>
      <c r="H165" t="s">
        <v>48</v>
      </c>
    </row>
    <row r="166" spans="1:8">
      <c r="A166" t="s">
        <v>970</v>
      </c>
      <c r="B166" t="s">
        <v>971</v>
      </c>
      <c r="C166" t="s">
        <v>524</v>
      </c>
      <c r="D166" t="s">
        <v>519</v>
      </c>
      <c r="E166" t="s">
        <v>972</v>
      </c>
      <c r="F166" t="s">
        <v>105</v>
      </c>
      <c r="G166" t="s">
        <v>617</v>
      </c>
      <c r="H166" t="s">
        <v>48</v>
      </c>
    </row>
    <row r="167" spans="1:8">
      <c r="A167" t="s">
        <v>973</v>
      </c>
      <c r="B167" t="s">
        <v>974</v>
      </c>
      <c r="C167" t="s">
        <v>524</v>
      </c>
      <c r="D167" t="s">
        <v>519</v>
      </c>
      <c r="E167" t="s">
        <v>966</v>
      </c>
      <c r="F167" t="s">
        <v>427</v>
      </c>
      <c r="G167" t="s">
        <v>629</v>
      </c>
      <c r="H167" t="s">
        <v>651</v>
      </c>
    </row>
    <row r="168" spans="1:8">
      <c r="A168" t="s">
        <v>975</v>
      </c>
      <c r="B168" t="s">
        <v>976</v>
      </c>
      <c r="C168" t="s">
        <v>524</v>
      </c>
      <c r="D168" t="s">
        <v>519</v>
      </c>
      <c r="E168" t="s">
        <v>969</v>
      </c>
      <c r="F168" t="s">
        <v>446</v>
      </c>
      <c r="G168" t="s">
        <v>617</v>
      </c>
      <c r="H168" t="s">
        <v>48</v>
      </c>
    </row>
    <row r="169" spans="1:8">
      <c r="A169" t="s">
        <v>977</v>
      </c>
      <c r="B169" t="s">
        <v>978</v>
      </c>
      <c r="C169" t="s">
        <v>524</v>
      </c>
      <c r="D169" t="s">
        <v>519</v>
      </c>
      <c r="E169" t="s">
        <v>969</v>
      </c>
      <c r="F169" t="s">
        <v>427</v>
      </c>
      <c r="G169" t="s">
        <v>617</v>
      </c>
      <c r="H169" t="s">
        <v>48</v>
      </c>
    </row>
    <row r="170" spans="1:8">
      <c r="A170" t="s">
        <v>979</v>
      </c>
      <c r="B170" t="s">
        <v>980</v>
      </c>
      <c r="C170" t="s">
        <v>524</v>
      </c>
      <c r="D170" t="s">
        <v>519</v>
      </c>
      <c r="E170" t="s">
        <v>972</v>
      </c>
      <c r="F170" t="s">
        <v>43</v>
      </c>
      <c r="G170" t="s">
        <v>637</v>
      </c>
      <c r="H170" t="s">
        <v>48</v>
      </c>
    </row>
    <row r="171" spans="1:8">
      <c r="A171" t="s">
        <v>981</v>
      </c>
      <c r="B171" t="s">
        <v>976</v>
      </c>
      <c r="C171" t="s">
        <v>524</v>
      </c>
      <c r="D171" t="s">
        <v>519</v>
      </c>
      <c r="E171" t="s">
        <v>969</v>
      </c>
      <c r="F171" t="s">
        <v>446</v>
      </c>
      <c r="G171" t="s">
        <v>637</v>
      </c>
      <c r="H171" t="s">
        <v>48</v>
      </c>
    </row>
    <row r="172" spans="1:8">
      <c r="A172" t="s">
        <v>982</v>
      </c>
      <c r="B172" t="s">
        <v>983</v>
      </c>
      <c r="C172" t="s">
        <v>524</v>
      </c>
      <c r="D172" t="s">
        <v>519</v>
      </c>
      <c r="E172" t="s">
        <v>966</v>
      </c>
      <c r="F172" t="s">
        <v>43</v>
      </c>
      <c r="G172" t="s">
        <v>629</v>
      </c>
      <c r="H172" t="s">
        <v>48</v>
      </c>
    </row>
    <row r="173" spans="1:8">
      <c r="A173" t="s">
        <v>984</v>
      </c>
      <c r="B173" t="s">
        <v>985</v>
      </c>
      <c r="C173" t="s">
        <v>524</v>
      </c>
      <c r="D173" t="s">
        <v>519</v>
      </c>
      <c r="E173" t="s">
        <v>972</v>
      </c>
      <c r="F173" t="s">
        <v>484</v>
      </c>
      <c r="G173" t="s">
        <v>640</v>
      </c>
      <c r="H173" t="s">
        <v>48</v>
      </c>
    </row>
    <row r="174" spans="1:8">
      <c r="A174" t="s">
        <v>986</v>
      </c>
      <c r="B174" t="s">
        <v>987</v>
      </c>
      <c r="C174" t="s">
        <v>524</v>
      </c>
      <c r="D174" t="s">
        <v>519</v>
      </c>
      <c r="E174" t="s">
        <v>966</v>
      </c>
      <c r="F174" t="s">
        <v>105</v>
      </c>
      <c r="G174" t="s">
        <v>632</v>
      </c>
      <c r="H174" t="s">
        <v>48</v>
      </c>
    </row>
    <row r="175" spans="1:8">
      <c r="A175" t="s">
        <v>988</v>
      </c>
      <c r="B175" t="s">
        <v>989</v>
      </c>
      <c r="C175" t="s">
        <v>524</v>
      </c>
      <c r="D175" t="s">
        <v>519</v>
      </c>
      <c r="E175" t="s">
        <v>972</v>
      </c>
      <c r="F175" t="s">
        <v>465</v>
      </c>
      <c r="G175" t="s">
        <v>640</v>
      </c>
      <c r="H175" t="s">
        <v>48</v>
      </c>
    </row>
    <row r="176" spans="1:8">
      <c r="A176" t="s">
        <v>990</v>
      </c>
      <c r="B176" t="s">
        <v>991</v>
      </c>
      <c r="C176" t="s">
        <v>524</v>
      </c>
      <c r="D176" t="s">
        <v>519</v>
      </c>
      <c r="E176" t="s">
        <v>966</v>
      </c>
      <c r="F176" t="s">
        <v>465</v>
      </c>
      <c r="G176" t="s">
        <v>637</v>
      </c>
      <c r="H176" t="s">
        <v>651</v>
      </c>
    </row>
    <row r="177" spans="1:8">
      <c r="A177" t="s">
        <v>992</v>
      </c>
      <c r="B177" t="s">
        <v>993</v>
      </c>
      <c r="C177" t="s">
        <v>525</v>
      </c>
      <c r="D177" t="s">
        <v>526</v>
      </c>
      <c r="E177" t="s">
        <v>994</v>
      </c>
      <c r="F177" t="s">
        <v>300</v>
      </c>
      <c r="G177" t="s">
        <v>632</v>
      </c>
      <c r="H177" t="s">
        <v>651</v>
      </c>
    </row>
    <row r="178" spans="1:8">
      <c r="A178" t="s">
        <v>995</v>
      </c>
      <c r="B178" t="s">
        <v>996</v>
      </c>
      <c r="C178" t="s">
        <v>525</v>
      </c>
      <c r="D178" t="s">
        <v>526</v>
      </c>
      <c r="E178" t="s">
        <v>997</v>
      </c>
      <c r="F178" t="s">
        <v>177</v>
      </c>
      <c r="G178" t="s">
        <v>629</v>
      </c>
      <c r="H178" t="s">
        <v>48</v>
      </c>
    </row>
    <row r="179" spans="1:8">
      <c r="A179" t="s">
        <v>998</v>
      </c>
      <c r="B179" t="s">
        <v>999</v>
      </c>
      <c r="C179" t="s">
        <v>525</v>
      </c>
      <c r="D179" t="s">
        <v>526</v>
      </c>
      <c r="E179" t="s">
        <v>994</v>
      </c>
      <c r="F179" t="s">
        <v>446</v>
      </c>
      <c r="G179" t="s">
        <v>617</v>
      </c>
      <c r="H179" t="s">
        <v>651</v>
      </c>
    </row>
    <row r="180" spans="1:8">
      <c r="A180" t="s">
        <v>1000</v>
      </c>
      <c r="B180" t="s">
        <v>993</v>
      </c>
      <c r="C180" t="s">
        <v>525</v>
      </c>
      <c r="D180" t="s">
        <v>526</v>
      </c>
      <c r="E180" t="s">
        <v>994</v>
      </c>
      <c r="F180" t="s">
        <v>300</v>
      </c>
      <c r="G180" t="s">
        <v>617</v>
      </c>
      <c r="H180" t="s">
        <v>48</v>
      </c>
    </row>
    <row r="181" spans="1:8">
      <c r="A181" t="s">
        <v>1001</v>
      </c>
      <c r="B181" t="s">
        <v>1002</v>
      </c>
      <c r="C181" t="s">
        <v>525</v>
      </c>
      <c r="D181" t="s">
        <v>526</v>
      </c>
      <c r="E181" t="s">
        <v>994</v>
      </c>
      <c r="F181" t="s">
        <v>353</v>
      </c>
      <c r="G181" t="s">
        <v>640</v>
      </c>
      <c r="H181" t="s">
        <v>651</v>
      </c>
    </row>
    <row r="182" spans="1:8">
      <c r="A182" t="s">
        <v>1003</v>
      </c>
      <c r="B182" t="s">
        <v>1004</v>
      </c>
      <c r="C182" t="s">
        <v>525</v>
      </c>
      <c r="D182" t="s">
        <v>526</v>
      </c>
      <c r="E182" t="s">
        <v>1005</v>
      </c>
      <c r="F182" t="s">
        <v>446</v>
      </c>
      <c r="G182" t="s">
        <v>629</v>
      </c>
      <c r="H182" t="s">
        <v>48</v>
      </c>
    </row>
    <row r="183" spans="1:8">
      <c r="A183" t="s">
        <v>1006</v>
      </c>
      <c r="B183" t="s">
        <v>1007</v>
      </c>
      <c r="C183" t="s">
        <v>525</v>
      </c>
      <c r="D183" t="s">
        <v>526</v>
      </c>
      <c r="E183" t="s">
        <v>997</v>
      </c>
      <c r="F183" t="s">
        <v>465</v>
      </c>
      <c r="G183" t="s">
        <v>637</v>
      </c>
      <c r="H183" t="s">
        <v>651</v>
      </c>
    </row>
    <row r="184" spans="1:8">
      <c r="A184" t="s">
        <v>1008</v>
      </c>
      <c r="B184" t="s">
        <v>1009</v>
      </c>
      <c r="C184" t="s">
        <v>525</v>
      </c>
      <c r="D184" t="s">
        <v>526</v>
      </c>
      <c r="E184" t="s">
        <v>994</v>
      </c>
      <c r="F184" t="s">
        <v>43</v>
      </c>
      <c r="G184" t="s">
        <v>632</v>
      </c>
      <c r="H184" t="s">
        <v>48</v>
      </c>
    </row>
    <row r="185" spans="1:8">
      <c r="A185" t="s">
        <v>1010</v>
      </c>
      <c r="B185" t="s">
        <v>1011</v>
      </c>
      <c r="C185" t="s">
        <v>527</v>
      </c>
      <c r="D185" t="s">
        <v>528</v>
      </c>
      <c r="E185" t="s">
        <v>1012</v>
      </c>
      <c r="F185" t="s">
        <v>43</v>
      </c>
      <c r="G185" t="s">
        <v>640</v>
      </c>
      <c r="H185" t="s">
        <v>48</v>
      </c>
    </row>
    <row r="186" spans="1:8">
      <c r="A186" t="s">
        <v>1013</v>
      </c>
      <c r="B186" t="s">
        <v>1014</v>
      </c>
      <c r="C186" t="s">
        <v>527</v>
      </c>
      <c r="D186" t="s">
        <v>528</v>
      </c>
      <c r="E186" t="s">
        <v>1015</v>
      </c>
      <c r="F186" t="s">
        <v>230</v>
      </c>
      <c r="G186" t="s">
        <v>617</v>
      </c>
      <c r="H186" t="s">
        <v>48</v>
      </c>
    </row>
    <row r="187" spans="1:8">
      <c r="A187" t="s">
        <v>1016</v>
      </c>
      <c r="B187" t="s">
        <v>1017</v>
      </c>
      <c r="C187" t="s">
        <v>527</v>
      </c>
      <c r="D187" t="s">
        <v>528</v>
      </c>
      <c r="E187" t="s">
        <v>1018</v>
      </c>
      <c r="F187" t="s">
        <v>446</v>
      </c>
      <c r="G187" t="s">
        <v>640</v>
      </c>
      <c r="H187" t="s">
        <v>651</v>
      </c>
    </row>
    <row r="188" spans="1:8">
      <c r="A188" t="s">
        <v>1019</v>
      </c>
      <c r="B188" t="s">
        <v>1020</v>
      </c>
      <c r="C188" t="s">
        <v>527</v>
      </c>
      <c r="D188" t="s">
        <v>528</v>
      </c>
      <c r="E188" t="s">
        <v>1012</v>
      </c>
      <c r="F188" t="s">
        <v>230</v>
      </c>
      <c r="G188" t="s">
        <v>637</v>
      </c>
      <c r="H188" t="s">
        <v>48</v>
      </c>
    </row>
    <row r="189" spans="1:8">
      <c r="A189" t="s">
        <v>1021</v>
      </c>
      <c r="B189" t="s">
        <v>1022</v>
      </c>
      <c r="C189" t="s">
        <v>527</v>
      </c>
      <c r="D189" t="s">
        <v>528</v>
      </c>
      <c r="E189" t="s">
        <v>1015</v>
      </c>
      <c r="F189" t="s">
        <v>177</v>
      </c>
      <c r="G189" t="s">
        <v>640</v>
      </c>
      <c r="H189" t="s">
        <v>651</v>
      </c>
    </row>
    <row r="190" spans="1:8">
      <c r="A190" t="s">
        <v>1023</v>
      </c>
      <c r="B190" t="s">
        <v>1024</v>
      </c>
      <c r="C190" t="s">
        <v>527</v>
      </c>
      <c r="D190" t="s">
        <v>528</v>
      </c>
      <c r="E190" t="s">
        <v>1012</v>
      </c>
      <c r="F190" t="s">
        <v>446</v>
      </c>
      <c r="G190" t="s">
        <v>637</v>
      </c>
      <c r="H190" t="s">
        <v>48</v>
      </c>
    </row>
    <row r="191" spans="1:8">
      <c r="A191" t="s">
        <v>1025</v>
      </c>
      <c r="B191" t="s">
        <v>1026</v>
      </c>
      <c r="C191" t="s">
        <v>527</v>
      </c>
      <c r="D191" t="s">
        <v>528</v>
      </c>
      <c r="E191" t="s">
        <v>1015</v>
      </c>
      <c r="F191" t="s">
        <v>43</v>
      </c>
      <c r="G191" t="s">
        <v>640</v>
      </c>
      <c r="H191" t="s">
        <v>48</v>
      </c>
    </row>
    <row r="192" spans="1:8">
      <c r="A192" t="s">
        <v>1027</v>
      </c>
      <c r="B192" t="s">
        <v>1028</v>
      </c>
      <c r="C192" t="s">
        <v>527</v>
      </c>
      <c r="D192" t="s">
        <v>528</v>
      </c>
      <c r="E192" t="s">
        <v>1018</v>
      </c>
      <c r="F192" t="s">
        <v>408</v>
      </c>
      <c r="G192" t="s">
        <v>632</v>
      </c>
      <c r="H192" t="s">
        <v>651</v>
      </c>
    </row>
    <row r="193" spans="1:8">
      <c r="A193" t="s">
        <v>1029</v>
      </c>
      <c r="B193" t="s">
        <v>1030</v>
      </c>
      <c r="C193" t="s">
        <v>527</v>
      </c>
      <c r="D193" t="s">
        <v>528</v>
      </c>
      <c r="E193" t="s">
        <v>1012</v>
      </c>
      <c r="F193" t="s">
        <v>230</v>
      </c>
      <c r="G193" t="s">
        <v>637</v>
      </c>
      <c r="H193" t="s">
        <v>48</v>
      </c>
    </row>
    <row r="194" spans="1:8">
      <c r="A194" t="s">
        <v>1031</v>
      </c>
      <c r="B194" t="s">
        <v>1032</v>
      </c>
      <c r="C194" t="s">
        <v>527</v>
      </c>
      <c r="D194" t="s">
        <v>528</v>
      </c>
      <c r="E194" t="s">
        <v>1012</v>
      </c>
      <c r="F194" t="s">
        <v>353</v>
      </c>
      <c r="G194" t="s">
        <v>637</v>
      </c>
      <c r="H194" t="s">
        <v>651</v>
      </c>
    </row>
    <row r="195" spans="1:8">
      <c r="A195" t="s">
        <v>1033</v>
      </c>
      <c r="B195" t="s">
        <v>1034</v>
      </c>
      <c r="C195" t="s">
        <v>527</v>
      </c>
      <c r="D195" t="s">
        <v>528</v>
      </c>
      <c r="E195" t="s">
        <v>1012</v>
      </c>
      <c r="F195" t="s">
        <v>230</v>
      </c>
      <c r="G195" t="s">
        <v>637</v>
      </c>
      <c r="H195" t="s">
        <v>48</v>
      </c>
    </row>
    <row r="196" spans="1:8">
      <c r="A196" t="s">
        <v>1035</v>
      </c>
      <c r="B196" t="s">
        <v>1036</v>
      </c>
      <c r="C196" t="s">
        <v>527</v>
      </c>
      <c r="D196" t="s">
        <v>528</v>
      </c>
      <c r="E196" t="s">
        <v>1018</v>
      </c>
      <c r="F196" t="s">
        <v>427</v>
      </c>
      <c r="G196" t="s">
        <v>637</v>
      </c>
      <c r="H196" t="s">
        <v>48</v>
      </c>
    </row>
    <row r="197" spans="1:8">
      <c r="A197" t="s">
        <v>1037</v>
      </c>
      <c r="B197" t="s">
        <v>1038</v>
      </c>
      <c r="C197" t="s">
        <v>527</v>
      </c>
      <c r="D197" t="s">
        <v>528</v>
      </c>
      <c r="E197" t="s">
        <v>1015</v>
      </c>
      <c r="F197" t="s">
        <v>484</v>
      </c>
      <c r="G197" t="s">
        <v>637</v>
      </c>
      <c r="H197" t="s">
        <v>48</v>
      </c>
    </row>
    <row r="198" spans="1:8">
      <c r="A198" t="s">
        <v>1039</v>
      </c>
      <c r="B198" t="s">
        <v>1040</v>
      </c>
      <c r="C198" t="s">
        <v>527</v>
      </c>
      <c r="D198" t="s">
        <v>528</v>
      </c>
      <c r="E198" t="s">
        <v>1012</v>
      </c>
      <c r="F198" t="s">
        <v>465</v>
      </c>
      <c r="G198" t="s">
        <v>640</v>
      </c>
      <c r="H198" t="s">
        <v>651</v>
      </c>
    </row>
    <row r="199" spans="1:8">
      <c r="A199" t="s">
        <v>1041</v>
      </c>
      <c r="B199" t="s">
        <v>1042</v>
      </c>
      <c r="C199" t="s">
        <v>529</v>
      </c>
      <c r="D199" t="s">
        <v>530</v>
      </c>
      <c r="E199" t="s">
        <v>1043</v>
      </c>
      <c r="F199" t="s">
        <v>300</v>
      </c>
      <c r="G199" t="s">
        <v>629</v>
      </c>
      <c r="H199" t="s">
        <v>48</v>
      </c>
    </row>
    <row r="200" spans="1:8">
      <c r="A200" t="s">
        <v>1044</v>
      </c>
      <c r="B200" t="s">
        <v>1045</v>
      </c>
      <c r="C200" t="s">
        <v>529</v>
      </c>
      <c r="D200" t="s">
        <v>530</v>
      </c>
      <c r="E200" t="s">
        <v>1046</v>
      </c>
      <c r="F200" t="s">
        <v>353</v>
      </c>
      <c r="G200" t="s">
        <v>632</v>
      </c>
      <c r="H200" t="s">
        <v>48</v>
      </c>
    </row>
    <row r="201" spans="1:8">
      <c r="A201" t="s">
        <v>1047</v>
      </c>
      <c r="B201" t="s">
        <v>1048</v>
      </c>
      <c r="C201" t="s">
        <v>529</v>
      </c>
      <c r="D201" t="s">
        <v>530</v>
      </c>
      <c r="E201" t="s">
        <v>1046</v>
      </c>
      <c r="F201" t="s">
        <v>408</v>
      </c>
      <c r="G201" t="s">
        <v>617</v>
      </c>
      <c r="H201" t="s">
        <v>48</v>
      </c>
    </row>
    <row r="202" spans="1:8">
      <c r="A202" t="s">
        <v>1049</v>
      </c>
      <c r="B202" t="s">
        <v>1050</v>
      </c>
      <c r="C202" t="s">
        <v>529</v>
      </c>
      <c r="D202" t="s">
        <v>530</v>
      </c>
      <c r="E202" t="s">
        <v>1043</v>
      </c>
      <c r="F202" t="s">
        <v>353</v>
      </c>
      <c r="G202" t="s">
        <v>640</v>
      </c>
      <c r="H202" t="s">
        <v>48</v>
      </c>
    </row>
    <row r="203" spans="1:8">
      <c r="A203" t="s">
        <v>1051</v>
      </c>
      <c r="B203" t="s">
        <v>1052</v>
      </c>
      <c r="C203" t="s">
        <v>529</v>
      </c>
      <c r="D203" t="s">
        <v>530</v>
      </c>
      <c r="E203" t="s">
        <v>1046</v>
      </c>
      <c r="F203" t="s">
        <v>105</v>
      </c>
      <c r="G203" t="s">
        <v>632</v>
      </c>
      <c r="H203" t="s">
        <v>48</v>
      </c>
    </row>
    <row r="204" spans="1:8">
      <c r="A204" t="s">
        <v>1053</v>
      </c>
      <c r="B204" t="s">
        <v>1054</v>
      </c>
      <c r="C204" t="s">
        <v>529</v>
      </c>
      <c r="D204" t="s">
        <v>530</v>
      </c>
      <c r="E204" t="s">
        <v>1055</v>
      </c>
      <c r="F204" t="s">
        <v>353</v>
      </c>
      <c r="G204" t="s">
        <v>629</v>
      </c>
      <c r="H204" t="s">
        <v>48</v>
      </c>
    </row>
    <row r="205" spans="1:8">
      <c r="A205" t="s">
        <v>1056</v>
      </c>
      <c r="B205" t="s">
        <v>1057</v>
      </c>
      <c r="C205" t="s">
        <v>529</v>
      </c>
      <c r="D205" t="s">
        <v>530</v>
      </c>
      <c r="E205" t="s">
        <v>1055</v>
      </c>
      <c r="F205" t="s">
        <v>484</v>
      </c>
      <c r="G205" t="s">
        <v>617</v>
      </c>
      <c r="H205" t="s">
        <v>48</v>
      </c>
    </row>
    <row r="206" spans="1:8">
      <c r="A206" t="s">
        <v>1058</v>
      </c>
      <c r="B206" t="s">
        <v>1059</v>
      </c>
      <c r="C206" t="s">
        <v>529</v>
      </c>
      <c r="D206" t="s">
        <v>530</v>
      </c>
      <c r="E206" t="s">
        <v>1043</v>
      </c>
      <c r="F206" t="s">
        <v>105</v>
      </c>
      <c r="G206" t="s">
        <v>629</v>
      </c>
      <c r="H206" t="s">
        <v>48</v>
      </c>
    </row>
    <row r="207" spans="1:8">
      <c r="A207" t="s">
        <v>1060</v>
      </c>
      <c r="B207" t="s">
        <v>1061</v>
      </c>
      <c r="C207" t="s">
        <v>529</v>
      </c>
      <c r="D207" t="s">
        <v>530</v>
      </c>
      <c r="E207" t="s">
        <v>1055</v>
      </c>
      <c r="F207" t="s">
        <v>427</v>
      </c>
      <c r="G207" t="s">
        <v>632</v>
      </c>
      <c r="H207" t="s">
        <v>48</v>
      </c>
    </row>
    <row r="208" spans="1:8">
      <c r="A208" t="s">
        <v>1062</v>
      </c>
      <c r="B208" t="s">
        <v>1063</v>
      </c>
      <c r="C208" t="s">
        <v>529</v>
      </c>
      <c r="D208" t="s">
        <v>530</v>
      </c>
      <c r="E208" t="s">
        <v>1055</v>
      </c>
      <c r="F208" t="s">
        <v>300</v>
      </c>
      <c r="G208" t="s">
        <v>637</v>
      </c>
      <c r="H208" t="s">
        <v>48</v>
      </c>
    </row>
    <row r="209" spans="1:8">
      <c r="A209" t="s">
        <v>1064</v>
      </c>
      <c r="B209" t="s">
        <v>1065</v>
      </c>
      <c r="C209" t="s">
        <v>529</v>
      </c>
      <c r="D209" t="s">
        <v>530</v>
      </c>
      <c r="E209" t="s">
        <v>1046</v>
      </c>
      <c r="F209" t="s">
        <v>230</v>
      </c>
      <c r="G209" t="s">
        <v>617</v>
      </c>
      <c r="H209" t="s">
        <v>48</v>
      </c>
    </row>
    <row r="210" spans="1:8">
      <c r="A210" t="s">
        <v>1066</v>
      </c>
      <c r="B210" t="s">
        <v>1067</v>
      </c>
      <c r="C210" t="s">
        <v>529</v>
      </c>
      <c r="D210" t="s">
        <v>530</v>
      </c>
      <c r="E210" t="s">
        <v>1043</v>
      </c>
      <c r="F210" t="s">
        <v>177</v>
      </c>
      <c r="G210" t="s">
        <v>640</v>
      </c>
      <c r="H210" t="s">
        <v>48</v>
      </c>
    </row>
    <row r="211" spans="1:8">
      <c r="A211" t="s">
        <v>1068</v>
      </c>
      <c r="B211" t="s">
        <v>1069</v>
      </c>
      <c r="C211" t="s">
        <v>529</v>
      </c>
      <c r="D211" t="s">
        <v>530</v>
      </c>
      <c r="E211" t="s">
        <v>1043</v>
      </c>
      <c r="F211" t="s">
        <v>446</v>
      </c>
      <c r="G211" t="s">
        <v>637</v>
      </c>
      <c r="H211" t="s">
        <v>48</v>
      </c>
    </row>
    <row r="212" spans="1:8">
      <c r="A212" t="s">
        <v>1070</v>
      </c>
      <c r="B212" t="s">
        <v>1071</v>
      </c>
      <c r="C212" t="s">
        <v>529</v>
      </c>
      <c r="D212" t="s">
        <v>530</v>
      </c>
      <c r="E212" t="s">
        <v>1046</v>
      </c>
      <c r="F212" t="s">
        <v>43</v>
      </c>
      <c r="G212" t="s">
        <v>640</v>
      </c>
      <c r="H212" t="s">
        <v>651</v>
      </c>
    </row>
    <row r="213" spans="1:8">
      <c r="A213" t="s">
        <v>1072</v>
      </c>
      <c r="B213" t="s">
        <v>1073</v>
      </c>
      <c r="C213" t="s">
        <v>529</v>
      </c>
      <c r="D213" t="s">
        <v>530</v>
      </c>
      <c r="E213" t="s">
        <v>1046</v>
      </c>
      <c r="F213" t="s">
        <v>427</v>
      </c>
      <c r="G213" t="s">
        <v>632</v>
      </c>
      <c r="H213" t="s">
        <v>48</v>
      </c>
    </row>
    <row r="214" spans="1:8">
      <c r="A214" t="s">
        <v>1074</v>
      </c>
      <c r="B214" t="s">
        <v>1048</v>
      </c>
      <c r="C214" t="s">
        <v>529</v>
      </c>
      <c r="D214" t="s">
        <v>530</v>
      </c>
      <c r="E214" t="s">
        <v>1046</v>
      </c>
      <c r="F214" t="s">
        <v>408</v>
      </c>
      <c r="G214" t="s">
        <v>640</v>
      </c>
      <c r="H214" t="s">
        <v>48</v>
      </c>
    </row>
    <row r="215" spans="1:8">
      <c r="A215" t="s">
        <v>1075</v>
      </c>
      <c r="B215" t="s">
        <v>1073</v>
      </c>
      <c r="C215" t="s">
        <v>529</v>
      </c>
      <c r="D215" t="s">
        <v>530</v>
      </c>
      <c r="E215" t="s">
        <v>1046</v>
      </c>
      <c r="F215" t="s">
        <v>427</v>
      </c>
      <c r="G215" t="s">
        <v>640</v>
      </c>
      <c r="H215" t="s">
        <v>48</v>
      </c>
    </row>
    <row r="216" spans="1:8">
      <c r="A216" t="s">
        <v>1076</v>
      </c>
      <c r="B216" t="s">
        <v>1077</v>
      </c>
      <c r="C216" t="s">
        <v>529</v>
      </c>
      <c r="D216" t="s">
        <v>530</v>
      </c>
      <c r="E216" t="s">
        <v>1046</v>
      </c>
      <c r="F216" t="s">
        <v>300</v>
      </c>
      <c r="G216" t="s">
        <v>637</v>
      </c>
      <c r="H216" t="s">
        <v>48</v>
      </c>
    </row>
    <row r="217" spans="1:8">
      <c r="A217" t="s">
        <v>1078</v>
      </c>
      <c r="B217" t="s">
        <v>1048</v>
      </c>
      <c r="C217" t="s">
        <v>529</v>
      </c>
      <c r="D217" t="s">
        <v>530</v>
      </c>
      <c r="E217" t="s">
        <v>1046</v>
      </c>
      <c r="F217" t="s">
        <v>408</v>
      </c>
      <c r="G217" t="s">
        <v>640</v>
      </c>
      <c r="H217" t="s">
        <v>48</v>
      </c>
    </row>
    <row r="218" spans="1:8">
      <c r="A218" t="s">
        <v>1079</v>
      </c>
      <c r="B218" t="s">
        <v>1059</v>
      </c>
      <c r="C218" t="s">
        <v>529</v>
      </c>
      <c r="D218" t="s">
        <v>530</v>
      </c>
      <c r="E218" t="s">
        <v>1043</v>
      </c>
      <c r="F218" t="s">
        <v>105</v>
      </c>
      <c r="G218" t="s">
        <v>629</v>
      </c>
      <c r="H218" t="s">
        <v>48</v>
      </c>
    </row>
    <row r="219" spans="1:8">
      <c r="A219" t="s">
        <v>1080</v>
      </c>
      <c r="B219" t="s">
        <v>1081</v>
      </c>
      <c r="C219" t="s">
        <v>529</v>
      </c>
      <c r="D219" t="s">
        <v>530</v>
      </c>
      <c r="E219" t="s">
        <v>1055</v>
      </c>
      <c r="F219" t="s">
        <v>408</v>
      </c>
      <c r="G219" t="s">
        <v>617</v>
      </c>
      <c r="H219" t="s">
        <v>48</v>
      </c>
    </row>
    <row r="220" spans="1:8">
      <c r="A220" t="s">
        <v>1082</v>
      </c>
      <c r="B220" t="s">
        <v>1083</v>
      </c>
      <c r="C220" t="s">
        <v>529</v>
      </c>
      <c r="D220" t="s">
        <v>530</v>
      </c>
      <c r="E220" t="s">
        <v>1043</v>
      </c>
      <c r="F220" t="s">
        <v>300</v>
      </c>
      <c r="G220" t="s">
        <v>617</v>
      </c>
      <c r="H220" t="s">
        <v>48</v>
      </c>
    </row>
    <row r="221" spans="1:8">
      <c r="A221" t="s">
        <v>1084</v>
      </c>
      <c r="B221" t="s">
        <v>1085</v>
      </c>
      <c r="C221" t="s">
        <v>529</v>
      </c>
      <c r="D221" t="s">
        <v>530</v>
      </c>
      <c r="E221" t="s">
        <v>1046</v>
      </c>
      <c r="F221" t="s">
        <v>177</v>
      </c>
      <c r="G221" t="s">
        <v>632</v>
      </c>
      <c r="H221" t="s">
        <v>48</v>
      </c>
    </row>
    <row r="222" spans="1:8">
      <c r="A222" t="s">
        <v>1086</v>
      </c>
      <c r="B222" t="s">
        <v>1087</v>
      </c>
      <c r="C222" t="s">
        <v>529</v>
      </c>
      <c r="D222" t="s">
        <v>530</v>
      </c>
      <c r="E222" t="s">
        <v>1043</v>
      </c>
      <c r="F222" t="s">
        <v>465</v>
      </c>
      <c r="G222" t="s">
        <v>632</v>
      </c>
      <c r="H222" t="s">
        <v>48</v>
      </c>
    </row>
    <row r="223" spans="1:8">
      <c r="A223" t="s">
        <v>1088</v>
      </c>
      <c r="B223" t="s">
        <v>1089</v>
      </c>
      <c r="C223" t="s">
        <v>529</v>
      </c>
      <c r="D223" t="s">
        <v>530</v>
      </c>
      <c r="E223" t="s">
        <v>1055</v>
      </c>
      <c r="F223" t="s">
        <v>105</v>
      </c>
      <c r="G223" t="s">
        <v>637</v>
      </c>
      <c r="H223" t="s">
        <v>48</v>
      </c>
    </row>
    <row r="224" spans="1:8">
      <c r="A224" t="s">
        <v>1090</v>
      </c>
      <c r="B224" t="s">
        <v>1091</v>
      </c>
      <c r="C224" t="s">
        <v>529</v>
      </c>
      <c r="D224" t="s">
        <v>530</v>
      </c>
      <c r="E224" t="s">
        <v>1046</v>
      </c>
      <c r="F224" t="s">
        <v>484</v>
      </c>
      <c r="G224" t="s">
        <v>632</v>
      </c>
      <c r="H224" t="s">
        <v>48</v>
      </c>
    </row>
    <row r="225" spans="1:8">
      <c r="A225" t="s">
        <v>1092</v>
      </c>
      <c r="B225" t="s">
        <v>1093</v>
      </c>
      <c r="C225" t="s">
        <v>529</v>
      </c>
      <c r="D225" t="s">
        <v>530</v>
      </c>
      <c r="E225" t="s">
        <v>1043</v>
      </c>
      <c r="F225" t="s">
        <v>43</v>
      </c>
      <c r="G225" t="s">
        <v>640</v>
      </c>
      <c r="H225" t="s">
        <v>48</v>
      </c>
    </row>
    <row r="226" spans="1:8">
      <c r="A226" t="s">
        <v>1094</v>
      </c>
      <c r="B226" t="s">
        <v>1095</v>
      </c>
      <c r="C226" t="s">
        <v>529</v>
      </c>
      <c r="D226" t="s">
        <v>530</v>
      </c>
      <c r="E226" t="s">
        <v>1043</v>
      </c>
      <c r="F226" t="s">
        <v>427</v>
      </c>
      <c r="G226" t="s">
        <v>637</v>
      </c>
      <c r="H226" t="s">
        <v>651</v>
      </c>
    </row>
    <row r="227" spans="1:8">
      <c r="A227" t="s">
        <v>1096</v>
      </c>
      <c r="B227" t="s">
        <v>1097</v>
      </c>
      <c r="C227" t="s">
        <v>531</v>
      </c>
      <c r="D227" t="s">
        <v>532</v>
      </c>
      <c r="E227" t="s">
        <v>1098</v>
      </c>
      <c r="F227" t="s">
        <v>43</v>
      </c>
      <c r="G227" t="s">
        <v>617</v>
      </c>
      <c r="H227" t="s">
        <v>48</v>
      </c>
    </row>
    <row r="228" spans="1:8">
      <c r="A228" t="s">
        <v>1099</v>
      </c>
      <c r="B228" t="s">
        <v>1100</v>
      </c>
      <c r="C228" t="s">
        <v>531</v>
      </c>
      <c r="D228" t="s">
        <v>532</v>
      </c>
      <c r="E228" t="s">
        <v>1098</v>
      </c>
      <c r="F228" t="s">
        <v>230</v>
      </c>
      <c r="G228" t="s">
        <v>629</v>
      </c>
      <c r="H228" t="s">
        <v>48</v>
      </c>
    </row>
    <row r="229" spans="1:8">
      <c r="A229" t="s">
        <v>1101</v>
      </c>
      <c r="B229" t="s">
        <v>1102</v>
      </c>
      <c r="C229" t="s">
        <v>531</v>
      </c>
      <c r="D229" t="s">
        <v>532</v>
      </c>
      <c r="E229" t="s">
        <v>1103</v>
      </c>
      <c r="F229" t="s">
        <v>177</v>
      </c>
      <c r="G229" t="s">
        <v>617</v>
      </c>
      <c r="H229" t="s">
        <v>651</v>
      </c>
    </row>
    <row r="230" spans="1:8">
      <c r="A230" t="s">
        <v>1104</v>
      </c>
      <c r="B230" t="s">
        <v>1105</v>
      </c>
      <c r="C230" t="s">
        <v>531</v>
      </c>
      <c r="D230" t="s">
        <v>532</v>
      </c>
      <c r="E230" t="s">
        <v>1103</v>
      </c>
      <c r="F230" t="s">
        <v>105</v>
      </c>
      <c r="G230" t="s">
        <v>629</v>
      </c>
      <c r="H230" t="s">
        <v>48</v>
      </c>
    </row>
    <row r="231" spans="1:8">
      <c r="A231" t="s">
        <v>1106</v>
      </c>
      <c r="B231" t="s">
        <v>1107</v>
      </c>
      <c r="C231" t="s">
        <v>531</v>
      </c>
      <c r="D231" t="s">
        <v>532</v>
      </c>
      <c r="E231" t="s">
        <v>1098</v>
      </c>
      <c r="F231" t="s">
        <v>300</v>
      </c>
      <c r="G231" t="s">
        <v>640</v>
      </c>
      <c r="H231" t="s">
        <v>651</v>
      </c>
    </row>
    <row r="232" spans="1:8">
      <c r="A232" t="s">
        <v>1108</v>
      </c>
      <c r="B232" t="s">
        <v>1109</v>
      </c>
      <c r="C232" t="s">
        <v>531</v>
      </c>
      <c r="D232" t="s">
        <v>532</v>
      </c>
      <c r="E232" t="s">
        <v>1098</v>
      </c>
      <c r="F232" t="s">
        <v>427</v>
      </c>
      <c r="G232" t="s">
        <v>629</v>
      </c>
      <c r="H232" t="s">
        <v>48</v>
      </c>
    </row>
    <row r="233" spans="1:8">
      <c r="A233" t="s">
        <v>1110</v>
      </c>
      <c r="B233" t="s">
        <v>1111</v>
      </c>
      <c r="C233" t="s">
        <v>531</v>
      </c>
      <c r="D233" t="s">
        <v>532</v>
      </c>
      <c r="E233" t="s">
        <v>1103</v>
      </c>
      <c r="F233" t="s">
        <v>353</v>
      </c>
      <c r="G233" t="s">
        <v>632</v>
      </c>
      <c r="H233" t="s">
        <v>48</v>
      </c>
    </row>
    <row r="234" spans="1:8">
      <c r="A234" t="s">
        <v>1112</v>
      </c>
      <c r="B234" t="s">
        <v>1113</v>
      </c>
      <c r="C234" t="s">
        <v>531</v>
      </c>
      <c r="D234" t="s">
        <v>532</v>
      </c>
      <c r="E234" t="s">
        <v>1103</v>
      </c>
      <c r="F234" t="s">
        <v>105</v>
      </c>
      <c r="G234" t="s">
        <v>640</v>
      </c>
      <c r="H234" t="s">
        <v>651</v>
      </c>
    </row>
    <row r="235" spans="1:8">
      <c r="A235" t="s">
        <v>1114</v>
      </c>
      <c r="B235" t="s">
        <v>1115</v>
      </c>
      <c r="C235" t="s">
        <v>531</v>
      </c>
      <c r="D235" t="s">
        <v>532</v>
      </c>
      <c r="E235" t="s">
        <v>1116</v>
      </c>
      <c r="F235" t="s">
        <v>43</v>
      </c>
      <c r="G235" t="s">
        <v>637</v>
      </c>
      <c r="H235" t="s">
        <v>48</v>
      </c>
    </row>
    <row r="236" spans="1:8">
      <c r="A236" t="s">
        <v>1117</v>
      </c>
      <c r="B236" t="s">
        <v>1118</v>
      </c>
      <c r="C236" t="s">
        <v>533</v>
      </c>
      <c r="D236" t="s">
        <v>534</v>
      </c>
      <c r="E236" t="s">
        <v>1119</v>
      </c>
      <c r="F236" t="s">
        <v>177</v>
      </c>
      <c r="G236" t="s">
        <v>617</v>
      </c>
      <c r="H236" t="s">
        <v>48</v>
      </c>
    </row>
    <row r="237" spans="1:8">
      <c r="A237" t="s">
        <v>1120</v>
      </c>
      <c r="B237" t="s">
        <v>1121</v>
      </c>
      <c r="C237" t="s">
        <v>533</v>
      </c>
      <c r="D237" t="s">
        <v>534</v>
      </c>
      <c r="E237" t="s">
        <v>1122</v>
      </c>
      <c r="F237" t="s">
        <v>105</v>
      </c>
      <c r="G237" t="s">
        <v>632</v>
      </c>
      <c r="H237" t="s">
        <v>48</v>
      </c>
    </row>
    <row r="238" spans="1:8">
      <c r="A238" t="s">
        <v>1123</v>
      </c>
      <c r="B238" t="s">
        <v>1124</v>
      </c>
      <c r="C238" t="s">
        <v>533</v>
      </c>
      <c r="D238" t="s">
        <v>534</v>
      </c>
      <c r="E238" t="s">
        <v>1122</v>
      </c>
      <c r="F238" t="s">
        <v>408</v>
      </c>
      <c r="G238" t="s">
        <v>640</v>
      </c>
      <c r="H238" t="s">
        <v>48</v>
      </c>
    </row>
    <row r="239" spans="1:8">
      <c r="A239" t="s">
        <v>1125</v>
      </c>
      <c r="B239" t="s">
        <v>1126</v>
      </c>
      <c r="C239" t="s">
        <v>535</v>
      </c>
      <c r="D239" t="s">
        <v>536</v>
      </c>
      <c r="E239" t="s">
        <v>1127</v>
      </c>
      <c r="F239" t="s">
        <v>408</v>
      </c>
      <c r="G239" t="s">
        <v>617</v>
      </c>
      <c r="H239" t="s">
        <v>48</v>
      </c>
    </row>
    <row r="240" spans="1:8">
      <c r="A240" t="s">
        <v>1128</v>
      </c>
      <c r="B240" t="s">
        <v>1129</v>
      </c>
      <c r="C240" t="s">
        <v>535</v>
      </c>
      <c r="D240" t="s">
        <v>536</v>
      </c>
      <c r="E240" t="s">
        <v>1127</v>
      </c>
      <c r="F240" t="s">
        <v>43</v>
      </c>
      <c r="G240" t="s">
        <v>629</v>
      </c>
      <c r="H240" t="s">
        <v>48</v>
      </c>
    </row>
    <row r="241" spans="1:8">
      <c r="A241" t="s">
        <v>1130</v>
      </c>
      <c r="B241" t="s">
        <v>1131</v>
      </c>
      <c r="C241" t="s">
        <v>535</v>
      </c>
      <c r="D241" t="s">
        <v>536</v>
      </c>
      <c r="E241" t="s">
        <v>1127</v>
      </c>
      <c r="F241" t="s">
        <v>427</v>
      </c>
      <c r="G241" t="s">
        <v>629</v>
      </c>
      <c r="H241" t="s">
        <v>48</v>
      </c>
    </row>
    <row r="242" spans="1:8">
      <c r="A242" t="s">
        <v>1132</v>
      </c>
      <c r="B242" t="s">
        <v>1133</v>
      </c>
      <c r="C242" t="s">
        <v>535</v>
      </c>
      <c r="D242" t="s">
        <v>536</v>
      </c>
      <c r="E242" t="s">
        <v>1134</v>
      </c>
      <c r="F242" t="s">
        <v>427</v>
      </c>
      <c r="G242" t="s">
        <v>632</v>
      </c>
      <c r="H242" t="s">
        <v>48</v>
      </c>
    </row>
    <row r="243" spans="1:8">
      <c r="A243" t="s">
        <v>1135</v>
      </c>
      <c r="B243" t="s">
        <v>1136</v>
      </c>
      <c r="C243" t="s">
        <v>535</v>
      </c>
      <c r="D243" t="s">
        <v>536</v>
      </c>
      <c r="E243" t="s">
        <v>1127</v>
      </c>
      <c r="F243" t="s">
        <v>43</v>
      </c>
      <c r="G243" t="s">
        <v>640</v>
      </c>
      <c r="H243" t="s">
        <v>48</v>
      </c>
    </row>
    <row r="244" spans="1:8">
      <c r="A244" t="s">
        <v>1137</v>
      </c>
      <c r="B244" t="s">
        <v>1138</v>
      </c>
      <c r="C244" t="s">
        <v>535</v>
      </c>
      <c r="D244" t="s">
        <v>536</v>
      </c>
      <c r="E244" t="s">
        <v>1134</v>
      </c>
      <c r="F244" t="s">
        <v>43</v>
      </c>
      <c r="G244" t="s">
        <v>637</v>
      </c>
      <c r="H244" t="s">
        <v>48</v>
      </c>
    </row>
    <row r="245" spans="1:8">
      <c r="A245" t="s">
        <v>1139</v>
      </c>
      <c r="B245" t="s">
        <v>1140</v>
      </c>
      <c r="C245" t="s">
        <v>535</v>
      </c>
      <c r="D245" t="s">
        <v>536</v>
      </c>
      <c r="E245" t="s">
        <v>1127</v>
      </c>
      <c r="F245" t="s">
        <v>353</v>
      </c>
      <c r="G245" t="s">
        <v>632</v>
      </c>
      <c r="H245" t="s">
        <v>48</v>
      </c>
    </row>
    <row r="246" spans="1:8">
      <c r="A246" t="s">
        <v>1141</v>
      </c>
      <c r="B246" t="s">
        <v>1142</v>
      </c>
      <c r="C246" t="s">
        <v>535</v>
      </c>
      <c r="D246" t="s">
        <v>536</v>
      </c>
      <c r="E246" t="s">
        <v>1143</v>
      </c>
      <c r="F246" t="s">
        <v>427</v>
      </c>
      <c r="G246" t="s">
        <v>640</v>
      </c>
      <c r="H246" t="s">
        <v>48</v>
      </c>
    </row>
    <row r="247" spans="1:8">
      <c r="A247" t="s">
        <v>1144</v>
      </c>
      <c r="B247" t="s">
        <v>1145</v>
      </c>
      <c r="C247" t="s">
        <v>535</v>
      </c>
      <c r="D247" t="s">
        <v>536</v>
      </c>
      <c r="E247" t="s">
        <v>1143</v>
      </c>
      <c r="F247" t="s">
        <v>43</v>
      </c>
      <c r="G247" t="s">
        <v>629</v>
      </c>
      <c r="H247" t="s">
        <v>651</v>
      </c>
    </row>
    <row r="248" spans="1:8">
      <c r="A248" t="s">
        <v>1146</v>
      </c>
      <c r="B248" t="s">
        <v>1147</v>
      </c>
      <c r="C248" t="s">
        <v>535</v>
      </c>
      <c r="D248" t="s">
        <v>536</v>
      </c>
      <c r="E248" t="s">
        <v>1143</v>
      </c>
      <c r="F248" t="s">
        <v>484</v>
      </c>
      <c r="G248" t="s">
        <v>640</v>
      </c>
      <c r="H248" t="s">
        <v>48</v>
      </c>
    </row>
    <row r="249" spans="1:8">
      <c r="A249" t="s">
        <v>1148</v>
      </c>
      <c r="B249" t="s">
        <v>1149</v>
      </c>
      <c r="C249" t="s">
        <v>535</v>
      </c>
      <c r="D249" t="s">
        <v>536</v>
      </c>
      <c r="E249" t="s">
        <v>1143</v>
      </c>
      <c r="F249" t="s">
        <v>105</v>
      </c>
      <c r="G249" t="s">
        <v>640</v>
      </c>
      <c r="H249" t="s">
        <v>48</v>
      </c>
    </row>
    <row r="250" spans="1:8">
      <c r="A250" t="s">
        <v>1150</v>
      </c>
      <c r="B250" t="s">
        <v>1151</v>
      </c>
      <c r="C250" t="s">
        <v>535</v>
      </c>
      <c r="D250" t="s">
        <v>536</v>
      </c>
      <c r="E250" t="s">
        <v>1134</v>
      </c>
      <c r="F250" t="s">
        <v>230</v>
      </c>
      <c r="G250" t="s">
        <v>640</v>
      </c>
      <c r="H250" t="s">
        <v>48</v>
      </c>
    </row>
    <row r="251" spans="1:8">
      <c r="A251" t="s">
        <v>1152</v>
      </c>
      <c r="B251" t="s">
        <v>1153</v>
      </c>
      <c r="C251" t="s">
        <v>535</v>
      </c>
      <c r="D251" t="s">
        <v>536</v>
      </c>
      <c r="E251" t="s">
        <v>1134</v>
      </c>
      <c r="F251" t="s">
        <v>389</v>
      </c>
      <c r="G251" t="s">
        <v>617</v>
      </c>
      <c r="H251" t="s">
        <v>48</v>
      </c>
    </row>
    <row r="252" spans="1:8">
      <c r="A252" t="s">
        <v>1154</v>
      </c>
      <c r="B252" t="s">
        <v>1155</v>
      </c>
      <c r="C252" t="s">
        <v>535</v>
      </c>
      <c r="D252" t="s">
        <v>536</v>
      </c>
      <c r="E252" t="s">
        <v>1143</v>
      </c>
      <c r="F252" t="s">
        <v>465</v>
      </c>
      <c r="G252" t="s">
        <v>640</v>
      </c>
      <c r="H252" t="s">
        <v>48</v>
      </c>
    </row>
    <row r="253" spans="1:8">
      <c r="A253" t="s">
        <v>1156</v>
      </c>
      <c r="B253" t="s">
        <v>1157</v>
      </c>
      <c r="C253" t="s">
        <v>537</v>
      </c>
      <c r="D253" t="s">
        <v>538</v>
      </c>
      <c r="E253" t="s">
        <v>1158</v>
      </c>
      <c r="F253" t="s">
        <v>465</v>
      </c>
      <c r="G253" t="s">
        <v>637</v>
      </c>
      <c r="H253" t="s">
        <v>48</v>
      </c>
    </row>
    <row r="254" spans="1:8">
      <c r="A254" t="s">
        <v>1159</v>
      </c>
      <c r="B254" t="s">
        <v>1160</v>
      </c>
      <c r="C254" t="s">
        <v>537</v>
      </c>
      <c r="D254" t="s">
        <v>538</v>
      </c>
      <c r="E254" t="s">
        <v>1161</v>
      </c>
      <c r="F254" t="s">
        <v>177</v>
      </c>
      <c r="G254" t="s">
        <v>637</v>
      </c>
      <c r="H254" t="s">
        <v>651</v>
      </c>
    </row>
    <row r="255" spans="1:8">
      <c r="A255" t="s">
        <v>1162</v>
      </c>
      <c r="B255" t="s">
        <v>1163</v>
      </c>
      <c r="C255" t="s">
        <v>537</v>
      </c>
      <c r="D255" t="s">
        <v>538</v>
      </c>
      <c r="E255" t="s">
        <v>1161</v>
      </c>
      <c r="F255" t="s">
        <v>408</v>
      </c>
      <c r="G255" t="s">
        <v>629</v>
      </c>
      <c r="H255" t="s">
        <v>48</v>
      </c>
    </row>
    <row r="256" spans="1:8">
      <c r="A256" t="s">
        <v>1164</v>
      </c>
      <c r="B256" t="s">
        <v>1165</v>
      </c>
      <c r="C256" t="s">
        <v>537</v>
      </c>
      <c r="D256" t="s">
        <v>538</v>
      </c>
      <c r="E256" t="s">
        <v>1166</v>
      </c>
      <c r="F256" t="s">
        <v>300</v>
      </c>
      <c r="G256" t="s">
        <v>629</v>
      </c>
      <c r="H256" t="s">
        <v>48</v>
      </c>
    </row>
    <row r="257" spans="1:8">
      <c r="A257" t="s">
        <v>1167</v>
      </c>
      <c r="B257" t="s">
        <v>1168</v>
      </c>
      <c r="C257" t="s">
        <v>537</v>
      </c>
      <c r="D257" t="s">
        <v>538</v>
      </c>
      <c r="E257" t="s">
        <v>1158</v>
      </c>
      <c r="F257" t="s">
        <v>300</v>
      </c>
      <c r="G257" t="s">
        <v>637</v>
      </c>
      <c r="H257" t="s">
        <v>48</v>
      </c>
    </row>
    <row r="258" spans="1:8">
      <c r="A258" t="s">
        <v>1169</v>
      </c>
      <c r="B258" t="s">
        <v>1170</v>
      </c>
      <c r="C258" t="s">
        <v>537</v>
      </c>
      <c r="D258" t="s">
        <v>538</v>
      </c>
      <c r="E258" t="s">
        <v>1166</v>
      </c>
      <c r="F258" t="s">
        <v>427</v>
      </c>
      <c r="G258" t="s">
        <v>637</v>
      </c>
      <c r="H258" t="s">
        <v>48</v>
      </c>
    </row>
    <row r="259" spans="1:8">
      <c r="A259" t="s">
        <v>1171</v>
      </c>
      <c r="B259" t="s">
        <v>1172</v>
      </c>
      <c r="C259" t="s">
        <v>537</v>
      </c>
      <c r="D259" t="s">
        <v>538</v>
      </c>
      <c r="E259" t="s">
        <v>1161</v>
      </c>
      <c r="F259" t="s">
        <v>300</v>
      </c>
      <c r="G259" t="s">
        <v>617</v>
      </c>
      <c r="H259" t="s">
        <v>48</v>
      </c>
    </row>
    <row r="260" spans="1:8">
      <c r="A260" t="s">
        <v>1173</v>
      </c>
      <c r="B260" t="s">
        <v>1174</v>
      </c>
      <c r="C260" t="s">
        <v>537</v>
      </c>
      <c r="D260" t="s">
        <v>538</v>
      </c>
      <c r="E260" t="s">
        <v>1166</v>
      </c>
      <c r="F260" t="s">
        <v>105</v>
      </c>
      <c r="G260" t="s">
        <v>629</v>
      </c>
      <c r="H260" t="s">
        <v>651</v>
      </c>
    </row>
    <row r="261" spans="1:8">
      <c r="A261" t="s">
        <v>1175</v>
      </c>
      <c r="B261" t="s">
        <v>1176</v>
      </c>
      <c r="C261" t="s">
        <v>537</v>
      </c>
      <c r="D261" t="s">
        <v>538</v>
      </c>
      <c r="E261" t="s">
        <v>1161</v>
      </c>
      <c r="F261" t="s">
        <v>484</v>
      </c>
      <c r="G261" t="s">
        <v>637</v>
      </c>
      <c r="H261" t="s">
        <v>48</v>
      </c>
    </row>
    <row r="262" spans="1:8">
      <c r="A262" t="s">
        <v>1177</v>
      </c>
      <c r="B262" t="s">
        <v>1178</v>
      </c>
      <c r="C262" t="s">
        <v>537</v>
      </c>
      <c r="D262" t="s">
        <v>538</v>
      </c>
      <c r="E262" t="s">
        <v>1158</v>
      </c>
      <c r="F262" t="s">
        <v>446</v>
      </c>
      <c r="G262" t="s">
        <v>617</v>
      </c>
      <c r="H262" t="s">
        <v>48</v>
      </c>
    </row>
    <row r="263" spans="1:8">
      <c r="A263" t="s">
        <v>1179</v>
      </c>
      <c r="B263" t="s">
        <v>1180</v>
      </c>
      <c r="C263" t="s">
        <v>537</v>
      </c>
      <c r="D263" t="s">
        <v>538</v>
      </c>
      <c r="E263" t="s">
        <v>1161</v>
      </c>
      <c r="F263" t="s">
        <v>43</v>
      </c>
      <c r="G263" t="s">
        <v>637</v>
      </c>
      <c r="H263" t="s">
        <v>48</v>
      </c>
    </row>
    <row r="264" spans="1:8">
      <c r="A264" t="s">
        <v>1181</v>
      </c>
      <c r="B264" t="s">
        <v>1182</v>
      </c>
      <c r="C264" t="s">
        <v>537</v>
      </c>
      <c r="D264" t="s">
        <v>538</v>
      </c>
      <c r="E264" t="s">
        <v>1158</v>
      </c>
      <c r="F264" t="s">
        <v>177</v>
      </c>
      <c r="G264" t="s">
        <v>632</v>
      </c>
      <c r="H264" t="s">
        <v>48</v>
      </c>
    </row>
    <row r="265" spans="1:8">
      <c r="A265" t="s">
        <v>1183</v>
      </c>
      <c r="B265" t="s">
        <v>1184</v>
      </c>
      <c r="C265" t="s">
        <v>537</v>
      </c>
      <c r="D265" t="s">
        <v>538</v>
      </c>
      <c r="E265" t="s">
        <v>1158</v>
      </c>
      <c r="F265" t="s">
        <v>484</v>
      </c>
      <c r="G265" t="s">
        <v>637</v>
      </c>
      <c r="H265" t="s">
        <v>651</v>
      </c>
    </row>
    <row r="266" spans="1:8">
      <c r="A266" t="s">
        <v>1185</v>
      </c>
      <c r="B266" t="s">
        <v>1186</v>
      </c>
      <c r="C266" t="s">
        <v>537</v>
      </c>
      <c r="D266" t="s">
        <v>538</v>
      </c>
      <c r="E266" t="s">
        <v>1161</v>
      </c>
      <c r="F266" t="s">
        <v>177</v>
      </c>
      <c r="G266" t="s">
        <v>637</v>
      </c>
      <c r="H266" t="s">
        <v>48</v>
      </c>
    </row>
    <row r="267" spans="1:8">
      <c r="A267" t="s">
        <v>1187</v>
      </c>
      <c r="B267" t="s">
        <v>1188</v>
      </c>
      <c r="C267" t="s">
        <v>537</v>
      </c>
      <c r="D267" t="s">
        <v>538</v>
      </c>
      <c r="E267" t="s">
        <v>1166</v>
      </c>
      <c r="F267" t="s">
        <v>484</v>
      </c>
      <c r="G267" t="s">
        <v>640</v>
      </c>
      <c r="H267" t="s">
        <v>651</v>
      </c>
    </row>
    <row r="268" spans="1:8">
      <c r="A268" t="s">
        <v>1189</v>
      </c>
      <c r="B268" t="s">
        <v>1190</v>
      </c>
      <c r="C268" t="s">
        <v>537</v>
      </c>
      <c r="D268" t="s">
        <v>538</v>
      </c>
      <c r="E268" t="s">
        <v>1166</v>
      </c>
      <c r="F268" t="s">
        <v>230</v>
      </c>
      <c r="G268" t="s">
        <v>637</v>
      </c>
      <c r="H268" t="s">
        <v>48</v>
      </c>
    </row>
    <row r="269" spans="1:8">
      <c r="A269" t="s">
        <v>1191</v>
      </c>
      <c r="B269" t="s">
        <v>1184</v>
      </c>
      <c r="C269" t="s">
        <v>537</v>
      </c>
      <c r="D269" t="s">
        <v>538</v>
      </c>
      <c r="E269" t="s">
        <v>1158</v>
      </c>
      <c r="F269" t="s">
        <v>484</v>
      </c>
      <c r="G269" t="s">
        <v>629</v>
      </c>
      <c r="H269" t="s">
        <v>48</v>
      </c>
    </row>
    <row r="270" spans="1:8">
      <c r="A270" t="s">
        <v>1192</v>
      </c>
      <c r="B270" t="s">
        <v>1193</v>
      </c>
      <c r="C270" t="s">
        <v>537</v>
      </c>
      <c r="D270" t="s">
        <v>538</v>
      </c>
      <c r="E270" t="s">
        <v>1158</v>
      </c>
      <c r="F270" t="s">
        <v>230</v>
      </c>
      <c r="G270" t="s">
        <v>640</v>
      </c>
      <c r="H270" t="s">
        <v>48</v>
      </c>
    </row>
    <row r="271" spans="1:8">
      <c r="A271" t="s">
        <v>1194</v>
      </c>
      <c r="B271" t="s">
        <v>1195</v>
      </c>
      <c r="C271" t="s">
        <v>537</v>
      </c>
      <c r="D271" t="s">
        <v>538</v>
      </c>
      <c r="E271" t="s">
        <v>1158</v>
      </c>
      <c r="F271" t="s">
        <v>43</v>
      </c>
      <c r="G271" t="s">
        <v>617</v>
      </c>
      <c r="H271" t="s">
        <v>48</v>
      </c>
    </row>
    <row r="272" spans="1:8">
      <c r="A272" t="s">
        <v>1196</v>
      </c>
      <c r="B272" t="s">
        <v>1197</v>
      </c>
      <c r="C272" t="s">
        <v>537</v>
      </c>
      <c r="D272" t="s">
        <v>538</v>
      </c>
      <c r="E272" t="s">
        <v>1158</v>
      </c>
      <c r="F272" t="s">
        <v>408</v>
      </c>
      <c r="G272" t="s">
        <v>640</v>
      </c>
      <c r="H272" t="s">
        <v>48</v>
      </c>
    </row>
    <row r="273" spans="1:8">
      <c r="A273" t="s">
        <v>1198</v>
      </c>
      <c r="B273" t="s">
        <v>1174</v>
      </c>
      <c r="C273" t="s">
        <v>537</v>
      </c>
      <c r="D273" t="s">
        <v>538</v>
      </c>
      <c r="E273" t="s">
        <v>1166</v>
      </c>
      <c r="F273" t="s">
        <v>105</v>
      </c>
      <c r="G273" t="s">
        <v>629</v>
      </c>
      <c r="H273" t="s">
        <v>48</v>
      </c>
    </row>
    <row r="274" spans="1:8">
      <c r="A274" t="s">
        <v>1199</v>
      </c>
      <c r="B274" t="s">
        <v>1200</v>
      </c>
      <c r="C274" t="s">
        <v>537</v>
      </c>
      <c r="D274" t="s">
        <v>538</v>
      </c>
      <c r="E274" t="s">
        <v>1158</v>
      </c>
      <c r="F274" t="s">
        <v>427</v>
      </c>
      <c r="G274" t="s">
        <v>640</v>
      </c>
      <c r="H274" t="s">
        <v>48</v>
      </c>
    </row>
    <row r="275" spans="1:8">
      <c r="A275" t="s">
        <v>1201</v>
      </c>
      <c r="B275" t="s">
        <v>1202</v>
      </c>
      <c r="C275" t="s">
        <v>537</v>
      </c>
      <c r="D275" t="s">
        <v>538</v>
      </c>
      <c r="E275" t="s">
        <v>1161</v>
      </c>
      <c r="F275" t="s">
        <v>408</v>
      </c>
      <c r="G275" t="s">
        <v>637</v>
      </c>
      <c r="H275" t="s">
        <v>48</v>
      </c>
    </row>
    <row r="276" spans="1:8">
      <c r="A276" t="s">
        <v>1203</v>
      </c>
      <c r="B276" t="s">
        <v>1204</v>
      </c>
      <c r="C276" t="s">
        <v>537</v>
      </c>
      <c r="D276" t="s">
        <v>538</v>
      </c>
      <c r="E276" t="s">
        <v>1158</v>
      </c>
      <c r="F276" t="s">
        <v>43</v>
      </c>
      <c r="G276" t="s">
        <v>617</v>
      </c>
      <c r="H276" t="s">
        <v>48</v>
      </c>
    </row>
    <row r="277" spans="1:8">
      <c r="A277" t="s">
        <v>1205</v>
      </c>
      <c r="B277" t="s">
        <v>1206</v>
      </c>
      <c r="C277" t="s">
        <v>539</v>
      </c>
      <c r="D277" t="s">
        <v>540</v>
      </c>
      <c r="E277" t="s">
        <v>1207</v>
      </c>
      <c r="F277" t="s">
        <v>300</v>
      </c>
      <c r="G277" t="s">
        <v>632</v>
      </c>
      <c r="H277" t="s">
        <v>48</v>
      </c>
    </row>
    <row r="278" spans="1:8">
      <c r="A278" t="s">
        <v>1208</v>
      </c>
      <c r="B278" t="s">
        <v>1209</v>
      </c>
      <c r="C278" t="s">
        <v>539</v>
      </c>
      <c r="D278" t="s">
        <v>540</v>
      </c>
      <c r="E278" t="s">
        <v>1210</v>
      </c>
      <c r="F278" t="s">
        <v>427</v>
      </c>
      <c r="G278" t="s">
        <v>617</v>
      </c>
      <c r="H278" t="s">
        <v>48</v>
      </c>
    </row>
    <row r="279" spans="1:8">
      <c r="A279" t="s">
        <v>1211</v>
      </c>
      <c r="B279" t="s">
        <v>1212</v>
      </c>
      <c r="C279" t="s">
        <v>539</v>
      </c>
      <c r="D279" t="s">
        <v>540</v>
      </c>
      <c r="E279" t="s">
        <v>1210</v>
      </c>
      <c r="F279" t="s">
        <v>43</v>
      </c>
      <c r="G279" t="s">
        <v>617</v>
      </c>
      <c r="H279" t="s">
        <v>48</v>
      </c>
    </row>
    <row r="280" spans="1:8">
      <c r="A280" t="s">
        <v>1213</v>
      </c>
      <c r="B280" t="s">
        <v>1214</v>
      </c>
      <c r="C280" t="s">
        <v>539</v>
      </c>
      <c r="D280" t="s">
        <v>540</v>
      </c>
      <c r="E280" t="s">
        <v>1210</v>
      </c>
      <c r="F280" t="s">
        <v>230</v>
      </c>
      <c r="G280" t="s">
        <v>637</v>
      </c>
      <c r="H280" t="s">
        <v>48</v>
      </c>
    </row>
    <row r="281" spans="1:8">
      <c r="A281" t="s">
        <v>1215</v>
      </c>
      <c r="B281" t="s">
        <v>1216</v>
      </c>
      <c r="C281" t="s">
        <v>539</v>
      </c>
      <c r="D281" t="s">
        <v>540</v>
      </c>
      <c r="E281" t="s">
        <v>1217</v>
      </c>
      <c r="F281" t="s">
        <v>43</v>
      </c>
      <c r="G281" t="s">
        <v>617</v>
      </c>
      <c r="H281" t="s">
        <v>48</v>
      </c>
    </row>
    <row r="282" spans="1:8">
      <c r="A282" t="s">
        <v>1218</v>
      </c>
      <c r="B282" t="s">
        <v>1219</v>
      </c>
      <c r="C282" t="s">
        <v>539</v>
      </c>
      <c r="D282" t="s">
        <v>540</v>
      </c>
      <c r="E282" t="s">
        <v>1210</v>
      </c>
      <c r="F282" t="s">
        <v>300</v>
      </c>
      <c r="G282" t="s">
        <v>640</v>
      </c>
      <c r="H282" t="s">
        <v>48</v>
      </c>
    </row>
    <row r="283" spans="1:8">
      <c r="A283" t="s">
        <v>1220</v>
      </c>
      <c r="B283" t="s">
        <v>1221</v>
      </c>
      <c r="C283" t="s">
        <v>539</v>
      </c>
      <c r="D283" t="s">
        <v>540</v>
      </c>
      <c r="E283" t="s">
        <v>1210</v>
      </c>
      <c r="F283" t="s">
        <v>446</v>
      </c>
      <c r="G283" t="s">
        <v>640</v>
      </c>
      <c r="H283" t="s">
        <v>48</v>
      </c>
    </row>
    <row r="284" spans="1:8">
      <c r="A284" t="s">
        <v>1222</v>
      </c>
      <c r="B284" t="s">
        <v>1223</v>
      </c>
      <c r="C284" t="s">
        <v>539</v>
      </c>
      <c r="D284" t="s">
        <v>540</v>
      </c>
      <c r="E284" t="s">
        <v>1210</v>
      </c>
      <c r="F284" t="s">
        <v>484</v>
      </c>
      <c r="G284" t="s">
        <v>629</v>
      </c>
      <c r="H284" t="s">
        <v>651</v>
      </c>
    </row>
    <row r="285" spans="1:8">
      <c r="A285" t="s">
        <v>1224</v>
      </c>
      <c r="B285" t="s">
        <v>1225</v>
      </c>
      <c r="C285" t="s">
        <v>539</v>
      </c>
      <c r="D285" t="s">
        <v>540</v>
      </c>
      <c r="E285" t="s">
        <v>1207</v>
      </c>
      <c r="F285" t="s">
        <v>230</v>
      </c>
      <c r="G285" t="s">
        <v>637</v>
      </c>
      <c r="H285" t="s">
        <v>651</v>
      </c>
    </row>
    <row r="286" spans="1:8">
      <c r="A286" t="s">
        <v>1226</v>
      </c>
      <c r="B286" t="s">
        <v>1227</v>
      </c>
      <c r="C286" t="s">
        <v>539</v>
      </c>
      <c r="D286" t="s">
        <v>540</v>
      </c>
      <c r="E286" t="s">
        <v>1210</v>
      </c>
      <c r="F286" t="s">
        <v>105</v>
      </c>
      <c r="G286" t="s">
        <v>637</v>
      </c>
      <c r="H286" t="s">
        <v>48</v>
      </c>
    </row>
    <row r="287" spans="1:8">
      <c r="A287" t="s">
        <v>1228</v>
      </c>
      <c r="B287" t="s">
        <v>1229</v>
      </c>
      <c r="C287" t="s">
        <v>539</v>
      </c>
      <c r="D287" t="s">
        <v>540</v>
      </c>
      <c r="E287" t="s">
        <v>1217</v>
      </c>
      <c r="F287" t="s">
        <v>177</v>
      </c>
      <c r="G287" t="s">
        <v>632</v>
      </c>
      <c r="H287" t="s">
        <v>651</v>
      </c>
    </row>
    <row r="288" spans="1:8">
      <c r="A288" t="s">
        <v>1230</v>
      </c>
      <c r="B288" t="s">
        <v>1231</v>
      </c>
      <c r="C288" t="s">
        <v>539</v>
      </c>
      <c r="D288" t="s">
        <v>540</v>
      </c>
      <c r="E288" t="s">
        <v>1210</v>
      </c>
      <c r="F288" t="s">
        <v>230</v>
      </c>
      <c r="G288" t="s">
        <v>629</v>
      </c>
      <c r="H288" t="s">
        <v>48</v>
      </c>
    </row>
    <row r="289" spans="1:8">
      <c r="A289" t="s">
        <v>1232</v>
      </c>
      <c r="B289" t="s">
        <v>1233</v>
      </c>
      <c r="C289" t="s">
        <v>539</v>
      </c>
      <c r="D289" t="s">
        <v>540</v>
      </c>
      <c r="E289" t="s">
        <v>1217</v>
      </c>
      <c r="F289" t="s">
        <v>427</v>
      </c>
      <c r="G289" t="s">
        <v>617</v>
      </c>
      <c r="H289" t="s">
        <v>48</v>
      </c>
    </row>
    <row r="290" spans="1:8">
      <c r="A290" t="s">
        <v>1234</v>
      </c>
      <c r="B290" t="s">
        <v>1235</v>
      </c>
      <c r="C290" t="s">
        <v>539</v>
      </c>
      <c r="D290" t="s">
        <v>540</v>
      </c>
      <c r="E290" t="s">
        <v>1210</v>
      </c>
      <c r="F290" t="s">
        <v>177</v>
      </c>
      <c r="G290" t="s">
        <v>617</v>
      </c>
      <c r="H290" t="s">
        <v>48</v>
      </c>
    </row>
    <row r="291" spans="1:8">
      <c r="A291" t="s">
        <v>1236</v>
      </c>
      <c r="B291" t="s">
        <v>1237</v>
      </c>
      <c r="C291" t="s">
        <v>539</v>
      </c>
      <c r="D291" t="s">
        <v>540</v>
      </c>
      <c r="E291" t="s">
        <v>1217</v>
      </c>
      <c r="F291" t="s">
        <v>465</v>
      </c>
      <c r="G291" t="s">
        <v>632</v>
      </c>
      <c r="H291" t="s">
        <v>48</v>
      </c>
    </row>
    <row r="292" spans="1:8">
      <c r="A292" t="s">
        <v>1238</v>
      </c>
      <c r="B292" t="s">
        <v>1223</v>
      </c>
      <c r="C292" t="s">
        <v>539</v>
      </c>
      <c r="D292" t="s">
        <v>540</v>
      </c>
      <c r="E292" t="s">
        <v>1210</v>
      </c>
      <c r="F292" t="s">
        <v>484</v>
      </c>
      <c r="G292" t="s">
        <v>617</v>
      </c>
      <c r="H292" t="s">
        <v>48</v>
      </c>
    </row>
    <row r="293" spans="1:8">
      <c r="A293" t="s">
        <v>1239</v>
      </c>
      <c r="B293" t="s">
        <v>1240</v>
      </c>
      <c r="C293" t="s">
        <v>539</v>
      </c>
      <c r="D293" t="s">
        <v>540</v>
      </c>
      <c r="E293" t="s">
        <v>1210</v>
      </c>
      <c r="F293" t="s">
        <v>353</v>
      </c>
      <c r="G293" t="s">
        <v>632</v>
      </c>
      <c r="H293" t="s">
        <v>48</v>
      </c>
    </row>
    <row r="294" spans="1:8">
      <c r="A294" t="s">
        <v>1241</v>
      </c>
      <c r="B294" t="s">
        <v>1242</v>
      </c>
      <c r="C294" t="s">
        <v>539</v>
      </c>
      <c r="D294" t="s">
        <v>540</v>
      </c>
      <c r="E294" t="s">
        <v>1210</v>
      </c>
      <c r="F294" t="s">
        <v>105</v>
      </c>
      <c r="G294" t="s">
        <v>640</v>
      </c>
      <c r="H294" t="s">
        <v>48</v>
      </c>
    </row>
    <row r="295" spans="1:8">
      <c r="A295" t="s">
        <v>1243</v>
      </c>
      <c r="B295" t="s">
        <v>1244</v>
      </c>
      <c r="C295" t="s">
        <v>539</v>
      </c>
      <c r="D295" t="s">
        <v>540</v>
      </c>
      <c r="E295" t="s">
        <v>1217</v>
      </c>
      <c r="F295" t="s">
        <v>465</v>
      </c>
      <c r="G295" t="s">
        <v>617</v>
      </c>
      <c r="H295" t="s">
        <v>48</v>
      </c>
    </row>
    <row r="296" spans="1:8">
      <c r="A296" t="s">
        <v>1245</v>
      </c>
      <c r="B296" t="s">
        <v>1246</v>
      </c>
      <c r="C296" t="s">
        <v>541</v>
      </c>
      <c r="D296" t="s">
        <v>542</v>
      </c>
      <c r="E296" t="s">
        <v>1247</v>
      </c>
      <c r="F296" t="s">
        <v>43</v>
      </c>
      <c r="G296" t="s">
        <v>632</v>
      </c>
      <c r="H296" t="s">
        <v>48</v>
      </c>
    </row>
    <row r="297" spans="1:8">
      <c r="A297" t="s">
        <v>1248</v>
      </c>
      <c r="B297" t="s">
        <v>1249</v>
      </c>
      <c r="C297" t="s">
        <v>541</v>
      </c>
      <c r="D297" t="s">
        <v>542</v>
      </c>
      <c r="E297" t="s">
        <v>1250</v>
      </c>
      <c r="F297" t="s">
        <v>389</v>
      </c>
      <c r="G297" t="s">
        <v>632</v>
      </c>
      <c r="H297" t="s">
        <v>48</v>
      </c>
    </row>
    <row r="298" spans="1:8">
      <c r="A298" t="s">
        <v>1251</v>
      </c>
      <c r="B298" t="s">
        <v>1252</v>
      </c>
      <c r="C298" t="s">
        <v>541</v>
      </c>
      <c r="D298" t="s">
        <v>542</v>
      </c>
      <c r="E298" t="s">
        <v>1253</v>
      </c>
      <c r="F298" t="s">
        <v>389</v>
      </c>
      <c r="G298" t="s">
        <v>632</v>
      </c>
      <c r="H298" t="s">
        <v>48</v>
      </c>
    </row>
    <row r="299" spans="1:8">
      <c r="A299" t="s">
        <v>1254</v>
      </c>
      <c r="B299" t="s">
        <v>1255</v>
      </c>
      <c r="C299" t="s">
        <v>541</v>
      </c>
      <c r="D299" t="s">
        <v>542</v>
      </c>
      <c r="E299" t="s">
        <v>1250</v>
      </c>
      <c r="F299" t="s">
        <v>177</v>
      </c>
      <c r="G299" t="s">
        <v>629</v>
      </c>
      <c r="H299" t="s">
        <v>48</v>
      </c>
    </row>
    <row r="300" spans="1:8">
      <c r="A300" t="s">
        <v>1256</v>
      </c>
      <c r="B300" t="s">
        <v>1257</v>
      </c>
      <c r="C300" t="s">
        <v>541</v>
      </c>
      <c r="D300" t="s">
        <v>542</v>
      </c>
      <c r="E300" t="s">
        <v>1250</v>
      </c>
      <c r="F300" t="s">
        <v>465</v>
      </c>
      <c r="G300" t="s">
        <v>632</v>
      </c>
      <c r="H300" t="s">
        <v>651</v>
      </c>
    </row>
    <row r="301" spans="1:8">
      <c r="A301" t="s">
        <v>1258</v>
      </c>
      <c r="B301" t="s">
        <v>1259</v>
      </c>
      <c r="C301" t="s">
        <v>541</v>
      </c>
      <c r="D301" t="s">
        <v>542</v>
      </c>
      <c r="E301" t="s">
        <v>1260</v>
      </c>
      <c r="F301" t="s">
        <v>427</v>
      </c>
      <c r="G301" t="s">
        <v>629</v>
      </c>
      <c r="H301" t="s">
        <v>48</v>
      </c>
    </row>
    <row r="302" spans="1:8">
      <c r="A302" t="s">
        <v>1261</v>
      </c>
      <c r="B302" t="s">
        <v>1262</v>
      </c>
      <c r="C302" t="s">
        <v>541</v>
      </c>
      <c r="D302" t="s">
        <v>542</v>
      </c>
      <c r="E302" t="s">
        <v>1247</v>
      </c>
      <c r="F302" t="s">
        <v>389</v>
      </c>
      <c r="G302" t="s">
        <v>637</v>
      </c>
      <c r="H302" t="s">
        <v>48</v>
      </c>
    </row>
    <row r="303" spans="1:8">
      <c r="A303" t="s">
        <v>1263</v>
      </c>
      <c r="B303" t="s">
        <v>1264</v>
      </c>
      <c r="C303" t="s">
        <v>541</v>
      </c>
      <c r="D303" t="s">
        <v>542</v>
      </c>
      <c r="E303" t="s">
        <v>1260</v>
      </c>
      <c r="F303" t="s">
        <v>389</v>
      </c>
      <c r="G303" t="s">
        <v>632</v>
      </c>
      <c r="H303" t="s">
        <v>48</v>
      </c>
    </row>
    <row r="304" spans="1:8">
      <c r="A304" t="s">
        <v>1265</v>
      </c>
      <c r="B304" t="s">
        <v>1266</v>
      </c>
      <c r="C304" t="s">
        <v>541</v>
      </c>
      <c r="D304" t="s">
        <v>542</v>
      </c>
      <c r="E304" t="s">
        <v>1247</v>
      </c>
      <c r="F304" t="s">
        <v>484</v>
      </c>
      <c r="G304" t="s">
        <v>629</v>
      </c>
      <c r="H304" t="s">
        <v>48</v>
      </c>
    </row>
    <row r="305" spans="1:8">
      <c r="A305" t="s">
        <v>1267</v>
      </c>
      <c r="B305" t="s">
        <v>1268</v>
      </c>
      <c r="C305" t="s">
        <v>543</v>
      </c>
      <c r="D305" t="s">
        <v>544</v>
      </c>
      <c r="E305" t="s">
        <v>1269</v>
      </c>
      <c r="F305" t="s">
        <v>230</v>
      </c>
      <c r="G305" t="s">
        <v>637</v>
      </c>
      <c r="H305" t="s">
        <v>48</v>
      </c>
    </row>
    <row r="306" spans="1:8">
      <c r="A306" t="s">
        <v>1270</v>
      </c>
      <c r="B306" t="s">
        <v>1271</v>
      </c>
      <c r="C306" t="s">
        <v>543</v>
      </c>
      <c r="D306" t="s">
        <v>544</v>
      </c>
      <c r="E306" t="s">
        <v>1269</v>
      </c>
      <c r="F306" t="s">
        <v>408</v>
      </c>
      <c r="G306" t="s">
        <v>637</v>
      </c>
      <c r="H306" t="s">
        <v>48</v>
      </c>
    </row>
    <row r="307" spans="1:8">
      <c r="A307" t="s">
        <v>1272</v>
      </c>
      <c r="B307" t="s">
        <v>1273</v>
      </c>
      <c r="C307" t="s">
        <v>543</v>
      </c>
      <c r="D307" t="s">
        <v>544</v>
      </c>
      <c r="E307" t="s">
        <v>1274</v>
      </c>
      <c r="F307" t="s">
        <v>465</v>
      </c>
      <c r="G307" t="s">
        <v>637</v>
      </c>
      <c r="H307" t="s">
        <v>48</v>
      </c>
    </row>
    <row r="308" spans="1:8">
      <c r="A308" t="s">
        <v>1275</v>
      </c>
      <c r="B308" t="s">
        <v>1276</v>
      </c>
      <c r="C308" t="s">
        <v>543</v>
      </c>
      <c r="D308" t="s">
        <v>544</v>
      </c>
      <c r="E308" t="s">
        <v>1277</v>
      </c>
      <c r="F308" t="s">
        <v>105</v>
      </c>
      <c r="G308" t="s">
        <v>617</v>
      </c>
      <c r="H308" t="s">
        <v>48</v>
      </c>
    </row>
    <row r="309" spans="1:8">
      <c r="A309" t="s">
        <v>1278</v>
      </c>
      <c r="B309" t="s">
        <v>1279</v>
      </c>
      <c r="C309" t="s">
        <v>543</v>
      </c>
      <c r="D309" t="s">
        <v>544</v>
      </c>
      <c r="E309" t="s">
        <v>1274</v>
      </c>
      <c r="F309" t="s">
        <v>446</v>
      </c>
      <c r="G309" t="s">
        <v>640</v>
      </c>
      <c r="H309" t="s">
        <v>651</v>
      </c>
    </row>
    <row r="310" spans="1:8">
      <c r="A310" t="s">
        <v>1280</v>
      </c>
      <c r="B310" t="s">
        <v>1281</v>
      </c>
      <c r="C310" t="s">
        <v>543</v>
      </c>
      <c r="D310" t="s">
        <v>544</v>
      </c>
      <c r="E310" t="s">
        <v>1274</v>
      </c>
      <c r="F310" t="s">
        <v>465</v>
      </c>
      <c r="G310" t="s">
        <v>629</v>
      </c>
      <c r="H310" t="s">
        <v>48</v>
      </c>
    </row>
    <row r="311" spans="1:8">
      <c r="A311" t="s">
        <v>1282</v>
      </c>
      <c r="B311" t="s">
        <v>1283</v>
      </c>
      <c r="C311" t="s">
        <v>543</v>
      </c>
      <c r="D311" t="s">
        <v>544</v>
      </c>
      <c r="E311" t="s">
        <v>1269</v>
      </c>
      <c r="F311" t="s">
        <v>230</v>
      </c>
      <c r="G311" t="s">
        <v>640</v>
      </c>
      <c r="H311" t="s">
        <v>48</v>
      </c>
    </row>
    <row r="312" spans="1:8">
      <c r="A312" t="s">
        <v>1284</v>
      </c>
      <c r="B312" t="s">
        <v>1285</v>
      </c>
      <c r="C312" t="s">
        <v>545</v>
      </c>
      <c r="D312" t="s">
        <v>546</v>
      </c>
      <c r="E312" t="s">
        <v>1286</v>
      </c>
      <c r="F312" t="s">
        <v>230</v>
      </c>
      <c r="G312" t="s">
        <v>617</v>
      </c>
      <c r="H312" t="s">
        <v>48</v>
      </c>
    </row>
    <row r="313" spans="1:8">
      <c r="A313" t="s">
        <v>1287</v>
      </c>
      <c r="B313" t="s">
        <v>1288</v>
      </c>
      <c r="C313" t="s">
        <v>545</v>
      </c>
      <c r="D313" t="s">
        <v>546</v>
      </c>
      <c r="E313" t="s">
        <v>1289</v>
      </c>
      <c r="F313" t="s">
        <v>300</v>
      </c>
      <c r="G313" t="s">
        <v>617</v>
      </c>
      <c r="H313" t="s">
        <v>48</v>
      </c>
    </row>
    <row r="314" spans="1:8">
      <c r="A314" t="s">
        <v>1290</v>
      </c>
      <c r="B314" t="s">
        <v>1291</v>
      </c>
      <c r="C314" t="s">
        <v>545</v>
      </c>
      <c r="D314" t="s">
        <v>546</v>
      </c>
      <c r="E314" t="s">
        <v>1289</v>
      </c>
      <c r="F314" t="s">
        <v>353</v>
      </c>
      <c r="G314" t="s">
        <v>617</v>
      </c>
      <c r="H314" t="s">
        <v>48</v>
      </c>
    </row>
    <row r="315" spans="1:8">
      <c r="A315" t="s">
        <v>1292</v>
      </c>
      <c r="B315" t="s">
        <v>1293</v>
      </c>
      <c r="C315" t="s">
        <v>545</v>
      </c>
      <c r="D315" t="s">
        <v>546</v>
      </c>
      <c r="E315" t="s">
        <v>1294</v>
      </c>
      <c r="F315" t="s">
        <v>427</v>
      </c>
      <c r="G315" t="s">
        <v>617</v>
      </c>
      <c r="H315" t="s">
        <v>48</v>
      </c>
    </row>
    <row r="316" spans="1:8">
      <c r="A316" t="s">
        <v>1295</v>
      </c>
      <c r="B316" t="s">
        <v>1296</v>
      </c>
      <c r="C316" t="s">
        <v>545</v>
      </c>
      <c r="D316" t="s">
        <v>546</v>
      </c>
      <c r="E316" t="s">
        <v>1294</v>
      </c>
      <c r="F316" t="s">
        <v>446</v>
      </c>
      <c r="G316" t="s">
        <v>637</v>
      </c>
      <c r="H316" t="s">
        <v>48</v>
      </c>
    </row>
    <row r="317" spans="1:8">
      <c r="A317" t="s">
        <v>1297</v>
      </c>
      <c r="B317" t="s">
        <v>1298</v>
      </c>
      <c r="C317" t="s">
        <v>545</v>
      </c>
      <c r="D317" t="s">
        <v>546</v>
      </c>
      <c r="E317" t="s">
        <v>1294</v>
      </c>
      <c r="F317" t="s">
        <v>230</v>
      </c>
      <c r="G317" t="s">
        <v>640</v>
      </c>
      <c r="H317" t="s">
        <v>48</v>
      </c>
    </row>
    <row r="318" spans="1:8">
      <c r="A318" t="s">
        <v>1299</v>
      </c>
      <c r="B318" t="s">
        <v>1300</v>
      </c>
      <c r="C318" t="s">
        <v>545</v>
      </c>
      <c r="D318" t="s">
        <v>546</v>
      </c>
      <c r="E318" t="s">
        <v>1286</v>
      </c>
      <c r="F318" t="s">
        <v>484</v>
      </c>
      <c r="G318" t="s">
        <v>637</v>
      </c>
      <c r="H318" t="s">
        <v>48</v>
      </c>
    </row>
    <row r="319" spans="1:8">
      <c r="A319" t="s">
        <v>1301</v>
      </c>
      <c r="B319" t="s">
        <v>1302</v>
      </c>
      <c r="C319" t="s">
        <v>545</v>
      </c>
      <c r="D319" t="s">
        <v>546</v>
      </c>
      <c r="E319" t="s">
        <v>1294</v>
      </c>
      <c r="F319" t="s">
        <v>105</v>
      </c>
      <c r="G319" t="s">
        <v>629</v>
      </c>
      <c r="H319" t="s">
        <v>48</v>
      </c>
    </row>
    <row r="320" spans="1:8">
      <c r="A320" t="s">
        <v>1303</v>
      </c>
      <c r="B320" t="s">
        <v>1304</v>
      </c>
      <c r="C320" t="s">
        <v>545</v>
      </c>
      <c r="D320" t="s">
        <v>546</v>
      </c>
      <c r="E320" t="s">
        <v>1294</v>
      </c>
      <c r="F320" t="s">
        <v>230</v>
      </c>
      <c r="G320" t="s">
        <v>632</v>
      </c>
      <c r="H320" t="s">
        <v>48</v>
      </c>
    </row>
    <row r="321" spans="1:8">
      <c r="A321" t="s">
        <v>1305</v>
      </c>
      <c r="B321" t="s">
        <v>1306</v>
      </c>
      <c r="C321" t="s">
        <v>545</v>
      </c>
      <c r="D321" t="s">
        <v>546</v>
      </c>
      <c r="E321" t="s">
        <v>1289</v>
      </c>
      <c r="F321" t="s">
        <v>446</v>
      </c>
      <c r="G321" t="s">
        <v>629</v>
      </c>
      <c r="H321" t="s">
        <v>651</v>
      </c>
    </row>
    <row r="322" spans="1:8">
      <c r="A322" t="s">
        <v>1307</v>
      </c>
      <c r="B322" t="s">
        <v>1308</v>
      </c>
      <c r="C322" t="s">
        <v>545</v>
      </c>
      <c r="D322" t="s">
        <v>546</v>
      </c>
      <c r="E322" t="s">
        <v>1289</v>
      </c>
      <c r="F322" t="s">
        <v>484</v>
      </c>
      <c r="G322" t="s">
        <v>617</v>
      </c>
      <c r="H322" t="s">
        <v>48</v>
      </c>
    </row>
    <row r="323" spans="1:8">
      <c r="A323" t="s">
        <v>1309</v>
      </c>
      <c r="B323" t="s">
        <v>1310</v>
      </c>
      <c r="C323" t="s">
        <v>545</v>
      </c>
      <c r="D323" t="s">
        <v>546</v>
      </c>
      <c r="E323" t="s">
        <v>1294</v>
      </c>
      <c r="F323" t="s">
        <v>353</v>
      </c>
      <c r="G323" t="s">
        <v>637</v>
      </c>
      <c r="H323" t="s">
        <v>48</v>
      </c>
    </row>
    <row r="324" spans="1:8">
      <c r="A324" t="s">
        <v>1311</v>
      </c>
      <c r="B324" t="s">
        <v>1312</v>
      </c>
      <c r="C324" t="s">
        <v>545</v>
      </c>
      <c r="D324" t="s">
        <v>546</v>
      </c>
      <c r="E324" t="s">
        <v>1294</v>
      </c>
      <c r="F324" t="s">
        <v>300</v>
      </c>
      <c r="G324" t="s">
        <v>629</v>
      </c>
      <c r="H324" t="s">
        <v>651</v>
      </c>
    </row>
    <row r="325" spans="1:8">
      <c r="A325" t="s">
        <v>1313</v>
      </c>
      <c r="B325" t="s">
        <v>1314</v>
      </c>
      <c r="C325" t="s">
        <v>545</v>
      </c>
      <c r="D325" t="s">
        <v>546</v>
      </c>
      <c r="E325" t="s">
        <v>1286</v>
      </c>
      <c r="F325" t="s">
        <v>408</v>
      </c>
      <c r="G325" t="s">
        <v>617</v>
      </c>
      <c r="H325" t="s">
        <v>651</v>
      </c>
    </row>
    <row r="326" spans="1:8">
      <c r="A326" t="s">
        <v>1315</v>
      </c>
      <c r="B326" t="s">
        <v>1316</v>
      </c>
      <c r="C326" t="s">
        <v>547</v>
      </c>
      <c r="D326" t="s">
        <v>548</v>
      </c>
      <c r="E326" t="s">
        <v>1317</v>
      </c>
      <c r="F326" t="s">
        <v>465</v>
      </c>
      <c r="G326" t="s">
        <v>632</v>
      </c>
      <c r="H326" t="s">
        <v>48</v>
      </c>
    </row>
    <row r="327" spans="1:8">
      <c r="A327" t="s">
        <v>1318</v>
      </c>
      <c r="B327" t="s">
        <v>1319</v>
      </c>
      <c r="C327" t="s">
        <v>547</v>
      </c>
      <c r="D327" t="s">
        <v>548</v>
      </c>
      <c r="E327" t="s">
        <v>1317</v>
      </c>
      <c r="F327" t="s">
        <v>427</v>
      </c>
      <c r="G327" t="s">
        <v>629</v>
      </c>
      <c r="H327" t="s">
        <v>48</v>
      </c>
    </row>
    <row r="328" spans="1:8">
      <c r="A328" t="s">
        <v>1320</v>
      </c>
      <c r="B328" t="s">
        <v>1321</v>
      </c>
      <c r="C328" t="s">
        <v>547</v>
      </c>
      <c r="D328" t="s">
        <v>548</v>
      </c>
      <c r="E328" t="s">
        <v>1317</v>
      </c>
      <c r="F328" t="s">
        <v>446</v>
      </c>
      <c r="G328" t="s">
        <v>637</v>
      </c>
      <c r="H328" t="s">
        <v>48</v>
      </c>
    </row>
    <row r="329" spans="1:8">
      <c r="A329" t="s">
        <v>1322</v>
      </c>
      <c r="B329" t="s">
        <v>1323</v>
      </c>
      <c r="C329" t="s">
        <v>547</v>
      </c>
      <c r="D329" t="s">
        <v>548</v>
      </c>
      <c r="E329" t="s">
        <v>1317</v>
      </c>
      <c r="F329" t="s">
        <v>230</v>
      </c>
      <c r="G329" t="s">
        <v>632</v>
      </c>
      <c r="H329" t="s">
        <v>651</v>
      </c>
    </row>
    <row r="330" spans="1:8">
      <c r="A330" t="s">
        <v>1324</v>
      </c>
      <c r="B330" t="s">
        <v>1325</v>
      </c>
      <c r="C330" t="s">
        <v>547</v>
      </c>
      <c r="D330" t="s">
        <v>548</v>
      </c>
      <c r="E330" t="s">
        <v>1317</v>
      </c>
      <c r="F330" t="s">
        <v>105</v>
      </c>
      <c r="G330" t="s">
        <v>629</v>
      </c>
      <c r="H330" t="s">
        <v>48</v>
      </c>
    </row>
    <row r="331" spans="1:8">
      <c r="A331" t="s">
        <v>1326</v>
      </c>
      <c r="B331" t="s">
        <v>1327</v>
      </c>
      <c r="C331" t="s">
        <v>547</v>
      </c>
      <c r="D331" t="s">
        <v>548</v>
      </c>
      <c r="E331" t="s">
        <v>1328</v>
      </c>
      <c r="F331" t="s">
        <v>408</v>
      </c>
      <c r="G331" t="s">
        <v>617</v>
      </c>
      <c r="H331" t="s">
        <v>48</v>
      </c>
    </row>
    <row r="332" spans="1:8">
      <c r="A332" t="s">
        <v>1329</v>
      </c>
      <c r="B332" t="s">
        <v>1330</v>
      </c>
      <c r="C332" t="s">
        <v>547</v>
      </c>
      <c r="D332" t="s">
        <v>548</v>
      </c>
      <c r="E332" t="s">
        <v>1317</v>
      </c>
      <c r="F332" t="s">
        <v>465</v>
      </c>
      <c r="G332" t="s">
        <v>637</v>
      </c>
      <c r="H332" t="s">
        <v>48</v>
      </c>
    </row>
    <row r="333" spans="1:8">
      <c r="A333" t="s">
        <v>1331</v>
      </c>
      <c r="B333" t="s">
        <v>1316</v>
      </c>
      <c r="C333" t="s">
        <v>547</v>
      </c>
      <c r="D333" t="s">
        <v>548</v>
      </c>
      <c r="E333" t="s">
        <v>1317</v>
      </c>
      <c r="F333" t="s">
        <v>465</v>
      </c>
      <c r="G333" t="s">
        <v>617</v>
      </c>
      <c r="H333" t="s">
        <v>48</v>
      </c>
    </row>
    <row r="334" spans="1:8">
      <c r="A334" t="s">
        <v>1332</v>
      </c>
      <c r="B334" t="s">
        <v>1333</v>
      </c>
      <c r="C334" t="s">
        <v>547</v>
      </c>
      <c r="D334" t="s">
        <v>548</v>
      </c>
      <c r="E334" t="s">
        <v>1317</v>
      </c>
      <c r="F334" t="s">
        <v>389</v>
      </c>
      <c r="G334" t="s">
        <v>640</v>
      </c>
      <c r="H334" t="s">
        <v>651</v>
      </c>
    </row>
    <row r="335" spans="1:8">
      <c r="A335" t="s">
        <v>1334</v>
      </c>
      <c r="B335" t="s">
        <v>1335</v>
      </c>
      <c r="C335" t="s">
        <v>547</v>
      </c>
      <c r="D335" t="s">
        <v>548</v>
      </c>
      <c r="E335" t="s">
        <v>1328</v>
      </c>
      <c r="F335" t="s">
        <v>427</v>
      </c>
      <c r="G335" t="s">
        <v>640</v>
      </c>
      <c r="H335" t="s">
        <v>48</v>
      </c>
    </row>
    <row r="336" spans="1:8">
      <c r="A336" t="s">
        <v>1336</v>
      </c>
      <c r="B336" t="s">
        <v>1337</v>
      </c>
      <c r="C336" t="s">
        <v>547</v>
      </c>
      <c r="D336" t="s">
        <v>548</v>
      </c>
      <c r="E336" t="s">
        <v>1317</v>
      </c>
      <c r="F336" t="s">
        <v>177</v>
      </c>
      <c r="G336" t="s">
        <v>637</v>
      </c>
      <c r="H336" t="s">
        <v>48</v>
      </c>
    </row>
    <row r="337" spans="1:8">
      <c r="A337" t="s">
        <v>1338</v>
      </c>
      <c r="B337" t="s">
        <v>1339</v>
      </c>
      <c r="C337" t="s">
        <v>547</v>
      </c>
      <c r="D337" t="s">
        <v>548</v>
      </c>
      <c r="E337" t="s">
        <v>1340</v>
      </c>
      <c r="F337" t="s">
        <v>484</v>
      </c>
      <c r="G337" t="s">
        <v>637</v>
      </c>
      <c r="H337" t="s">
        <v>48</v>
      </c>
    </row>
    <row r="338" spans="1:8">
      <c r="A338" t="s">
        <v>1341</v>
      </c>
      <c r="B338" t="s">
        <v>1321</v>
      </c>
      <c r="C338" t="s">
        <v>547</v>
      </c>
      <c r="D338" t="s">
        <v>548</v>
      </c>
      <c r="E338" t="s">
        <v>1317</v>
      </c>
      <c r="F338" t="s">
        <v>446</v>
      </c>
      <c r="G338" t="s">
        <v>637</v>
      </c>
      <c r="H338" t="s">
        <v>651</v>
      </c>
    </row>
    <row r="339" spans="1:8">
      <c r="A339" t="s">
        <v>1342</v>
      </c>
      <c r="B339" t="s">
        <v>1343</v>
      </c>
      <c r="C339" t="s">
        <v>547</v>
      </c>
      <c r="D339" t="s">
        <v>548</v>
      </c>
      <c r="E339" t="s">
        <v>1328</v>
      </c>
      <c r="F339" t="s">
        <v>484</v>
      </c>
      <c r="G339" t="s">
        <v>617</v>
      </c>
      <c r="H339" t="s">
        <v>48</v>
      </c>
    </row>
    <row r="340" spans="1:8">
      <c r="A340" t="s">
        <v>1344</v>
      </c>
      <c r="B340" t="s">
        <v>1345</v>
      </c>
      <c r="C340" t="s">
        <v>547</v>
      </c>
      <c r="D340" t="s">
        <v>548</v>
      </c>
      <c r="E340" t="s">
        <v>1328</v>
      </c>
      <c r="F340" t="s">
        <v>389</v>
      </c>
      <c r="G340" t="s">
        <v>640</v>
      </c>
      <c r="H340" t="s">
        <v>651</v>
      </c>
    </row>
    <row r="341" spans="1:8">
      <c r="A341" t="s">
        <v>1346</v>
      </c>
      <c r="B341" t="s">
        <v>1347</v>
      </c>
      <c r="C341" t="s">
        <v>547</v>
      </c>
      <c r="D341" t="s">
        <v>548</v>
      </c>
      <c r="E341" t="s">
        <v>1340</v>
      </c>
      <c r="F341" t="s">
        <v>484</v>
      </c>
      <c r="G341" t="s">
        <v>629</v>
      </c>
      <c r="H341" t="s">
        <v>48</v>
      </c>
    </row>
    <row r="342" spans="1:8">
      <c r="A342" t="s">
        <v>1348</v>
      </c>
      <c r="B342" t="s">
        <v>1349</v>
      </c>
      <c r="C342" t="s">
        <v>547</v>
      </c>
      <c r="D342" t="s">
        <v>548</v>
      </c>
      <c r="E342" t="s">
        <v>1328</v>
      </c>
      <c r="F342" t="s">
        <v>484</v>
      </c>
      <c r="G342" t="s">
        <v>637</v>
      </c>
      <c r="H342" t="s">
        <v>48</v>
      </c>
    </row>
    <row r="343" spans="1:8">
      <c r="A343" t="s">
        <v>1350</v>
      </c>
      <c r="B343" t="s">
        <v>1351</v>
      </c>
      <c r="C343" t="s">
        <v>547</v>
      </c>
      <c r="D343" t="s">
        <v>548</v>
      </c>
      <c r="E343" t="s">
        <v>1340</v>
      </c>
      <c r="F343" t="s">
        <v>427</v>
      </c>
      <c r="G343" t="s">
        <v>632</v>
      </c>
      <c r="H343" t="s">
        <v>48</v>
      </c>
    </row>
    <row r="344" spans="1:8">
      <c r="A344" t="s">
        <v>1352</v>
      </c>
      <c r="B344" t="s">
        <v>1353</v>
      </c>
      <c r="C344" t="s">
        <v>547</v>
      </c>
      <c r="D344" t="s">
        <v>548</v>
      </c>
      <c r="E344" t="s">
        <v>1340</v>
      </c>
      <c r="F344" t="s">
        <v>105</v>
      </c>
      <c r="G344" t="s">
        <v>617</v>
      </c>
      <c r="H344" t="s">
        <v>48</v>
      </c>
    </row>
    <row r="345" spans="1:8">
      <c r="A345" t="s">
        <v>1354</v>
      </c>
      <c r="B345" t="s">
        <v>1355</v>
      </c>
      <c r="C345" t="s">
        <v>547</v>
      </c>
      <c r="D345" t="s">
        <v>548</v>
      </c>
      <c r="E345" t="s">
        <v>1328</v>
      </c>
      <c r="F345" t="s">
        <v>353</v>
      </c>
      <c r="G345" t="s">
        <v>629</v>
      </c>
      <c r="H345" t="s">
        <v>48</v>
      </c>
    </row>
    <row r="346" spans="1:8">
      <c r="A346" t="s">
        <v>1356</v>
      </c>
      <c r="B346" t="s">
        <v>1357</v>
      </c>
      <c r="C346" t="s">
        <v>547</v>
      </c>
      <c r="D346" t="s">
        <v>548</v>
      </c>
      <c r="E346" t="s">
        <v>1328</v>
      </c>
      <c r="F346" t="s">
        <v>353</v>
      </c>
      <c r="G346" t="s">
        <v>640</v>
      </c>
      <c r="H346" t="s">
        <v>48</v>
      </c>
    </row>
    <row r="347" spans="1:8">
      <c r="A347" t="s">
        <v>1358</v>
      </c>
      <c r="B347" t="s">
        <v>1359</v>
      </c>
      <c r="C347" t="s">
        <v>547</v>
      </c>
      <c r="D347" t="s">
        <v>548</v>
      </c>
      <c r="E347" t="s">
        <v>1317</v>
      </c>
      <c r="F347" t="s">
        <v>177</v>
      </c>
      <c r="G347" t="s">
        <v>637</v>
      </c>
      <c r="H347" t="s">
        <v>48</v>
      </c>
    </row>
    <row r="348" spans="1:8">
      <c r="A348" t="s">
        <v>1360</v>
      </c>
      <c r="B348" t="s">
        <v>1361</v>
      </c>
      <c r="C348" t="s">
        <v>547</v>
      </c>
      <c r="D348" t="s">
        <v>548</v>
      </c>
      <c r="E348" t="s">
        <v>1317</v>
      </c>
      <c r="F348" t="s">
        <v>300</v>
      </c>
      <c r="G348" t="s">
        <v>637</v>
      </c>
      <c r="H348" t="s">
        <v>48</v>
      </c>
    </row>
    <row r="349" spans="1:8">
      <c r="A349" t="s">
        <v>1362</v>
      </c>
      <c r="B349" t="s">
        <v>1363</v>
      </c>
      <c r="C349" t="s">
        <v>547</v>
      </c>
      <c r="D349" t="s">
        <v>548</v>
      </c>
      <c r="E349" t="s">
        <v>1328</v>
      </c>
      <c r="F349" t="s">
        <v>230</v>
      </c>
      <c r="G349" t="s">
        <v>632</v>
      </c>
      <c r="H349" t="s">
        <v>48</v>
      </c>
    </row>
    <row r="350" spans="1:8">
      <c r="A350" t="s">
        <v>1364</v>
      </c>
      <c r="B350" t="s">
        <v>1365</v>
      </c>
      <c r="C350" t="s">
        <v>547</v>
      </c>
      <c r="D350" t="s">
        <v>548</v>
      </c>
      <c r="E350" t="s">
        <v>1340</v>
      </c>
      <c r="F350" t="s">
        <v>465</v>
      </c>
      <c r="G350" t="s">
        <v>629</v>
      </c>
      <c r="H350" t="s">
        <v>651</v>
      </c>
    </row>
    <row r="351" spans="1:8">
      <c r="A351" t="s">
        <v>1366</v>
      </c>
      <c r="B351" t="s">
        <v>1367</v>
      </c>
      <c r="C351" t="s">
        <v>547</v>
      </c>
      <c r="D351" t="s">
        <v>548</v>
      </c>
      <c r="E351" t="s">
        <v>1328</v>
      </c>
      <c r="F351" t="s">
        <v>408</v>
      </c>
      <c r="G351" t="s">
        <v>629</v>
      </c>
      <c r="H351" t="s">
        <v>48</v>
      </c>
    </row>
    <row r="352" spans="1:8">
      <c r="A352" t="s">
        <v>1368</v>
      </c>
      <c r="B352" t="s">
        <v>1369</v>
      </c>
      <c r="C352" t="s">
        <v>547</v>
      </c>
      <c r="D352" t="s">
        <v>548</v>
      </c>
      <c r="E352" t="s">
        <v>1317</v>
      </c>
      <c r="F352" t="s">
        <v>105</v>
      </c>
      <c r="G352" t="s">
        <v>629</v>
      </c>
      <c r="H352" t="s">
        <v>651</v>
      </c>
    </row>
    <row r="353" spans="1:8">
      <c r="A353" t="s">
        <v>1370</v>
      </c>
      <c r="B353" t="s">
        <v>1371</v>
      </c>
      <c r="C353" t="s">
        <v>547</v>
      </c>
      <c r="D353" t="s">
        <v>548</v>
      </c>
      <c r="E353" t="s">
        <v>1328</v>
      </c>
      <c r="F353" t="s">
        <v>446</v>
      </c>
      <c r="G353" t="s">
        <v>629</v>
      </c>
      <c r="H353" t="s">
        <v>48</v>
      </c>
    </row>
    <row r="354" spans="1:8">
      <c r="A354" t="s">
        <v>1372</v>
      </c>
      <c r="B354" t="s">
        <v>1373</v>
      </c>
      <c r="C354" t="s">
        <v>549</v>
      </c>
      <c r="D354" t="s">
        <v>550</v>
      </c>
      <c r="E354" t="s">
        <v>1374</v>
      </c>
      <c r="F354" t="s">
        <v>300</v>
      </c>
      <c r="G354" t="s">
        <v>629</v>
      </c>
      <c r="H354" t="s">
        <v>48</v>
      </c>
    </row>
    <row r="355" spans="1:8">
      <c r="A355" t="s">
        <v>1375</v>
      </c>
      <c r="B355" t="s">
        <v>1376</v>
      </c>
      <c r="C355" t="s">
        <v>549</v>
      </c>
      <c r="D355" t="s">
        <v>550</v>
      </c>
      <c r="E355" t="s">
        <v>1377</v>
      </c>
      <c r="F355" t="s">
        <v>353</v>
      </c>
      <c r="G355" t="s">
        <v>640</v>
      </c>
      <c r="H355" t="s">
        <v>651</v>
      </c>
    </row>
    <row r="356" spans="1:8">
      <c r="A356" t="s">
        <v>1378</v>
      </c>
      <c r="B356" t="s">
        <v>1379</v>
      </c>
      <c r="C356" t="s">
        <v>549</v>
      </c>
      <c r="D356" t="s">
        <v>550</v>
      </c>
      <c r="E356" t="s">
        <v>1380</v>
      </c>
      <c r="F356" t="s">
        <v>353</v>
      </c>
      <c r="G356" t="s">
        <v>640</v>
      </c>
      <c r="H356" t="s">
        <v>48</v>
      </c>
    </row>
    <row r="357" spans="1:8">
      <c r="A357" t="s">
        <v>1381</v>
      </c>
      <c r="B357" t="s">
        <v>1382</v>
      </c>
      <c r="C357" t="s">
        <v>549</v>
      </c>
      <c r="D357" t="s">
        <v>550</v>
      </c>
      <c r="E357" t="s">
        <v>1380</v>
      </c>
      <c r="F357" t="s">
        <v>177</v>
      </c>
      <c r="G357" t="s">
        <v>637</v>
      </c>
      <c r="H357" t="s">
        <v>48</v>
      </c>
    </row>
    <row r="358" spans="1:8">
      <c r="A358" t="s">
        <v>1383</v>
      </c>
      <c r="B358" t="s">
        <v>1384</v>
      </c>
      <c r="C358" t="s">
        <v>551</v>
      </c>
      <c r="D358" t="s">
        <v>551</v>
      </c>
      <c r="E358" t="s">
        <v>1385</v>
      </c>
      <c r="F358" t="s">
        <v>230</v>
      </c>
      <c r="G358" t="s">
        <v>617</v>
      </c>
      <c r="H358" t="s">
        <v>48</v>
      </c>
    </row>
    <row r="359" spans="1:8">
      <c r="A359" t="s">
        <v>1386</v>
      </c>
      <c r="B359" t="s">
        <v>1387</v>
      </c>
      <c r="C359" t="s">
        <v>551</v>
      </c>
      <c r="D359" t="s">
        <v>551</v>
      </c>
      <c r="E359" t="s">
        <v>1385</v>
      </c>
      <c r="F359" t="s">
        <v>105</v>
      </c>
      <c r="G359" t="s">
        <v>637</v>
      </c>
      <c r="H359" t="s">
        <v>48</v>
      </c>
    </row>
    <row r="360" spans="1:8">
      <c r="A360" t="s">
        <v>1388</v>
      </c>
      <c r="B360" t="s">
        <v>1389</v>
      </c>
      <c r="C360" t="s">
        <v>551</v>
      </c>
      <c r="D360" t="s">
        <v>551</v>
      </c>
      <c r="E360" t="s">
        <v>1390</v>
      </c>
      <c r="F360" t="s">
        <v>230</v>
      </c>
      <c r="G360" t="s">
        <v>632</v>
      </c>
      <c r="H360" t="s">
        <v>48</v>
      </c>
    </row>
    <row r="361" spans="1:8">
      <c r="A361" t="s">
        <v>1391</v>
      </c>
      <c r="B361" t="s">
        <v>1392</v>
      </c>
      <c r="C361" t="s">
        <v>551</v>
      </c>
      <c r="D361" t="s">
        <v>551</v>
      </c>
      <c r="E361" t="s">
        <v>1385</v>
      </c>
      <c r="F361" t="s">
        <v>446</v>
      </c>
      <c r="G361" t="s">
        <v>617</v>
      </c>
      <c r="H361" t="s">
        <v>651</v>
      </c>
    </row>
    <row r="362" spans="1:8">
      <c r="A362" t="s">
        <v>1393</v>
      </c>
      <c r="B362" t="s">
        <v>1394</v>
      </c>
      <c r="C362" t="s">
        <v>551</v>
      </c>
      <c r="D362" t="s">
        <v>551</v>
      </c>
      <c r="E362" t="s">
        <v>1385</v>
      </c>
      <c r="F362" t="s">
        <v>427</v>
      </c>
      <c r="G362" t="s">
        <v>640</v>
      </c>
      <c r="H362" t="s">
        <v>48</v>
      </c>
    </row>
    <row r="363" spans="1:8">
      <c r="A363" t="s">
        <v>1395</v>
      </c>
      <c r="B363" t="s">
        <v>1396</v>
      </c>
      <c r="C363" t="s">
        <v>551</v>
      </c>
      <c r="D363" t="s">
        <v>551</v>
      </c>
      <c r="E363" t="s">
        <v>1390</v>
      </c>
      <c r="F363" t="s">
        <v>446</v>
      </c>
      <c r="G363" t="s">
        <v>632</v>
      </c>
      <c r="H363" t="s">
        <v>48</v>
      </c>
    </row>
    <row r="364" spans="1:8">
      <c r="A364" t="s">
        <v>1397</v>
      </c>
      <c r="B364" t="s">
        <v>1398</v>
      </c>
      <c r="C364" t="s">
        <v>551</v>
      </c>
      <c r="D364" t="s">
        <v>551</v>
      </c>
      <c r="E364" t="s">
        <v>1390</v>
      </c>
      <c r="F364" t="s">
        <v>353</v>
      </c>
      <c r="G364" t="s">
        <v>632</v>
      </c>
      <c r="H364" t="s">
        <v>48</v>
      </c>
    </row>
    <row r="365" spans="1:8">
      <c r="A365" t="s">
        <v>1399</v>
      </c>
      <c r="B365" t="s">
        <v>1400</v>
      </c>
      <c r="C365" t="s">
        <v>551</v>
      </c>
      <c r="D365" t="s">
        <v>551</v>
      </c>
      <c r="E365" t="s">
        <v>1385</v>
      </c>
      <c r="F365" t="s">
        <v>105</v>
      </c>
      <c r="G365" t="s">
        <v>637</v>
      </c>
      <c r="H365" t="s">
        <v>48</v>
      </c>
    </row>
    <row r="366" spans="1:8">
      <c r="A366" t="s">
        <v>1401</v>
      </c>
      <c r="B366" t="s">
        <v>1402</v>
      </c>
      <c r="C366" t="s">
        <v>551</v>
      </c>
      <c r="D366" t="s">
        <v>551</v>
      </c>
      <c r="E366" t="s">
        <v>1403</v>
      </c>
      <c r="F366" t="s">
        <v>484</v>
      </c>
      <c r="G366" t="s">
        <v>632</v>
      </c>
      <c r="H366" t="s">
        <v>48</v>
      </c>
    </row>
    <row r="367" spans="1:8">
      <c r="A367" t="s">
        <v>1404</v>
      </c>
      <c r="B367" t="s">
        <v>1405</v>
      </c>
      <c r="C367" t="s">
        <v>552</v>
      </c>
      <c r="D367" t="s">
        <v>553</v>
      </c>
      <c r="E367" t="s">
        <v>1406</v>
      </c>
      <c r="F367" t="s">
        <v>389</v>
      </c>
      <c r="G367" t="s">
        <v>632</v>
      </c>
      <c r="H367" t="s">
        <v>48</v>
      </c>
    </row>
    <row r="368" spans="1:8">
      <c r="A368" t="s">
        <v>1407</v>
      </c>
      <c r="B368" t="s">
        <v>1408</v>
      </c>
      <c r="C368" t="s">
        <v>552</v>
      </c>
      <c r="D368" t="s">
        <v>553</v>
      </c>
      <c r="E368" t="s">
        <v>1409</v>
      </c>
      <c r="F368" t="s">
        <v>300</v>
      </c>
      <c r="G368" t="s">
        <v>629</v>
      </c>
      <c r="H368" t="s">
        <v>48</v>
      </c>
    </row>
    <row r="369" spans="1:8">
      <c r="A369" t="s">
        <v>1410</v>
      </c>
      <c r="B369" t="s">
        <v>1411</v>
      </c>
      <c r="C369" t="s">
        <v>552</v>
      </c>
      <c r="D369" t="s">
        <v>553</v>
      </c>
      <c r="E369" t="s">
        <v>1406</v>
      </c>
      <c r="F369" t="s">
        <v>230</v>
      </c>
      <c r="G369" t="s">
        <v>637</v>
      </c>
      <c r="H369" t="s">
        <v>48</v>
      </c>
    </row>
    <row r="370" spans="1:8">
      <c r="A370" t="s">
        <v>1412</v>
      </c>
      <c r="B370" t="s">
        <v>1413</v>
      </c>
      <c r="C370" t="s">
        <v>552</v>
      </c>
      <c r="D370" t="s">
        <v>553</v>
      </c>
      <c r="E370" t="s">
        <v>1409</v>
      </c>
      <c r="F370" t="s">
        <v>105</v>
      </c>
      <c r="G370" t="s">
        <v>617</v>
      </c>
      <c r="H370" t="s">
        <v>48</v>
      </c>
    </row>
    <row r="371" spans="1:8">
      <c r="A371" t="s">
        <v>1414</v>
      </c>
      <c r="B371" t="s">
        <v>1415</v>
      </c>
      <c r="C371" t="s">
        <v>552</v>
      </c>
      <c r="D371" t="s">
        <v>553</v>
      </c>
      <c r="E371" t="s">
        <v>1416</v>
      </c>
      <c r="F371" t="s">
        <v>353</v>
      </c>
      <c r="G371" t="s">
        <v>637</v>
      </c>
      <c r="H371" t="s">
        <v>48</v>
      </c>
    </row>
    <row r="372" spans="1:8">
      <c r="A372" t="s">
        <v>1417</v>
      </c>
      <c r="B372" t="s">
        <v>1418</v>
      </c>
      <c r="C372" t="s">
        <v>552</v>
      </c>
      <c r="D372" t="s">
        <v>553</v>
      </c>
      <c r="E372" t="s">
        <v>1409</v>
      </c>
      <c r="F372" t="s">
        <v>300</v>
      </c>
      <c r="G372" t="s">
        <v>629</v>
      </c>
      <c r="H372" t="s">
        <v>48</v>
      </c>
    </row>
    <row r="373" spans="1:8">
      <c r="A373" t="s">
        <v>1419</v>
      </c>
      <c r="B373" t="s">
        <v>1420</v>
      </c>
      <c r="C373" t="s">
        <v>552</v>
      </c>
      <c r="D373" t="s">
        <v>553</v>
      </c>
      <c r="E373" t="s">
        <v>1416</v>
      </c>
      <c r="F373" t="s">
        <v>465</v>
      </c>
      <c r="G373" t="s">
        <v>637</v>
      </c>
      <c r="H373" t="s">
        <v>48</v>
      </c>
    </row>
    <row r="374" spans="1:8">
      <c r="A374" t="s">
        <v>1421</v>
      </c>
      <c r="B374" t="s">
        <v>1422</v>
      </c>
      <c r="C374" t="s">
        <v>552</v>
      </c>
      <c r="D374" t="s">
        <v>553</v>
      </c>
      <c r="E374" t="s">
        <v>1423</v>
      </c>
      <c r="F374" t="s">
        <v>408</v>
      </c>
      <c r="G374" t="s">
        <v>632</v>
      </c>
      <c r="H374" t="s">
        <v>48</v>
      </c>
    </row>
    <row r="375" spans="1:8">
      <c r="A375" t="s">
        <v>1424</v>
      </c>
      <c r="B375" t="s">
        <v>1425</v>
      </c>
      <c r="C375" t="s">
        <v>552</v>
      </c>
      <c r="D375" t="s">
        <v>553</v>
      </c>
      <c r="E375" t="s">
        <v>1409</v>
      </c>
      <c r="F375" t="s">
        <v>353</v>
      </c>
      <c r="G375" t="s">
        <v>632</v>
      </c>
      <c r="H375" t="s">
        <v>48</v>
      </c>
    </row>
    <row r="376" spans="1:8">
      <c r="A376" t="s">
        <v>1426</v>
      </c>
      <c r="B376" t="s">
        <v>1427</v>
      </c>
      <c r="C376" t="s">
        <v>554</v>
      </c>
      <c r="D376" t="s">
        <v>555</v>
      </c>
      <c r="E376" t="s">
        <v>1428</v>
      </c>
      <c r="F376" t="s">
        <v>300</v>
      </c>
      <c r="G376" t="s">
        <v>632</v>
      </c>
      <c r="H376" t="s">
        <v>48</v>
      </c>
    </row>
    <row r="377" spans="1:8">
      <c r="A377" t="s">
        <v>1429</v>
      </c>
      <c r="B377" t="s">
        <v>1430</v>
      </c>
      <c r="C377" t="s">
        <v>554</v>
      </c>
      <c r="D377" t="s">
        <v>555</v>
      </c>
      <c r="E377" t="s">
        <v>1431</v>
      </c>
      <c r="F377" t="s">
        <v>105</v>
      </c>
      <c r="G377" t="s">
        <v>632</v>
      </c>
      <c r="H377" t="s">
        <v>48</v>
      </c>
    </row>
    <row r="378" spans="1:8">
      <c r="A378" t="s">
        <v>1432</v>
      </c>
      <c r="B378" t="s">
        <v>1433</v>
      </c>
      <c r="C378" t="s">
        <v>554</v>
      </c>
      <c r="D378" t="s">
        <v>555</v>
      </c>
      <c r="E378" t="s">
        <v>1434</v>
      </c>
      <c r="F378" t="s">
        <v>105</v>
      </c>
      <c r="G378" t="s">
        <v>629</v>
      </c>
      <c r="H378" t="s">
        <v>48</v>
      </c>
    </row>
    <row r="379" spans="1:8">
      <c r="A379" t="s">
        <v>1435</v>
      </c>
      <c r="B379" t="s">
        <v>1436</v>
      </c>
      <c r="C379" t="s">
        <v>554</v>
      </c>
      <c r="D379" t="s">
        <v>555</v>
      </c>
      <c r="E379" t="s">
        <v>1428</v>
      </c>
      <c r="F379" t="s">
        <v>446</v>
      </c>
      <c r="G379" t="s">
        <v>629</v>
      </c>
      <c r="H379" t="s">
        <v>48</v>
      </c>
    </row>
    <row r="380" spans="1:8">
      <c r="A380" t="s">
        <v>1437</v>
      </c>
      <c r="B380" t="s">
        <v>1438</v>
      </c>
      <c r="C380" t="s">
        <v>554</v>
      </c>
      <c r="D380" t="s">
        <v>555</v>
      </c>
      <c r="E380" t="s">
        <v>1434</v>
      </c>
      <c r="F380" t="s">
        <v>230</v>
      </c>
      <c r="G380" t="s">
        <v>637</v>
      </c>
      <c r="H380" t="s">
        <v>48</v>
      </c>
    </row>
    <row r="381" spans="1:8">
      <c r="A381" t="s">
        <v>1439</v>
      </c>
      <c r="B381" t="s">
        <v>1440</v>
      </c>
      <c r="C381" t="s">
        <v>554</v>
      </c>
      <c r="D381" t="s">
        <v>555</v>
      </c>
      <c r="E381" t="s">
        <v>1428</v>
      </c>
      <c r="F381" t="s">
        <v>427</v>
      </c>
      <c r="G381" t="s">
        <v>637</v>
      </c>
      <c r="H381" t="s">
        <v>48</v>
      </c>
    </row>
    <row r="382" spans="1:8">
      <c r="A382" t="s">
        <v>1441</v>
      </c>
      <c r="B382" t="s">
        <v>1442</v>
      </c>
      <c r="C382" t="s">
        <v>554</v>
      </c>
      <c r="D382" t="s">
        <v>555</v>
      </c>
      <c r="E382" t="s">
        <v>1434</v>
      </c>
      <c r="F382" t="s">
        <v>408</v>
      </c>
      <c r="G382" t="s">
        <v>617</v>
      </c>
      <c r="H382" t="s">
        <v>48</v>
      </c>
    </row>
    <row r="383" spans="1:8">
      <c r="A383" t="s">
        <v>1443</v>
      </c>
      <c r="B383" t="s">
        <v>1444</v>
      </c>
      <c r="C383" t="s">
        <v>554</v>
      </c>
      <c r="D383" t="s">
        <v>555</v>
      </c>
      <c r="E383" t="s">
        <v>1431</v>
      </c>
      <c r="F383" t="s">
        <v>230</v>
      </c>
      <c r="G383" t="s">
        <v>640</v>
      </c>
      <c r="H383" t="s">
        <v>651</v>
      </c>
    </row>
    <row r="384" spans="1:8">
      <c r="A384" t="s">
        <v>1445</v>
      </c>
      <c r="B384" t="s">
        <v>1446</v>
      </c>
      <c r="C384" t="s">
        <v>554</v>
      </c>
      <c r="D384" t="s">
        <v>555</v>
      </c>
      <c r="E384" t="s">
        <v>1431</v>
      </c>
      <c r="F384" t="s">
        <v>446</v>
      </c>
      <c r="G384" t="s">
        <v>637</v>
      </c>
      <c r="H384" t="s">
        <v>48</v>
      </c>
    </row>
    <row r="385" spans="1:8">
      <c r="A385" t="s">
        <v>1447</v>
      </c>
      <c r="B385" t="s">
        <v>1448</v>
      </c>
      <c r="C385" t="s">
        <v>554</v>
      </c>
      <c r="D385" t="s">
        <v>555</v>
      </c>
      <c r="E385" t="s">
        <v>1449</v>
      </c>
      <c r="F385" t="s">
        <v>389</v>
      </c>
      <c r="G385" t="s">
        <v>640</v>
      </c>
      <c r="H385" t="s">
        <v>48</v>
      </c>
    </row>
    <row r="386" spans="1:8">
      <c r="A386" t="s">
        <v>1450</v>
      </c>
      <c r="B386" t="s">
        <v>1451</v>
      </c>
      <c r="C386" t="s">
        <v>556</v>
      </c>
      <c r="D386" t="s">
        <v>557</v>
      </c>
      <c r="E386" t="s">
        <v>1452</v>
      </c>
      <c r="F386" t="s">
        <v>353</v>
      </c>
      <c r="G386" t="s">
        <v>617</v>
      </c>
      <c r="H386" t="s">
        <v>48</v>
      </c>
    </row>
    <row r="387" spans="1:8">
      <c r="A387" t="s">
        <v>1453</v>
      </c>
      <c r="B387" t="s">
        <v>1454</v>
      </c>
      <c r="C387" t="s">
        <v>556</v>
      </c>
      <c r="D387" t="s">
        <v>557</v>
      </c>
      <c r="E387" t="s">
        <v>1455</v>
      </c>
      <c r="F387" t="s">
        <v>353</v>
      </c>
      <c r="G387" t="s">
        <v>640</v>
      </c>
      <c r="H387" t="s">
        <v>48</v>
      </c>
    </row>
    <row r="388" spans="1:8">
      <c r="A388" t="s">
        <v>1456</v>
      </c>
      <c r="B388" t="s">
        <v>1457</v>
      </c>
      <c r="C388" t="s">
        <v>556</v>
      </c>
      <c r="D388" t="s">
        <v>557</v>
      </c>
      <c r="E388" t="s">
        <v>1458</v>
      </c>
      <c r="F388" t="s">
        <v>230</v>
      </c>
      <c r="G388" t="s">
        <v>632</v>
      </c>
      <c r="H388" t="s">
        <v>48</v>
      </c>
    </row>
    <row r="389" spans="1:8">
      <c r="A389" t="s">
        <v>1459</v>
      </c>
      <c r="B389" t="s">
        <v>1460</v>
      </c>
      <c r="C389" t="s">
        <v>556</v>
      </c>
      <c r="D389" t="s">
        <v>557</v>
      </c>
      <c r="E389" t="s">
        <v>1461</v>
      </c>
      <c r="F389" t="s">
        <v>465</v>
      </c>
      <c r="G389" t="s">
        <v>637</v>
      </c>
      <c r="H389" t="s">
        <v>48</v>
      </c>
    </row>
    <row r="390" spans="1:8">
      <c r="A390" t="s">
        <v>1462</v>
      </c>
      <c r="B390" t="s">
        <v>1463</v>
      </c>
      <c r="C390" t="s">
        <v>556</v>
      </c>
      <c r="D390" t="s">
        <v>557</v>
      </c>
      <c r="E390" t="s">
        <v>1455</v>
      </c>
      <c r="F390" t="s">
        <v>389</v>
      </c>
      <c r="G390" t="s">
        <v>640</v>
      </c>
      <c r="H390" t="s">
        <v>48</v>
      </c>
    </row>
    <row r="391" spans="1:8">
      <c r="A391" t="s">
        <v>1464</v>
      </c>
      <c r="B391" t="s">
        <v>1465</v>
      </c>
      <c r="C391" t="s">
        <v>556</v>
      </c>
      <c r="D391" t="s">
        <v>557</v>
      </c>
      <c r="E391" t="s">
        <v>1455</v>
      </c>
      <c r="F391" t="s">
        <v>43</v>
      </c>
      <c r="G391" t="s">
        <v>640</v>
      </c>
      <c r="H391" t="s">
        <v>48</v>
      </c>
    </row>
    <row r="392" spans="1:8">
      <c r="A392" t="s">
        <v>1466</v>
      </c>
      <c r="B392" t="s">
        <v>1467</v>
      </c>
      <c r="C392" t="s">
        <v>556</v>
      </c>
      <c r="D392" t="s">
        <v>557</v>
      </c>
      <c r="E392" t="s">
        <v>1458</v>
      </c>
      <c r="F392" t="s">
        <v>105</v>
      </c>
      <c r="G392" t="s">
        <v>640</v>
      </c>
      <c r="H392" t="s">
        <v>48</v>
      </c>
    </row>
    <row r="393" spans="1:8">
      <c r="A393" t="s">
        <v>1468</v>
      </c>
      <c r="B393" t="s">
        <v>1469</v>
      </c>
      <c r="C393" t="s">
        <v>556</v>
      </c>
      <c r="D393" t="s">
        <v>557</v>
      </c>
      <c r="E393" t="s">
        <v>1452</v>
      </c>
      <c r="F393" t="s">
        <v>427</v>
      </c>
      <c r="G393" t="s">
        <v>640</v>
      </c>
      <c r="H393" t="s">
        <v>651</v>
      </c>
    </row>
    <row r="394" spans="1:8">
      <c r="A394" t="s">
        <v>1470</v>
      </c>
      <c r="B394" t="s">
        <v>1471</v>
      </c>
      <c r="C394" t="s">
        <v>556</v>
      </c>
      <c r="D394" t="s">
        <v>557</v>
      </c>
      <c r="E394" t="s">
        <v>1452</v>
      </c>
      <c r="F394" t="s">
        <v>446</v>
      </c>
      <c r="G394" t="s">
        <v>617</v>
      </c>
      <c r="H394" t="s">
        <v>48</v>
      </c>
    </row>
    <row r="395" spans="1:8">
      <c r="A395" t="s">
        <v>1472</v>
      </c>
      <c r="B395" t="s">
        <v>1473</v>
      </c>
      <c r="C395" t="s">
        <v>556</v>
      </c>
      <c r="D395" t="s">
        <v>557</v>
      </c>
      <c r="E395" t="s">
        <v>1455</v>
      </c>
      <c r="F395" t="s">
        <v>484</v>
      </c>
      <c r="G395" t="s">
        <v>632</v>
      </c>
      <c r="H395" t="s">
        <v>48</v>
      </c>
    </row>
    <row r="396" spans="1:8">
      <c r="A396" t="s">
        <v>1474</v>
      </c>
      <c r="B396" t="s">
        <v>1475</v>
      </c>
      <c r="C396" t="s">
        <v>556</v>
      </c>
      <c r="D396" t="s">
        <v>557</v>
      </c>
      <c r="E396" t="s">
        <v>1455</v>
      </c>
      <c r="F396" t="s">
        <v>427</v>
      </c>
      <c r="G396" t="s">
        <v>632</v>
      </c>
      <c r="H396" t="s">
        <v>48</v>
      </c>
    </row>
    <row r="397" spans="1:8">
      <c r="A397" t="s">
        <v>1476</v>
      </c>
      <c r="B397" t="s">
        <v>1477</v>
      </c>
      <c r="C397" t="s">
        <v>558</v>
      </c>
      <c r="D397" t="s">
        <v>559</v>
      </c>
      <c r="E397" t="s">
        <v>1478</v>
      </c>
      <c r="F397" t="s">
        <v>230</v>
      </c>
      <c r="G397" t="s">
        <v>629</v>
      </c>
      <c r="H397" t="s">
        <v>48</v>
      </c>
    </row>
    <row r="398" spans="1:8">
      <c r="A398" t="s">
        <v>1479</v>
      </c>
      <c r="B398" t="s">
        <v>1480</v>
      </c>
      <c r="C398" t="s">
        <v>558</v>
      </c>
      <c r="D398" t="s">
        <v>559</v>
      </c>
      <c r="E398" t="s">
        <v>1478</v>
      </c>
      <c r="F398" t="s">
        <v>300</v>
      </c>
      <c r="G398" t="s">
        <v>617</v>
      </c>
      <c r="H398" t="s">
        <v>48</v>
      </c>
    </row>
    <row r="399" spans="1:8">
      <c r="A399" t="s">
        <v>1481</v>
      </c>
      <c r="B399" t="s">
        <v>1482</v>
      </c>
      <c r="C399" t="s">
        <v>558</v>
      </c>
      <c r="D399" t="s">
        <v>559</v>
      </c>
      <c r="E399" t="s">
        <v>1483</v>
      </c>
      <c r="F399" t="s">
        <v>446</v>
      </c>
      <c r="G399" t="s">
        <v>640</v>
      </c>
      <c r="H399" t="s">
        <v>48</v>
      </c>
    </row>
    <row r="400" spans="1:8">
      <c r="A400" t="s">
        <v>1484</v>
      </c>
      <c r="B400" t="s">
        <v>1485</v>
      </c>
      <c r="C400" t="s">
        <v>558</v>
      </c>
      <c r="D400" t="s">
        <v>559</v>
      </c>
      <c r="E400" t="s">
        <v>1483</v>
      </c>
      <c r="F400" t="s">
        <v>465</v>
      </c>
      <c r="G400" t="s">
        <v>640</v>
      </c>
      <c r="H400" t="s">
        <v>48</v>
      </c>
    </row>
    <row r="401" spans="1:8">
      <c r="A401" t="s">
        <v>1486</v>
      </c>
      <c r="B401" t="s">
        <v>1487</v>
      </c>
      <c r="C401" t="s">
        <v>558</v>
      </c>
      <c r="D401" t="s">
        <v>559</v>
      </c>
      <c r="E401" t="s">
        <v>1488</v>
      </c>
      <c r="F401" t="s">
        <v>389</v>
      </c>
      <c r="G401" t="s">
        <v>617</v>
      </c>
      <c r="H401" t="s">
        <v>48</v>
      </c>
    </row>
    <row r="402" spans="1:8">
      <c r="A402" t="s">
        <v>1489</v>
      </c>
      <c r="B402" t="s">
        <v>1490</v>
      </c>
      <c r="C402" t="s">
        <v>558</v>
      </c>
      <c r="D402" t="s">
        <v>559</v>
      </c>
      <c r="E402" t="s">
        <v>1483</v>
      </c>
      <c r="F402" t="s">
        <v>353</v>
      </c>
      <c r="G402" t="s">
        <v>617</v>
      </c>
      <c r="H402" t="s">
        <v>48</v>
      </c>
    </row>
    <row r="403" spans="1:8">
      <c r="A403" t="s">
        <v>1491</v>
      </c>
      <c r="B403" t="s">
        <v>1492</v>
      </c>
      <c r="C403" t="s">
        <v>560</v>
      </c>
      <c r="D403" t="s">
        <v>561</v>
      </c>
      <c r="E403" t="s">
        <v>1493</v>
      </c>
      <c r="F403" t="s">
        <v>300</v>
      </c>
      <c r="G403" t="s">
        <v>632</v>
      </c>
      <c r="H403" t="s">
        <v>48</v>
      </c>
    </row>
    <row r="404" spans="1:8">
      <c r="A404" t="s">
        <v>1494</v>
      </c>
      <c r="B404" t="s">
        <v>1495</v>
      </c>
      <c r="C404" t="s">
        <v>560</v>
      </c>
      <c r="D404" t="s">
        <v>561</v>
      </c>
      <c r="E404" t="s">
        <v>1496</v>
      </c>
      <c r="F404" t="s">
        <v>484</v>
      </c>
      <c r="G404" t="s">
        <v>632</v>
      </c>
      <c r="H404" t="s">
        <v>48</v>
      </c>
    </row>
    <row r="405" spans="1:8">
      <c r="A405" t="s">
        <v>1497</v>
      </c>
      <c r="B405" t="s">
        <v>1498</v>
      </c>
      <c r="C405" t="s">
        <v>560</v>
      </c>
      <c r="D405" t="s">
        <v>561</v>
      </c>
      <c r="E405" t="s">
        <v>1499</v>
      </c>
      <c r="F405" t="s">
        <v>408</v>
      </c>
      <c r="G405" t="s">
        <v>637</v>
      </c>
      <c r="H405" t="s">
        <v>48</v>
      </c>
    </row>
    <row r="406" spans="1:8">
      <c r="A406" t="s">
        <v>1500</v>
      </c>
      <c r="B406" t="s">
        <v>1501</v>
      </c>
      <c r="C406" t="s">
        <v>560</v>
      </c>
      <c r="D406" t="s">
        <v>561</v>
      </c>
      <c r="E406" t="s">
        <v>1496</v>
      </c>
      <c r="F406" t="s">
        <v>43</v>
      </c>
      <c r="G406" t="s">
        <v>632</v>
      </c>
      <c r="H406" t="s">
        <v>48</v>
      </c>
    </row>
    <row r="407" spans="1:8">
      <c r="A407" t="s">
        <v>1502</v>
      </c>
      <c r="B407" t="s">
        <v>1503</v>
      </c>
      <c r="C407" t="s">
        <v>562</v>
      </c>
      <c r="D407" t="s">
        <v>563</v>
      </c>
      <c r="E407" t="s">
        <v>1504</v>
      </c>
      <c r="F407" t="s">
        <v>484</v>
      </c>
      <c r="G407" t="s">
        <v>640</v>
      </c>
      <c r="H407" t="s">
        <v>48</v>
      </c>
    </row>
    <row r="408" spans="1:8">
      <c r="A408" t="s">
        <v>1505</v>
      </c>
      <c r="B408" t="s">
        <v>1506</v>
      </c>
      <c r="C408" t="s">
        <v>562</v>
      </c>
      <c r="D408" t="s">
        <v>563</v>
      </c>
      <c r="E408" t="s">
        <v>1507</v>
      </c>
      <c r="F408" t="s">
        <v>484</v>
      </c>
      <c r="G408" t="s">
        <v>629</v>
      </c>
      <c r="H408" t="s">
        <v>48</v>
      </c>
    </row>
    <row r="409" spans="1:8">
      <c r="A409" t="s">
        <v>1508</v>
      </c>
      <c r="B409" t="s">
        <v>1506</v>
      </c>
      <c r="C409" t="s">
        <v>562</v>
      </c>
      <c r="D409" t="s">
        <v>563</v>
      </c>
      <c r="E409" t="s">
        <v>1507</v>
      </c>
      <c r="F409" t="s">
        <v>484</v>
      </c>
      <c r="G409" t="s">
        <v>640</v>
      </c>
      <c r="H409" t="s">
        <v>651</v>
      </c>
    </row>
    <row r="410" spans="1:8">
      <c r="A410" t="s">
        <v>1509</v>
      </c>
      <c r="B410" t="s">
        <v>1510</v>
      </c>
      <c r="C410" t="s">
        <v>562</v>
      </c>
      <c r="D410" t="s">
        <v>563</v>
      </c>
      <c r="E410" t="s">
        <v>1504</v>
      </c>
      <c r="F410" t="s">
        <v>105</v>
      </c>
      <c r="G410" t="s">
        <v>640</v>
      </c>
      <c r="H410" t="s">
        <v>48</v>
      </c>
    </row>
    <row r="411" spans="1:8">
      <c r="A411" t="s">
        <v>1511</v>
      </c>
      <c r="B411" t="s">
        <v>1512</v>
      </c>
      <c r="C411" t="s">
        <v>562</v>
      </c>
      <c r="D411" t="s">
        <v>563</v>
      </c>
      <c r="E411" t="s">
        <v>1507</v>
      </c>
      <c r="F411" t="s">
        <v>427</v>
      </c>
      <c r="G411" t="s">
        <v>617</v>
      </c>
      <c r="H411" t="s">
        <v>48</v>
      </c>
    </row>
    <row r="412" spans="1:8">
      <c r="A412" t="s">
        <v>1513</v>
      </c>
      <c r="B412" t="s">
        <v>1514</v>
      </c>
      <c r="C412" t="s">
        <v>564</v>
      </c>
      <c r="D412" t="s">
        <v>565</v>
      </c>
      <c r="E412" t="s">
        <v>565</v>
      </c>
      <c r="F412" t="s">
        <v>389</v>
      </c>
      <c r="G412" t="s">
        <v>632</v>
      </c>
      <c r="H412" t="s">
        <v>48</v>
      </c>
    </row>
    <row r="413" spans="1:8">
      <c r="A413" t="s">
        <v>1515</v>
      </c>
      <c r="B413" t="s">
        <v>1516</v>
      </c>
      <c r="C413" t="s">
        <v>564</v>
      </c>
      <c r="D413" t="s">
        <v>565</v>
      </c>
      <c r="E413" t="s">
        <v>565</v>
      </c>
      <c r="F413" t="s">
        <v>105</v>
      </c>
      <c r="G413" t="s">
        <v>637</v>
      </c>
      <c r="H413" t="s">
        <v>48</v>
      </c>
    </row>
    <row r="414" spans="1:8">
      <c r="A414" t="s">
        <v>1517</v>
      </c>
      <c r="B414" t="s">
        <v>1518</v>
      </c>
      <c r="C414" t="s">
        <v>566</v>
      </c>
      <c r="D414" t="s">
        <v>567</v>
      </c>
      <c r="E414" t="s">
        <v>1519</v>
      </c>
      <c r="F414" t="s">
        <v>105</v>
      </c>
      <c r="G414" t="s">
        <v>629</v>
      </c>
      <c r="H414" t="s">
        <v>48</v>
      </c>
    </row>
    <row r="415" spans="1:8">
      <c r="A415" t="s">
        <v>1520</v>
      </c>
      <c r="B415" t="s">
        <v>1521</v>
      </c>
      <c r="C415" t="s">
        <v>566</v>
      </c>
      <c r="D415" t="s">
        <v>567</v>
      </c>
      <c r="E415" t="s">
        <v>1522</v>
      </c>
      <c r="F415" t="s">
        <v>446</v>
      </c>
      <c r="G415" t="s">
        <v>632</v>
      </c>
      <c r="H415" t="s">
        <v>48</v>
      </c>
    </row>
    <row r="416" spans="1:8">
      <c r="A416" t="s">
        <v>1523</v>
      </c>
      <c r="B416" t="s">
        <v>1524</v>
      </c>
      <c r="C416" t="s">
        <v>566</v>
      </c>
      <c r="D416" t="s">
        <v>567</v>
      </c>
      <c r="E416" t="s">
        <v>1522</v>
      </c>
      <c r="F416" t="s">
        <v>427</v>
      </c>
      <c r="G416" t="s">
        <v>629</v>
      </c>
      <c r="H416" t="s">
        <v>48</v>
      </c>
    </row>
    <row r="417" spans="1:8">
      <c r="A417" t="s">
        <v>1525</v>
      </c>
      <c r="B417" t="s">
        <v>1526</v>
      </c>
      <c r="C417" t="s">
        <v>568</v>
      </c>
      <c r="D417" t="s">
        <v>569</v>
      </c>
      <c r="E417" t="s">
        <v>1527</v>
      </c>
      <c r="F417" t="s">
        <v>353</v>
      </c>
      <c r="G417" t="s">
        <v>629</v>
      </c>
      <c r="H417" t="s">
        <v>48</v>
      </c>
    </row>
    <row r="418" spans="1:8">
      <c r="A418" t="s">
        <v>1528</v>
      </c>
      <c r="B418" t="s">
        <v>1529</v>
      </c>
      <c r="C418" t="s">
        <v>568</v>
      </c>
      <c r="D418" t="s">
        <v>569</v>
      </c>
      <c r="E418" t="s">
        <v>1527</v>
      </c>
      <c r="F418" t="s">
        <v>300</v>
      </c>
      <c r="G418" t="s">
        <v>632</v>
      </c>
      <c r="H418" t="s">
        <v>48</v>
      </c>
    </row>
    <row r="419" spans="1:8">
      <c r="A419" t="s">
        <v>1530</v>
      </c>
      <c r="B419" t="s">
        <v>1531</v>
      </c>
      <c r="C419" t="s">
        <v>568</v>
      </c>
      <c r="D419" t="s">
        <v>569</v>
      </c>
      <c r="E419" t="s">
        <v>1532</v>
      </c>
      <c r="F419" t="s">
        <v>389</v>
      </c>
      <c r="G419" t="s">
        <v>640</v>
      </c>
      <c r="H419" t="s">
        <v>48</v>
      </c>
    </row>
    <row r="420" spans="1:8">
      <c r="A420" t="s">
        <v>1533</v>
      </c>
      <c r="B420" t="s">
        <v>1534</v>
      </c>
      <c r="C420" t="s">
        <v>568</v>
      </c>
      <c r="D420" t="s">
        <v>569</v>
      </c>
      <c r="E420" t="s">
        <v>1535</v>
      </c>
      <c r="F420" t="s">
        <v>300</v>
      </c>
      <c r="G420" t="s">
        <v>637</v>
      </c>
      <c r="H420" t="s">
        <v>651</v>
      </c>
    </row>
    <row r="421" spans="1:8">
      <c r="A421" t="s">
        <v>1536</v>
      </c>
      <c r="B421" t="s">
        <v>1537</v>
      </c>
      <c r="C421" t="s">
        <v>568</v>
      </c>
      <c r="D421" t="s">
        <v>569</v>
      </c>
      <c r="E421" t="s">
        <v>1527</v>
      </c>
      <c r="F421" t="s">
        <v>465</v>
      </c>
      <c r="G421" t="s">
        <v>637</v>
      </c>
      <c r="H421" t="s">
        <v>48</v>
      </c>
    </row>
    <row r="422" spans="1:8">
      <c r="A422" t="s">
        <v>1538</v>
      </c>
      <c r="B422" t="s">
        <v>1539</v>
      </c>
      <c r="C422" t="s">
        <v>568</v>
      </c>
      <c r="D422" t="s">
        <v>569</v>
      </c>
      <c r="E422" t="s">
        <v>1535</v>
      </c>
      <c r="F422" t="s">
        <v>353</v>
      </c>
      <c r="G422" t="s">
        <v>632</v>
      </c>
      <c r="H422" t="s">
        <v>48</v>
      </c>
    </row>
    <row r="423" spans="1:8">
      <c r="A423" t="s">
        <v>1540</v>
      </c>
      <c r="B423" t="s">
        <v>1541</v>
      </c>
      <c r="C423" t="s">
        <v>568</v>
      </c>
      <c r="D423" t="s">
        <v>569</v>
      </c>
      <c r="E423" t="s">
        <v>1542</v>
      </c>
      <c r="F423" t="s">
        <v>43</v>
      </c>
      <c r="G423" t="s">
        <v>637</v>
      </c>
      <c r="H423" t="s">
        <v>48</v>
      </c>
    </row>
    <row r="424" spans="1:8">
      <c r="A424" t="s">
        <v>1543</v>
      </c>
      <c r="B424" t="s">
        <v>1544</v>
      </c>
      <c r="C424" t="s">
        <v>570</v>
      </c>
      <c r="D424" t="s">
        <v>571</v>
      </c>
      <c r="E424" t="s">
        <v>1545</v>
      </c>
      <c r="F424" t="s">
        <v>408</v>
      </c>
      <c r="G424" t="s">
        <v>640</v>
      </c>
      <c r="H424" t="s">
        <v>48</v>
      </c>
    </row>
    <row r="425" spans="1:8">
      <c r="A425" t="s">
        <v>1546</v>
      </c>
      <c r="B425" t="s">
        <v>1547</v>
      </c>
      <c r="C425" t="s">
        <v>570</v>
      </c>
      <c r="D425" t="s">
        <v>571</v>
      </c>
      <c r="E425" t="s">
        <v>1548</v>
      </c>
      <c r="F425" t="s">
        <v>389</v>
      </c>
      <c r="G425" t="s">
        <v>637</v>
      </c>
      <c r="H425" t="s">
        <v>48</v>
      </c>
    </row>
    <row r="426" spans="1:8">
      <c r="A426" t="s">
        <v>1549</v>
      </c>
      <c r="B426" t="s">
        <v>1550</v>
      </c>
      <c r="C426" t="s">
        <v>570</v>
      </c>
      <c r="D426" t="s">
        <v>571</v>
      </c>
      <c r="E426" t="s">
        <v>1548</v>
      </c>
      <c r="F426" t="s">
        <v>105</v>
      </c>
      <c r="G426" t="s">
        <v>629</v>
      </c>
      <c r="H426" t="s">
        <v>48</v>
      </c>
    </row>
    <row r="427" spans="1:8">
      <c r="A427" t="s">
        <v>1551</v>
      </c>
      <c r="B427" t="s">
        <v>1552</v>
      </c>
      <c r="C427" t="s">
        <v>570</v>
      </c>
      <c r="D427" t="s">
        <v>571</v>
      </c>
      <c r="E427" t="s">
        <v>1553</v>
      </c>
      <c r="F427" t="s">
        <v>43</v>
      </c>
      <c r="G427" t="s">
        <v>617</v>
      </c>
      <c r="H427" t="s">
        <v>48</v>
      </c>
    </row>
    <row r="428" spans="1:8">
      <c r="A428" t="s">
        <v>1554</v>
      </c>
      <c r="B428" t="s">
        <v>1555</v>
      </c>
      <c r="C428" t="s">
        <v>570</v>
      </c>
      <c r="D428" t="s">
        <v>571</v>
      </c>
      <c r="E428" t="s">
        <v>1548</v>
      </c>
      <c r="F428" t="s">
        <v>105</v>
      </c>
      <c r="G428" t="s">
        <v>617</v>
      </c>
      <c r="H428" t="s">
        <v>48</v>
      </c>
    </row>
    <row r="429" spans="1:8">
      <c r="A429" t="s">
        <v>1556</v>
      </c>
      <c r="B429" t="s">
        <v>1557</v>
      </c>
      <c r="C429" t="s">
        <v>570</v>
      </c>
      <c r="D429" t="s">
        <v>571</v>
      </c>
      <c r="E429" t="s">
        <v>1545</v>
      </c>
      <c r="F429" t="s">
        <v>408</v>
      </c>
      <c r="G429" t="s">
        <v>617</v>
      </c>
      <c r="H429" t="s">
        <v>48</v>
      </c>
    </row>
    <row r="430" spans="1:8">
      <c r="A430" t="s">
        <v>1558</v>
      </c>
      <c r="B430" t="s">
        <v>1559</v>
      </c>
      <c r="C430" t="s">
        <v>570</v>
      </c>
      <c r="D430" t="s">
        <v>571</v>
      </c>
      <c r="E430" t="s">
        <v>1545</v>
      </c>
      <c r="F430" t="s">
        <v>353</v>
      </c>
      <c r="G430" t="s">
        <v>629</v>
      </c>
      <c r="H430" t="s">
        <v>48</v>
      </c>
    </row>
    <row r="431" spans="1:8">
      <c r="A431" t="s">
        <v>1560</v>
      </c>
      <c r="B431" t="s">
        <v>1561</v>
      </c>
      <c r="C431" t="s">
        <v>570</v>
      </c>
      <c r="D431" t="s">
        <v>571</v>
      </c>
      <c r="E431" t="s">
        <v>1545</v>
      </c>
      <c r="F431" t="s">
        <v>484</v>
      </c>
      <c r="G431" t="s">
        <v>617</v>
      </c>
      <c r="H431" t="s">
        <v>48</v>
      </c>
    </row>
    <row r="432" spans="1:8">
      <c r="A432" t="s">
        <v>1562</v>
      </c>
      <c r="B432" t="s">
        <v>1563</v>
      </c>
      <c r="C432" t="s">
        <v>570</v>
      </c>
      <c r="D432" t="s">
        <v>571</v>
      </c>
      <c r="E432" t="s">
        <v>1548</v>
      </c>
      <c r="F432" t="s">
        <v>427</v>
      </c>
      <c r="G432" t="s">
        <v>617</v>
      </c>
      <c r="H432" t="s">
        <v>48</v>
      </c>
    </row>
    <row r="433" spans="1:8">
      <c r="A433" t="s">
        <v>1564</v>
      </c>
      <c r="B433" t="s">
        <v>1565</v>
      </c>
      <c r="C433" t="s">
        <v>572</v>
      </c>
      <c r="D433" t="s">
        <v>573</v>
      </c>
      <c r="E433" t="s">
        <v>1566</v>
      </c>
      <c r="F433" t="s">
        <v>465</v>
      </c>
      <c r="G433" t="s">
        <v>617</v>
      </c>
      <c r="H433" t="s">
        <v>48</v>
      </c>
    </row>
    <row r="434" spans="1:8">
      <c r="A434" t="s">
        <v>1567</v>
      </c>
      <c r="B434" t="s">
        <v>1568</v>
      </c>
      <c r="C434" t="s">
        <v>572</v>
      </c>
      <c r="D434" t="s">
        <v>573</v>
      </c>
      <c r="E434" t="s">
        <v>1569</v>
      </c>
      <c r="F434" t="s">
        <v>43</v>
      </c>
      <c r="G434" t="s">
        <v>637</v>
      </c>
      <c r="H434" t="s">
        <v>48</v>
      </c>
    </row>
    <row r="435" spans="1:8">
      <c r="A435" t="s">
        <v>1570</v>
      </c>
      <c r="B435" t="s">
        <v>1571</v>
      </c>
      <c r="C435" t="s">
        <v>572</v>
      </c>
      <c r="D435" t="s">
        <v>573</v>
      </c>
      <c r="E435" t="s">
        <v>1572</v>
      </c>
      <c r="F435" t="s">
        <v>408</v>
      </c>
      <c r="G435" t="s">
        <v>640</v>
      </c>
      <c r="H435" t="s">
        <v>48</v>
      </c>
    </row>
    <row r="436" spans="1:8">
      <c r="A436" t="s">
        <v>1573</v>
      </c>
      <c r="B436" t="s">
        <v>1571</v>
      </c>
      <c r="C436" t="s">
        <v>572</v>
      </c>
      <c r="D436" t="s">
        <v>573</v>
      </c>
      <c r="E436" t="s">
        <v>1572</v>
      </c>
      <c r="F436" t="s">
        <v>408</v>
      </c>
      <c r="G436" t="s">
        <v>640</v>
      </c>
      <c r="H436" t="s">
        <v>651</v>
      </c>
    </row>
    <row r="437" spans="1:8">
      <c r="A437" t="s">
        <v>1574</v>
      </c>
      <c r="B437" t="s">
        <v>1575</v>
      </c>
      <c r="C437" t="s">
        <v>572</v>
      </c>
      <c r="D437" t="s">
        <v>573</v>
      </c>
      <c r="E437" t="s">
        <v>1569</v>
      </c>
      <c r="F437" t="s">
        <v>484</v>
      </c>
      <c r="G437" t="s">
        <v>617</v>
      </c>
      <c r="H437" t="s">
        <v>48</v>
      </c>
    </row>
    <row r="438" spans="1:8">
      <c r="A438" t="s">
        <v>1576</v>
      </c>
      <c r="B438" t="s">
        <v>1577</v>
      </c>
      <c r="C438" t="s">
        <v>574</v>
      </c>
      <c r="D438" t="s">
        <v>575</v>
      </c>
      <c r="E438" t="s">
        <v>1578</v>
      </c>
      <c r="F438" t="s">
        <v>389</v>
      </c>
      <c r="G438" t="s">
        <v>640</v>
      </c>
      <c r="H438" t="s">
        <v>651</v>
      </c>
    </row>
    <row r="439" spans="1:8">
      <c r="A439" t="s">
        <v>1579</v>
      </c>
      <c r="B439" t="s">
        <v>1580</v>
      </c>
      <c r="C439" t="s">
        <v>574</v>
      </c>
      <c r="D439" t="s">
        <v>575</v>
      </c>
      <c r="E439" t="s">
        <v>1578</v>
      </c>
      <c r="F439" t="s">
        <v>389</v>
      </c>
      <c r="G439" t="s">
        <v>632</v>
      </c>
      <c r="H439" t="s">
        <v>48</v>
      </c>
    </row>
    <row r="440" spans="1:8">
      <c r="A440" t="s">
        <v>1581</v>
      </c>
      <c r="B440" t="s">
        <v>1582</v>
      </c>
      <c r="C440" t="s">
        <v>574</v>
      </c>
      <c r="D440" t="s">
        <v>575</v>
      </c>
      <c r="E440" t="s">
        <v>1583</v>
      </c>
      <c r="F440" t="s">
        <v>465</v>
      </c>
      <c r="G440" t="s">
        <v>632</v>
      </c>
      <c r="H440" t="s">
        <v>651</v>
      </c>
    </row>
    <row r="441" spans="1:8">
      <c r="A441" t="s">
        <v>1584</v>
      </c>
      <c r="B441" t="s">
        <v>1585</v>
      </c>
      <c r="C441" t="s">
        <v>574</v>
      </c>
      <c r="D441" t="s">
        <v>575</v>
      </c>
      <c r="E441" t="s">
        <v>1578</v>
      </c>
      <c r="F441" t="s">
        <v>177</v>
      </c>
      <c r="G441" t="s">
        <v>640</v>
      </c>
      <c r="H441" t="s">
        <v>651</v>
      </c>
    </row>
    <row r="442" spans="1:8">
      <c r="A442" t="s">
        <v>1586</v>
      </c>
      <c r="B442" t="s">
        <v>1587</v>
      </c>
      <c r="C442" t="s">
        <v>576</v>
      </c>
      <c r="D442" t="s">
        <v>577</v>
      </c>
      <c r="E442" t="s">
        <v>1588</v>
      </c>
      <c r="F442" t="s">
        <v>300</v>
      </c>
      <c r="G442" t="s">
        <v>632</v>
      </c>
      <c r="H442" t="s">
        <v>48</v>
      </c>
    </row>
    <row r="443" spans="1:8">
      <c r="A443" t="s">
        <v>1589</v>
      </c>
      <c r="B443" t="s">
        <v>1590</v>
      </c>
      <c r="C443" t="s">
        <v>576</v>
      </c>
      <c r="D443" t="s">
        <v>577</v>
      </c>
      <c r="E443" t="s">
        <v>1588</v>
      </c>
      <c r="F443" t="s">
        <v>465</v>
      </c>
      <c r="G443" t="s">
        <v>637</v>
      </c>
      <c r="H443" t="s">
        <v>48</v>
      </c>
    </row>
    <row r="444" spans="1:8">
      <c r="A444" t="s">
        <v>1591</v>
      </c>
      <c r="B444" t="s">
        <v>1592</v>
      </c>
      <c r="C444" t="s">
        <v>576</v>
      </c>
      <c r="D444" t="s">
        <v>577</v>
      </c>
      <c r="E444" t="s">
        <v>1588</v>
      </c>
      <c r="F444" t="s">
        <v>230</v>
      </c>
      <c r="G444" t="s">
        <v>640</v>
      </c>
      <c r="H444" t="s">
        <v>48</v>
      </c>
    </row>
    <row r="445" spans="1:8">
      <c r="A445" t="s">
        <v>1593</v>
      </c>
      <c r="B445" t="s">
        <v>1594</v>
      </c>
      <c r="C445" t="s">
        <v>576</v>
      </c>
      <c r="D445" t="s">
        <v>577</v>
      </c>
      <c r="E445" t="s">
        <v>1595</v>
      </c>
      <c r="F445" t="s">
        <v>427</v>
      </c>
      <c r="G445" t="s">
        <v>632</v>
      </c>
      <c r="H445" t="s">
        <v>48</v>
      </c>
    </row>
    <row r="446" spans="1:8">
      <c r="A446" t="s">
        <v>1596</v>
      </c>
      <c r="B446" t="s">
        <v>1597</v>
      </c>
      <c r="C446" t="s">
        <v>576</v>
      </c>
      <c r="D446" t="s">
        <v>577</v>
      </c>
      <c r="E446" t="s">
        <v>1595</v>
      </c>
      <c r="F446" t="s">
        <v>408</v>
      </c>
      <c r="G446" t="s">
        <v>617</v>
      </c>
      <c r="H446" t="s">
        <v>48</v>
      </c>
    </row>
    <row r="447" spans="1:8">
      <c r="A447" t="s">
        <v>1598</v>
      </c>
      <c r="B447" t="s">
        <v>1599</v>
      </c>
      <c r="C447" t="s">
        <v>576</v>
      </c>
      <c r="D447" t="s">
        <v>577</v>
      </c>
      <c r="E447" t="s">
        <v>1600</v>
      </c>
      <c r="F447" t="s">
        <v>177</v>
      </c>
      <c r="G447" t="s">
        <v>632</v>
      </c>
      <c r="H447" t="s">
        <v>48</v>
      </c>
    </row>
    <row r="448" spans="1:8">
      <c r="A448" t="s">
        <v>1601</v>
      </c>
      <c r="B448" t="s">
        <v>1602</v>
      </c>
      <c r="C448" t="s">
        <v>576</v>
      </c>
      <c r="D448" t="s">
        <v>577</v>
      </c>
      <c r="E448" t="s">
        <v>1588</v>
      </c>
      <c r="F448" t="s">
        <v>230</v>
      </c>
      <c r="G448" t="s">
        <v>617</v>
      </c>
      <c r="H448" t="s">
        <v>48</v>
      </c>
    </row>
    <row r="449" spans="1:8">
      <c r="A449" t="s">
        <v>1603</v>
      </c>
      <c r="B449" t="s">
        <v>1604</v>
      </c>
      <c r="C449" t="s">
        <v>576</v>
      </c>
      <c r="D449" t="s">
        <v>577</v>
      </c>
      <c r="E449" t="s">
        <v>1600</v>
      </c>
      <c r="F449" t="s">
        <v>446</v>
      </c>
      <c r="G449" t="s">
        <v>617</v>
      </c>
      <c r="H449" t="s">
        <v>48</v>
      </c>
    </row>
    <row r="450" spans="1:8">
      <c r="A450" t="s">
        <v>1605</v>
      </c>
      <c r="B450" t="s">
        <v>1606</v>
      </c>
      <c r="C450" t="s">
        <v>576</v>
      </c>
      <c r="D450" t="s">
        <v>577</v>
      </c>
      <c r="E450" t="s">
        <v>1600</v>
      </c>
      <c r="F450" t="s">
        <v>300</v>
      </c>
      <c r="G450" t="s">
        <v>629</v>
      </c>
      <c r="H450" t="s">
        <v>651</v>
      </c>
    </row>
    <row r="451" spans="1:8">
      <c r="A451" t="s">
        <v>1607</v>
      </c>
      <c r="B451" t="s">
        <v>1608</v>
      </c>
      <c r="C451" t="s">
        <v>576</v>
      </c>
      <c r="D451" t="s">
        <v>577</v>
      </c>
      <c r="E451" t="s">
        <v>1588</v>
      </c>
      <c r="F451" t="s">
        <v>105</v>
      </c>
      <c r="G451" t="s">
        <v>632</v>
      </c>
      <c r="H451" t="s">
        <v>651</v>
      </c>
    </row>
    <row r="452" spans="1:8">
      <c r="A452" t="s">
        <v>1609</v>
      </c>
      <c r="B452" t="s">
        <v>1610</v>
      </c>
      <c r="C452" t="s">
        <v>576</v>
      </c>
      <c r="D452" t="s">
        <v>577</v>
      </c>
      <c r="E452" t="s">
        <v>1588</v>
      </c>
      <c r="F452" t="s">
        <v>446</v>
      </c>
      <c r="G452" t="s">
        <v>629</v>
      </c>
      <c r="H452" t="s">
        <v>48</v>
      </c>
    </row>
    <row r="453" spans="1:8">
      <c r="A453" t="s">
        <v>1611</v>
      </c>
      <c r="B453" t="s">
        <v>1612</v>
      </c>
      <c r="C453" t="s">
        <v>576</v>
      </c>
      <c r="D453" t="s">
        <v>577</v>
      </c>
      <c r="E453" t="s">
        <v>1588</v>
      </c>
      <c r="F453" t="s">
        <v>43</v>
      </c>
      <c r="G453" t="s">
        <v>637</v>
      </c>
      <c r="H453" t="s">
        <v>48</v>
      </c>
    </row>
    <row r="454" spans="1:8">
      <c r="A454" t="s">
        <v>1613</v>
      </c>
      <c r="B454" t="s">
        <v>1614</v>
      </c>
      <c r="C454" t="s">
        <v>576</v>
      </c>
      <c r="D454" t="s">
        <v>577</v>
      </c>
      <c r="E454" t="s">
        <v>1588</v>
      </c>
      <c r="F454" t="s">
        <v>484</v>
      </c>
      <c r="G454" t="s">
        <v>640</v>
      </c>
      <c r="H454" t="s">
        <v>48</v>
      </c>
    </row>
    <row r="455" spans="1:8">
      <c r="A455" t="s">
        <v>1615</v>
      </c>
      <c r="B455" t="s">
        <v>1616</v>
      </c>
      <c r="C455" t="s">
        <v>576</v>
      </c>
      <c r="D455" t="s">
        <v>577</v>
      </c>
      <c r="E455" t="s">
        <v>1588</v>
      </c>
      <c r="F455" t="s">
        <v>353</v>
      </c>
      <c r="G455" t="s">
        <v>629</v>
      </c>
      <c r="H455" t="s">
        <v>48</v>
      </c>
    </row>
    <row r="456" spans="1:8">
      <c r="A456" t="s">
        <v>1617</v>
      </c>
      <c r="B456" t="s">
        <v>1618</v>
      </c>
      <c r="C456" t="s">
        <v>576</v>
      </c>
      <c r="D456" t="s">
        <v>577</v>
      </c>
      <c r="E456" t="s">
        <v>1588</v>
      </c>
      <c r="F456" t="s">
        <v>300</v>
      </c>
      <c r="G456" t="s">
        <v>617</v>
      </c>
      <c r="H456" t="s">
        <v>48</v>
      </c>
    </row>
    <row r="457" spans="1:8">
      <c r="A457" t="s">
        <v>1619</v>
      </c>
      <c r="B457" t="s">
        <v>1620</v>
      </c>
      <c r="C457" t="s">
        <v>576</v>
      </c>
      <c r="D457" t="s">
        <v>577</v>
      </c>
      <c r="E457" t="s">
        <v>1600</v>
      </c>
      <c r="F457" t="s">
        <v>230</v>
      </c>
      <c r="G457" t="s">
        <v>617</v>
      </c>
      <c r="H457" t="s">
        <v>48</v>
      </c>
    </row>
    <row r="458" spans="1:8">
      <c r="A458" t="s">
        <v>1621</v>
      </c>
      <c r="B458" t="s">
        <v>1622</v>
      </c>
      <c r="C458" t="s">
        <v>576</v>
      </c>
      <c r="D458" t="s">
        <v>577</v>
      </c>
      <c r="E458" t="s">
        <v>1588</v>
      </c>
      <c r="F458" t="s">
        <v>300</v>
      </c>
      <c r="G458" t="s">
        <v>617</v>
      </c>
      <c r="H458" t="s">
        <v>48</v>
      </c>
    </row>
    <row r="459" spans="1:8">
      <c r="A459" t="s">
        <v>1623</v>
      </c>
      <c r="B459" t="s">
        <v>1624</v>
      </c>
      <c r="C459" t="s">
        <v>578</v>
      </c>
      <c r="D459" t="s">
        <v>579</v>
      </c>
      <c r="E459" t="s">
        <v>1625</v>
      </c>
      <c r="F459" t="s">
        <v>408</v>
      </c>
      <c r="G459" t="s">
        <v>640</v>
      </c>
      <c r="H459" t="s">
        <v>48</v>
      </c>
    </row>
    <row r="460" spans="1:8">
      <c r="A460" t="s">
        <v>1626</v>
      </c>
      <c r="B460" t="s">
        <v>1627</v>
      </c>
      <c r="C460" t="s">
        <v>578</v>
      </c>
      <c r="D460" t="s">
        <v>579</v>
      </c>
      <c r="E460" t="s">
        <v>1628</v>
      </c>
      <c r="F460" t="s">
        <v>408</v>
      </c>
      <c r="G460" t="s">
        <v>629</v>
      </c>
      <c r="H460" t="s">
        <v>48</v>
      </c>
    </row>
    <row r="461" spans="1:8">
      <c r="A461" t="s">
        <v>1629</v>
      </c>
      <c r="B461" t="s">
        <v>1630</v>
      </c>
      <c r="C461" t="s">
        <v>578</v>
      </c>
      <c r="D461" t="s">
        <v>579</v>
      </c>
      <c r="E461" t="s">
        <v>1631</v>
      </c>
      <c r="F461" t="s">
        <v>465</v>
      </c>
      <c r="G461" t="s">
        <v>632</v>
      </c>
      <c r="H461" t="s">
        <v>48</v>
      </c>
    </row>
    <row r="462" spans="1:8">
      <c r="A462" t="s">
        <v>1632</v>
      </c>
      <c r="B462" t="s">
        <v>1633</v>
      </c>
      <c r="C462" t="s">
        <v>578</v>
      </c>
      <c r="D462" t="s">
        <v>579</v>
      </c>
      <c r="E462" t="s">
        <v>1625</v>
      </c>
      <c r="F462" t="s">
        <v>484</v>
      </c>
      <c r="G462" t="s">
        <v>632</v>
      </c>
      <c r="H462" t="s">
        <v>48</v>
      </c>
    </row>
    <row r="463" spans="1:8">
      <c r="A463" t="s">
        <v>1634</v>
      </c>
      <c r="B463" t="s">
        <v>1635</v>
      </c>
      <c r="C463" t="s">
        <v>578</v>
      </c>
      <c r="D463" t="s">
        <v>579</v>
      </c>
      <c r="E463" t="s">
        <v>1631</v>
      </c>
      <c r="F463" t="s">
        <v>43</v>
      </c>
      <c r="G463" t="s">
        <v>632</v>
      </c>
      <c r="H463" t="s">
        <v>48</v>
      </c>
    </row>
    <row r="464" spans="1:8">
      <c r="A464" t="s">
        <v>1636</v>
      </c>
      <c r="B464" t="s">
        <v>1637</v>
      </c>
      <c r="C464" t="s">
        <v>578</v>
      </c>
      <c r="D464" t="s">
        <v>579</v>
      </c>
      <c r="E464" t="s">
        <v>1631</v>
      </c>
      <c r="F464" t="s">
        <v>389</v>
      </c>
      <c r="G464" t="s">
        <v>629</v>
      </c>
      <c r="H464" t="s">
        <v>651</v>
      </c>
    </row>
    <row r="465" spans="1:8">
      <c r="A465" t="s">
        <v>1638</v>
      </c>
      <c r="B465" t="s">
        <v>1639</v>
      </c>
      <c r="C465" t="s">
        <v>578</v>
      </c>
      <c r="D465" t="s">
        <v>579</v>
      </c>
      <c r="E465" t="s">
        <v>1628</v>
      </c>
      <c r="F465" t="s">
        <v>389</v>
      </c>
      <c r="G465" t="s">
        <v>617</v>
      </c>
      <c r="H465" t="s">
        <v>651</v>
      </c>
    </row>
    <row r="466" spans="1:8">
      <c r="A466" t="s">
        <v>1640</v>
      </c>
      <c r="B466" t="s">
        <v>1641</v>
      </c>
      <c r="C466" t="s">
        <v>578</v>
      </c>
      <c r="D466" t="s">
        <v>579</v>
      </c>
      <c r="E466" t="s">
        <v>1642</v>
      </c>
      <c r="F466" t="s">
        <v>43</v>
      </c>
      <c r="G466" t="s">
        <v>632</v>
      </c>
      <c r="H466" t="s">
        <v>48</v>
      </c>
    </row>
    <row r="467" spans="1:8">
      <c r="A467" t="s">
        <v>1643</v>
      </c>
      <c r="B467" t="s">
        <v>1644</v>
      </c>
      <c r="C467" t="s">
        <v>578</v>
      </c>
      <c r="D467" t="s">
        <v>579</v>
      </c>
      <c r="E467" t="s">
        <v>1642</v>
      </c>
      <c r="F467" t="s">
        <v>300</v>
      </c>
      <c r="G467" t="s">
        <v>632</v>
      </c>
      <c r="H467" t="s">
        <v>48</v>
      </c>
    </row>
    <row r="468" spans="1:8">
      <c r="A468" t="s">
        <v>1645</v>
      </c>
      <c r="B468" t="s">
        <v>1646</v>
      </c>
      <c r="C468" t="s">
        <v>578</v>
      </c>
      <c r="D468" t="s">
        <v>579</v>
      </c>
      <c r="E468" t="s">
        <v>1642</v>
      </c>
      <c r="F468" t="s">
        <v>43</v>
      </c>
      <c r="G468" t="s">
        <v>632</v>
      </c>
      <c r="H468" t="s">
        <v>48</v>
      </c>
    </row>
    <row r="469" spans="1:8">
      <c r="A469" t="s">
        <v>1647</v>
      </c>
      <c r="B469" t="s">
        <v>1648</v>
      </c>
      <c r="C469" t="s">
        <v>578</v>
      </c>
      <c r="D469" t="s">
        <v>579</v>
      </c>
      <c r="E469" t="s">
        <v>1642</v>
      </c>
      <c r="F469" t="s">
        <v>389</v>
      </c>
      <c r="G469" t="s">
        <v>629</v>
      </c>
      <c r="H469" t="s">
        <v>48</v>
      </c>
    </row>
    <row r="470" spans="1:8">
      <c r="A470" t="s">
        <v>1649</v>
      </c>
      <c r="B470" t="s">
        <v>1650</v>
      </c>
      <c r="C470" t="s">
        <v>578</v>
      </c>
      <c r="D470" t="s">
        <v>579</v>
      </c>
      <c r="E470" t="s">
        <v>1628</v>
      </c>
      <c r="F470" t="s">
        <v>427</v>
      </c>
      <c r="G470" t="s">
        <v>617</v>
      </c>
      <c r="H470" t="s">
        <v>48</v>
      </c>
    </row>
    <row r="471" spans="1:8">
      <c r="A471" t="s">
        <v>1651</v>
      </c>
      <c r="B471" t="s">
        <v>1652</v>
      </c>
      <c r="C471" t="s">
        <v>578</v>
      </c>
      <c r="D471" t="s">
        <v>579</v>
      </c>
      <c r="E471" t="s">
        <v>1642</v>
      </c>
      <c r="F471" t="s">
        <v>230</v>
      </c>
      <c r="G471" t="s">
        <v>617</v>
      </c>
      <c r="H471" t="s">
        <v>48</v>
      </c>
    </row>
    <row r="472" spans="1:8">
      <c r="A472" t="s">
        <v>1653</v>
      </c>
      <c r="B472" t="s">
        <v>1654</v>
      </c>
      <c r="C472" t="s">
        <v>578</v>
      </c>
      <c r="D472" t="s">
        <v>579</v>
      </c>
      <c r="E472" t="s">
        <v>1631</v>
      </c>
      <c r="F472" t="s">
        <v>446</v>
      </c>
      <c r="G472" t="s">
        <v>637</v>
      </c>
      <c r="H472" t="s">
        <v>48</v>
      </c>
    </row>
    <row r="473" spans="1:8">
      <c r="A473" t="s">
        <v>1655</v>
      </c>
      <c r="B473" t="s">
        <v>1656</v>
      </c>
      <c r="C473" t="s">
        <v>578</v>
      </c>
      <c r="D473" t="s">
        <v>579</v>
      </c>
      <c r="E473" t="s">
        <v>1625</v>
      </c>
      <c r="F473" t="s">
        <v>300</v>
      </c>
      <c r="G473" t="s">
        <v>637</v>
      </c>
      <c r="H473" t="s">
        <v>48</v>
      </c>
    </row>
    <row r="474" spans="1:8">
      <c r="A474" t="s">
        <v>1657</v>
      </c>
      <c r="B474" t="s">
        <v>1658</v>
      </c>
      <c r="C474" t="s">
        <v>578</v>
      </c>
      <c r="D474" t="s">
        <v>579</v>
      </c>
      <c r="E474" t="s">
        <v>1628</v>
      </c>
      <c r="F474" t="s">
        <v>465</v>
      </c>
      <c r="G474" t="s">
        <v>617</v>
      </c>
      <c r="H474" t="s">
        <v>48</v>
      </c>
    </row>
    <row r="475" spans="1:8">
      <c r="A475" t="s">
        <v>1659</v>
      </c>
      <c r="B475" t="s">
        <v>1660</v>
      </c>
      <c r="C475" t="s">
        <v>578</v>
      </c>
      <c r="D475" t="s">
        <v>579</v>
      </c>
      <c r="E475" t="s">
        <v>1642</v>
      </c>
      <c r="F475" t="s">
        <v>408</v>
      </c>
      <c r="G475" t="s">
        <v>632</v>
      </c>
      <c r="H475" t="s">
        <v>48</v>
      </c>
    </row>
    <row r="476" spans="1:8">
      <c r="A476" t="s">
        <v>1661</v>
      </c>
      <c r="B476" t="s">
        <v>1662</v>
      </c>
      <c r="C476" t="s">
        <v>578</v>
      </c>
      <c r="D476" t="s">
        <v>579</v>
      </c>
      <c r="E476" t="s">
        <v>1642</v>
      </c>
      <c r="F476" t="s">
        <v>300</v>
      </c>
      <c r="G476" t="s">
        <v>637</v>
      </c>
      <c r="H476" t="s">
        <v>48</v>
      </c>
    </row>
    <row r="477" spans="1:8">
      <c r="A477" t="s">
        <v>1663</v>
      </c>
      <c r="B477" t="s">
        <v>1664</v>
      </c>
      <c r="C477" t="s">
        <v>578</v>
      </c>
      <c r="D477" t="s">
        <v>579</v>
      </c>
      <c r="E477" t="s">
        <v>1642</v>
      </c>
      <c r="F477" t="s">
        <v>177</v>
      </c>
      <c r="G477" t="s">
        <v>632</v>
      </c>
      <c r="H477" t="s">
        <v>48</v>
      </c>
    </row>
    <row r="478" spans="1:8">
      <c r="A478" t="s">
        <v>1665</v>
      </c>
      <c r="B478" t="s">
        <v>1666</v>
      </c>
      <c r="C478" t="s">
        <v>578</v>
      </c>
      <c r="D478" t="s">
        <v>579</v>
      </c>
      <c r="E478" t="s">
        <v>1628</v>
      </c>
      <c r="F478" t="s">
        <v>177</v>
      </c>
      <c r="G478" t="s">
        <v>632</v>
      </c>
      <c r="H478" t="s">
        <v>48</v>
      </c>
    </row>
    <row r="479" spans="1:8">
      <c r="A479" t="s">
        <v>1667</v>
      </c>
      <c r="B479" t="s">
        <v>1668</v>
      </c>
      <c r="C479" t="s">
        <v>578</v>
      </c>
      <c r="D479" t="s">
        <v>579</v>
      </c>
      <c r="E479" t="s">
        <v>1631</v>
      </c>
      <c r="F479" t="s">
        <v>300</v>
      </c>
      <c r="G479" t="s">
        <v>617</v>
      </c>
      <c r="H479" t="s">
        <v>48</v>
      </c>
    </row>
    <row r="480" spans="1:8">
      <c r="A480" t="s">
        <v>1669</v>
      </c>
      <c r="B480" t="s">
        <v>1670</v>
      </c>
      <c r="C480" t="s">
        <v>578</v>
      </c>
      <c r="D480" t="s">
        <v>579</v>
      </c>
      <c r="E480" t="s">
        <v>1625</v>
      </c>
      <c r="F480" t="s">
        <v>230</v>
      </c>
      <c r="G480" t="s">
        <v>640</v>
      </c>
      <c r="H480" t="s">
        <v>651</v>
      </c>
    </row>
    <row r="481" spans="1:8">
      <c r="A481" t="s">
        <v>1671</v>
      </c>
      <c r="B481" t="s">
        <v>1650</v>
      </c>
      <c r="C481" t="s">
        <v>578</v>
      </c>
      <c r="D481" t="s">
        <v>579</v>
      </c>
      <c r="E481" t="s">
        <v>1628</v>
      </c>
      <c r="F481" t="s">
        <v>427</v>
      </c>
      <c r="G481" t="s">
        <v>632</v>
      </c>
      <c r="H481" t="s">
        <v>48</v>
      </c>
    </row>
    <row r="482" spans="1:8">
      <c r="A482" t="s">
        <v>1672</v>
      </c>
      <c r="B482" t="s">
        <v>1673</v>
      </c>
      <c r="C482" t="s">
        <v>578</v>
      </c>
      <c r="D482" t="s">
        <v>579</v>
      </c>
      <c r="E482" t="s">
        <v>1628</v>
      </c>
      <c r="F482" t="s">
        <v>353</v>
      </c>
      <c r="G482" t="s">
        <v>617</v>
      </c>
      <c r="H482" t="s">
        <v>48</v>
      </c>
    </row>
    <row r="483" spans="1:8">
      <c r="A483" t="s">
        <v>1674</v>
      </c>
      <c r="B483" t="s">
        <v>1675</v>
      </c>
      <c r="C483" t="s">
        <v>578</v>
      </c>
      <c r="D483" t="s">
        <v>579</v>
      </c>
      <c r="E483" t="s">
        <v>1628</v>
      </c>
      <c r="F483" t="s">
        <v>389</v>
      </c>
      <c r="G483" t="s">
        <v>617</v>
      </c>
      <c r="H483" t="s">
        <v>48</v>
      </c>
    </row>
    <row r="484" spans="1:8">
      <c r="A484" t="s">
        <v>1676</v>
      </c>
      <c r="B484" t="s">
        <v>1677</v>
      </c>
      <c r="C484" t="s">
        <v>578</v>
      </c>
      <c r="D484" t="s">
        <v>579</v>
      </c>
      <c r="E484" t="s">
        <v>1631</v>
      </c>
      <c r="F484" t="s">
        <v>105</v>
      </c>
      <c r="G484" t="s">
        <v>632</v>
      </c>
      <c r="H484" t="s">
        <v>48</v>
      </c>
    </row>
    <row r="485" spans="1:8">
      <c r="A485" t="s">
        <v>1678</v>
      </c>
      <c r="B485" t="s">
        <v>1679</v>
      </c>
      <c r="C485" t="s">
        <v>578</v>
      </c>
      <c r="D485" t="s">
        <v>579</v>
      </c>
      <c r="E485" t="s">
        <v>1628</v>
      </c>
      <c r="F485" t="s">
        <v>484</v>
      </c>
      <c r="G485" t="s">
        <v>637</v>
      </c>
      <c r="H485" t="s">
        <v>48</v>
      </c>
    </row>
    <row r="486" spans="1:8">
      <c r="A486" t="s">
        <v>1680</v>
      </c>
      <c r="B486" t="s">
        <v>1681</v>
      </c>
      <c r="C486" t="s">
        <v>578</v>
      </c>
      <c r="D486" t="s">
        <v>579</v>
      </c>
      <c r="E486" t="s">
        <v>1631</v>
      </c>
      <c r="F486" t="s">
        <v>408</v>
      </c>
      <c r="G486" t="s">
        <v>640</v>
      </c>
      <c r="H486" t="s">
        <v>651</v>
      </c>
    </row>
    <row r="487" spans="1:8">
      <c r="A487" t="s">
        <v>1682</v>
      </c>
      <c r="B487" t="s">
        <v>1683</v>
      </c>
      <c r="C487" t="s">
        <v>578</v>
      </c>
      <c r="D487" t="s">
        <v>579</v>
      </c>
      <c r="E487" t="s">
        <v>1642</v>
      </c>
      <c r="F487" t="s">
        <v>465</v>
      </c>
      <c r="G487" t="s">
        <v>632</v>
      </c>
      <c r="H487" t="s">
        <v>48</v>
      </c>
    </row>
    <row r="488" spans="1:8">
      <c r="A488" t="s">
        <v>1684</v>
      </c>
      <c r="B488" t="s">
        <v>1685</v>
      </c>
      <c r="C488" t="s">
        <v>578</v>
      </c>
      <c r="D488" t="s">
        <v>579</v>
      </c>
      <c r="E488" t="s">
        <v>1625</v>
      </c>
      <c r="F488" t="s">
        <v>446</v>
      </c>
      <c r="G488" t="s">
        <v>632</v>
      </c>
      <c r="H488" t="s">
        <v>48</v>
      </c>
    </row>
    <row r="489" spans="1:8">
      <c r="A489" t="s">
        <v>1686</v>
      </c>
      <c r="B489" t="s">
        <v>1687</v>
      </c>
      <c r="C489" t="s">
        <v>578</v>
      </c>
      <c r="D489" t="s">
        <v>579</v>
      </c>
      <c r="E489" t="s">
        <v>1625</v>
      </c>
      <c r="F489" t="s">
        <v>105</v>
      </c>
      <c r="G489" t="s">
        <v>617</v>
      </c>
      <c r="H489" t="s">
        <v>651</v>
      </c>
    </row>
    <row r="490" spans="1:8">
      <c r="A490" t="s">
        <v>1688</v>
      </c>
      <c r="B490" t="s">
        <v>1689</v>
      </c>
      <c r="C490" t="s">
        <v>578</v>
      </c>
      <c r="D490" t="s">
        <v>579</v>
      </c>
      <c r="E490" t="s">
        <v>1642</v>
      </c>
      <c r="F490" t="s">
        <v>300</v>
      </c>
      <c r="G490" t="s">
        <v>632</v>
      </c>
      <c r="H490" t="s">
        <v>48</v>
      </c>
    </row>
    <row r="491" spans="1:8">
      <c r="A491" t="s">
        <v>1690</v>
      </c>
      <c r="B491" t="s">
        <v>1691</v>
      </c>
      <c r="C491" t="s">
        <v>578</v>
      </c>
      <c r="D491" t="s">
        <v>579</v>
      </c>
      <c r="E491" t="s">
        <v>1631</v>
      </c>
      <c r="F491" t="s">
        <v>300</v>
      </c>
      <c r="G491" t="s">
        <v>629</v>
      </c>
      <c r="H491" t="s">
        <v>48</v>
      </c>
    </row>
    <row r="492" spans="1:8">
      <c r="A492" t="s">
        <v>1692</v>
      </c>
      <c r="B492" t="s">
        <v>1650</v>
      </c>
      <c r="C492" t="s">
        <v>578</v>
      </c>
      <c r="D492" t="s">
        <v>579</v>
      </c>
      <c r="E492" t="s">
        <v>1628</v>
      </c>
      <c r="F492" t="s">
        <v>427</v>
      </c>
      <c r="G492" t="s">
        <v>617</v>
      </c>
      <c r="H492" t="s">
        <v>48</v>
      </c>
    </row>
    <row r="493" spans="1:8">
      <c r="A493" t="s">
        <v>1693</v>
      </c>
      <c r="B493" t="s">
        <v>1694</v>
      </c>
      <c r="C493" t="s">
        <v>578</v>
      </c>
      <c r="D493" t="s">
        <v>579</v>
      </c>
      <c r="E493" t="s">
        <v>1625</v>
      </c>
      <c r="F493" t="s">
        <v>446</v>
      </c>
      <c r="G493" t="s">
        <v>632</v>
      </c>
      <c r="H493" t="s">
        <v>651</v>
      </c>
    </row>
    <row r="494" spans="1:8">
      <c r="A494" t="s">
        <v>1695</v>
      </c>
      <c r="B494" t="s">
        <v>1696</v>
      </c>
      <c r="C494" t="s">
        <v>578</v>
      </c>
      <c r="D494" t="s">
        <v>579</v>
      </c>
      <c r="E494" t="s">
        <v>1642</v>
      </c>
      <c r="F494" t="s">
        <v>230</v>
      </c>
      <c r="G494" t="s">
        <v>632</v>
      </c>
      <c r="H494" t="s">
        <v>48</v>
      </c>
    </row>
    <row r="495" spans="1:8">
      <c r="A495" t="s">
        <v>1697</v>
      </c>
      <c r="B495" t="s">
        <v>1698</v>
      </c>
      <c r="C495" t="s">
        <v>578</v>
      </c>
      <c r="D495" t="s">
        <v>579</v>
      </c>
      <c r="E495" t="s">
        <v>1625</v>
      </c>
      <c r="F495" t="s">
        <v>484</v>
      </c>
      <c r="G495" t="s">
        <v>637</v>
      </c>
      <c r="H495" t="s">
        <v>48</v>
      </c>
    </row>
    <row r="496" spans="1:8">
      <c r="A496" t="s">
        <v>1699</v>
      </c>
      <c r="B496" t="s">
        <v>1698</v>
      </c>
      <c r="C496" t="s">
        <v>578</v>
      </c>
      <c r="D496" t="s">
        <v>579</v>
      </c>
      <c r="E496" t="s">
        <v>1625</v>
      </c>
      <c r="F496" t="s">
        <v>484</v>
      </c>
      <c r="G496" t="s">
        <v>617</v>
      </c>
      <c r="H496" t="s">
        <v>48</v>
      </c>
    </row>
    <row r="497" spans="1:8">
      <c r="A497" t="s">
        <v>1700</v>
      </c>
      <c r="B497" t="s">
        <v>1701</v>
      </c>
      <c r="C497" t="s">
        <v>578</v>
      </c>
      <c r="D497" t="s">
        <v>579</v>
      </c>
      <c r="E497" t="s">
        <v>1625</v>
      </c>
      <c r="F497" t="s">
        <v>389</v>
      </c>
      <c r="G497" t="s">
        <v>632</v>
      </c>
      <c r="H497" t="s">
        <v>48</v>
      </c>
    </row>
    <row r="498" spans="1:8">
      <c r="A498" t="s">
        <v>1702</v>
      </c>
      <c r="B498" t="s">
        <v>1703</v>
      </c>
      <c r="C498" t="s">
        <v>578</v>
      </c>
      <c r="D498" t="s">
        <v>579</v>
      </c>
      <c r="E498" t="s">
        <v>1631</v>
      </c>
      <c r="F498" t="s">
        <v>105</v>
      </c>
      <c r="G498" t="s">
        <v>632</v>
      </c>
      <c r="H498" t="s">
        <v>48</v>
      </c>
    </row>
    <row r="499" spans="1:8">
      <c r="A499" t="s">
        <v>1704</v>
      </c>
      <c r="B499" t="s">
        <v>1705</v>
      </c>
      <c r="C499" t="s">
        <v>578</v>
      </c>
      <c r="D499" t="s">
        <v>579</v>
      </c>
      <c r="E499" t="s">
        <v>1642</v>
      </c>
      <c r="F499" t="s">
        <v>353</v>
      </c>
      <c r="G499" t="s">
        <v>629</v>
      </c>
      <c r="H499" t="s">
        <v>48</v>
      </c>
    </row>
    <row r="500" spans="1:8">
      <c r="A500" t="s">
        <v>1706</v>
      </c>
      <c r="B500" t="s">
        <v>1707</v>
      </c>
      <c r="C500" t="s">
        <v>578</v>
      </c>
      <c r="D500" t="s">
        <v>579</v>
      </c>
      <c r="E500" t="s">
        <v>1642</v>
      </c>
      <c r="F500" t="s">
        <v>177</v>
      </c>
      <c r="G500" t="s">
        <v>617</v>
      </c>
      <c r="H500" t="s">
        <v>48</v>
      </c>
    </row>
    <row r="501" spans="1:8">
      <c r="A501" t="s">
        <v>1708</v>
      </c>
      <c r="B501" t="s">
        <v>1709</v>
      </c>
      <c r="C501" t="s">
        <v>578</v>
      </c>
      <c r="D501" t="s">
        <v>579</v>
      </c>
      <c r="E501" t="s">
        <v>1631</v>
      </c>
      <c r="F501" t="s">
        <v>105</v>
      </c>
      <c r="G501" t="s">
        <v>632</v>
      </c>
      <c r="H501" t="s">
        <v>651</v>
      </c>
    </row>
    <row r="502" spans="1:8">
      <c r="A502" t="s">
        <v>1710</v>
      </c>
      <c r="B502" t="s">
        <v>1711</v>
      </c>
      <c r="C502" t="s">
        <v>580</v>
      </c>
      <c r="D502" t="s">
        <v>581</v>
      </c>
      <c r="E502" t="s">
        <v>1712</v>
      </c>
      <c r="F502" t="s">
        <v>43</v>
      </c>
      <c r="G502" t="s">
        <v>629</v>
      </c>
      <c r="H502" t="s">
        <v>48</v>
      </c>
    </row>
    <row r="503" spans="1:8">
      <c r="A503" t="s">
        <v>1713</v>
      </c>
      <c r="B503" t="s">
        <v>1714</v>
      </c>
      <c r="C503" t="s">
        <v>580</v>
      </c>
      <c r="D503" t="s">
        <v>581</v>
      </c>
      <c r="E503" t="s">
        <v>1715</v>
      </c>
      <c r="F503" t="s">
        <v>230</v>
      </c>
      <c r="G503" t="s">
        <v>617</v>
      </c>
      <c r="H503" t="s">
        <v>48</v>
      </c>
    </row>
    <row r="504" spans="1:8">
      <c r="A504" t="s">
        <v>1716</v>
      </c>
      <c r="B504" t="s">
        <v>1717</v>
      </c>
      <c r="C504" t="s">
        <v>580</v>
      </c>
      <c r="D504" t="s">
        <v>581</v>
      </c>
      <c r="E504" t="s">
        <v>1715</v>
      </c>
      <c r="F504" t="s">
        <v>300</v>
      </c>
      <c r="G504" t="s">
        <v>632</v>
      </c>
      <c r="H504" t="s">
        <v>48</v>
      </c>
    </row>
    <row r="505" spans="1:8">
      <c r="A505" t="s">
        <v>1718</v>
      </c>
      <c r="B505" t="s">
        <v>1719</v>
      </c>
      <c r="C505" t="s">
        <v>580</v>
      </c>
      <c r="D505" t="s">
        <v>581</v>
      </c>
      <c r="E505" t="s">
        <v>1715</v>
      </c>
      <c r="F505" t="s">
        <v>177</v>
      </c>
      <c r="G505" t="s">
        <v>632</v>
      </c>
      <c r="H505" t="s">
        <v>48</v>
      </c>
    </row>
    <row r="506" spans="1:8">
      <c r="A506" t="s">
        <v>1720</v>
      </c>
      <c r="B506" t="s">
        <v>1721</v>
      </c>
      <c r="C506" t="s">
        <v>580</v>
      </c>
      <c r="D506" t="s">
        <v>581</v>
      </c>
      <c r="E506" t="s">
        <v>1722</v>
      </c>
      <c r="F506" t="s">
        <v>43</v>
      </c>
      <c r="G506" t="s">
        <v>640</v>
      </c>
      <c r="H506" t="s">
        <v>48</v>
      </c>
    </row>
    <row r="507" spans="1:8">
      <c r="A507" t="s">
        <v>1723</v>
      </c>
      <c r="B507" t="s">
        <v>1724</v>
      </c>
      <c r="C507" t="s">
        <v>580</v>
      </c>
      <c r="D507" t="s">
        <v>581</v>
      </c>
      <c r="E507" t="s">
        <v>1722</v>
      </c>
      <c r="F507" t="s">
        <v>43</v>
      </c>
      <c r="G507" t="s">
        <v>640</v>
      </c>
      <c r="H507" t="s">
        <v>48</v>
      </c>
    </row>
    <row r="508" spans="1:8">
      <c r="A508" t="s">
        <v>1725</v>
      </c>
      <c r="B508" t="s">
        <v>1726</v>
      </c>
      <c r="C508" t="s">
        <v>582</v>
      </c>
      <c r="D508" t="s">
        <v>583</v>
      </c>
      <c r="E508" t="s">
        <v>1727</v>
      </c>
      <c r="F508" t="s">
        <v>389</v>
      </c>
      <c r="G508" t="s">
        <v>640</v>
      </c>
      <c r="H508" t="s">
        <v>48</v>
      </c>
    </row>
    <row r="509" spans="1:8">
      <c r="A509" t="s">
        <v>1728</v>
      </c>
      <c r="B509" t="s">
        <v>1729</v>
      </c>
      <c r="C509" t="s">
        <v>582</v>
      </c>
      <c r="D509" t="s">
        <v>583</v>
      </c>
      <c r="E509" t="s">
        <v>1727</v>
      </c>
      <c r="F509" t="s">
        <v>105</v>
      </c>
      <c r="G509" t="s">
        <v>640</v>
      </c>
      <c r="H509" t="s">
        <v>48</v>
      </c>
    </row>
    <row r="510" spans="1:8">
      <c r="A510" t="s">
        <v>1730</v>
      </c>
      <c r="B510" t="s">
        <v>1731</v>
      </c>
      <c r="C510" t="s">
        <v>582</v>
      </c>
      <c r="D510" t="s">
        <v>583</v>
      </c>
      <c r="E510" t="s">
        <v>1727</v>
      </c>
      <c r="F510" t="s">
        <v>446</v>
      </c>
      <c r="G510" t="s">
        <v>637</v>
      </c>
      <c r="H510" t="s">
        <v>48</v>
      </c>
    </row>
    <row r="511" spans="1:8">
      <c r="A511" t="s">
        <v>1732</v>
      </c>
      <c r="B511" t="s">
        <v>1733</v>
      </c>
      <c r="C511" t="s">
        <v>582</v>
      </c>
      <c r="D511" t="s">
        <v>583</v>
      </c>
      <c r="E511" t="s">
        <v>1734</v>
      </c>
      <c r="F511" t="s">
        <v>105</v>
      </c>
      <c r="G511" t="s">
        <v>617</v>
      </c>
      <c r="H511" t="s">
        <v>48</v>
      </c>
    </row>
    <row r="512" spans="1:8">
      <c r="A512" t="s">
        <v>1735</v>
      </c>
      <c r="B512" t="s">
        <v>1736</v>
      </c>
      <c r="C512" t="s">
        <v>582</v>
      </c>
      <c r="D512" t="s">
        <v>583</v>
      </c>
      <c r="E512" t="s">
        <v>1734</v>
      </c>
      <c r="F512" t="s">
        <v>408</v>
      </c>
      <c r="G512" t="s">
        <v>629</v>
      </c>
      <c r="H512" t="s">
        <v>48</v>
      </c>
    </row>
    <row r="513" spans="1:8">
      <c r="A513" t="s">
        <v>1737</v>
      </c>
      <c r="B513" t="s">
        <v>1738</v>
      </c>
      <c r="C513" t="s">
        <v>582</v>
      </c>
      <c r="D513" t="s">
        <v>583</v>
      </c>
      <c r="E513" t="s">
        <v>1727</v>
      </c>
      <c r="F513" t="s">
        <v>230</v>
      </c>
      <c r="G513" t="s">
        <v>640</v>
      </c>
      <c r="H513" t="s">
        <v>48</v>
      </c>
    </row>
    <row r="514" spans="1:8">
      <c r="A514" t="s">
        <v>1739</v>
      </c>
      <c r="B514" t="s">
        <v>1740</v>
      </c>
      <c r="C514" t="s">
        <v>584</v>
      </c>
      <c r="D514" t="s">
        <v>585</v>
      </c>
      <c r="E514" t="s">
        <v>1741</v>
      </c>
      <c r="F514" t="s">
        <v>230</v>
      </c>
      <c r="G514" t="s">
        <v>632</v>
      </c>
      <c r="H514" t="s">
        <v>48</v>
      </c>
    </row>
    <row r="515" spans="1:8">
      <c r="A515" t="s">
        <v>1742</v>
      </c>
      <c r="B515" t="s">
        <v>1743</v>
      </c>
      <c r="C515" t="s">
        <v>584</v>
      </c>
      <c r="D515" t="s">
        <v>585</v>
      </c>
      <c r="E515" t="s">
        <v>1744</v>
      </c>
      <c r="F515" t="s">
        <v>484</v>
      </c>
      <c r="G515" t="s">
        <v>632</v>
      </c>
      <c r="H515" t="s">
        <v>48</v>
      </c>
    </row>
    <row r="516" spans="1:8">
      <c r="A516" t="s">
        <v>1745</v>
      </c>
      <c r="B516" t="s">
        <v>1746</v>
      </c>
      <c r="C516" t="s">
        <v>584</v>
      </c>
      <c r="D516" t="s">
        <v>585</v>
      </c>
      <c r="E516" t="s">
        <v>1741</v>
      </c>
      <c r="F516" t="s">
        <v>389</v>
      </c>
      <c r="G516" t="s">
        <v>629</v>
      </c>
      <c r="H516" t="s">
        <v>651</v>
      </c>
    </row>
    <row r="517" spans="1:8">
      <c r="A517" t="s">
        <v>1747</v>
      </c>
      <c r="B517" t="s">
        <v>1748</v>
      </c>
      <c r="C517" t="s">
        <v>584</v>
      </c>
      <c r="D517" t="s">
        <v>585</v>
      </c>
      <c r="E517" t="s">
        <v>1744</v>
      </c>
      <c r="F517" t="s">
        <v>446</v>
      </c>
      <c r="G517" t="s">
        <v>632</v>
      </c>
      <c r="H517" t="s">
        <v>48</v>
      </c>
    </row>
    <row r="518" spans="1:8">
      <c r="A518" t="s">
        <v>1749</v>
      </c>
      <c r="B518" t="s">
        <v>1750</v>
      </c>
      <c r="C518" t="s">
        <v>584</v>
      </c>
      <c r="D518" t="s">
        <v>585</v>
      </c>
      <c r="E518" t="s">
        <v>1744</v>
      </c>
      <c r="F518" t="s">
        <v>177</v>
      </c>
      <c r="G518" t="s">
        <v>640</v>
      </c>
      <c r="H518" t="s">
        <v>651</v>
      </c>
    </row>
    <row r="519" spans="1:8">
      <c r="A519" t="s">
        <v>1751</v>
      </c>
      <c r="B519" t="s">
        <v>1752</v>
      </c>
      <c r="C519" t="s">
        <v>584</v>
      </c>
      <c r="D519" t="s">
        <v>585</v>
      </c>
      <c r="E519" t="s">
        <v>1744</v>
      </c>
      <c r="F519" t="s">
        <v>230</v>
      </c>
      <c r="G519" t="s">
        <v>629</v>
      </c>
      <c r="H519" t="s">
        <v>48</v>
      </c>
    </row>
    <row r="520" spans="1:8">
      <c r="A520" t="s">
        <v>1753</v>
      </c>
      <c r="B520" t="s">
        <v>1754</v>
      </c>
      <c r="C520" t="s">
        <v>586</v>
      </c>
      <c r="D520" t="s">
        <v>587</v>
      </c>
      <c r="E520" t="s">
        <v>1755</v>
      </c>
      <c r="F520" t="s">
        <v>408</v>
      </c>
      <c r="G520" t="s">
        <v>629</v>
      </c>
      <c r="H520" t="s">
        <v>48</v>
      </c>
    </row>
    <row r="521" spans="1:8">
      <c r="A521" t="s">
        <v>1756</v>
      </c>
      <c r="B521" t="s">
        <v>1757</v>
      </c>
      <c r="C521" t="s">
        <v>586</v>
      </c>
      <c r="D521" t="s">
        <v>587</v>
      </c>
      <c r="E521" t="s">
        <v>1758</v>
      </c>
      <c r="F521" t="s">
        <v>484</v>
      </c>
      <c r="G521" t="s">
        <v>632</v>
      </c>
      <c r="H521" t="s">
        <v>48</v>
      </c>
    </row>
    <row r="522" spans="1:8">
      <c r="A522" t="s">
        <v>1759</v>
      </c>
      <c r="B522" t="s">
        <v>1760</v>
      </c>
      <c r="C522" t="s">
        <v>586</v>
      </c>
      <c r="D522" t="s">
        <v>587</v>
      </c>
      <c r="E522" t="s">
        <v>1755</v>
      </c>
      <c r="F522" t="s">
        <v>389</v>
      </c>
      <c r="G522" t="s">
        <v>640</v>
      </c>
      <c r="H522" t="s">
        <v>651</v>
      </c>
    </row>
    <row r="523" spans="1:8">
      <c r="A523" t="s">
        <v>1761</v>
      </c>
      <c r="B523" t="s">
        <v>1762</v>
      </c>
      <c r="C523" t="s">
        <v>586</v>
      </c>
      <c r="D523" t="s">
        <v>587</v>
      </c>
      <c r="E523" t="s">
        <v>1755</v>
      </c>
      <c r="F523" t="s">
        <v>446</v>
      </c>
      <c r="G523" t="s">
        <v>629</v>
      </c>
      <c r="H523" t="s">
        <v>48</v>
      </c>
    </row>
    <row r="524" spans="1:8">
      <c r="A524" t="s">
        <v>1763</v>
      </c>
      <c r="B524" t="s">
        <v>1764</v>
      </c>
      <c r="C524" t="s">
        <v>586</v>
      </c>
      <c r="D524" t="s">
        <v>587</v>
      </c>
      <c r="E524" t="s">
        <v>1765</v>
      </c>
      <c r="F524" t="s">
        <v>177</v>
      </c>
      <c r="G524" t="s">
        <v>637</v>
      </c>
      <c r="H524" t="s">
        <v>48</v>
      </c>
    </row>
    <row r="525" spans="1:8">
      <c r="A525" t="s">
        <v>1766</v>
      </c>
      <c r="B525" t="s">
        <v>1767</v>
      </c>
      <c r="C525" t="s">
        <v>586</v>
      </c>
      <c r="D525" t="s">
        <v>587</v>
      </c>
      <c r="E525" t="s">
        <v>1755</v>
      </c>
      <c r="F525" t="s">
        <v>300</v>
      </c>
      <c r="G525" t="s">
        <v>632</v>
      </c>
      <c r="H525" t="s">
        <v>48</v>
      </c>
    </row>
    <row r="526" spans="1:8">
      <c r="A526" t="s">
        <v>1768</v>
      </c>
      <c r="B526" t="s">
        <v>1769</v>
      </c>
      <c r="C526" t="s">
        <v>586</v>
      </c>
      <c r="D526" t="s">
        <v>587</v>
      </c>
      <c r="E526" t="s">
        <v>1758</v>
      </c>
      <c r="F526" t="s">
        <v>353</v>
      </c>
      <c r="G526" t="s">
        <v>637</v>
      </c>
      <c r="H526" t="s">
        <v>651</v>
      </c>
    </row>
    <row r="527" spans="1:8">
      <c r="A527" t="s">
        <v>1770</v>
      </c>
      <c r="B527" t="s">
        <v>1771</v>
      </c>
      <c r="C527" t="s">
        <v>586</v>
      </c>
      <c r="D527" t="s">
        <v>587</v>
      </c>
      <c r="E527" t="s">
        <v>1758</v>
      </c>
      <c r="F527" t="s">
        <v>300</v>
      </c>
      <c r="G527" t="s">
        <v>637</v>
      </c>
      <c r="H527" t="s">
        <v>48</v>
      </c>
    </row>
    <row r="528" spans="1:8">
      <c r="A528" t="s">
        <v>1772</v>
      </c>
      <c r="B528" t="s">
        <v>1773</v>
      </c>
      <c r="C528" t="s">
        <v>588</v>
      </c>
      <c r="D528" t="s">
        <v>589</v>
      </c>
      <c r="E528" t="s">
        <v>1774</v>
      </c>
      <c r="F528" t="s">
        <v>427</v>
      </c>
      <c r="G528" t="s">
        <v>617</v>
      </c>
      <c r="H528" t="s">
        <v>48</v>
      </c>
    </row>
    <row r="529" spans="1:8">
      <c r="A529" t="s">
        <v>1775</v>
      </c>
      <c r="B529" t="s">
        <v>1776</v>
      </c>
      <c r="C529" t="s">
        <v>588</v>
      </c>
      <c r="D529" t="s">
        <v>589</v>
      </c>
      <c r="E529" t="s">
        <v>1777</v>
      </c>
      <c r="F529" t="s">
        <v>389</v>
      </c>
      <c r="G529" t="s">
        <v>632</v>
      </c>
      <c r="H529" t="s">
        <v>651</v>
      </c>
    </row>
    <row r="530" spans="1:8">
      <c r="A530" t="s">
        <v>1778</v>
      </c>
      <c r="B530" t="s">
        <v>1779</v>
      </c>
      <c r="C530" t="s">
        <v>588</v>
      </c>
      <c r="D530" t="s">
        <v>589</v>
      </c>
      <c r="E530" t="s">
        <v>1774</v>
      </c>
      <c r="F530" t="s">
        <v>177</v>
      </c>
      <c r="G530" t="s">
        <v>640</v>
      </c>
      <c r="H530" t="s">
        <v>48</v>
      </c>
    </row>
    <row r="531" spans="1:8">
      <c r="A531" t="s">
        <v>1780</v>
      </c>
      <c r="B531" t="s">
        <v>1781</v>
      </c>
      <c r="C531" t="s">
        <v>588</v>
      </c>
      <c r="D531" t="s">
        <v>589</v>
      </c>
      <c r="E531" t="s">
        <v>1774</v>
      </c>
      <c r="F531" t="s">
        <v>43</v>
      </c>
      <c r="G531" t="s">
        <v>629</v>
      </c>
      <c r="H531" t="s">
        <v>48</v>
      </c>
    </row>
    <row r="532" spans="1:8">
      <c r="A532" t="s">
        <v>1782</v>
      </c>
      <c r="B532" t="s">
        <v>1783</v>
      </c>
      <c r="C532" t="s">
        <v>588</v>
      </c>
      <c r="D532" t="s">
        <v>589</v>
      </c>
      <c r="E532" t="s">
        <v>1774</v>
      </c>
      <c r="F532" t="s">
        <v>105</v>
      </c>
      <c r="G532" t="s">
        <v>637</v>
      </c>
      <c r="H532" t="s">
        <v>48</v>
      </c>
    </row>
    <row r="533" spans="1:8">
      <c r="A533" t="s">
        <v>1784</v>
      </c>
      <c r="B533" t="s">
        <v>1785</v>
      </c>
      <c r="C533" t="s">
        <v>590</v>
      </c>
      <c r="D533" t="s">
        <v>591</v>
      </c>
      <c r="E533" t="s">
        <v>1786</v>
      </c>
      <c r="F533" t="s">
        <v>427</v>
      </c>
      <c r="G533" t="s">
        <v>632</v>
      </c>
      <c r="H533" t="s">
        <v>651</v>
      </c>
    </row>
    <row r="534" spans="1:8">
      <c r="A534" t="s">
        <v>1787</v>
      </c>
      <c r="B534" t="s">
        <v>1788</v>
      </c>
      <c r="C534" t="s">
        <v>590</v>
      </c>
      <c r="D534" t="s">
        <v>591</v>
      </c>
      <c r="E534" t="s">
        <v>1789</v>
      </c>
      <c r="F534" t="s">
        <v>389</v>
      </c>
      <c r="G534" t="s">
        <v>640</v>
      </c>
      <c r="H534" t="s">
        <v>48</v>
      </c>
    </row>
    <row r="535" spans="1:8">
      <c r="A535" t="s">
        <v>1790</v>
      </c>
      <c r="B535" t="s">
        <v>1791</v>
      </c>
      <c r="C535" t="s">
        <v>590</v>
      </c>
      <c r="D535" t="s">
        <v>591</v>
      </c>
      <c r="E535" t="s">
        <v>1786</v>
      </c>
      <c r="F535" t="s">
        <v>389</v>
      </c>
      <c r="G535" t="s">
        <v>640</v>
      </c>
      <c r="H535" t="s">
        <v>651</v>
      </c>
    </row>
    <row r="536" spans="1:8">
      <c r="A536" t="s">
        <v>1792</v>
      </c>
      <c r="B536" t="s">
        <v>1793</v>
      </c>
      <c r="C536" t="s">
        <v>590</v>
      </c>
      <c r="D536" t="s">
        <v>591</v>
      </c>
      <c r="E536" t="s">
        <v>1789</v>
      </c>
      <c r="F536" t="s">
        <v>484</v>
      </c>
      <c r="G536" t="s">
        <v>632</v>
      </c>
      <c r="H536" t="s">
        <v>48</v>
      </c>
    </row>
    <row r="537" spans="1:8">
      <c r="A537" t="s">
        <v>1794</v>
      </c>
      <c r="B537" t="s">
        <v>1795</v>
      </c>
      <c r="C537" t="s">
        <v>590</v>
      </c>
      <c r="D537" t="s">
        <v>591</v>
      </c>
      <c r="E537" t="s">
        <v>1796</v>
      </c>
      <c r="F537" t="s">
        <v>465</v>
      </c>
      <c r="G537" t="s">
        <v>629</v>
      </c>
      <c r="H537" t="s">
        <v>48</v>
      </c>
    </row>
    <row r="538" spans="1:8">
      <c r="A538" t="s">
        <v>1797</v>
      </c>
      <c r="B538" t="s">
        <v>1798</v>
      </c>
      <c r="C538" t="s">
        <v>590</v>
      </c>
      <c r="D538" t="s">
        <v>591</v>
      </c>
      <c r="E538" t="s">
        <v>1789</v>
      </c>
      <c r="F538" t="s">
        <v>43</v>
      </c>
      <c r="G538" t="s">
        <v>637</v>
      </c>
      <c r="H538" t="s">
        <v>48</v>
      </c>
    </row>
    <row r="539" spans="1:8">
      <c r="A539" t="s">
        <v>1799</v>
      </c>
      <c r="B539" t="s">
        <v>1800</v>
      </c>
      <c r="C539" t="s">
        <v>590</v>
      </c>
      <c r="D539" t="s">
        <v>591</v>
      </c>
      <c r="E539" t="s">
        <v>1796</v>
      </c>
      <c r="F539" t="s">
        <v>446</v>
      </c>
      <c r="G539" t="s">
        <v>629</v>
      </c>
      <c r="H539" t="s">
        <v>651</v>
      </c>
    </row>
    <row r="540" spans="1:8">
      <c r="A540" t="s">
        <v>1801</v>
      </c>
      <c r="B540" t="s">
        <v>1785</v>
      </c>
      <c r="C540" t="s">
        <v>590</v>
      </c>
      <c r="D540" t="s">
        <v>591</v>
      </c>
      <c r="E540" t="s">
        <v>1786</v>
      </c>
      <c r="F540" t="s">
        <v>427</v>
      </c>
      <c r="G540" t="s">
        <v>629</v>
      </c>
      <c r="H540" t="s">
        <v>651</v>
      </c>
    </row>
    <row r="541" spans="1:8">
      <c r="A541" t="s">
        <v>1802</v>
      </c>
      <c r="B541" t="s">
        <v>1803</v>
      </c>
      <c r="C541" t="s">
        <v>590</v>
      </c>
      <c r="D541" t="s">
        <v>591</v>
      </c>
      <c r="E541" t="s">
        <v>1789</v>
      </c>
      <c r="F541" t="s">
        <v>353</v>
      </c>
      <c r="G541" t="s">
        <v>640</v>
      </c>
      <c r="H541" t="s">
        <v>651</v>
      </c>
    </row>
    <row r="542" spans="1:8">
      <c r="A542" t="s">
        <v>1804</v>
      </c>
      <c r="B542" t="s">
        <v>1805</v>
      </c>
      <c r="C542" t="s">
        <v>590</v>
      </c>
      <c r="D542" t="s">
        <v>591</v>
      </c>
      <c r="E542" t="s">
        <v>1796</v>
      </c>
      <c r="F542" t="s">
        <v>300</v>
      </c>
      <c r="G542" t="s">
        <v>617</v>
      </c>
      <c r="H542" t="s">
        <v>48</v>
      </c>
    </row>
    <row r="543" spans="1:8">
      <c r="A543" t="s">
        <v>1806</v>
      </c>
      <c r="B543" t="s">
        <v>1807</v>
      </c>
      <c r="C543" t="s">
        <v>590</v>
      </c>
      <c r="D543" t="s">
        <v>591</v>
      </c>
      <c r="E543" t="s">
        <v>1786</v>
      </c>
      <c r="F543" t="s">
        <v>408</v>
      </c>
      <c r="G543" t="s">
        <v>617</v>
      </c>
      <c r="H543" t="s">
        <v>48</v>
      </c>
    </row>
    <row r="544" spans="1:8">
      <c r="A544" t="s">
        <v>1808</v>
      </c>
      <c r="B544" t="s">
        <v>1809</v>
      </c>
      <c r="C544" t="s">
        <v>590</v>
      </c>
      <c r="D544" t="s">
        <v>591</v>
      </c>
      <c r="E544" t="s">
        <v>1796</v>
      </c>
      <c r="F544" t="s">
        <v>465</v>
      </c>
      <c r="G544" t="s">
        <v>637</v>
      </c>
      <c r="H544" t="s">
        <v>48</v>
      </c>
    </row>
    <row r="545" spans="1:8">
      <c r="A545" t="s">
        <v>1810</v>
      </c>
      <c r="B545" t="s">
        <v>1811</v>
      </c>
      <c r="C545" t="s">
        <v>590</v>
      </c>
      <c r="D545" t="s">
        <v>591</v>
      </c>
      <c r="E545" t="s">
        <v>1786</v>
      </c>
      <c r="F545" t="s">
        <v>353</v>
      </c>
      <c r="G545" t="s">
        <v>632</v>
      </c>
      <c r="H545" t="s">
        <v>651</v>
      </c>
    </row>
    <row r="546" spans="1:8">
      <c r="A546" t="s">
        <v>1812</v>
      </c>
      <c r="B546" t="s">
        <v>1813</v>
      </c>
      <c r="C546" t="s">
        <v>592</v>
      </c>
      <c r="D546" t="s">
        <v>593</v>
      </c>
      <c r="E546" t="s">
        <v>1814</v>
      </c>
      <c r="F546" t="s">
        <v>177</v>
      </c>
      <c r="G546" t="s">
        <v>629</v>
      </c>
      <c r="H546" t="s">
        <v>48</v>
      </c>
    </row>
    <row r="547" spans="1:8">
      <c r="A547" t="s">
        <v>1815</v>
      </c>
      <c r="B547" t="s">
        <v>1816</v>
      </c>
      <c r="C547" t="s">
        <v>592</v>
      </c>
      <c r="D547" t="s">
        <v>593</v>
      </c>
      <c r="E547" t="s">
        <v>1817</v>
      </c>
      <c r="F547" t="s">
        <v>484</v>
      </c>
      <c r="G547" t="s">
        <v>637</v>
      </c>
      <c r="H547" t="s">
        <v>48</v>
      </c>
    </row>
    <row r="548" spans="1:8">
      <c r="A548" t="s">
        <v>1818</v>
      </c>
      <c r="B548" t="s">
        <v>1819</v>
      </c>
      <c r="C548" t="s">
        <v>592</v>
      </c>
      <c r="D548" t="s">
        <v>593</v>
      </c>
      <c r="E548" t="s">
        <v>1814</v>
      </c>
      <c r="F548" t="s">
        <v>230</v>
      </c>
      <c r="G548" t="s">
        <v>632</v>
      </c>
      <c r="H548" t="s">
        <v>48</v>
      </c>
    </row>
    <row r="549" spans="1:8">
      <c r="A549" t="s">
        <v>1820</v>
      </c>
      <c r="B549" t="s">
        <v>1821</v>
      </c>
      <c r="C549" t="s">
        <v>592</v>
      </c>
      <c r="D549" t="s">
        <v>593</v>
      </c>
      <c r="E549" t="s">
        <v>1814</v>
      </c>
      <c r="F549" t="s">
        <v>105</v>
      </c>
      <c r="G549" t="s">
        <v>640</v>
      </c>
      <c r="H549" t="s">
        <v>651</v>
      </c>
    </row>
    <row r="550" spans="1:8">
      <c r="A550" t="s">
        <v>1822</v>
      </c>
      <c r="B550" t="s">
        <v>1823</v>
      </c>
      <c r="C550" t="s">
        <v>592</v>
      </c>
      <c r="D550" t="s">
        <v>593</v>
      </c>
      <c r="E550" t="s">
        <v>1814</v>
      </c>
      <c r="F550" t="s">
        <v>43</v>
      </c>
      <c r="G550" t="s">
        <v>632</v>
      </c>
      <c r="H550" t="s">
        <v>48</v>
      </c>
    </row>
    <row r="551" spans="1:8">
      <c r="A551" t="s">
        <v>1824</v>
      </c>
      <c r="B551" t="s">
        <v>1825</v>
      </c>
      <c r="C551" t="s">
        <v>592</v>
      </c>
      <c r="D551" t="s">
        <v>593</v>
      </c>
      <c r="E551" t="s">
        <v>1817</v>
      </c>
      <c r="F551" t="s">
        <v>105</v>
      </c>
      <c r="G551" t="s">
        <v>640</v>
      </c>
      <c r="H551" t="s">
        <v>48</v>
      </c>
    </row>
    <row r="552" spans="1:8">
      <c r="A552" t="s">
        <v>1826</v>
      </c>
      <c r="B552" t="s">
        <v>1827</v>
      </c>
      <c r="C552" t="s">
        <v>592</v>
      </c>
      <c r="D552" t="s">
        <v>593</v>
      </c>
      <c r="E552" t="s">
        <v>1817</v>
      </c>
      <c r="F552" t="s">
        <v>353</v>
      </c>
      <c r="G552" t="s">
        <v>632</v>
      </c>
      <c r="H552" t="s">
        <v>48</v>
      </c>
    </row>
    <row r="553" spans="1:8">
      <c r="A553" t="s">
        <v>1828</v>
      </c>
      <c r="B553" t="s">
        <v>1829</v>
      </c>
      <c r="C553" t="s">
        <v>594</v>
      </c>
      <c r="D553" t="s">
        <v>595</v>
      </c>
      <c r="E553" t="s">
        <v>1830</v>
      </c>
      <c r="F553" t="s">
        <v>105</v>
      </c>
      <c r="G553" t="s">
        <v>617</v>
      </c>
      <c r="H553" t="s">
        <v>48</v>
      </c>
    </row>
    <row r="554" spans="1:8">
      <c r="A554" t="s">
        <v>1831</v>
      </c>
      <c r="B554" t="s">
        <v>1832</v>
      </c>
      <c r="C554" t="s">
        <v>594</v>
      </c>
      <c r="D554" t="s">
        <v>595</v>
      </c>
      <c r="E554" t="s">
        <v>1830</v>
      </c>
      <c r="F554" t="s">
        <v>484</v>
      </c>
      <c r="G554" t="s">
        <v>617</v>
      </c>
      <c r="H554" t="s">
        <v>48</v>
      </c>
    </row>
    <row r="555" spans="1:8">
      <c r="A555" t="s">
        <v>1833</v>
      </c>
      <c r="B555" t="s">
        <v>1834</v>
      </c>
      <c r="C555" t="s">
        <v>594</v>
      </c>
      <c r="D555" t="s">
        <v>595</v>
      </c>
      <c r="E555" t="s">
        <v>1830</v>
      </c>
      <c r="F555" t="s">
        <v>389</v>
      </c>
      <c r="G555" t="s">
        <v>632</v>
      </c>
      <c r="H555" t="s">
        <v>651</v>
      </c>
    </row>
    <row r="556" spans="1:8">
      <c r="A556" t="s">
        <v>1835</v>
      </c>
      <c r="B556" t="s">
        <v>1836</v>
      </c>
      <c r="C556" t="s">
        <v>594</v>
      </c>
      <c r="D556" t="s">
        <v>595</v>
      </c>
      <c r="E556" t="s">
        <v>1837</v>
      </c>
      <c r="F556" t="s">
        <v>427</v>
      </c>
      <c r="G556" t="s">
        <v>637</v>
      </c>
      <c r="H556" t="s">
        <v>48</v>
      </c>
    </row>
    <row r="557" spans="1:8">
      <c r="A557" t="s">
        <v>1838</v>
      </c>
      <c r="B557" t="s">
        <v>1839</v>
      </c>
      <c r="C557" t="s">
        <v>594</v>
      </c>
      <c r="D557" t="s">
        <v>595</v>
      </c>
      <c r="E557" t="s">
        <v>1840</v>
      </c>
      <c r="F557" t="s">
        <v>177</v>
      </c>
      <c r="G557" t="s">
        <v>637</v>
      </c>
      <c r="H557" t="s">
        <v>48</v>
      </c>
    </row>
    <row r="558" spans="1:8">
      <c r="A558" t="s">
        <v>1841</v>
      </c>
      <c r="B558" t="s">
        <v>1842</v>
      </c>
      <c r="C558" t="s">
        <v>594</v>
      </c>
      <c r="D558" t="s">
        <v>595</v>
      </c>
      <c r="E558" t="s">
        <v>1837</v>
      </c>
      <c r="F558" t="s">
        <v>300</v>
      </c>
      <c r="G558" t="s">
        <v>629</v>
      </c>
      <c r="H558" t="s">
        <v>48</v>
      </c>
    </row>
    <row r="559" spans="1:8">
      <c r="A559" t="s">
        <v>1843</v>
      </c>
      <c r="B559" t="s">
        <v>1844</v>
      </c>
      <c r="C559" t="s">
        <v>596</v>
      </c>
      <c r="D559" t="s">
        <v>597</v>
      </c>
      <c r="E559" t="s">
        <v>1845</v>
      </c>
      <c r="F559" t="s">
        <v>177</v>
      </c>
      <c r="G559" t="s">
        <v>617</v>
      </c>
      <c r="H559" t="s">
        <v>48</v>
      </c>
    </row>
    <row r="560" spans="1:8">
      <c r="A560" t="s">
        <v>1846</v>
      </c>
      <c r="B560" t="s">
        <v>1847</v>
      </c>
      <c r="C560" t="s">
        <v>596</v>
      </c>
      <c r="D560" t="s">
        <v>597</v>
      </c>
      <c r="E560" t="s">
        <v>1848</v>
      </c>
      <c r="F560" t="s">
        <v>389</v>
      </c>
      <c r="G560" t="s">
        <v>629</v>
      </c>
      <c r="H560" t="s">
        <v>48</v>
      </c>
    </row>
    <row r="561" spans="1:8">
      <c r="A561" t="s">
        <v>1849</v>
      </c>
      <c r="B561" t="s">
        <v>1850</v>
      </c>
      <c r="C561" t="s">
        <v>596</v>
      </c>
      <c r="D561" t="s">
        <v>597</v>
      </c>
      <c r="E561" t="s">
        <v>1848</v>
      </c>
      <c r="F561" t="s">
        <v>353</v>
      </c>
      <c r="G561" t="s">
        <v>640</v>
      </c>
      <c r="H561" t="s">
        <v>48</v>
      </c>
    </row>
    <row r="562" spans="1:8">
      <c r="A562" t="s">
        <v>1851</v>
      </c>
      <c r="B562" t="s">
        <v>1852</v>
      </c>
      <c r="C562" t="s">
        <v>596</v>
      </c>
      <c r="D562" t="s">
        <v>597</v>
      </c>
      <c r="E562" t="s">
        <v>1845</v>
      </c>
      <c r="F562" t="s">
        <v>177</v>
      </c>
      <c r="G562" t="s">
        <v>632</v>
      </c>
      <c r="H562" t="s">
        <v>48</v>
      </c>
    </row>
    <row r="563" spans="1:8">
      <c r="A563" t="s">
        <v>1853</v>
      </c>
      <c r="B563" t="s">
        <v>1854</v>
      </c>
      <c r="C563" t="s">
        <v>596</v>
      </c>
      <c r="D563" t="s">
        <v>597</v>
      </c>
      <c r="E563" t="s">
        <v>1848</v>
      </c>
      <c r="F563" t="s">
        <v>105</v>
      </c>
      <c r="G563" t="s">
        <v>637</v>
      </c>
      <c r="H563" t="s">
        <v>48</v>
      </c>
    </row>
    <row r="564" spans="1:8">
      <c r="A564" t="s">
        <v>1855</v>
      </c>
      <c r="B564" t="s">
        <v>1856</v>
      </c>
      <c r="C564" t="s">
        <v>596</v>
      </c>
      <c r="D564" t="s">
        <v>597</v>
      </c>
      <c r="E564" t="s">
        <v>1848</v>
      </c>
      <c r="F564" t="s">
        <v>465</v>
      </c>
      <c r="G564" t="s">
        <v>632</v>
      </c>
      <c r="H564" t="s">
        <v>48</v>
      </c>
    </row>
    <row r="565" spans="1:8">
      <c r="A565" t="s">
        <v>1857</v>
      </c>
      <c r="B565" t="s">
        <v>1858</v>
      </c>
      <c r="C565" t="s">
        <v>596</v>
      </c>
      <c r="D565" t="s">
        <v>597</v>
      </c>
      <c r="E565" t="s">
        <v>1845</v>
      </c>
      <c r="F565" t="s">
        <v>427</v>
      </c>
      <c r="G565" t="s">
        <v>640</v>
      </c>
      <c r="H565" t="s">
        <v>651</v>
      </c>
    </row>
    <row r="566" spans="1:8">
      <c r="A566" t="s">
        <v>1859</v>
      </c>
      <c r="B566" t="s">
        <v>1860</v>
      </c>
      <c r="C566" t="s">
        <v>596</v>
      </c>
      <c r="D566" t="s">
        <v>597</v>
      </c>
      <c r="E566" t="s">
        <v>1845</v>
      </c>
      <c r="F566" t="s">
        <v>353</v>
      </c>
      <c r="G566" t="s">
        <v>617</v>
      </c>
      <c r="H566" t="s">
        <v>48</v>
      </c>
    </row>
    <row r="567" spans="1:8">
      <c r="A567" t="s">
        <v>1861</v>
      </c>
      <c r="B567" t="s">
        <v>1862</v>
      </c>
      <c r="C567" t="s">
        <v>596</v>
      </c>
      <c r="D567" t="s">
        <v>597</v>
      </c>
      <c r="E567" t="s">
        <v>1845</v>
      </c>
      <c r="F567" t="s">
        <v>465</v>
      </c>
      <c r="G567" t="s">
        <v>629</v>
      </c>
      <c r="H567" t="s">
        <v>651</v>
      </c>
    </row>
    <row r="568" spans="1:8">
      <c r="A568" t="s">
        <v>1863</v>
      </c>
      <c r="B568" t="s">
        <v>1856</v>
      </c>
      <c r="C568" t="s">
        <v>596</v>
      </c>
      <c r="D568" t="s">
        <v>597</v>
      </c>
      <c r="E568" t="s">
        <v>1848</v>
      </c>
      <c r="F568" t="s">
        <v>465</v>
      </c>
      <c r="G568" t="s">
        <v>617</v>
      </c>
      <c r="H568" t="s">
        <v>48</v>
      </c>
    </row>
    <row r="569" spans="1:8">
      <c r="A569" t="s">
        <v>1864</v>
      </c>
      <c r="B569" t="s">
        <v>1844</v>
      </c>
      <c r="C569" t="s">
        <v>596</v>
      </c>
      <c r="D569" t="s">
        <v>597</v>
      </c>
      <c r="E569" t="s">
        <v>1845</v>
      </c>
      <c r="F569" t="s">
        <v>177</v>
      </c>
      <c r="G569" t="s">
        <v>632</v>
      </c>
      <c r="H569" t="s">
        <v>48</v>
      </c>
    </row>
    <row r="570" spans="1:8">
      <c r="A570" t="s">
        <v>1865</v>
      </c>
      <c r="B570" t="s">
        <v>1866</v>
      </c>
      <c r="C570" t="s">
        <v>596</v>
      </c>
      <c r="D570" t="s">
        <v>597</v>
      </c>
      <c r="E570" t="s">
        <v>1848</v>
      </c>
      <c r="F570" t="s">
        <v>177</v>
      </c>
      <c r="G570" t="s">
        <v>637</v>
      </c>
      <c r="H570" t="s">
        <v>48</v>
      </c>
    </row>
    <row r="571" spans="1:8">
      <c r="A571" t="s">
        <v>1867</v>
      </c>
      <c r="B571" t="s">
        <v>1868</v>
      </c>
      <c r="C571" t="s">
        <v>596</v>
      </c>
      <c r="D571" t="s">
        <v>597</v>
      </c>
      <c r="E571" t="s">
        <v>1848</v>
      </c>
      <c r="F571" t="s">
        <v>177</v>
      </c>
      <c r="G571" t="s">
        <v>617</v>
      </c>
      <c r="H571" t="s">
        <v>48</v>
      </c>
    </row>
    <row r="572" spans="1:8">
      <c r="A572" t="s">
        <v>1869</v>
      </c>
      <c r="B572" t="s">
        <v>1870</v>
      </c>
      <c r="C572" t="s">
        <v>596</v>
      </c>
      <c r="D572" t="s">
        <v>597</v>
      </c>
      <c r="E572" t="s">
        <v>1848</v>
      </c>
      <c r="F572" t="s">
        <v>484</v>
      </c>
      <c r="G572" t="s">
        <v>629</v>
      </c>
      <c r="H572" t="s">
        <v>651</v>
      </c>
    </row>
    <row r="573" spans="1:8">
      <c r="A573" t="s">
        <v>1871</v>
      </c>
      <c r="B573" t="s">
        <v>1872</v>
      </c>
      <c r="C573" t="s">
        <v>598</v>
      </c>
      <c r="D573" t="s">
        <v>599</v>
      </c>
      <c r="E573" t="s">
        <v>1873</v>
      </c>
      <c r="F573" t="s">
        <v>300</v>
      </c>
      <c r="G573" t="s">
        <v>640</v>
      </c>
      <c r="H573" t="s">
        <v>48</v>
      </c>
    </row>
    <row r="574" spans="1:8">
      <c r="A574" t="s">
        <v>1874</v>
      </c>
      <c r="B574" t="s">
        <v>1875</v>
      </c>
      <c r="C574" t="s">
        <v>598</v>
      </c>
      <c r="D574" t="s">
        <v>599</v>
      </c>
      <c r="E574" t="s">
        <v>1876</v>
      </c>
      <c r="F574" t="s">
        <v>408</v>
      </c>
      <c r="G574" t="s">
        <v>629</v>
      </c>
      <c r="H574" t="s">
        <v>48</v>
      </c>
    </row>
    <row r="575" spans="1:8">
      <c r="A575" t="s">
        <v>1877</v>
      </c>
      <c r="B575" t="s">
        <v>1878</v>
      </c>
      <c r="C575" t="s">
        <v>598</v>
      </c>
      <c r="D575" t="s">
        <v>599</v>
      </c>
      <c r="E575" t="s">
        <v>1876</v>
      </c>
      <c r="F575" t="s">
        <v>105</v>
      </c>
      <c r="G575" t="s">
        <v>640</v>
      </c>
      <c r="H575" t="s">
        <v>48</v>
      </c>
    </row>
    <row r="576" spans="1:8">
      <c r="A576" t="s">
        <v>1879</v>
      </c>
      <c r="B576" t="s">
        <v>1880</v>
      </c>
      <c r="C576" t="s">
        <v>598</v>
      </c>
      <c r="D576" t="s">
        <v>599</v>
      </c>
      <c r="E576" t="s">
        <v>1873</v>
      </c>
      <c r="F576" t="s">
        <v>43</v>
      </c>
      <c r="G576" t="s">
        <v>629</v>
      </c>
      <c r="H576" t="s">
        <v>48</v>
      </c>
    </row>
    <row r="577" spans="1:8">
      <c r="A577" t="s">
        <v>1881</v>
      </c>
      <c r="B577" t="s">
        <v>1882</v>
      </c>
      <c r="C577" t="s">
        <v>598</v>
      </c>
      <c r="D577" t="s">
        <v>599</v>
      </c>
      <c r="E577" t="s">
        <v>1883</v>
      </c>
      <c r="F577" t="s">
        <v>484</v>
      </c>
      <c r="G577" t="s">
        <v>632</v>
      </c>
      <c r="H577" t="s">
        <v>48</v>
      </c>
    </row>
    <row r="578" spans="1:8">
      <c r="A578" t="s">
        <v>1884</v>
      </c>
      <c r="B578" t="s">
        <v>1885</v>
      </c>
      <c r="C578" t="s">
        <v>598</v>
      </c>
      <c r="D578" t="s">
        <v>599</v>
      </c>
      <c r="E578" t="s">
        <v>1876</v>
      </c>
      <c r="F578" t="s">
        <v>427</v>
      </c>
      <c r="G578" t="s">
        <v>637</v>
      </c>
      <c r="H578" t="s">
        <v>48</v>
      </c>
    </row>
    <row r="579" spans="1:8">
      <c r="A579" t="s">
        <v>1886</v>
      </c>
      <c r="B579" t="s">
        <v>1887</v>
      </c>
      <c r="C579" t="s">
        <v>598</v>
      </c>
      <c r="D579" t="s">
        <v>599</v>
      </c>
      <c r="E579" t="s">
        <v>1876</v>
      </c>
      <c r="F579" t="s">
        <v>105</v>
      </c>
      <c r="G579" t="s">
        <v>629</v>
      </c>
      <c r="H579" t="s">
        <v>48</v>
      </c>
    </row>
    <row r="580" spans="1:8">
      <c r="A580" t="s">
        <v>1888</v>
      </c>
      <c r="B580" t="s">
        <v>1889</v>
      </c>
      <c r="C580" t="s">
        <v>598</v>
      </c>
      <c r="D580" t="s">
        <v>599</v>
      </c>
      <c r="E580" t="s">
        <v>1876</v>
      </c>
      <c r="F580" t="s">
        <v>300</v>
      </c>
      <c r="G580" t="s">
        <v>629</v>
      </c>
      <c r="H580" t="s">
        <v>48</v>
      </c>
    </row>
    <row r="581" spans="1:8">
      <c r="A581" t="s">
        <v>1890</v>
      </c>
      <c r="B581" t="s">
        <v>1891</v>
      </c>
      <c r="C581" t="s">
        <v>598</v>
      </c>
      <c r="D581" t="s">
        <v>599</v>
      </c>
      <c r="E581" t="s">
        <v>1873</v>
      </c>
      <c r="F581" t="s">
        <v>105</v>
      </c>
      <c r="G581" t="s">
        <v>629</v>
      </c>
      <c r="H581" t="s">
        <v>48</v>
      </c>
    </row>
    <row r="582" spans="1:8">
      <c r="A582" t="s">
        <v>1892</v>
      </c>
      <c r="B582" t="s">
        <v>1893</v>
      </c>
      <c r="C582" t="s">
        <v>600</v>
      </c>
      <c r="D582" t="s">
        <v>601</v>
      </c>
      <c r="E582" t="s">
        <v>1894</v>
      </c>
      <c r="F582" t="s">
        <v>389</v>
      </c>
      <c r="G582" t="s">
        <v>640</v>
      </c>
      <c r="H582" t="s">
        <v>651</v>
      </c>
    </row>
    <row r="583" spans="1:8">
      <c r="A583" t="s">
        <v>1895</v>
      </c>
      <c r="B583" t="s">
        <v>1896</v>
      </c>
      <c r="C583" t="s">
        <v>600</v>
      </c>
      <c r="D583" t="s">
        <v>601</v>
      </c>
      <c r="E583" t="s">
        <v>1897</v>
      </c>
      <c r="F583" t="s">
        <v>177</v>
      </c>
      <c r="G583" t="s">
        <v>640</v>
      </c>
      <c r="H583" t="s">
        <v>651</v>
      </c>
    </row>
    <row r="584" spans="1:8">
      <c r="A584" t="s">
        <v>1898</v>
      </c>
      <c r="B584" t="s">
        <v>1899</v>
      </c>
      <c r="C584" t="s">
        <v>600</v>
      </c>
      <c r="D584" t="s">
        <v>601</v>
      </c>
      <c r="E584" t="s">
        <v>1900</v>
      </c>
      <c r="F584" t="s">
        <v>300</v>
      </c>
      <c r="G584" t="s">
        <v>617</v>
      </c>
      <c r="H584" t="s">
        <v>651</v>
      </c>
    </row>
    <row r="585" spans="1:8">
      <c r="A585" t="s">
        <v>1901</v>
      </c>
      <c r="B585" t="s">
        <v>1902</v>
      </c>
      <c r="C585" t="s">
        <v>600</v>
      </c>
      <c r="D585" t="s">
        <v>601</v>
      </c>
      <c r="E585" t="s">
        <v>1897</v>
      </c>
      <c r="F585" t="s">
        <v>300</v>
      </c>
      <c r="G585" t="s">
        <v>637</v>
      </c>
      <c r="H585" t="s">
        <v>48</v>
      </c>
    </row>
    <row r="586" spans="1:8">
      <c r="A586" t="s">
        <v>1903</v>
      </c>
      <c r="B586" t="s">
        <v>1904</v>
      </c>
      <c r="C586" t="s">
        <v>600</v>
      </c>
      <c r="D586" t="s">
        <v>601</v>
      </c>
      <c r="E586" t="s">
        <v>1897</v>
      </c>
      <c r="F586" t="s">
        <v>427</v>
      </c>
      <c r="G586" t="s">
        <v>629</v>
      </c>
      <c r="H586" t="s">
        <v>48</v>
      </c>
    </row>
    <row r="587" spans="1:8">
      <c r="A587" t="s">
        <v>1905</v>
      </c>
      <c r="B587" t="s">
        <v>1899</v>
      </c>
      <c r="C587" t="s">
        <v>600</v>
      </c>
      <c r="D587" t="s">
        <v>601</v>
      </c>
      <c r="E587" t="s">
        <v>1900</v>
      </c>
      <c r="F587" t="s">
        <v>300</v>
      </c>
      <c r="G587" t="s">
        <v>629</v>
      </c>
      <c r="H587" t="s">
        <v>48</v>
      </c>
    </row>
    <row r="588" spans="1:8">
      <c r="A588" t="s">
        <v>1906</v>
      </c>
      <c r="B588" t="s">
        <v>1907</v>
      </c>
      <c r="C588" t="s">
        <v>600</v>
      </c>
      <c r="D588" t="s">
        <v>601</v>
      </c>
      <c r="E588" t="s">
        <v>1900</v>
      </c>
      <c r="F588" t="s">
        <v>389</v>
      </c>
      <c r="G588" t="s">
        <v>617</v>
      </c>
      <c r="H588" t="s">
        <v>48</v>
      </c>
    </row>
    <row r="589" spans="1:8">
      <c r="A589" t="s">
        <v>1908</v>
      </c>
      <c r="B589" t="s">
        <v>1909</v>
      </c>
      <c r="C589" t="s">
        <v>600</v>
      </c>
      <c r="D589" t="s">
        <v>601</v>
      </c>
      <c r="E589" t="s">
        <v>1894</v>
      </c>
      <c r="F589" t="s">
        <v>105</v>
      </c>
      <c r="G589" t="s">
        <v>629</v>
      </c>
      <c r="H589" t="s">
        <v>48</v>
      </c>
    </row>
    <row r="590" spans="1:8">
      <c r="A590" t="s">
        <v>1910</v>
      </c>
      <c r="B590" t="s">
        <v>1911</v>
      </c>
      <c r="C590" t="s">
        <v>600</v>
      </c>
      <c r="D590" t="s">
        <v>601</v>
      </c>
      <c r="E590" t="s">
        <v>1900</v>
      </c>
      <c r="F590" t="s">
        <v>230</v>
      </c>
      <c r="G590" t="s">
        <v>617</v>
      </c>
      <c r="H590" t="s">
        <v>48</v>
      </c>
    </row>
    <row r="591" spans="1:8">
      <c r="A591" t="s">
        <v>1912</v>
      </c>
      <c r="B591" t="s">
        <v>1913</v>
      </c>
      <c r="C591" t="s">
        <v>602</v>
      </c>
      <c r="D591" t="s">
        <v>603</v>
      </c>
      <c r="E591" t="s">
        <v>1914</v>
      </c>
      <c r="F591" t="s">
        <v>177</v>
      </c>
      <c r="G591" t="s">
        <v>617</v>
      </c>
      <c r="H591" t="s">
        <v>48</v>
      </c>
    </row>
    <row r="592" spans="1:8">
      <c r="A592" t="s">
        <v>1915</v>
      </c>
      <c r="B592" t="s">
        <v>1916</v>
      </c>
      <c r="C592" t="s">
        <v>602</v>
      </c>
      <c r="D592" t="s">
        <v>603</v>
      </c>
      <c r="E592" t="s">
        <v>1914</v>
      </c>
      <c r="F592" t="s">
        <v>484</v>
      </c>
      <c r="G592" t="s">
        <v>629</v>
      </c>
      <c r="H592" t="s">
        <v>48</v>
      </c>
    </row>
    <row r="593" spans="1:8">
      <c r="A593" t="s">
        <v>1917</v>
      </c>
      <c r="B593" t="s">
        <v>1918</v>
      </c>
      <c r="C593" t="s">
        <v>602</v>
      </c>
      <c r="D593" t="s">
        <v>603</v>
      </c>
      <c r="E593" t="s">
        <v>1919</v>
      </c>
      <c r="F593" t="s">
        <v>230</v>
      </c>
      <c r="G593" t="s">
        <v>640</v>
      </c>
      <c r="H593" t="s">
        <v>48</v>
      </c>
    </row>
    <row r="594" spans="1:8">
      <c r="A594" t="s">
        <v>1920</v>
      </c>
      <c r="B594" t="s">
        <v>1921</v>
      </c>
      <c r="C594" t="s">
        <v>604</v>
      </c>
      <c r="D594" t="s">
        <v>605</v>
      </c>
      <c r="E594" t="s">
        <v>1922</v>
      </c>
      <c r="F594" t="s">
        <v>43</v>
      </c>
      <c r="G594" t="s">
        <v>637</v>
      </c>
      <c r="H594" t="s">
        <v>48</v>
      </c>
    </row>
    <row r="595" spans="1:8">
      <c r="A595" t="s">
        <v>1923</v>
      </c>
      <c r="B595" t="s">
        <v>1924</v>
      </c>
      <c r="C595" t="s">
        <v>604</v>
      </c>
      <c r="D595" t="s">
        <v>605</v>
      </c>
      <c r="E595" t="s">
        <v>1922</v>
      </c>
      <c r="F595" t="s">
        <v>105</v>
      </c>
      <c r="G595" t="s">
        <v>640</v>
      </c>
      <c r="H595" t="s">
        <v>48</v>
      </c>
    </row>
    <row r="596" spans="1:8">
      <c r="A596" t="s">
        <v>1925</v>
      </c>
      <c r="B596" t="s">
        <v>1926</v>
      </c>
      <c r="C596" t="s">
        <v>604</v>
      </c>
      <c r="D596" t="s">
        <v>605</v>
      </c>
      <c r="E596" t="s">
        <v>1927</v>
      </c>
      <c r="F596" t="s">
        <v>177</v>
      </c>
      <c r="G596" t="s">
        <v>617</v>
      </c>
      <c r="H596" t="s">
        <v>48</v>
      </c>
    </row>
    <row r="597" spans="1:8">
      <c r="A597" t="s">
        <v>1928</v>
      </c>
      <c r="B597" t="s">
        <v>1929</v>
      </c>
      <c r="C597" t="s">
        <v>604</v>
      </c>
      <c r="D597" t="s">
        <v>605</v>
      </c>
      <c r="E597" t="s">
        <v>1922</v>
      </c>
      <c r="F597" t="s">
        <v>465</v>
      </c>
      <c r="G597" t="s">
        <v>617</v>
      </c>
      <c r="H597" t="s">
        <v>651</v>
      </c>
    </row>
    <row r="598" spans="1:8">
      <c r="A598" t="s">
        <v>1930</v>
      </c>
      <c r="B598" t="s">
        <v>1931</v>
      </c>
      <c r="C598" t="s">
        <v>606</v>
      </c>
      <c r="D598" t="s">
        <v>607</v>
      </c>
      <c r="E598" t="s">
        <v>1932</v>
      </c>
      <c r="F598" t="s">
        <v>353</v>
      </c>
      <c r="G598" t="s">
        <v>617</v>
      </c>
      <c r="H598" t="s">
        <v>48</v>
      </c>
    </row>
    <row r="599" spans="1:8">
      <c r="A599" t="s">
        <v>1933</v>
      </c>
      <c r="B599" t="s">
        <v>1934</v>
      </c>
      <c r="C599" t="s">
        <v>606</v>
      </c>
      <c r="D599" t="s">
        <v>607</v>
      </c>
      <c r="E599" t="s">
        <v>1935</v>
      </c>
      <c r="F599" t="s">
        <v>408</v>
      </c>
      <c r="G599" t="s">
        <v>637</v>
      </c>
      <c r="H599" t="s">
        <v>48</v>
      </c>
    </row>
    <row r="600" spans="1:8">
      <c r="A600" t="s">
        <v>1936</v>
      </c>
      <c r="B600" t="s">
        <v>1937</v>
      </c>
      <c r="C600" t="s">
        <v>606</v>
      </c>
      <c r="D600" t="s">
        <v>607</v>
      </c>
      <c r="E600" t="s">
        <v>1932</v>
      </c>
      <c r="F600" t="s">
        <v>230</v>
      </c>
      <c r="G600" t="s">
        <v>617</v>
      </c>
      <c r="H600" t="s">
        <v>48</v>
      </c>
    </row>
    <row r="601" spans="1:8">
      <c r="A601" t="s">
        <v>1938</v>
      </c>
      <c r="B601" t="s">
        <v>1939</v>
      </c>
      <c r="C601" t="s">
        <v>606</v>
      </c>
      <c r="D601" t="s">
        <v>607</v>
      </c>
      <c r="E601" t="s">
        <v>1935</v>
      </c>
      <c r="F601" t="s">
        <v>300</v>
      </c>
      <c r="G601" t="s">
        <v>629</v>
      </c>
      <c r="H601" t="s">
        <v>651</v>
      </c>
    </row>
  </sheetData>
  <pageMargins left="0.75" right="0.75" top="1" bottom="1" header="0.511811023622047" footer="0.511811023622047"/>
  <ignoredErrors>
    <ignoredError sqref="A1:H601"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F601"/>
  <sheetViews>
    <sheetView workbookViewId="0"/>
  </sheetViews>
  <sheetFormatPr defaultRowHeight="15"/>
  <sheetData>
    <row r="1" spans="1:32">
      <c r="A1" t="s">
        <v>608</v>
      </c>
      <c r="B1" t="s">
        <v>1940</v>
      </c>
      <c r="C1" t="s">
        <v>1941</v>
      </c>
      <c r="D1" t="s">
        <v>1942</v>
      </c>
      <c r="E1" t="s">
        <v>1943</v>
      </c>
      <c r="F1" t="s">
        <v>1944</v>
      </c>
      <c r="G1" t="s">
        <v>1945</v>
      </c>
      <c r="H1" t="s">
        <v>1946</v>
      </c>
      <c r="I1" t="s">
        <v>1947</v>
      </c>
      <c r="J1" t="s">
        <v>1948</v>
      </c>
      <c r="K1" t="s">
        <v>1949</v>
      </c>
      <c r="L1" t="s">
        <v>1950</v>
      </c>
      <c r="M1" t="s">
        <v>1951</v>
      </c>
      <c r="N1" t="s">
        <v>1952</v>
      </c>
      <c r="O1" t="s">
        <v>1953</v>
      </c>
      <c r="P1" t="s">
        <v>1954</v>
      </c>
      <c r="Q1" t="s">
        <v>1955</v>
      </c>
      <c r="R1" t="s">
        <v>1956</v>
      </c>
      <c r="S1" t="s">
        <v>1957</v>
      </c>
      <c r="T1" t="s">
        <v>1958</v>
      </c>
      <c r="U1" t="s">
        <v>1959</v>
      </c>
      <c r="V1" t="s">
        <v>1960</v>
      </c>
      <c r="W1" t="s">
        <v>1961</v>
      </c>
      <c r="X1" t="s">
        <v>1962</v>
      </c>
      <c r="Y1" t="s">
        <v>1963</v>
      </c>
      <c r="Z1" t="s">
        <v>1964</v>
      </c>
      <c r="AA1" t="s">
        <v>1965</v>
      </c>
      <c r="AB1" t="s">
        <v>1966</v>
      </c>
      <c r="AC1" t="s">
        <v>1967</v>
      </c>
      <c r="AD1" t="s">
        <v>1968</v>
      </c>
      <c r="AE1" t="s">
        <v>1969</v>
      </c>
      <c r="AF1" t="s">
        <v>1970</v>
      </c>
    </row>
    <row r="2" spans="1:32">
      <c r="A2" t="s">
        <v>614</v>
      </c>
      <c r="B2">
        <v>8.1999999999999993</v>
      </c>
      <c r="C2">
        <v>18</v>
      </c>
      <c r="D2">
        <v>11</v>
      </c>
      <c r="E2">
        <v>22.5</v>
      </c>
      <c r="F2">
        <v>9.1</v>
      </c>
      <c r="G2">
        <v>5.2</v>
      </c>
      <c r="H2">
        <v>77</v>
      </c>
      <c r="I2">
        <v>86.3</v>
      </c>
      <c r="J2">
        <v>0</v>
      </c>
      <c r="K2">
        <v>75</v>
      </c>
      <c r="L2">
        <v>16.3</v>
      </c>
      <c r="M2">
        <v>5</v>
      </c>
      <c r="N2">
        <v>85</v>
      </c>
      <c r="O2">
        <v>93</v>
      </c>
      <c r="P2">
        <v>10.7</v>
      </c>
      <c r="Q2">
        <v>9.3000000000000007</v>
      </c>
      <c r="R2">
        <v>9.3000000000000007</v>
      </c>
      <c r="S2">
        <v>20</v>
      </c>
      <c r="T2">
        <v>99</v>
      </c>
      <c r="U2">
        <v>2702</v>
      </c>
      <c r="V2">
        <v>1632000</v>
      </c>
      <c r="W2">
        <v>68</v>
      </c>
      <c r="X2">
        <v>80.3</v>
      </c>
      <c r="Y2">
        <v>81.3</v>
      </c>
      <c r="Z2">
        <v>70.400000000000006</v>
      </c>
      <c r="AA2">
        <v>68</v>
      </c>
      <c r="AB2">
        <v>84.8</v>
      </c>
      <c r="AC2">
        <v>77.8</v>
      </c>
      <c r="AD2">
        <v>100</v>
      </c>
      <c r="AE2">
        <v>100</v>
      </c>
      <c r="AF2" t="s">
        <v>47</v>
      </c>
    </row>
    <row r="3" spans="1:32">
      <c r="A3" t="s">
        <v>618</v>
      </c>
      <c r="B3">
        <v>10</v>
      </c>
      <c r="C3">
        <v>23</v>
      </c>
      <c r="D3">
        <v>13</v>
      </c>
      <c r="E3">
        <v>16.3</v>
      </c>
      <c r="F3">
        <v>10.3</v>
      </c>
      <c r="G3">
        <v>5.2</v>
      </c>
      <c r="H3">
        <v>60.4</v>
      </c>
      <c r="I3">
        <v>86</v>
      </c>
      <c r="J3">
        <v>0</v>
      </c>
      <c r="K3">
        <v>70</v>
      </c>
      <c r="L3">
        <v>15.2</v>
      </c>
      <c r="M3">
        <v>0.3</v>
      </c>
      <c r="N3">
        <v>76</v>
      </c>
      <c r="O3">
        <v>79</v>
      </c>
      <c r="P3">
        <v>10.8</v>
      </c>
      <c r="Q3">
        <v>11.2</v>
      </c>
      <c r="R3">
        <v>7.3</v>
      </c>
      <c r="S3">
        <v>20</v>
      </c>
      <c r="T3">
        <v>100</v>
      </c>
      <c r="U3">
        <v>2906</v>
      </c>
      <c r="V3">
        <v>3120000</v>
      </c>
      <c r="W3">
        <v>77</v>
      </c>
      <c r="X3">
        <v>72.900000000000006</v>
      </c>
      <c r="Y3">
        <v>84.9</v>
      </c>
      <c r="Z3">
        <v>67.599999999999994</v>
      </c>
      <c r="AA3">
        <v>77</v>
      </c>
      <c r="AB3">
        <v>82.9</v>
      </c>
      <c r="AC3">
        <v>76.2</v>
      </c>
      <c r="AD3">
        <v>100</v>
      </c>
      <c r="AE3">
        <v>100</v>
      </c>
      <c r="AF3" t="s">
        <v>47</v>
      </c>
    </row>
    <row r="4" spans="1:32">
      <c r="A4" t="s">
        <v>621</v>
      </c>
      <c r="B4">
        <v>4.3</v>
      </c>
      <c r="C4">
        <v>11</v>
      </c>
      <c r="D4">
        <v>7</v>
      </c>
      <c r="E4">
        <v>6.9</v>
      </c>
      <c r="F4">
        <v>9.3000000000000007</v>
      </c>
      <c r="G4">
        <v>8.1999999999999993</v>
      </c>
      <c r="H4">
        <v>68.3</v>
      </c>
      <c r="I4">
        <v>74.599999999999994</v>
      </c>
      <c r="J4">
        <v>0</v>
      </c>
      <c r="K4">
        <v>56</v>
      </c>
      <c r="L4">
        <v>15.4</v>
      </c>
      <c r="M4">
        <v>2.9</v>
      </c>
      <c r="N4">
        <v>106</v>
      </c>
      <c r="O4">
        <v>85</v>
      </c>
      <c r="P4">
        <v>15.5</v>
      </c>
      <c r="Q4">
        <v>6.9</v>
      </c>
      <c r="R4">
        <v>4.5</v>
      </c>
      <c r="S4">
        <v>7.8</v>
      </c>
      <c r="T4">
        <v>94</v>
      </c>
      <c r="U4">
        <v>2398</v>
      </c>
      <c r="V4">
        <v>2391000</v>
      </c>
      <c r="W4">
        <v>63</v>
      </c>
      <c r="X4">
        <v>54.1</v>
      </c>
      <c r="Y4">
        <v>80</v>
      </c>
      <c r="Z4">
        <v>78.8</v>
      </c>
      <c r="AA4">
        <v>63</v>
      </c>
      <c r="AB4">
        <v>87.8</v>
      </c>
      <c r="AC4">
        <v>69.8</v>
      </c>
      <c r="AD4">
        <v>100</v>
      </c>
      <c r="AE4">
        <v>100</v>
      </c>
      <c r="AF4" t="s">
        <v>47</v>
      </c>
    </row>
    <row r="5" spans="1:32">
      <c r="A5" t="s">
        <v>624</v>
      </c>
      <c r="B5">
        <v>3.2</v>
      </c>
      <c r="C5">
        <v>9</v>
      </c>
      <c r="D5">
        <v>5</v>
      </c>
      <c r="E5">
        <v>18.2</v>
      </c>
      <c r="F5">
        <v>19.2</v>
      </c>
      <c r="H5">
        <v>66.2</v>
      </c>
      <c r="I5">
        <v>60.6</v>
      </c>
      <c r="J5">
        <v>0</v>
      </c>
      <c r="K5">
        <v>41</v>
      </c>
      <c r="L5">
        <v>40.6</v>
      </c>
      <c r="M5">
        <v>9.3000000000000007</v>
      </c>
      <c r="N5">
        <v>71</v>
      </c>
      <c r="O5">
        <v>79</v>
      </c>
      <c r="P5">
        <v>22.3</v>
      </c>
      <c r="T5">
        <v>92</v>
      </c>
      <c r="U5">
        <v>3107</v>
      </c>
      <c r="V5">
        <v>2402000</v>
      </c>
      <c r="W5">
        <v>73</v>
      </c>
      <c r="X5">
        <v>65.900000000000006</v>
      </c>
      <c r="Y5">
        <v>59.6</v>
      </c>
      <c r="Z5">
        <v>38.6</v>
      </c>
      <c r="AA5">
        <v>73</v>
      </c>
      <c r="AB5">
        <v>80.900000000000006</v>
      </c>
      <c r="AC5">
        <v>61.1</v>
      </c>
      <c r="AD5">
        <v>100</v>
      </c>
      <c r="AE5">
        <v>81</v>
      </c>
      <c r="AF5" t="s">
        <v>1971</v>
      </c>
    </row>
    <row r="6" spans="1:32">
      <c r="A6" t="s">
        <v>626</v>
      </c>
      <c r="B6">
        <v>3</v>
      </c>
      <c r="C6">
        <v>8</v>
      </c>
      <c r="D6">
        <v>3</v>
      </c>
      <c r="E6">
        <v>15.2</v>
      </c>
      <c r="F6">
        <v>12.7</v>
      </c>
      <c r="G6">
        <v>6.3</v>
      </c>
      <c r="I6">
        <v>71.7</v>
      </c>
      <c r="J6">
        <v>0</v>
      </c>
      <c r="K6">
        <v>44</v>
      </c>
      <c r="L6">
        <v>30.9</v>
      </c>
      <c r="M6">
        <v>5.6</v>
      </c>
      <c r="N6">
        <v>90</v>
      </c>
      <c r="P6">
        <v>14.4</v>
      </c>
      <c r="Q6">
        <v>9</v>
      </c>
      <c r="R6">
        <v>8.4</v>
      </c>
      <c r="S6">
        <v>16.5</v>
      </c>
      <c r="T6">
        <v>96</v>
      </c>
      <c r="U6">
        <v>2037</v>
      </c>
      <c r="V6">
        <v>2161000</v>
      </c>
      <c r="W6">
        <v>36</v>
      </c>
      <c r="X6">
        <v>61.7</v>
      </c>
      <c r="Y6">
        <v>74.900000000000006</v>
      </c>
      <c r="Z6">
        <v>64.599999999999994</v>
      </c>
      <c r="AA6">
        <v>36</v>
      </c>
      <c r="AB6">
        <v>91.3</v>
      </c>
      <c r="AC6">
        <v>66</v>
      </c>
      <c r="AD6">
        <v>100</v>
      </c>
      <c r="AE6">
        <v>90.5</v>
      </c>
      <c r="AF6" t="s">
        <v>47</v>
      </c>
    </row>
    <row r="7" spans="1:32">
      <c r="A7" t="s">
        <v>630</v>
      </c>
      <c r="B7">
        <v>0.8</v>
      </c>
      <c r="C7">
        <v>7</v>
      </c>
      <c r="D7">
        <v>2</v>
      </c>
      <c r="E7">
        <v>8</v>
      </c>
      <c r="F7">
        <v>18.7</v>
      </c>
      <c r="G7">
        <v>6</v>
      </c>
      <c r="H7">
        <v>58.4</v>
      </c>
      <c r="I7">
        <v>44.1</v>
      </c>
      <c r="J7">
        <v>0</v>
      </c>
      <c r="K7">
        <v>33</v>
      </c>
      <c r="L7">
        <v>49.9</v>
      </c>
      <c r="M7">
        <v>7.2</v>
      </c>
      <c r="N7">
        <v>91</v>
      </c>
      <c r="O7">
        <v>97</v>
      </c>
      <c r="P7">
        <v>27.1</v>
      </c>
      <c r="Q7">
        <v>10.7</v>
      </c>
      <c r="R7">
        <v>12.8</v>
      </c>
      <c r="S7">
        <v>19.2</v>
      </c>
      <c r="T7">
        <v>82</v>
      </c>
      <c r="U7">
        <v>1939</v>
      </c>
      <c r="V7">
        <v>1844000</v>
      </c>
      <c r="W7">
        <v>57</v>
      </c>
      <c r="X7">
        <v>42.2</v>
      </c>
      <c r="Y7">
        <v>56.6</v>
      </c>
      <c r="Z7">
        <v>48.7</v>
      </c>
      <c r="AA7">
        <v>57</v>
      </c>
      <c r="AB7">
        <v>92.2</v>
      </c>
      <c r="AC7">
        <v>53.6</v>
      </c>
      <c r="AD7">
        <v>100</v>
      </c>
      <c r="AE7">
        <v>100</v>
      </c>
      <c r="AF7" t="s">
        <v>47</v>
      </c>
    </row>
    <row r="8" spans="1:32">
      <c r="A8" t="s">
        <v>633</v>
      </c>
      <c r="B8">
        <v>2</v>
      </c>
      <c r="C8">
        <v>8</v>
      </c>
      <c r="D8">
        <v>4</v>
      </c>
      <c r="E8">
        <v>8.1</v>
      </c>
      <c r="F8">
        <v>10.199999999999999</v>
      </c>
      <c r="G8">
        <v>5.3</v>
      </c>
      <c r="H8">
        <v>51.8</v>
      </c>
      <c r="J8">
        <v>0</v>
      </c>
      <c r="K8">
        <v>34</v>
      </c>
      <c r="L8">
        <v>13.2</v>
      </c>
      <c r="N8">
        <v>95</v>
      </c>
      <c r="O8">
        <v>100</v>
      </c>
      <c r="Q8">
        <v>14.3</v>
      </c>
      <c r="R8">
        <v>10.5</v>
      </c>
      <c r="S8">
        <v>20.3</v>
      </c>
      <c r="U8">
        <v>1734</v>
      </c>
      <c r="V8">
        <v>1561000</v>
      </c>
      <c r="W8">
        <v>48</v>
      </c>
      <c r="X8">
        <v>57</v>
      </c>
      <c r="Y8">
        <v>68.5</v>
      </c>
      <c r="Z8">
        <v>67.599999999999994</v>
      </c>
      <c r="AA8">
        <v>48</v>
      </c>
      <c r="AB8">
        <v>94.2</v>
      </c>
      <c r="AC8">
        <v>64.8</v>
      </c>
      <c r="AD8">
        <v>100</v>
      </c>
      <c r="AE8">
        <v>81</v>
      </c>
      <c r="AF8" t="s">
        <v>1971</v>
      </c>
    </row>
    <row r="9" spans="1:32">
      <c r="A9" t="s">
        <v>635</v>
      </c>
      <c r="B9">
        <v>3.6</v>
      </c>
      <c r="C9">
        <v>11</v>
      </c>
      <c r="D9">
        <v>4</v>
      </c>
      <c r="E9">
        <v>10.8</v>
      </c>
      <c r="F9">
        <v>10.5</v>
      </c>
      <c r="G9">
        <v>3.8</v>
      </c>
      <c r="H9">
        <v>49.6</v>
      </c>
      <c r="I9">
        <v>74.400000000000006</v>
      </c>
      <c r="J9">
        <v>0</v>
      </c>
      <c r="K9">
        <v>47</v>
      </c>
      <c r="L9">
        <v>34.200000000000003</v>
      </c>
      <c r="M9">
        <v>6.3</v>
      </c>
      <c r="N9">
        <v>109</v>
      </c>
      <c r="O9">
        <v>79</v>
      </c>
      <c r="P9">
        <v>23</v>
      </c>
      <c r="Q9">
        <v>15.8</v>
      </c>
      <c r="R9">
        <v>11</v>
      </c>
      <c r="S9">
        <v>18.399999999999999</v>
      </c>
      <c r="T9">
        <v>92</v>
      </c>
      <c r="U9">
        <v>2032</v>
      </c>
      <c r="V9">
        <v>1323000</v>
      </c>
      <c r="W9">
        <v>45</v>
      </c>
      <c r="X9">
        <v>52.6</v>
      </c>
      <c r="Y9">
        <v>68.3</v>
      </c>
      <c r="Z9">
        <v>68.3</v>
      </c>
      <c r="AA9">
        <v>45</v>
      </c>
      <c r="AB9">
        <v>91.3</v>
      </c>
      <c r="AC9">
        <v>62.8</v>
      </c>
      <c r="AD9">
        <v>100</v>
      </c>
      <c r="AE9">
        <v>100</v>
      </c>
      <c r="AF9" t="s">
        <v>47</v>
      </c>
    </row>
    <row r="10" spans="1:32">
      <c r="A10" t="s">
        <v>638</v>
      </c>
      <c r="B10">
        <v>2.8</v>
      </c>
      <c r="C10">
        <v>6</v>
      </c>
      <c r="D10">
        <v>3</v>
      </c>
      <c r="E10">
        <v>7.4</v>
      </c>
      <c r="G10">
        <v>6.2</v>
      </c>
      <c r="H10">
        <v>39.700000000000003</v>
      </c>
      <c r="I10">
        <v>53.3</v>
      </c>
      <c r="J10">
        <v>1</v>
      </c>
      <c r="K10">
        <v>45</v>
      </c>
      <c r="L10">
        <v>22.4</v>
      </c>
      <c r="M10">
        <v>9.1</v>
      </c>
      <c r="N10">
        <v>103</v>
      </c>
      <c r="O10">
        <v>89</v>
      </c>
      <c r="P10">
        <v>16.100000000000001</v>
      </c>
      <c r="Q10">
        <v>3.9</v>
      </c>
      <c r="R10">
        <v>6.3</v>
      </c>
      <c r="S10">
        <v>13.4</v>
      </c>
      <c r="T10">
        <v>88</v>
      </c>
      <c r="U10">
        <v>1853</v>
      </c>
      <c r="V10">
        <v>813000</v>
      </c>
      <c r="W10">
        <v>44</v>
      </c>
      <c r="X10">
        <v>52</v>
      </c>
      <c r="Y10">
        <v>68</v>
      </c>
      <c r="Z10">
        <v>76.3</v>
      </c>
      <c r="AA10">
        <v>44</v>
      </c>
      <c r="AB10">
        <v>93.1</v>
      </c>
      <c r="AC10">
        <v>64.099999999999994</v>
      </c>
      <c r="AD10">
        <v>100</v>
      </c>
      <c r="AE10">
        <v>95.2</v>
      </c>
      <c r="AF10" t="s">
        <v>47</v>
      </c>
    </row>
    <row r="11" spans="1:32">
      <c r="A11" t="s">
        <v>641</v>
      </c>
      <c r="B11">
        <v>1.3</v>
      </c>
      <c r="C11">
        <v>3</v>
      </c>
      <c r="D11">
        <v>1</v>
      </c>
      <c r="F11">
        <v>13.8</v>
      </c>
      <c r="G11">
        <v>3.9</v>
      </c>
      <c r="I11">
        <v>55.9</v>
      </c>
      <c r="J11">
        <v>0</v>
      </c>
      <c r="K11">
        <v>21</v>
      </c>
      <c r="L11">
        <v>19.5</v>
      </c>
      <c r="M11">
        <v>6.7</v>
      </c>
      <c r="P11">
        <v>13.6</v>
      </c>
      <c r="Q11">
        <v>11</v>
      </c>
      <c r="R11">
        <v>10.3</v>
      </c>
      <c r="S11">
        <v>16.899999999999999</v>
      </c>
      <c r="T11">
        <v>83</v>
      </c>
      <c r="U11">
        <v>2242</v>
      </c>
      <c r="V11">
        <v>933000</v>
      </c>
      <c r="W11">
        <v>39</v>
      </c>
      <c r="X11">
        <v>84.2</v>
      </c>
      <c r="Y11">
        <v>67.2</v>
      </c>
      <c r="Z11">
        <v>61.7</v>
      </c>
      <c r="AA11">
        <v>39</v>
      </c>
      <c r="AB11">
        <v>89.3</v>
      </c>
      <c r="AC11">
        <v>71.400000000000006</v>
      </c>
      <c r="AD11">
        <v>100</v>
      </c>
      <c r="AE11">
        <v>81</v>
      </c>
      <c r="AF11" t="s">
        <v>1971</v>
      </c>
    </row>
    <row r="12" spans="1:32">
      <c r="A12" t="s">
        <v>643</v>
      </c>
      <c r="B12">
        <v>3.1</v>
      </c>
      <c r="C12">
        <v>5</v>
      </c>
      <c r="D12">
        <v>5</v>
      </c>
      <c r="E12">
        <v>15.3</v>
      </c>
      <c r="F12">
        <v>6.7</v>
      </c>
      <c r="G12">
        <v>7.8</v>
      </c>
      <c r="H12">
        <v>69.8</v>
      </c>
      <c r="I12">
        <v>44.8</v>
      </c>
      <c r="J12">
        <v>0</v>
      </c>
      <c r="K12">
        <v>57</v>
      </c>
      <c r="L12">
        <v>28.1</v>
      </c>
      <c r="M12">
        <v>8.6</v>
      </c>
      <c r="N12">
        <v>92</v>
      </c>
      <c r="O12">
        <v>79</v>
      </c>
      <c r="P12">
        <v>18.2</v>
      </c>
      <c r="Q12">
        <v>8.1999999999999993</v>
      </c>
      <c r="R12">
        <v>7.6</v>
      </c>
      <c r="S12">
        <v>12.1</v>
      </c>
      <c r="T12">
        <v>83</v>
      </c>
      <c r="U12">
        <v>2609</v>
      </c>
      <c r="V12">
        <v>3548000</v>
      </c>
      <c r="W12">
        <v>60</v>
      </c>
      <c r="X12">
        <v>64.2</v>
      </c>
      <c r="Y12">
        <v>62.4</v>
      </c>
      <c r="Z12">
        <v>81.7</v>
      </c>
      <c r="AA12">
        <v>60</v>
      </c>
      <c r="AB12">
        <v>85.7</v>
      </c>
      <c r="AC12">
        <v>69</v>
      </c>
      <c r="AD12">
        <v>100</v>
      </c>
      <c r="AE12">
        <v>100</v>
      </c>
      <c r="AF12" t="s">
        <v>47</v>
      </c>
    </row>
    <row r="13" spans="1:32">
      <c r="A13" t="s">
        <v>646</v>
      </c>
      <c r="B13">
        <v>1.5</v>
      </c>
      <c r="C13">
        <v>6</v>
      </c>
      <c r="D13">
        <v>1</v>
      </c>
      <c r="E13">
        <v>9.8000000000000007</v>
      </c>
      <c r="F13">
        <v>7.8</v>
      </c>
      <c r="G13">
        <v>7.7</v>
      </c>
      <c r="H13">
        <v>71.900000000000006</v>
      </c>
      <c r="I13">
        <v>60.9</v>
      </c>
      <c r="J13">
        <v>0</v>
      </c>
      <c r="K13">
        <v>51</v>
      </c>
      <c r="L13">
        <v>42</v>
      </c>
      <c r="M13">
        <v>8.3000000000000007</v>
      </c>
      <c r="N13">
        <v>110</v>
      </c>
      <c r="O13">
        <v>75</v>
      </c>
      <c r="P13">
        <v>24.2</v>
      </c>
      <c r="Q13">
        <v>15.3</v>
      </c>
      <c r="R13">
        <v>8</v>
      </c>
      <c r="S13">
        <v>11.1</v>
      </c>
      <c r="T13">
        <v>84</v>
      </c>
      <c r="U13">
        <v>1930</v>
      </c>
      <c r="V13">
        <v>2018000</v>
      </c>
      <c r="W13">
        <v>41</v>
      </c>
      <c r="X13">
        <v>48</v>
      </c>
      <c r="Y13">
        <v>63.1</v>
      </c>
      <c r="Z13">
        <v>79.900000000000006</v>
      </c>
      <c r="AA13">
        <v>41</v>
      </c>
      <c r="AB13">
        <v>92.3</v>
      </c>
      <c r="AC13">
        <v>61.9</v>
      </c>
      <c r="AD13">
        <v>100</v>
      </c>
      <c r="AE13">
        <v>100</v>
      </c>
      <c r="AF13" t="s">
        <v>47</v>
      </c>
    </row>
    <row r="14" spans="1:32">
      <c r="A14" t="s">
        <v>648</v>
      </c>
      <c r="B14">
        <v>0.7</v>
      </c>
      <c r="C14">
        <v>4</v>
      </c>
      <c r="D14">
        <v>0</v>
      </c>
      <c r="E14">
        <v>9.6999999999999993</v>
      </c>
      <c r="F14">
        <v>9.9</v>
      </c>
      <c r="G14">
        <v>4.7</v>
      </c>
      <c r="H14">
        <v>52.5</v>
      </c>
      <c r="I14">
        <v>61.2</v>
      </c>
      <c r="J14">
        <v>0</v>
      </c>
      <c r="K14">
        <v>41</v>
      </c>
      <c r="L14">
        <v>14.6</v>
      </c>
      <c r="M14">
        <v>4.3</v>
      </c>
      <c r="N14">
        <v>97</v>
      </c>
      <c r="O14">
        <v>97</v>
      </c>
      <c r="P14">
        <v>20.8</v>
      </c>
      <c r="Q14">
        <v>13.9</v>
      </c>
      <c r="R14">
        <v>6</v>
      </c>
      <c r="S14">
        <v>17</v>
      </c>
      <c r="T14">
        <v>85</v>
      </c>
      <c r="U14">
        <v>1945</v>
      </c>
      <c r="V14">
        <v>1442000</v>
      </c>
      <c r="W14">
        <v>57</v>
      </c>
      <c r="X14">
        <v>58.9</v>
      </c>
      <c r="Y14">
        <v>68.900000000000006</v>
      </c>
      <c r="Z14">
        <v>70.7</v>
      </c>
      <c r="AA14">
        <v>57</v>
      </c>
      <c r="AB14">
        <v>92.2</v>
      </c>
      <c r="AC14">
        <v>66.900000000000006</v>
      </c>
      <c r="AD14">
        <v>100</v>
      </c>
      <c r="AE14">
        <v>100</v>
      </c>
      <c r="AF14" t="s">
        <v>47</v>
      </c>
    </row>
    <row r="15" spans="1:32">
      <c r="A15" t="s">
        <v>649</v>
      </c>
      <c r="B15">
        <v>5.7</v>
      </c>
      <c r="C15">
        <v>15</v>
      </c>
      <c r="D15">
        <v>7</v>
      </c>
      <c r="E15">
        <v>13.9</v>
      </c>
      <c r="F15">
        <v>8</v>
      </c>
      <c r="G15">
        <v>5.9</v>
      </c>
      <c r="H15">
        <v>61.5</v>
      </c>
      <c r="I15">
        <v>61.5</v>
      </c>
      <c r="J15">
        <v>0</v>
      </c>
      <c r="K15">
        <v>59</v>
      </c>
      <c r="L15">
        <v>19.3</v>
      </c>
      <c r="M15">
        <v>5.7</v>
      </c>
      <c r="N15">
        <v>110</v>
      </c>
      <c r="O15">
        <v>82</v>
      </c>
      <c r="P15">
        <v>22.4</v>
      </c>
      <c r="Q15">
        <v>9.4</v>
      </c>
      <c r="R15">
        <v>7.7</v>
      </c>
      <c r="S15">
        <v>13.1</v>
      </c>
      <c r="T15">
        <v>75</v>
      </c>
      <c r="U15">
        <v>2180</v>
      </c>
      <c r="V15">
        <v>1554000</v>
      </c>
      <c r="W15">
        <v>39</v>
      </c>
      <c r="X15">
        <v>63.4</v>
      </c>
      <c r="Y15">
        <v>68.400000000000006</v>
      </c>
      <c r="Z15">
        <v>78</v>
      </c>
      <c r="AA15">
        <v>39</v>
      </c>
      <c r="AB15">
        <v>89.9</v>
      </c>
      <c r="AC15">
        <v>67.8</v>
      </c>
      <c r="AD15">
        <v>100</v>
      </c>
      <c r="AE15">
        <v>100</v>
      </c>
      <c r="AF15" t="s">
        <v>47</v>
      </c>
    </row>
    <row r="16" spans="1:32">
      <c r="A16" t="s">
        <v>652</v>
      </c>
      <c r="B16">
        <v>1.8</v>
      </c>
      <c r="C16">
        <v>6</v>
      </c>
      <c r="D16">
        <v>4</v>
      </c>
      <c r="E16">
        <v>10.4</v>
      </c>
      <c r="F16">
        <v>6.9</v>
      </c>
      <c r="G16">
        <v>4.3</v>
      </c>
      <c r="H16">
        <v>58.7</v>
      </c>
      <c r="I16">
        <v>28</v>
      </c>
      <c r="J16">
        <v>0</v>
      </c>
      <c r="K16">
        <v>41</v>
      </c>
      <c r="L16">
        <v>38.299999999999997</v>
      </c>
      <c r="M16">
        <v>11.3</v>
      </c>
      <c r="N16">
        <v>94</v>
      </c>
      <c r="O16">
        <v>82</v>
      </c>
      <c r="P16">
        <v>26.2</v>
      </c>
      <c r="Q16">
        <v>18.2</v>
      </c>
      <c r="R16">
        <v>12.3</v>
      </c>
      <c r="S16">
        <v>20.7</v>
      </c>
      <c r="T16">
        <v>64</v>
      </c>
      <c r="U16">
        <v>2008</v>
      </c>
      <c r="V16">
        <v>615000</v>
      </c>
      <c r="W16">
        <v>55</v>
      </c>
      <c r="X16">
        <v>51.6</v>
      </c>
      <c r="Y16">
        <v>45.5</v>
      </c>
      <c r="Z16">
        <v>75</v>
      </c>
      <c r="AA16">
        <v>55</v>
      </c>
      <c r="AB16">
        <v>91.5</v>
      </c>
      <c r="AC16">
        <v>59.1</v>
      </c>
      <c r="AD16">
        <v>100</v>
      </c>
      <c r="AE16">
        <v>100</v>
      </c>
      <c r="AF16" t="s">
        <v>47</v>
      </c>
    </row>
    <row r="17" spans="1:32">
      <c r="A17" t="s">
        <v>653</v>
      </c>
      <c r="B17">
        <v>3.2</v>
      </c>
      <c r="C17">
        <v>6</v>
      </c>
      <c r="D17">
        <v>4</v>
      </c>
      <c r="E17">
        <v>11.2</v>
      </c>
      <c r="F17">
        <v>10</v>
      </c>
      <c r="G17">
        <v>3.3</v>
      </c>
      <c r="H17">
        <v>50.6</v>
      </c>
      <c r="I17">
        <v>60.6</v>
      </c>
      <c r="J17">
        <v>2</v>
      </c>
      <c r="K17">
        <v>34</v>
      </c>
      <c r="L17">
        <v>23.4</v>
      </c>
      <c r="M17">
        <v>8.5</v>
      </c>
      <c r="N17">
        <v>94</v>
      </c>
      <c r="O17">
        <v>103</v>
      </c>
      <c r="P17">
        <v>18</v>
      </c>
      <c r="Q17">
        <v>13.5</v>
      </c>
      <c r="R17">
        <v>10.199999999999999</v>
      </c>
      <c r="S17">
        <v>21.5</v>
      </c>
      <c r="T17">
        <v>85</v>
      </c>
      <c r="U17">
        <v>1635</v>
      </c>
      <c r="V17">
        <v>786000</v>
      </c>
      <c r="W17">
        <v>36</v>
      </c>
      <c r="X17">
        <v>57.6</v>
      </c>
      <c r="Y17">
        <v>64.900000000000006</v>
      </c>
      <c r="Z17">
        <v>67.2</v>
      </c>
      <c r="AA17">
        <v>36</v>
      </c>
      <c r="AB17">
        <v>95.2</v>
      </c>
      <c r="AC17">
        <v>62.9</v>
      </c>
      <c r="AD17">
        <v>100</v>
      </c>
      <c r="AE17">
        <v>100</v>
      </c>
      <c r="AF17" t="s">
        <v>47</v>
      </c>
    </row>
    <row r="18" spans="1:32">
      <c r="A18" t="s">
        <v>655</v>
      </c>
      <c r="B18">
        <v>2.9</v>
      </c>
      <c r="C18">
        <v>9</v>
      </c>
      <c r="D18">
        <v>1</v>
      </c>
      <c r="E18">
        <v>5.8</v>
      </c>
      <c r="F18">
        <v>13.1</v>
      </c>
      <c r="G18">
        <v>5.6</v>
      </c>
      <c r="H18">
        <v>57.6</v>
      </c>
      <c r="I18">
        <v>30.7</v>
      </c>
      <c r="J18">
        <v>0</v>
      </c>
      <c r="K18">
        <v>37</v>
      </c>
      <c r="L18">
        <v>24.8</v>
      </c>
      <c r="M18">
        <v>11.4</v>
      </c>
      <c r="N18">
        <v>104</v>
      </c>
      <c r="O18">
        <v>94</v>
      </c>
      <c r="P18">
        <v>25.4</v>
      </c>
      <c r="Q18">
        <v>10.199999999999999</v>
      </c>
      <c r="R18">
        <v>7.9</v>
      </c>
      <c r="S18">
        <v>15.7</v>
      </c>
      <c r="T18">
        <v>69</v>
      </c>
      <c r="U18">
        <v>2326</v>
      </c>
      <c r="V18">
        <v>1561000</v>
      </c>
      <c r="W18">
        <v>59</v>
      </c>
      <c r="X18">
        <v>47.9</v>
      </c>
      <c r="Y18">
        <v>51.7</v>
      </c>
      <c r="Z18">
        <v>64.2</v>
      </c>
      <c r="AA18">
        <v>59</v>
      </c>
      <c r="AB18">
        <v>88.5</v>
      </c>
      <c r="AC18">
        <v>57.3</v>
      </c>
      <c r="AD18">
        <v>100</v>
      </c>
      <c r="AE18">
        <v>100</v>
      </c>
      <c r="AF18" t="s">
        <v>47</v>
      </c>
    </row>
    <row r="19" spans="1:32">
      <c r="A19" t="s">
        <v>657</v>
      </c>
      <c r="B19">
        <v>1.5</v>
      </c>
      <c r="C19">
        <v>5</v>
      </c>
      <c r="D19">
        <v>4</v>
      </c>
      <c r="E19">
        <v>8.9</v>
      </c>
      <c r="F19">
        <v>10.6</v>
      </c>
      <c r="G19">
        <v>7.7</v>
      </c>
      <c r="H19">
        <v>68.099999999999994</v>
      </c>
      <c r="I19">
        <v>58.2</v>
      </c>
      <c r="J19">
        <v>0</v>
      </c>
      <c r="K19">
        <v>48</v>
      </c>
      <c r="L19">
        <v>25.9</v>
      </c>
      <c r="M19">
        <v>8</v>
      </c>
      <c r="N19">
        <v>102</v>
      </c>
      <c r="O19">
        <v>66</v>
      </c>
      <c r="P19">
        <v>16.8</v>
      </c>
      <c r="Q19">
        <v>10.4</v>
      </c>
      <c r="R19">
        <v>5.4</v>
      </c>
      <c r="S19">
        <v>6.5</v>
      </c>
      <c r="T19">
        <v>82</v>
      </c>
      <c r="U19">
        <v>2532</v>
      </c>
      <c r="V19">
        <v>3693000</v>
      </c>
      <c r="W19">
        <v>72</v>
      </c>
      <c r="X19">
        <v>54.8</v>
      </c>
      <c r="Y19">
        <v>68.2</v>
      </c>
      <c r="Z19">
        <v>76.8</v>
      </c>
      <c r="AA19">
        <v>72</v>
      </c>
      <c r="AB19">
        <v>86.5</v>
      </c>
      <c r="AC19">
        <v>67.400000000000006</v>
      </c>
      <c r="AD19">
        <v>100</v>
      </c>
      <c r="AE19">
        <v>100</v>
      </c>
      <c r="AF19" t="s">
        <v>47</v>
      </c>
    </row>
    <row r="20" spans="1:32">
      <c r="A20" t="s">
        <v>659</v>
      </c>
      <c r="B20">
        <v>1.6</v>
      </c>
      <c r="C20">
        <v>3</v>
      </c>
      <c r="D20">
        <v>2</v>
      </c>
      <c r="E20">
        <v>11</v>
      </c>
      <c r="F20">
        <v>19.7</v>
      </c>
      <c r="G20">
        <v>8.4</v>
      </c>
      <c r="H20">
        <v>65.8</v>
      </c>
      <c r="I20">
        <v>54.4</v>
      </c>
      <c r="J20">
        <v>0</v>
      </c>
      <c r="K20">
        <v>43</v>
      </c>
      <c r="L20">
        <v>36.5</v>
      </c>
      <c r="M20">
        <v>7.6</v>
      </c>
      <c r="N20">
        <v>96</v>
      </c>
      <c r="O20">
        <v>76</v>
      </c>
      <c r="P20">
        <v>21</v>
      </c>
      <c r="Q20">
        <v>9.5</v>
      </c>
      <c r="R20">
        <v>8.5</v>
      </c>
      <c r="S20">
        <v>14.4</v>
      </c>
      <c r="T20">
        <v>83</v>
      </c>
      <c r="U20">
        <v>2852</v>
      </c>
      <c r="V20">
        <v>4356000</v>
      </c>
      <c r="W20">
        <v>67</v>
      </c>
      <c r="X20">
        <v>53.6</v>
      </c>
      <c r="Y20">
        <v>64.599999999999994</v>
      </c>
      <c r="Z20">
        <v>49.9</v>
      </c>
      <c r="AA20">
        <v>67</v>
      </c>
      <c r="AB20">
        <v>83.4</v>
      </c>
      <c r="AC20">
        <v>59.9</v>
      </c>
      <c r="AD20">
        <v>100</v>
      </c>
      <c r="AE20">
        <v>100</v>
      </c>
      <c r="AF20" t="s">
        <v>47</v>
      </c>
    </row>
    <row r="21" spans="1:32">
      <c r="A21" t="s">
        <v>661</v>
      </c>
      <c r="B21">
        <v>2.9</v>
      </c>
      <c r="C21">
        <v>7</v>
      </c>
      <c r="D21">
        <v>1</v>
      </c>
      <c r="E21">
        <v>8.3000000000000007</v>
      </c>
      <c r="F21">
        <v>5.6</v>
      </c>
      <c r="G21">
        <v>10</v>
      </c>
      <c r="H21">
        <v>66.3</v>
      </c>
      <c r="I21">
        <v>64.8</v>
      </c>
      <c r="J21">
        <v>0</v>
      </c>
      <c r="K21">
        <v>58</v>
      </c>
      <c r="L21">
        <v>21.9</v>
      </c>
      <c r="M21">
        <v>7</v>
      </c>
      <c r="N21">
        <v>116</v>
      </c>
      <c r="O21">
        <v>72</v>
      </c>
      <c r="P21">
        <v>18.600000000000001</v>
      </c>
      <c r="Q21">
        <v>6.4</v>
      </c>
      <c r="R21">
        <v>6.1</v>
      </c>
      <c r="S21">
        <v>8</v>
      </c>
      <c r="T21">
        <v>91</v>
      </c>
      <c r="U21">
        <v>2265</v>
      </c>
      <c r="V21">
        <v>924000</v>
      </c>
      <c r="W21">
        <v>68</v>
      </c>
      <c r="X21">
        <v>53.5</v>
      </c>
      <c r="Y21">
        <v>71.8</v>
      </c>
      <c r="Z21">
        <v>87.3</v>
      </c>
      <c r="AA21">
        <v>68</v>
      </c>
      <c r="AB21">
        <v>89.1</v>
      </c>
      <c r="AC21">
        <v>69.8</v>
      </c>
      <c r="AD21">
        <v>100</v>
      </c>
      <c r="AE21">
        <v>100</v>
      </c>
      <c r="AF21" t="s">
        <v>47</v>
      </c>
    </row>
    <row r="22" spans="1:32">
      <c r="A22" t="s">
        <v>663</v>
      </c>
      <c r="B22">
        <v>0.9</v>
      </c>
      <c r="C22">
        <v>6</v>
      </c>
      <c r="D22">
        <v>2</v>
      </c>
      <c r="E22">
        <v>11.8</v>
      </c>
      <c r="F22">
        <v>11.9</v>
      </c>
      <c r="G22">
        <v>6.2</v>
      </c>
      <c r="H22">
        <v>74.3</v>
      </c>
      <c r="I22">
        <v>61.9</v>
      </c>
      <c r="J22">
        <v>0</v>
      </c>
      <c r="K22">
        <v>47</v>
      </c>
      <c r="L22">
        <v>26.2</v>
      </c>
      <c r="M22">
        <v>5.5</v>
      </c>
      <c r="N22">
        <v>72</v>
      </c>
      <c r="O22">
        <v>77</v>
      </c>
      <c r="P22">
        <v>18.7</v>
      </c>
      <c r="Q22">
        <v>11.4</v>
      </c>
      <c r="R22">
        <v>7.9</v>
      </c>
      <c r="S22">
        <v>17.8</v>
      </c>
      <c r="T22">
        <v>89</v>
      </c>
      <c r="U22">
        <v>2941</v>
      </c>
      <c r="V22">
        <v>4805000</v>
      </c>
      <c r="W22">
        <v>91</v>
      </c>
      <c r="X22">
        <v>61.7</v>
      </c>
      <c r="Y22">
        <v>69.2</v>
      </c>
      <c r="Z22">
        <v>65.5</v>
      </c>
      <c r="AA22">
        <v>91</v>
      </c>
      <c r="AB22">
        <v>82.5</v>
      </c>
      <c r="AC22">
        <v>69.3</v>
      </c>
      <c r="AD22">
        <v>100</v>
      </c>
      <c r="AE22">
        <v>100</v>
      </c>
      <c r="AF22" t="s">
        <v>47</v>
      </c>
    </row>
    <row r="23" spans="1:32">
      <c r="A23" t="s">
        <v>665</v>
      </c>
      <c r="B23">
        <v>3.6</v>
      </c>
      <c r="C23">
        <v>9</v>
      </c>
      <c r="D23">
        <v>5</v>
      </c>
      <c r="E23">
        <v>20.6</v>
      </c>
      <c r="F23">
        <v>13.9</v>
      </c>
      <c r="G23">
        <v>5.0999999999999996</v>
      </c>
      <c r="H23">
        <v>58.7</v>
      </c>
      <c r="I23">
        <v>72.8</v>
      </c>
      <c r="J23">
        <v>0</v>
      </c>
      <c r="K23">
        <v>56</v>
      </c>
      <c r="L23">
        <v>38</v>
      </c>
      <c r="M23">
        <v>5.7</v>
      </c>
      <c r="N23">
        <v>91</v>
      </c>
      <c r="O23">
        <v>94</v>
      </c>
      <c r="P23">
        <v>14.9</v>
      </c>
      <c r="Q23">
        <v>11</v>
      </c>
      <c r="R23">
        <v>5.8</v>
      </c>
      <c r="S23">
        <v>21.6</v>
      </c>
      <c r="T23">
        <v>95</v>
      </c>
      <c r="U23">
        <v>2406</v>
      </c>
      <c r="V23">
        <v>2148000</v>
      </c>
      <c r="W23">
        <v>51</v>
      </c>
      <c r="X23">
        <v>67.5</v>
      </c>
      <c r="Y23">
        <v>75.3</v>
      </c>
      <c r="Z23">
        <v>58.1</v>
      </c>
      <c r="AA23">
        <v>51</v>
      </c>
      <c r="AB23">
        <v>87.7</v>
      </c>
      <c r="AC23">
        <v>68</v>
      </c>
      <c r="AD23">
        <v>100</v>
      </c>
      <c r="AE23">
        <v>100</v>
      </c>
      <c r="AF23" t="s">
        <v>47</v>
      </c>
    </row>
    <row r="24" spans="1:32">
      <c r="A24" t="s">
        <v>667</v>
      </c>
      <c r="B24">
        <v>0.7</v>
      </c>
      <c r="C24">
        <v>5</v>
      </c>
      <c r="D24">
        <v>2</v>
      </c>
      <c r="E24">
        <v>2.2000000000000002</v>
      </c>
      <c r="F24">
        <v>11.6</v>
      </c>
      <c r="G24">
        <v>6.6</v>
      </c>
      <c r="H24">
        <v>55.9</v>
      </c>
      <c r="I24">
        <v>34.6</v>
      </c>
      <c r="J24">
        <v>0</v>
      </c>
      <c r="K24">
        <v>33</v>
      </c>
      <c r="L24">
        <v>23.2</v>
      </c>
      <c r="M24">
        <v>8.6999999999999993</v>
      </c>
      <c r="N24">
        <v>106</v>
      </c>
      <c r="O24">
        <v>89</v>
      </c>
      <c r="P24">
        <v>23</v>
      </c>
      <c r="Q24">
        <v>11.3</v>
      </c>
      <c r="R24">
        <v>8.1999999999999993</v>
      </c>
      <c r="S24">
        <v>9.1999999999999993</v>
      </c>
      <c r="T24">
        <v>70</v>
      </c>
      <c r="U24">
        <v>1642</v>
      </c>
      <c r="V24">
        <v>1123000</v>
      </c>
      <c r="W24">
        <v>61</v>
      </c>
      <c r="X24">
        <v>43</v>
      </c>
      <c r="Y24">
        <v>55.5</v>
      </c>
      <c r="Z24">
        <v>72.5</v>
      </c>
      <c r="AA24">
        <v>61</v>
      </c>
      <c r="AB24">
        <v>95.1</v>
      </c>
      <c r="AC24">
        <v>59</v>
      </c>
      <c r="AD24">
        <v>100</v>
      </c>
      <c r="AE24">
        <v>100</v>
      </c>
      <c r="AF24" t="s">
        <v>47</v>
      </c>
    </row>
    <row r="25" spans="1:32">
      <c r="A25" t="s">
        <v>669</v>
      </c>
      <c r="B25">
        <v>2.1</v>
      </c>
      <c r="C25">
        <v>6</v>
      </c>
      <c r="D25">
        <v>3</v>
      </c>
      <c r="E25">
        <v>11.3</v>
      </c>
      <c r="F25">
        <v>4.0999999999999996</v>
      </c>
      <c r="G25">
        <v>7.4</v>
      </c>
      <c r="H25">
        <v>55.9</v>
      </c>
      <c r="I25">
        <v>57.1</v>
      </c>
      <c r="J25">
        <v>1</v>
      </c>
      <c r="K25">
        <v>48</v>
      </c>
      <c r="L25">
        <v>24</v>
      </c>
      <c r="M25">
        <v>7.8</v>
      </c>
      <c r="N25">
        <v>84</v>
      </c>
      <c r="O25">
        <v>81</v>
      </c>
      <c r="P25">
        <v>21.2</v>
      </c>
      <c r="Q25">
        <v>7.9</v>
      </c>
      <c r="R25">
        <v>9.1999999999999993</v>
      </c>
      <c r="S25">
        <v>11</v>
      </c>
      <c r="T25">
        <v>86</v>
      </c>
      <c r="U25">
        <v>2062</v>
      </c>
      <c r="V25">
        <v>1628000</v>
      </c>
      <c r="W25">
        <v>54</v>
      </c>
      <c r="X25">
        <v>60.2</v>
      </c>
      <c r="Y25">
        <v>65.599999999999994</v>
      </c>
      <c r="Z25">
        <v>88.6</v>
      </c>
      <c r="AA25">
        <v>54</v>
      </c>
      <c r="AB25">
        <v>91</v>
      </c>
      <c r="AC25">
        <v>69.7</v>
      </c>
      <c r="AD25">
        <v>100</v>
      </c>
      <c r="AE25">
        <v>100</v>
      </c>
      <c r="AF25" t="s">
        <v>47</v>
      </c>
    </row>
    <row r="26" spans="1:32">
      <c r="A26" t="s">
        <v>671</v>
      </c>
      <c r="B26">
        <v>5</v>
      </c>
      <c r="C26">
        <v>15</v>
      </c>
      <c r="D26">
        <v>8</v>
      </c>
      <c r="E26">
        <v>15.7</v>
      </c>
      <c r="F26">
        <v>6.4</v>
      </c>
      <c r="G26">
        <v>4.9000000000000004</v>
      </c>
      <c r="I26">
        <v>77.8</v>
      </c>
      <c r="J26">
        <v>1</v>
      </c>
      <c r="K26">
        <v>47</v>
      </c>
      <c r="L26">
        <v>25.1</v>
      </c>
      <c r="M26">
        <v>5</v>
      </c>
      <c r="N26">
        <v>82</v>
      </c>
      <c r="P26">
        <v>13.1</v>
      </c>
      <c r="Q26">
        <v>13.4</v>
      </c>
      <c r="R26">
        <v>8.6</v>
      </c>
      <c r="S26">
        <v>18.5</v>
      </c>
      <c r="T26">
        <v>99</v>
      </c>
      <c r="U26">
        <v>2015</v>
      </c>
      <c r="V26">
        <v>731000</v>
      </c>
      <c r="W26">
        <v>57</v>
      </c>
      <c r="X26">
        <v>66.5</v>
      </c>
      <c r="Y26">
        <v>76.2</v>
      </c>
      <c r="Z26">
        <v>77.8</v>
      </c>
      <c r="AA26">
        <v>57</v>
      </c>
      <c r="AB26">
        <v>91.5</v>
      </c>
      <c r="AC26">
        <v>72.7</v>
      </c>
      <c r="AD26">
        <v>100</v>
      </c>
      <c r="AE26">
        <v>90.5</v>
      </c>
      <c r="AF26" t="s">
        <v>47</v>
      </c>
    </row>
    <row r="27" spans="1:32">
      <c r="A27" t="s">
        <v>674</v>
      </c>
      <c r="B27">
        <v>3.3</v>
      </c>
      <c r="C27">
        <v>8</v>
      </c>
      <c r="D27">
        <v>3</v>
      </c>
      <c r="E27">
        <v>13.4</v>
      </c>
      <c r="G27">
        <v>7.6</v>
      </c>
      <c r="H27">
        <v>69</v>
      </c>
      <c r="I27">
        <v>54.9</v>
      </c>
      <c r="J27">
        <v>0</v>
      </c>
      <c r="K27">
        <v>62</v>
      </c>
      <c r="L27">
        <v>45.4</v>
      </c>
      <c r="M27">
        <v>8.9</v>
      </c>
      <c r="N27">
        <v>93</v>
      </c>
      <c r="O27">
        <v>82</v>
      </c>
      <c r="P27">
        <v>22.4</v>
      </c>
      <c r="Q27">
        <v>9.5</v>
      </c>
      <c r="R27">
        <v>5.6</v>
      </c>
      <c r="S27">
        <v>10.8</v>
      </c>
      <c r="T27">
        <v>83</v>
      </c>
      <c r="U27">
        <v>3111</v>
      </c>
      <c r="V27">
        <v>2041000</v>
      </c>
      <c r="W27">
        <v>53</v>
      </c>
      <c r="X27">
        <v>53.6</v>
      </c>
      <c r="Y27">
        <v>64.5</v>
      </c>
      <c r="Z27">
        <v>81.7</v>
      </c>
      <c r="AA27">
        <v>53</v>
      </c>
      <c r="AB27">
        <v>80.900000000000006</v>
      </c>
      <c r="AC27">
        <v>64.599999999999994</v>
      </c>
      <c r="AD27">
        <v>100</v>
      </c>
      <c r="AE27">
        <v>95.2</v>
      </c>
      <c r="AF27" t="s">
        <v>47</v>
      </c>
    </row>
    <row r="28" spans="1:32">
      <c r="A28" t="s">
        <v>677</v>
      </c>
      <c r="B28">
        <v>1.4</v>
      </c>
      <c r="C28">
        <v>4</v>
      </c>
      <c r="D28">
        <v>2</v>
      </c>
      <c r="E28">
        <v>13.4</v>
      </c>
      <c r="F28">
        <v>18.2</v>
      </c>
      <c r="G28">
        <v>5</v>
      </c>
      <c r="H28">
        <v>45.2</v>
      </c>
      <c r="I28">
        <v>44</v>
      </c>
      <c r="J28">
        <v>0</v>
      </c>
      <c r="K28">
        <v>36</v>
      </c>
      <c r="L28">
        <v>40.6</v>
      </c>
      <c r="M28">
        <v>6.7</v>
      </c>
      <c r="N28">
        <v>94</v>
      </c>
      <c r="O28">
        <v>106</v>
      </c>
      <c r="P28">
        <v>20.6</v>
      </c>
      <c r="Q28">
        <v>8.5</v>
      </c>
      <c r="R28">
        <v>12.4</v>
      </c>
      <c r="S28">
        <v>16</v>
      </c>
      <c r="T28">
        <v>82</v>
      </c>
      <c r="U28">
        <v>2073</v>
      </c>
      <c r="V28">
        <v>2072000</v>
      </c>
      <c r="W28">
        <v>57</v>
      </c>
      <c r="X28">
        <v>53.7</v>
      </c>
      <c r="Y28">
        <v>60.4</v>
      </c>
      <c r="Z28">
        <v>52.2</v>
      </c>
      <c r="AA28">
        <v>57</v>
      </c>
      <c r="AB28">
        <v>90.9</v>
      </c>
      <c r="AC28">
        <v>59.1</v>
      </c>
      <c r="AD28">
        <v>100</v>
      </c>
      <c r="AE28">
        <v>100</v>
      </c>
      <c r="AF28" t="s">
        <v>47</v>
      </c>
    </row>
    <row r="29" spans="1:32">
      <c r="A29" t="s">
        <v>680</v>
      </c>
      <c r="B29">
        <v>2.9</v>
      </c>
      <c r="C29">
        <v>7</v>
      </c>
      <c r="D29">
        <v>5</v>
      </c>
      <c r="E29">
        <v>6.6</v>
      </c>
      <c r="F29">
        <v>5.5</v>
      </c>
      <c r="G29">
        <v>5.5</v>
      </c>
      <c r="H29">
        <v>69</v>
      </c>
      <c r="I29">
        <v>63</v>
      </c>
      <c r="J29">
        <v>0</v>
      </c>
      <c r="K29">
        <v>50</v>
      </c>
      <c r="L29">
        <v>26.4</v>
      </c>
      <c r="M29">
        <v>8.4</v>
      </c>
      <c r="N29">
        <v>112</v>
      </c>
      <c r="O29">
        <v>100</v>
      </c>
      <c r="P29">
        <v>15.1</v>
      </c>
      <c r="Q29">
        <v>8</v>
      </c>
      <c r="R29">
        <v>4.5999999999999996</v>
      </c>
      <c r="S29">
        <v>14.4</v>
      </c>
      <c r="T29">
        <v>91</v>
      </c>
      <c r="U29">
        <v>2621</v>
      </c>
      <c r="V29">
        <v>3667000</v>
      </c>
      <c r="W29">
        <v>65</v>
      </c>
      <c r="X29">
        <v>47.2</v>
      </c>
      <c r="Y29">
        <v>71.5</v>
      </c>
      <c r="Z29">
        <v>82.8</v>
      </c>
      <c r="AA29">
        <v>65</v>
      </c>
      <c r="AB29">
        <v>85.6</v>
      </c>
      <c r="AC29">
        <v>66</v>
      </c>
      <c r="AD29">
        <v>100</v>
      </c>
      <c r="AE29">
        <v>100</v>
      </c>
      <c r="AF29" t="s">
        <v>47</v>
      </c>
    </row>
    <row r="30" spans="1:32">
      <c r="A30" t="s">
        <v>683</v>
      </c>
      <c r="B30">
        <v>1.3</v>
      </c>
      <c r="C30">
        <v>7</v>
      </c>
      <c r="D30">
        <v>0</v>
      </c>
      <c r="E30">
        <v>7.9</v>
      </c>
      <c r="F30">
        <v>11</v>
      </c>
      <c r="G30">
        <v>4.9000000000000004</v>
      </c>
      <c r="H30">
        <v>64.599999999999994</v>
      </c>
      <c r="I30">
        <v>56.6</v>
      </c>
      <c r="J30">
        <v>0</v>
      </c>
      <c r="K30">
        <v>41</v>
      </c>
      <c r="L30">
        <v>40.6</v>
      </c>
      <c r="M30">
        <v>11.2</v>
      </c>
      <c r="N30">
        <v>99</v>
      </c>
      <c r="O30">
        <v>84</v>
      </c>
      <c r="P30">
        <v>22</v>
      </c>
      <c r="Q30">
        <v>12.9</v>
      </c>
      <c r="R30">
        <v>10</v>
      </c>
      <c r="S30">
        <v>21.4</v>
      </c>
      <c r="T30">
        <v>83</v>
      </c>
      <c r="U30">
        <v>1424</v>
      </c>
      <c r="V30">
        <v>1004000</v>
      </c>
      <c r="W30">
        <v>57</v>
      </c>
      <c r="X30">
        <v>46</v>
      </c>
      <c r="Y30">
        <v>60.3</v>
      </c>
      <c r="Z30">
        <v>65</v>
      </c>
      <c r="AA30">
        <v>57</v>
      </c>
      <c r="AB30">
        <v>97.2</v>
      </c>
      <c r="AC30">
        <v>59.6</v>
      </c>
      <c r="AD30">
        <v>100</v>
      </c>
      <c r="AE30">
        <v>100</v>
      </c>
      <c r="AF30" t="s">
        <v>47</v>
      </c>
    </row>
    <row r="31" spans="1:32">
      <c r="A31" t="s">
        <v>685</v>
      </c>
      <c r="B31">
        <v>1.3</v>
      </c>
      <c r="C31">
        <v>7</v>
      </c>
      <c r="D31">
        <v>1</v>
      </c>
      <c r="E31">
        <v>8.3000000000000007</v>
      </c>
      <c r="F31">
        <v>5.2</v>
      </c>
      <c r="G31">
        <v>3.3</v>
      </c>
      <c r="H31">
        <v>73.599999999999994</v>
      </c>
      <c r="I31">
        <v>63.2</v>
      </c>
      <c r="J31">
        <v>0</v>
      </c>
      <c r="K31">
        <v>46</v>
      </c>
      <c r="L31">
        <v>30.6</v>
      </c>
      <c r="M31">
        <v>3.8</v>
      </c>
      <c r="N31">
        <v>91</v>
      </c>
      <c r="O31">
        <v>102</v>
      </c>
      <c r="P31">
        <v>13.4</v>
      </c>
      <c r="Q31">
        <v>20.2</v>
      </c>
      <c r="R31">
        <v>10</v>
      </c>
      <c r="S31">
        <v>19.399999999999999</v>
      </c>
      <c r="T31">
        <v>89</v>
      </c>
      <c r="U31">
        <v>1721</v>
      </c>
      <c r="V31">
        <v>1493000</v>
      </c>
      <c r="W31">
        <v>57</v>
      </c>
      <c r="X31">
        <v>50.3</v>
      </c>
      <c r="Y31">
        <v>68.599999999999994</v>
      </c>
      <c r="Z31">
        <v>79.900000000000006</v>
      </c>
      <c r="AA31">
        <v>57</v>
      </c>
      <c r="AB31">
        <v>94.3</v>
      </c>
      <c r="AC31">
        <v>65.900000000000006</v>
      </c>
      <c r="AD31">
        <v>100</v>
      </c>
      <c r="AE31">
        <v>100</v>
      </c>
      <c r="AF31" t="s">
        <v>47</v>
      </c>
    </row>
    <row r="32" spans="1:32">
      <c r="A32" t="s">
        <v>688</v>
      </c>
      <c r="B32">
        <v>0.5</v>
      </c>
      <c r="C32">
        <v>1</v>
      </c>
      <c r="D32">
        <v>0</v>
      </c>
      <c r="E32">
        <v>8.1</v>
      </c>
      <c r="F32">
        <v>4.2</v>
      </c>
      <c r="G32">
        <v>4</v>
      </c>
      <c r="H32">
        <v>54.1</v>
      </c>
      <c r="I32">
        <v>49.7</v>
      </c>
      <c r="J32">
        <v>0</v>
      </c>
      <c r="K32">
        <v>41</v>
      </c>
      <c r="L32">
        <v>21.6</v>
      </c>
      <c r="M32">
        <v>7.8</v>
      </c>
      <c r="N32">
        <v>96</v>
      </c>
      <c r="O32">
        <v>93</v>
      </c>
      <c r="P32">
        <v>18.2</v>
      </c>
      <c r="Q32">
        <v>20.3</v>
      </c>
      <c r="R32">
        <v>10.3</v>
      </c>
      <c r="S32">
        <v>18</v>
      </c>
      <c r="T32">
        <v>80</v>
      </c>
      <c r="U32">
        <v>2218</v>
      </c>
      <c r="V32">
        <v>1243000</v>
      </c>
      <c r="W32">
        <v>35</v>
      </c>
      <c r="X32">
        <v>53.9</v>
      </c>
      <c r="Y32">
        <v>58.9</v>
      </c>
      <c r="Z32">
        <v>83.2</v>
      </c>
      <c r="AA32">
        <v>35</v>
      </c>
      <c r="AB32">
        <v>89.5</v>
      </c>
      <c r="AC32">
        <v>62.7</v>
      </c>
      <c r="AD32">
        <v>100</v>
      </c>
      <c r="AE32">
        <v>100</v>
      </c>
      <c r="AF32" t="s">
        <v>47</v>
      </c>
    </row>
    <row r="33" spans="1:32">
      <c r="A33" t="s">
        <v>690</v>
      </c>
      <c r="B33">
        <v>4.2</v>
      </c>
      <c r="C33">
        <v>14</v>
      </c>
      <c r="D33">
        <v>5</v>
      </c>
      <c r="E33">
        <v>12.1</v>
      </c>
      <c r="F33">
        <v>9.6999999999999993</v>
      </c>
      <c r="G33">
        <v>5.6</v>
      </c>
      <c r="H33">
        <v>75.5</v>
      </c>
      <c r="I33">
        <v>71.400000000000006</v>
      </c>
      <c r="J33">
        <v>0</v>
      </c>
      <c r="K33">
        <v>56</v>
      </c>
      <c r="L33">
        <v>23</v>
      </c>
      <c r="M33">
        <v>7.3</v>
      </c>
      <c r="N33">
        <v>96</v>
      </c>
      <c r="O33">
        <v>78</v>
      </c>
      <c r="P33">
        <v>17.399999999999999</v>
      </c>
      <c r="Q33">
        <v>6.6</v>
      </c>
      <c r="R33">
        <v>7.2</v>
      </c>
      <c r="S33">
        <v>18.399999999999999</v>
      </c>
      <c r="T33">
        <v>96</v>
      </c>
      <c r="U33">
        <v>2569</v>
      </c>
      <c r="V33">
        <v>3660000</v>
      </c>
      <c r="W33">
        <v>64</v>
      </c>
      <c r="X33">
        <v>60.8</v>
      </c>
      <c r="Y33">
        <v>73.8</v>
      </c>
      <c r="Z33">
        <v>70.2</v>
      </c>
      <c r="AA33">
        <v>64</v>
      </c>
      <c r="AB33">
        <v>86.1</v>
      </c>
      <c r="AC33">
        <v>68.8</v>
      </c>
      <c r="AD33">
        <v>100</v>
      </c>
      <c r="AE33">
        <v>100</v>
      </c>
      <c r="AF33" t="s">
        <v>47</v>
      </c>
    </row>
    <row r="34" spans="1:32">
      <c r="A34" t="s">
        <v>692</v>
      </c>
      <c r="B34">
        <v>4.5</v>
      </c>
      <c r="C34">
        <v>15</v>
      </c>
      <c r="D34">
        <v>7</v>
      </c>
      <c r="E34">
        <v>14.2</v>
      </c>
      <c r="F34">
        <v>15</v>
      </c>
      <c r="G34">
        <v>6</v>
      </c>
      <c r="H34">
        <v>63.8</v>
      </c>
      <c r="I34">
        <v>64.400000000000006</v>
      </c>
      <c r="J34">
        <v>0</v>
      </c>
      <c r="K34">
        <v>52</v>
      </c>
      <c r="L34">
        <v>30.7</v>
      </c>
      <c r="M34">
        <v>4.3</v>
      </c>
      <c r="N34">
        <v>83</v>
      </c>
      <c r="O34">
        <v>93</v>
      </c>
      <c r="P34">
        <v>18.2</v>
      </c>
      <c r="Q34">
        <v>8.4</v>
      </c>
      <c r="R34">
        <v>11.7</v>
      </c>
      <c r="S34">
        <v>15.9</v>
      </c>
      <c r="T34">
        <v>97</v>
      </c>
      <c r="U34">
        <v>2284</v>
      </c>
      <c r="V34">
        <v>3354000</v>
      </c>
      <c r="W34">
        <v>71</v>
      </c>
      <c r="X34">
        <v>61.2</v>
      </c>
      <c r="Y34">
        <v>70.7</v>
      </c>
      <c r="Z34">
        <v>59.7</v>
      </c>
      <c r="AA34">
        <v>71</v>
      </c>
      <c r="AB34">
        <v>88.9</v>
      </c>
      <c r="AC34">
        <v>67</v>
      </c>
      <c r="AD34">
        <v>100</v>
      </c>
      <c r="AE34">
        <v>100</v>
      </c>
      <c r="AF34" t="s">
        <v>47</v>
      </c>
    </row>
    <row r="35" spans="1:32">
      <c r="A35" t="s">
        <v>694</v>
      </c>
      <c r="B35">
        <v>0.6</v>
      </c>
      <c r="C35">
        <v>2</v>
      </c>
      <c r="D35">
        <v>0</v>
      </c>
      <c r="E35">
        <v>9.8000000000000007</v>
      </c>
      <c r="F35">
        <v>12.6</v>
      </c>
      <c r="G35">
        <v>4.7</v>
      </c>
      <c r="H35">
        <v>57.7</v>
      </c>
      <c r="I35">
        <v>38.799999999999997</v>
      </c>
      <c r="J35">
        <v>0</v>
      </c>
      <c r="K35">
        <v>36</v>
      </c>
      <c r="L35">
        <v>29.5</v>
      </c>
      <c r="M35">
        <v>11.6</v>
      </c>
      <c r="N35">
        <v>106</v>
      </c>
      <c r="O35">
        <v>86</v>
      </c>
      <c r="P35">
        <v>21.7</v>
      </c>
      <c r="Q35">
        <v>12.5</v>
      </c>
      <c r="R35">
        <v>11.8</v>
      </c>
      <c r="S35">
        <v>24.8</v>
      </c>
      <c r="T35">
        <v>69</v>
      </c>
      <c r="U35">
        <v>1747</v>
      </c>
      <c r="V35">
        <v>1184000</v>
      </c>
      <c r="W35">
        <v>58</v>
      </c>
      <c r="X35">
        <v>52.8</v>
      </c>
      <c r="Y35">
        <v>53.2</v>
      </c>
      <c r="Z35">
        <v>58.8</v>
      </c>
      <c r="AA35">
        <v>58</v>
      </c>
      <c r="AB35">
        <v>94.1</v>
      </c>
      <c r="AC35">
        <v>58.7</v>
      </c>
      <c r="AD35">
        <v>100</v>
      </c>
      <c r="AE35">
        <v>100</v>
      </c>
      <c r="AF35" t="s">
        <v>47</v>
      </c>
    </row>
    <row r="36" spans="1:32">
      <c r="A36" t="s">
        <v>696</v>
      </c>
      <c r="B36">
        <v>5.2</v>
      </c>
      <c r="C36">
        <v>13</v>
      </c>
      <c r="D36">
        <v>5</v>
      </c>
      <c r="E36">
        <v>6.9</v>
      </c>
      <c r="F36">
        <v>15.1</v>
      </c>
      <c r="G36">
        <v>4.4000000000000004</v>
      </c>
      <c r="H36">
        <v>50.4</v>
      </c>
      <c r="I36">
        <v>72.599999999999994</v>
      </c>
      <c r="J36">
        <v>0</v>
      </c>
      <c r="K36">
        <v>45</v>
      </c>
      <c r="L36">
        <v>32.299999999999997</v>
      </c>
      <c r="M36">
        <v>6</v>
      </c>
      <c r="N36">
        <v>80</v>
      </c>
      <c r="O36">
        <v>93</v>
      </c>
      <c r="P36">
        <v>14.7</v>
      </c>
      <c r="Q36">
        <v>15.5</v>
      </c>
      <c r="R36">
        <v>6.4</v>
      </c>
      <c r="S36">
        <v>18.2</v>
      </c>
      <c r="T36">
        <v>87</v>
      </c>
      <c r="U36">
        <v>1944</v>
      </c>
      <c r="V36">
        <v>897000</v>
      </c>
      <c r="W36">
        <v>51</v>
      </c>
      <c r="X36">
        <v>49.2</v>
      </c>
      <c r="Y36">
        <v>73.099999999999994</v>
      </c>
      <c r="Z36">
        <v>57.8</v>
      </c>
      <c r="AA36">
        <v>51</v>
      </c>
      <c r="AB36">
        <v>92.2</v>
      </c>
      <c r="AC36">
        <v>61.4</v>
      </c>
      <c r="AD36">
        <v>100</v>
      </c>
      <c r="AE36">
        <v>100</v>
      </c>
      <c r="AF36" t="s">
        <v>47</v>
      </c>
    </row>
    <row r="37" spans="1:32">
      <c r="A37" t="s">
        <v>698</v>
      </c>
      <c r="B37">
        <v>3.3</v>
      </c>
      <c r="C37">
        <v>9</v>
      </c>
      <c r="D37">
        <v>7</v>
      </c>
      <c r="E37">
        <v>9.1999999999999993</v>
      </c>
      <c r="F37">
        <v>12</v>
      </c>
      <c r="H37">
        <v>76.2</v>
      </c>
      <c r="I37">
        <v>56.2</v>
      </c>
      <c r="J37">
        <v>1</v>
      </c>
      <c r="K37">
        <v>35</v>
      </c>
      <c r="L37">
        <v>33.4</v>
      </c>
      <c r="M37">
        <v>7.8</v>
      </c>
      <c r="N37">
        <v>104</v>
      </c>
      <c r="O37">
        <v>92</v>
      </c>
      <c r="P37">
        <v>24.1</v>
      </c>
      <c r="T37">
        <v>78</v>
      </c>
      <c r="U37">
        <v>2785</v>
      </c>
      <c r="V37">
        <v>2897000</v>
      </c>
      <c r="W37">
        <v>73</v>
      </c>
      <c r="X37">
        <v>49.9</v>
      </c>
      <c r="Y37">
        <v>58</v>
      </c>
      <c r="Z37">
        <v>64.3</v>
      </c>
      <c r="AA37">
        <v>73</v>
      </c>
      <c r="AB37">
        <v>84</v>
      </c>
      <c r="AC37">
        <v>60.5</v>
      </c>
      <c r="AD37">
        <v>100</v>
      </c>
      <c r="AE37">
        <v>81</v>
      </c>
      <c r="AF37" t="s">
        <v>1971</v>
      </c>
    </row>
    <row r="38" spans="1:32">
      <c r="A38" t="s">
        <v>700</v>
      </c>
      <c r="B38">
        <v>5.2</v>
      </c>
      <c r="C38">
        <v>17</v>
      </c>
      <c r="D38">
        <v>8</v>
      </c>
      <c r="E38">
        <v>12.3</v>
      </c>
      <c r="F38">
        <v>14.6</v>
      </c>
      <c r="G38">
        <v>6.4</v>
      </c>
      <c r="H38">
        <v>41.5</v>
      </c>
      <c r="I38">
        <v>67.2</v>
      </c>
      <c r="J38">
        <v>0</v>
      </c>
      <c r="K38">
        <v>50</v>
      </c>
      <c r="L38">
        <v>15</v>
      </c>
      <c r="M38">
        <v>6</v>
      </c>
      <c r="N38">
        <v>103</v>
      </c>
      <c r="O38">
        <v>100</v>
      </c>
      <c r="P38">
        <v>18.600000000000001</v>
      </c>
      <c r="Q38">
        <v>14.3</v>
      </c>
      <c r="R38">
        <v>8.6999999999999993</v>
      </c>
      <c r="S38">
        <v>18.8</v>
      </c>
      <c r="T38">
        <v>85</v>
      </c>
      <c r="U38">
        <v>2054</v>
      </c>
      <c r="V38">
        <v>1791000</v>
      </c>
      <c r="W38">
        <v>52</v>
      </c>
      <c r="X38">
        <v>62.1</v>
      </c>
      <c r="Y38">
        <v>69.2</v>
      </c>
      <c r="Z38">
        <v>58.5</v>
      </c>
      <c r="AA38">
        <v>52</v>
      </c>
      <c r="AB38">
        <v>91.1</v>
      </c>
      <c r="AC38">
        <v>65</v>
      </c>
      <c r="AD38">
        <v>100</v>
      </c>
      <c r="AE38">
        <v>100</v>
      </c>
      <c r="AF38" t="s">
        <v>47</v>
      </c>
    </row>
    <row r="39" spans="1:32">
      <c r="A39" t="s">
        <v>702</v>
      </c>
      <c r="B39">
        <v>2</v>
      </c>
      <c r="C39">
        <v>7</v>
      </c>
      <c r="D39">
        <v>4</v>
      </c>
      <c r="E39">
        <v>15.6</v>
      </c>
      <c r="F39">
        <v>9.1999999999999993</v>
      </c>
      <c r="G39">
        <v>4.2</v>
      </c>
      <c r="H39">
        <v>50.2</v>
      </c>
      <c r="I39">
        <v>55.6</v>
      </c>
      <c r="J39">
        <v>1</v>
      </c>
      <c r="K39">
        <v>42</v>
      </c>
      <c r="L39">
        <v>21.1</v>
      </c>
      <c r="M39">
        <v>8.1</v>
      </c>
      <c r="N39">
        <v>94</v>
      </c>
      <c r="O39">
        <v>97</v>
      </c>
      <c r="P39">
        <v>22.6</v>
      </c>
      <c r="Q39">
        <v>16</v>
      </c>
      <c r="R39">
        <v>7.8</v>
      </c>
      <c r="S39">
        <v>22.5</v>
      </c>
      <c r="T39">
        <v>83</v>
      </c>
      <c r="U39">
        <v>2155</v>
      </c>
      <c r="V39">
        <v>1215000</v>
      </c>
      <c r="W39">
        <v>65</v>
      </c>
      <c r="X39">
        <v>66</v>
      </c>
      <c r="Y39">
        <v>61.8</v>
      </c>
      <c r="Z39">
        <v>68.3</v>
      </c>
      <c r="AA39">
        <v>65</v>
      </c>
      <c r="AB39">
        <v>90.1</v>
      </c>
      <c r="AC39">
        <v>67.7</v>
      </c>
      <c r="AD39">
        <v>100</v>
      </c>
      <c r="AE39">
        <v>100</v>
      </c>
      <c r="AF39" t="s">
        <v>47</v>
      </c>
    </row>
    <row r="40" spans="1:32">
      <c r="A40" t="s">
        <v>704</v>
      </c>
      <c r="B40">
        <v>3.1</v>
      </c>
      <c r="C40">
        <v>8</v>
      </c>
      <c r="D40">
        <v>3</v>
      </c>
      <c r="E40">
        <v>12.2</v>
      </c>
      <c r="F40">
        <v>13.1</v>
      </c>
      <c r="G40">
        <v>2.2999999999999998</v>
      </c>
      <c r="H40">
        <v>55.4</v>
      </c>
      <c r="I40">
        <v>39</v>
      </c>
      <c r="J40">
        <v>0</v>
      </c>
      <c r="K40">
        <v>39</v>
      </c>
      <c r="L40">
        <v>37.700000000000003</v>
      </c>
      <c r="M40">
        <v>7.9</v>
      </c>
      <c r="N40">
        <v>91</v>
      </c>
      <c r="O40">
        <v>103</v>
      </c>
      <c r="P40">
        <v>26.1</v>
      </c>
      <c r="Q40">
        <v>22.2</v>
      </c>
      <c r="R40">
        <v>14.2</v>
      </c>
      <c r="S40">
        <v>25</v>
      </c>
      <c r="T40">
        <v>61</v>
      </c>
      <c r="U40">
        <v>2116</v>
      </c>
      <c r="V40">
        <v>1605000</v>
      </c>
      <c r="W40">
        <v>51</v>
      </c>
      <c r="X40">
        <v>53.5</v>
      </c>
      <c r="Y40">
        <v>49.7</v>
      </c>
      <c r="Z40">
        <v>57.5</v>
      </c>
      <c r="AA40">
        <v>51</v>
      </c>
      <c r="AB40">
        <v>90.5</v>
      </c>
      <c r="AC40">
        <v>56.8</v>
      </c>
      <c r="AD40">
        <v>100</v>
      </c>
      <c r="AE40">
        <v>100</v>
      </c>
      <c r="AF40" t="s">
        <v>47</v>
      </c>
    </row>
    <row r="41" spans="1:32">
      <c r="A41" t="s">
        <v>706</v>
      </c>
      <c r="B41">
        <v>0.8</v>
      </c>
      <c r="C41">
        <v>3</v>
      </c>
      <c r="D41">
        <v>0</v>
      </c>
      <c r="E41">
        <v>10.1</v>
      </c>
      <c r="F41">
        <v>15.8</v>
      </c>
      <c r="G41">
        <v>6.9</v>
      </c>
      <c r="H41">
        <v>67</v>
      </c>
      <c r="I41">
        <v>41.4</v>
      </c>
      <c r="J41">
        <v>0</v>
      </c>
      <c r="K41">
        <v>39</v>
      </c>
      <c r="L41">
        <v>36.799999999999997</v>
      </c>
      <c r="M41">
        <v>9.5</v>
      </c>
      <c r="N41">
        <v>101</v>
      </c>
      <c r="O41">
        <v>75</v>
      </c>
      <c r="P41">
        <v>25.5</v>
      </c>
      <c r="Q41">
        <v>11.9</v>
      </c>
      <c r="R41">
        <v>7.4</v>
      </c>
      <c r="S41">
        <v>9</v>
      </c>
      <c r="T41">
        <v>83</v>
      </c>
      <c r="U41">
        <v>1968</v>
      </c>
      <c r="V41">
        <v>3565000</v>
      </c>
      <c r="W41">
        <v>67</v>
      </c>
      <c r="X41">
        <v>51.6</v>
      </c>
      <c r="Y41">
        <v>56.4</v>
      </c>
      <c r="Z41">
        <v>62.9</v>
      </c>
      <c r="AA41">
        <v>67</v>
      </c>
      <c r="AB41">
        <v>91.9</v>
      </c>
      <c r="AC41">
        <v>60.6</v>
      </c>
      <c r="AD41">
        <v>100</v>
      </c>
      <c r="AE41">
        <v>100</v>
      </c>
      <c r="AF41" t="s">
        <v>47</v>
      </c>
    </row>
    <row r="42" spans="1:32">
      <c r="A42" t="s">
        <v>708</v>
      </c>
      <c r="B42">
        <v>1.6</v>
      </c>
      <c r="C42">
        <v>6</v>
      </c>
      <c r="D42">
        <v>3</v>
      </c>
      <c r="E42">
        <v>10.8</v>
      </c>
      <c r="F42">
        <v>5.0999999999999996</v>
      </c>
      <c r="G42">
        <v>7.2</v>
      </c>
      <c r="H42">
        <v>56.7</v>
      </c>
      <c r="I42">
        <v>55.8</v>
      </c>
      <c r="J42">
        <v>0</v>
      </c>
      <c r="K42">
        <v>51</v>
      </c>
      <c r="L42">
        <v>27.9</v>
      </c>
      <c r="M42">
        <v>8.1999999999999993</v>
      </c>
      <c r="N42">
        <v>112</v>
      </c>
      <c r="O42">
        <v>101</v>
      </c>
      <c r="P42">
        <v>21.6</v>
      </c>
      <c r="Q42">
        <v>8.5</v>
      </c>
      <c r="R42">
        <v>7.3</v>
      </c>
      <c r="S42">
        <v>11.9</v>
      </c>
      <c r="T42">
        <v>81</v>
      </c>
      <c r="U42">
        <v>1852</v>
      </c>
      <c r="V42">
        <v>981000</v>
      </c>
      <c r="W42">
        <v>48</v>
      </c>
      <c r="X42">
        <v>53.3</v>
      </c>
      <c r="Y42">
        <v>65.3</v>
      </c>
      <c r="Z42">
        <v>85.6</v>
      </c>
      <c r="AA42">
        <v>48</v>
      </c>
      <c r="AB42">
        <v>93.1</v>
      </c>
      <c r="AC42">
        <v>66.2</v>
      </c>
      <c r="AD42">
        <v>100</v>
      </c>
      <c r="AE42">
        <v>100</v>
      </c>
      <c r="AF42" t="s">
        <v>47</v>
      </c>
    </row>
    <row r="43" spans="1:32">
      <c r="A43" t="s">
        <v>710</v>
      </c>
      <c r="B43">
        <v>3.9</v>
      </c>
      <c r="C43">
        <v>10</v>
      </c>
      <c r="D43">
        <v>7</v>
      </c>
      <c r="E43">
        <v>19.100000000000001</v>
      </c>
      <c r="F43">
        <v>12.4</v>
      </c>
      <c r="G43">
        <v>5.3</v>
      </c>
      <c r="H43">
        <v>49.2</v>
      </c>
      <c r="I43">
        <v>71.900000000000006</v>
      </c>
      <c r="J43">
        <v>0</v>
      </c>
      <c r="K43">
        <v>55</v>
      </c>
      <c r="L43">
        <v>31.9</v>
      </c>
      <c r="M43">
        <v>4.8</v>
      </c>
      <c r="N43">
        <v>92</v>
      </c>
      <c r="O43">
        <v>78</v>
      </c>
      <c r="P43">
        <v>20.2</v>
      </c>
      <c r="Q43">
        <v>11.3</v>
      </c>
      <c r="R43">
        <v>4</v>
      </c>
      <c r="S43">
        <v>19</v>
      </c>
      <c r="T43">
        <v>91</v>
      </c>
      <c r="U43">
        <v>1842</v>
      </c>
      <c r="V43">
        <v>1555000</v>
      </c>
      <c r="W43">
        <v>51</v>
      </c>
      <c r="X43">
        <v>68.8</v>
      </c>
      <c r="Y43">
        <v>74.400000000000006</v>
      </c>
      <c r="Z43">
        <v>63.5</v>
      </c>
      <c r="AA43">
        <v>51</v>
      </c>
      <c r="AB43">
        <v>93.2</v>
      </c>
      <c r="AC43">
        <v>69.8</v>
      </c>
      <c r="AD43">
        <v>100</v>
      </c>
      <c r="AE43">
        <v>100</v>
      </c>
      <c r="AF43" t="s">
        <v>47</v>
      </c>
    </row>
    <row r="44" spans="1:32">
      <c r="A44" t="s">
        <v>712</v>
      </c>
      <c r="B44">
        <v>2.8</v>
      </c>
      <c r="C44">
        <v>8</v>
      </c>
      <c r="D44">
        <v>4</v>
      </c>
      <c r="E44">
        <v>12.6</v>
      </c>
      <c r="F44">
        <v>9.5</v>
      </c>
      <c r="G44">
        <v>4</v>
      </c>
      <c r="H44">
        <v>72.099999999999994</v>
      </c>
      <c r="I44">
        <v>43.1</v>
      </c>
      <c r="J44">
        <v>1</v>
      </c>
      <c r="K44">
        <v>42</v>
      </c>
      <c r="L44">
        <v>23.3</v>
      </c>
      <c r="M44">
        <v>8.5</v>
      </c>
      <c r="N44">
        <v>89</v>
      </c>
      <c r="O44">
        <v>79</v>
      </c>
      <c r="P44">
        <v>22</v>
      </c>
      <c r="Q44">
        <v>13.6</v>
      </c>
      <c r="R44">
        <v>12.3</v>
      </c>
      <c r="S44">
        <v>20.9</v>
      </c>
      <c r="T44">
        <v>79</v>
      </c>
      <c r="U44">
        <v>2200</v>
      </c>
      <c r="V44">
        <v>1919000</v>
      </c>
      <c r="W44">
        <v>37</v>
      </c>
      <c r="X44">
        <v>62.2</v>
      </c>
      <c r="Y44">
        <v>56.3</v>
      </c>
      <c r="Z44">
        <v>68.8</v>
      </c>
      <c r="AA44">
        <v>37</v>
      </c>
      <c r="AB44">
        <v>89.7</v>
      </c>
      <c r="AC44">
        <v>62.3</v>
      </c>
      <c r="AD44">
        <v>100</v>
      </c>
      <c r="AE44">
        <v>100</v>
      </c>
      <c r="AF44" t="s">
        <v>47</v>
      </c>
    </row>
    <row r="45" spans="1:32">
      <c r="A45" t="s">
        <v>714</v>
      </c>
      <c r="B45">
        <v>1.9</v>
      </c>
      <c r="C45">
        <v>6</v>
      </c>
      <c r="D45">
        <v>3</v>
      </c>
      <c r="E45">
        <v>13.1</v>
      </c>
      <c r="F45">
        <v>7.4</v>
      </c>
      <c r="G45">
        <v>5.8</v>
      </c>
      <c r="H45">
        <v>62.7</v>
      </c>
      <c r="I45">
        <v>55.4</v>
      </c>
      <c r="J45">
        <v>0</v>
      </c>
      <c r="K45">
        <v>50</v>
      </c>
      <c r="L45">
        <v>21.9</v>
      </c>
      <c r="M45">
        <v>6.7</v>
      </c>
      <c r="N45">
        <v>92</v>
      </c>
      <c r="O45">
        <v>83</v>
      </c>
      <c r="P45">
        <v>20</v>
      </c>
      <c r="Q45">
        <v>7.4</v>
      </c>
      <c r="R45">
        <v>10.4</v>
      </c>
      <c r="S45">
        <v>17</v>
      </c>
      <c r="T45">
        <v>75</v>
      </c>
      <c r="U45">
        <v>2771</v>
      </c>
      <c r="V45">
        <v>1304000</v>
      </c>
      <c r="W45">
        <v>80</v>
      </c>
      <c r="X45">
        <v>62.9</v>
      </c>
      <c r="Y45">
        <v>66</v>
      </c>
      <c r="Z45">
        <v>76.5</v>
      </c>
      <c r="AA45">
        <v>80</v>
      </c>
      <c r="AB45">
        <v>84.2</v>
      </c>
      <c r="AC45">
        <v>70.2</v>
      </c>
      <c r="AD45">
        <v>100</v>
      </c>
      <c r="AE45">
        <v>100</v>
      </c>
      <c r="AF45" t="s">
        <v>47</v>
      </c>
    </row>
    <row r="46" spans="1:32">
      <c r="A46" t="s">
        <v>715</v>
      </c>
      <c r="B46">
        <v>3</v>
      </c>
      <c r="C46">
        <v>11</v>
      </c>
      <c r="D46">
        <v>5</v>
      </c>
      <c r="E46">
        <v>16.3</v>
      </c>
      <c r="F46">
        <v>11.7</v>
      </c>
      <c r="G46">
        <v>4.9000000000000004</v>
      </c>
      <c r="H46">
        <v>71.7</v>
      </c>
      <c r="I46">
        <v>45.3</v>
      </c>
      <c r="J46">
        <v>0</v>
      </c>
      <c r="K46">
        <v>50</v>
      </c>
      <c r="L46">
        <v>22.8</v>
      </c>
      <c r="M46">
        <v>8.6999999999999993</v>
      </c>
      <c r="N46">
        <v>99</v>
      </c>
      <c r="O46">
        <v>88</v>
      </c>
      <c r="P46">
        <v>17.7</v>
      </c>
      <c r="Q46">
        <v>11.8</v>
      </c>
      <c r="R46">
        <v>7.2</v>
      </c>
      <c r="S46">
        <v>19.899999999999999</v>
      </c>
      <c r="T46">
        <v>76</v>
      </c>
      <c r="U46">
        <v>3194</v>
      </c>
      <c r="V46">
        <v>3556000</v>
      </c>
      <c r="W46">
        <v>60</v>
      </c>
      <c r="X46">
        <v>66.599999999999994</v>
      </c>
      <c r="Y46">
        <v>61.5</v>
      </c>
      <c r="Z46">
        <v>64.400000000000006</v>
      </c>
      <c r="AA46">
        <v>60</v>
      </c>
      <c r="AB46">
        <v>80.099999999999994</v>
      </c>
      <c r="AC46">
        <v>65.599999999999994</v>
      </c>
      <c r="AD46">
        <v>100</v>
      </c>
      <c r="AE46">
        <v>100</v>
      </c>
      <c r="AF46" t="s">
        <v>47</v>
      </c>
    </row>
    <row r="47" spans="1:32">
      <c r="A47" t="s">
        <v>717</v>
      </c>
      <c r="B47">
        <v>1.3</v>
      </c>
      <c r="C47">
        <v>4</v>
      </c>
      <c r="D47">
        <v>3</v>
      </c>
      <c r="E47">
        <v>13.9</v>
      </c>
      <c r="F47">
        <v>13.4</v>
      </c>
      <c r="H47">
        <v>59.3</v>
      </c>
      <c r="J47">
        <v>0</v>
      </c>
      <c r="K47">
        <v>28</v>
      </c>
      <c r="L47">
        <v>26.5</v>
      </c>
      <c r="N47">
        <v>93</v>
      </c>
      <c r="O47">
        <v>80</v>
      </c>
      <c r="U47">
        <v>1335</v>
      </c>
      <c r="V47">
        <v>795000</v>
      </c>
      <c r="W47">
        <v>51</v>
      </c>
      <c r="X47">
        <v>62.4</v>
      </c>
      <c r="Z47">
        <v>59.3</v>
      </c>
      <c r="AA47">
        <v>51</v>
      </c>
      <c r="AB47">
        <v>98.1</v>
      </c>
      <c r="AC47">
        <v>64.8</v>
      </c>
      <c r="AD47">
        <v>75</v>
      </c>
      <c r="AE47">
        <v>61.9</v>
      </c>
      <c r="AF47" t="s">
        <v>57</v>
      </c>
    </row>
    <row r="48" spans="1:32">
      <c r="A48" t="s">
        <v>719</v>
      </c>
      <c r="B48">
        <v>2.9</v>
      </c>
      <c r="C48">
        <v>9</v>
      </c>
      <c r="D48">
        <v>3</v>
      </c>
      <c r="E48">
        <v>15.4</v>
      </c>
      <c r="F48">
        <v>15.9</v>
      </c>
      <c r="G48">
        <v>7.1</v>
      </c>
      <c r="H48">
        <v>53</v>
      </c>
      <c r="I48">
        <v>63</v>
      </c>
      <c r="J48">
        <v>0</v>
      </c>
      <c r="K48">
        <v>49</v>
      </c>
      <c r="L48">
        <v>30.8</v>
      </c>
      <c r="M48">
        <v>8</v>
      </c>
      <c r="N48">
        <v>88</v>
      </c>
      <c r="O48">
        <v>89</v>
      </c>
      <c r="P48">
        <v>13.9</v>
      </c>
      <c r="Q48">
        <v>8.4</v>
      </c>
      <c r="R48">
        <v>6.3</v>
      </c>
      <c r="S48">
        <v>14.5</v>
      </c>
      <c r="T48">
        <v>88</v>
      </c>
      <c r="U48">
        <v>2243</v>
      </c>
      <c r="V48">
        <v>1943000</v>
      </c>
      <c r="W48">
        <v>54</v>
      </c>
      <c r="X48">
        <v>62.9</v>
      </c>
      <c r="Y48">
        <v>71.3</v>
      </c>
      <c r="Z48">
        <v>58.6</v>
      </c>
      <c r="AA48">
        <v>54</v>
      </c>
      <c r="AB48">
        <v>89.3</v>
      </c>
      <c r="AC48">
        <v>65.900000000000006</v>
      </c>
      <c r="AD48">
        <v>100</v>
      </c>
      <c r="AE48">
        <v>100</v>
      </c>
      <c r="AF48" t="s">
        <v>47</v>
      </c>
    </row>
    <row r="49" spans="1:32">
      <c r="A49" t="s">
        <v>721</v>
      </c>
      <c r="B49">
        <v>3.5</v>
      </c>
      <c r="C49">
        <v>10</v>
      </c>
      <c r="D49">
        <v>7</v>
      </c>
      <c r="E49">
        <v>13.4</v>
      </c>
      <c r="F49">
        <v>8.5</v>
      </c>
      <c r="G49">
        <v>5.3</v>
      </c>
      <c r="H49">
        <v>50.4</v>
      </c>
      <c r="I49">
        <v>50.8</v>
      </c>
      <c r="J49">
        <v>0</v>
      </c>
      <c r="K49">
        <v>49</v>
      </c>
      <c r="L49">
        <v>36.6</v>
      </c>
      <c r="M49">
        <v>7.7</v>
      </c>
      <c r="N49">
        <v>91</v>
      </c>
      <c r="O49">
        <v>104</v>
      </c>
      <c r="P49">
        <v>21.2</v>
      </c>
      <c r="Q49">
        <v>13.7</v>
      </c>
      <c r="R49">
        <v>10</v>
      </c>
      <c r="S49">
        <v>21.3</v>
      </c>
      <c r="T49">
        <v>75</v>
      </c>
      <c r="U49">
        <v>1667</v>
      </c>
      <c r="V49">
        <v>649000</v>
      </c>
      <c r="W49">
        <v>54</v>
      </c>
      <c r="X49">
        <v>55.8</v>
      </c>
      <c r="Y49">
        <v>60.9</v>
      </c>
      <c r="Z49">
        <v>70.8</v>
      </c>
      <c r="AA49">
        <v>54</v>
      </c>
      <c r="AB49">
        <v>94.9</v>
      </c>
      <c r="AC49">
        <v>63.8</v>
      </c>
      <c r="AD49">
        <v>100</v>
      </c>
      <c r="AE49">
        <v>100</v>
      </c>
      <c r="AF49" t="s">
        <v>47</v>
      </c>
    </row>
    <row r="50" spans="1:32">
      <c r="A50" t="s">
        <v>723</v>
      </c>
      <c r="B50">
        <v>3.7</v>
      </c>
      <c r="C50">
        <v>7</v>
      </c>
      <c r="D50">
        <v>5</v>
      </c>
      <c r="E50">
        <v>11.2</v>
      </c>
      <c r="F50">
        <v>14.1</v>
      </c>
      <c r="G50">
        <v>4.5999999999999996</v>
      </c>
      <c r="H50">
        <v>73.099999999999994</v>
      </c>
      <c r="I50">
        <v>70.2</v>
      </c>
      <c r="J50">
        <v>0</v>
      </c>
      <c r="K50">
        <v>49</v>
      </c>
      <c r="L50">
        <v>23.7</v>
      </c>
      <c r="M50">
        <v>6.1</v>
      </c>
      <c r="N50">
        <v>92</v>
      </c>
      <c r="O50">
        <v>92</v>
      </c>
      <c r="P50">
        <v>15.9</v>
      </c>
      <c r="Q50">
        <v>11.7</v>
      </c>
      <c r="R50">
        <v>10.8</v>
      </c>
      <c r="S50">
        <v>21.6</v>
      </c>
      <c r="T50">
        <v>84</v>
      </c>
      <c r="U50">
        <v>2632</v>
      </c>
      <c r="V50">
        <v>1645000</v>
      </c>
      <c r="W50">
        <v>59</v>
      </c>
      <c r="X50">
        <v>58.5</v>
      </c>
      <c r="Y50">
        <v>71.3</v>
      </c>
      <c r="Z50">
        <v>57.6</v>
      </c>
      <c r="AA50">
        <v>59</v>
      </c>
      <c r="AB50">
        <v>85.5</v>
      </c>
      <c r="AC50">
        <v>64.3</v>
      </c>
      <c r="AD50">
        <v>100</v>
      </c>
      <c r="AE50">
        <v>100</v>
      </c>
      <c r="AF50" t="s">
        <v>47</v>
      </c>
    </row>
    <row r="51" spans="1:32">
      <c r="A51" t="s">
        <v>726</v>
      </c>
      <c r="B51">
        <v>2.7</v>
      </c>
      <c r="C51">
        <v>7</v>
      </c>
      <c r="D51">
        <v>4</v>
      </c>
      <c r="E51">
        <v>7.7</v>
      </c>
      <c r="F51">
        <v>12.6</v>
      </c>
      <c r="G51">
        <v>3.6</v>
      </c>
      <c r="H51">
        <v>44.7</v>
      </c>
      <c r="I51">
        <v>65.599999999999994</v>
      </c>
      <c r="J51">
        <v>0</v>
      </c>
      <c r="K51">
        <v>39</v>
      </c>
      <c r="L51">
        <v>31.8</v>
      </c>
      <c r="M51">
        <v>5.4</v>
      </c>
      <c r="N51">
        <v>116</v>
      </c>
      <c r="O51">
        <v>119</v>
      </c>
      <c r="P51">
        <v>18.399999999999999</v>
      </c>
      <c r="Q51">
        <v>12.2</v>
      </c>
      <c r="R51">
        <v>11.4</v>
      </c>
      <c r="S51">
        <v>25.6</v>
      </c>
      <c r="T51">
        <v>89</v>
      </c>
      <c r="U51">
        <v>1945</v>
      </c>
      <c r="V51">
        <v>958000</v>
      </c>
      <c r="W51">
        <v>45</v>
      </c>
      <c r="X51">
        <v>44.9</v>
      </c>
      <c r="Y51">
        <v>68.8</v>
      </c>
      <c r="Z51">
        <v>58.2</v>
      </c>
      <c r="AA51">
        <v>45</v>
      </c>
      <c r="AB51">
        <v>92.2</v>
      </c>
      <c r="AC51">
        <v>58.3</v>
      </c>
      <c r="AD51">
        <v>100</v>
      </c>
      <c r="AE51">
        <v>100</v>
      </c>
      <c r="AF51" t="s">
        <v>47</v>
      </c>
    </row>
    <row r="52" spans="1:32">
      <c r="A52" t="s">
        <v>728</v>
      </c>
      <c r="B52">
        <v>3.3</v>
      </c>
      <c r="C52">
        <v>8</v>
      </c>
      <c r="D52">
        <v>3</v>
      </c>
      <c r="E52">
        <v>11.2</v>
      </c>
      <c r="F52">
        <v>8.5</v>
      </c>
      <c r="G52">
        <v>4.8</v>
      </c>
      <c r="H52">
        <v>51.8</v>
      </c>
      <c r="I52">
        <v>68.599999999999994</v>
      </c>
      <c r="J52">
        <v>0</v>
      </c>
      <c r="K52">
        <v>49</v>
      </c>
      <c r="L52">
        <v>27.8</v>
      </c>
      <c r="M52">
        <v>5.7</v>
      </c>
      <c r="N52">
        <v>105</v>
      </c>
      <c r="O52">
        <v>112</v>
      </c>
      <c r="P52">
        <v>10.7</v>
      </c>
      <c r="Q52">
        <v>14.5</v>
      </c>
      <c r="R52">
        <v>7.1</v>
      </c>
      <c r="S52">
        <v>19.899999999999999</v>
      </c>
      <c r="T52">
        <v>83</v>
      </c>
      <c r="U52">
        <v>2038</v>
      </c>
      <c r="V52">
        <v>697000</v>
      </c>
      <c r="W52">
        <v>53</v>
      </c>
      <c r="X52">
        <v>53.9</v>
      </c>
      <c r="Y52">
        <v>73.599999999999994</v>
      </c>
      <c r="Z52">
        <v>71.900000000000006</v>
      </c>
      <c r="AA52">
        <v>53</v>
      </c>
      <c r="AB52">
        <v>91.3</v>
      </c>
      <c r="AC52">
        <v>66</v>
      </c>
      <c r="AD52">
        <v>100</v>
      </c>
      <c r="AE52">
        <v>100</v>
      </c>
      <c r="AF52" t="s">
        <v>47</v>
      </c>
    </row>
    <row r="53" spans="1:32">
      <c r="A53" t="s">
        <v>730</v>
      </c>
      <c r="B53">
        <v>2.5</v>
      </c>
      <c r="C53">
        <v>6</v>
      </c>
      <c r="D53">
        <v>2</v>
      </c>
      <c r="E53">
        <v>0.8</v>
      </c>
      <c r="F53">
        <v>11.6</v>
      </c>
      <c r="G53">
        <v>5.0999999999999996</v>
      </c>
      <c r="H53">
        <v>62.6</v>
      </c>
      <c r="I53">
        <v>45.6</v>
      </c>
      <c r="J53">
        <v>2</v>
      </c>
      <c r="K53">
        <v>26</v>
      </c>
      <c r="L53">
        <v>34.799999999999997</v>
      </c>
      <c r="M53">
        <v>8.6</v>
      </c>
      <c r="N53">
        <v>99</v>
      </c>
      <c r="O53">
        <v>100</v>
      </c>
      <c r="P53">
        <v>29.4</v>
      </c>
      <c r="Q53">
        <v>16.600000000000001</v>
      </c>
      <c r="R53">
        <v>10.4</v>
      </c>
      <c r="S53">
        <v>21.3</v>
      </c>
      <c r="T53">
        <v>71</v>
      </c>
      <c r="U53">
        <v>1987</v>
      </c>
      <c r="V53">
        <v>1132000</v>
      </c>
      <c r="W53">
        <v>33</v>
      </c>
      <c r="X53">
        <v>35.9</v>
      </c>
      <c r="Y53">
        <v>54</v>
      </c>
      <c r="Z53">
        <v>63.6</v>
      </c>
      <c r="AA53">
        <v>33</v>
      </c>
      <c r="AB53">
        <v>91.8</v>
      </c>
      <c r="AC53">
        <v>51.3</v>
      </c>
      <c r="AD53">
        <v>100</v>
      </c>
      <c r="AE53">
        <v>100</v>
      </c>
      <c r="AF53" t="s">
        <v>47</v>
      </c>
    </row>
    <row r="54" spans="1:32">
      <c r="A54" t="s">
        <v>733</v>
      </c>
      <c r="B54">
        <v>3.9</v>
      </c>
      <c r="C54">
        <v>12</v>
      </c>
      <c r="D54">
        <v>5</v>
      </c>
      <c r="E54">
        <v>18.899999999999999</v>
      </c>
      <c r="F54">
        <v>16.7</v>
      </c>
      <c r="G54">
        <v>4.0999999999999996</v>
      </c>
      <c r="H54">
        <v>42.7</v>
      </c>
      <c r="I54">
        <v>72.900000000000006</v>
      </c>
      <c r="J54">
        <v>0</v>
      </c>
      <c r="K54">
        <v>49</v>
      </c>
      <c r="L54">
        <v>22.5</v>
      </c>
      <c r="M54">
        <v>6.8</v>
      </c>
      <c r="N54">
        <v>78</v>
      </c>
      <c r="O54">
        <v>91</v>
      </c>
      <c r="P54">
        <v>12.9</v>
      </c>
      <c r="Q54">
        <v>11.8</v>
      </c>
      <c r="R54">
        <v>8.9</v>
      </c>
      <c r="S54">
        <v>21.5</v>
      </c>
      <c r="T54">
        <v>92</v>
      </c>
      <c r="U54">
        <v>2008</v>
      </c>
      <c r="V54">
        <v>457000</v>
      </c>
      <c r="W54">
        <v>50</v>
      </c>
      <c r="X54">
        <v>72.900000000000006</v>
      </c>
      <c r="Y54">
        <v>73.599999999999994</v>
      </c>
      <c r="Z54">
        <v>51.7</v>
      </c>
      <c r="AA54">
        <v>50</v>
      </c>
      <c r="AB54">
        <v>91.5</v>
      </c>
      <c r="AC54">
        <v>68.400000000000006</v>
      </c>
      <c r="AD54">
        <v>100</v>
      </c>
      <c r="AE54">
        <v>100</v>
      </c>
      <c r="AF54" t="s">
        <v>47</v>
      </c>
    </row>
    <row r="55" spans="1:32">
      <c r="A55" t="s">
        <v>735</v>
      </c>
      <c r="B55">
        <v>2.5</v>
      </c>
      <c r="C55">
        <v>6</v>
      </c>
      <c r="D55">
        <v>5</v>
      </c>
      <c r="F55">
        <v>7.7</v>
      </c>
      <c r="G55">
        <v>6.1</v>
      </c>
      <c r="H55">
        <v>47.1</v>
      </c>
      <c r="I55">
        <v>61.1</v>
      </c>
      <c r="J55">
        <v>0</v>
      </c>
      <c r="K55">
        <v>40</v>
      </c>
      <c r="L55">
        <v>25.8</v>
      </c>
      <c r="M55">
        <v>6.5</v>
      </c>
      <c r="O55">
        <v>103</v>
      </c>
      <c r="P55">
        <v>19.8</v>
      </c>
      <c r="Q55">
        <v>11.7</v>
      </c>
      <c r="R55">
        <v>6.5</v>
      </c>
      <c r="S55">
        <v>13.6</v>
      </c>
      <c r="T55">
        <v>86</v>
      </c>
      <c r="U55">
        <v>2699</v>
      </c>
      <c r="V55">
        <v>1087000</v>
      </c>
      <c r="W55">
        <v>31</v>
      </c>
      <c r="X55">
        <v>68.099999999999994</v>
      </c>
      <c r="Y55">
        <v>68.2</v>
      </c>
      <c r="Z55">
        <v>78.3</v>
      </c>
      <c r="AA55">
        <v>31</v>
      </c>
      <c r="AB55">
        <v>84.9</v>
      </c>
      <c r="AC55">
        <v>68.099999999999994</v>
      </c>
      <c r="AD55">
        <v>100</v>
      </c>
      <c r="AE55">
        <v>90.5</v>
      </c>
      <c r="AF55" t="s">
        <v>47</v>
      </c>
    </row>
    <row r="56" spans="1:32">
      <c r="A56" t="s">
        <v>737</v>
      </c>
      <c r="B56">
        <v>1.1000000000000001</v>
      </c>
      <c r="C56">
        <v>7</v>
      </c>
      <c r="D56">
        <v>1</v>
      </c>
      <c r="E56">
        <v>10.6</v>
      </c>
      <c r="F56">
        <v>13</v>
      </c>
      <c r="G56">
        <v>6.6</v>
      </c>
      <c r="H56">
        <v>73.099999999999994</v>
      </c>
      <c r="I56">
        <v>46.5</v>
      </c>
      <c r="J56">
        <v>0</v>
      </c>
      <c r="K56">
        <v>44</v>
      </c>
      <c r="L56">
        <v>32.4</v>
      </c>
      <c r="M56">
        <v>9.9</v>
      </c>
      <c r="N56">
        <v>100</v>
      </c>
      <c r="O56">
        <v>97</v>
      </c>
      <c r="P56">
        <v>17.2</v>
      </c>
      <c r="Q56">
        <v>12.1</v>
      </c>
      <c r="R56">
        <v>8.1999999999999993</v>
      </c>
      <c r="S56">
        <v>15.4</v>
      </c>
      <c r="T56">
        <v>78</v>
      </c>
      <c r="U56">
        <v>2947</v>
      </c>
      <c r="V56">
        <v>5528000</v>
      </c>
      <c r="W56">
        <v>42</v>
      </c>
      <c r="X56">
        <v>52.7</v>
      </c>
      <c r="Y56">
        <v>60.6</v>
      </c>
      <c r="Z56">
        <v>64.7</v>
      </c>
      <c r="AA56">
        <v>42</v>
      </c>
      <c r="AB56">
        <v>82.5</v>
      </c>
      <c r="AC56">
        <v>59</v>
      </c>
      <c r="AD56">
        <v>100</v>
      </c>
      <c r="AE56">
        <v>100</v>
      </c>
      <c r="AF56" t="s">
        <v>47</v>
      </c>
    </row>
    <row r="57" spans="1:32">
      <c r="A57" t="s">
        <v>739</v>
      </c>
      <c r="B57">
        <v>0.6</v>
      </c>
      <c r="C57">
        <v>5</v>
      </c>
      <c r="D57">
        <v>2</v>
      </c>
      <c r="E57">
        <v>8.6999999999999993</v>
      </c>
      <c r="F57">
        <v>14</v>
      </c>
      <c r="G57">
        <v>3.7</v>
      </c>
      <c r="H57">
        <v>76.2</v>
      </c>
      <c r="I57">
        <v>46.7</v>
      </c>
      <c r="J57">
        <v>1</v>
      </c>
      <c r="K57">
        <v>32</v>
      </c>
      <c r="L57">
        <v>36.700000000000003</v>
      </c>
      <c r="M57">
        <v>10.4</v>
      </c>
      <c r="N57">
        <v>97</v>
      </c>
      <c r="O57">
        <v>89</v>
      </c>
      <c r="P57">
        <v>22</v>
      </c>
      <c r="Q57">
        <v>17.399999999999999</v>
      </c>
      <c r="R57">
        <v>10.9</v>
      </c>
      <c r="S57">
        <v>19.3</v>
      </c>
      <c r="T57">
        <v>88</v>
      </c>
      <c r="U57">
        <v>2473</v>
      </c>
      <c r="V57">
        <v>1595000</v>
      </c>
      <c r="W57">
        <v>46</v>
      </c>
      <c r="X57">
        <v>48.7</v>
      </c>
      <c r="Y57">
        <v>55.3</v>
      </c>
      <c r="Z57">
        <v>59.5</v>
      </c>
      <c r="AA57">
        <v>46</v>
      </c>
      <c r="AB57">
        <v>87</v>
      </c>
      <c r="AC57">
        <v>56.1</v>
      </c>
      <c r="AD57">
        <v>100</v>
      </c>
      <c r="AE57">
        <v>100</v>
      </c>
      <c r="AF57" t="s">
        <v>47</v>
      </c>
    </row>
    <row r="58" spans="1:32">
      <c r="A58" t="s">
        <v>741</v>
      </c>
      <c r="B58">
        <v>5.3</v>
      </c>
      <c r="C58">
        <v>15</v>
      </c>
      <c r="D58">
        <v>6</v>
      </c>
      <c r="E58">
        <v>13.7</v>
      </c>
      <c r="F58">
        <v>5.6</v>
      </c>
      <c r="G58">
        <v>5.6</v>
      </c>
      <c r="H58">
        <v>59.7</v>
      </c>
      <c r="I58">
        <v>79.400000000000006</v>
      </c>
      <c r="J58">
        <v>0</v>
      </c>
      <c r="K58">
        <v>62</v>
      </c>
      <c r="L58">
        <v>15.9</v>
      </c>
      <c r="M58">
        <v>5</v>
      </c>
      <c r="N58">
        <v>95</v>
      </c>
      <c r="O58">
        <v>79</v>
      </c>
      <c r="P58">
        <v>15</v>
      </c>
      <c r="Q58">
        <v>12.2</v>
      </c>
      <c r="R58">
        <v>5.3</v>
      </c>
      <c r="S58">
        <v>18</v>
      </c>
      <c r="T58">
        <v>100</v>
      </c>
      <c r="U58">
        <v>2347</v>
      </c>
      <c r="V58">
        <v>1426000</v>
      </c>
      <c r="W58">
        <v>39</v>
      </c>
      <c r="X58">
        <v>66.400000000000006</v>
      </c>
      <c r="Y58">
        <v>77.900000000000006</v>
      </c>
      <c r="Z58">
        <v>80</v>
      </c>
      <c r="AA58">
        <v>39</v>
      </c>
      <c r="AB58">
        <v>88.3</v>
      </c>
      <c r="AC58">
        <v>71.400000000000006</v>
      </c>
      <c r="AD58">
        <v>100</v>
      </c>
      <c r="AE58">
        <v>100</v>
      </c>
      <c r="AF58" t="s">
        <v>47</v>
      </c>
    </row>
    <row r="59" spans="1:32">
      <c r="A59" t="s">
        <v>742</v>
      </c>
      <c r="B59">
        <v>0.7</v>
      </c>
      <c r="C59">
        <v>3</v>
      </c>
      <c r="D59">
        <v>1</v>
      </c>
      <c r="E59">
        <v>11.1</v>
      </c>
      <c r="F59">
        <v>7.9</v>
      </c>
      <c r="G59">
        <v>8.1999999999999993</v>
      </c>
      <c r="H59">
        <v>63.8</v>
      </c>
      <c r="I59">
        <v>48.8</v>
      </c>
      <c r="J59">
        <v>0</v>
      </c>
      <c r="K59">
        <v>49</v>
      </c>
      <c r="L59">
        <v>28.8</v>
      </c>
      <c r="M59">
        <v>5.6</v>
      </c>
      <c r="N59">
        <v>97</v>
      </c>
      <c r="O59">
        <v>102</v>
      </c>
      <c r="P59">
        <v>17.3</v>
      </c>
      <c r="Q59">
        <v>10.7</v>
      </c>
      <c r="R59">
        <v>5.5</v>
      </c>
      <c r="S59">
        <v>13.5</v>
      </c>
      <c r="T59">
        <v>96</v>
      </c>
      <c r="U59">
        <v>2802</v>
      </c>
      <c r="V59">
        <v>458000</v>
      </c>
      <c r="W59">
        <v>49</v>
      </c>
      <c r="X59">
        <v>54.9</v>
      </c>
      <c r="Y59">
        <v>66.400000000000006</v>
      </c>
      <c r="Z59">
        <v>77.900000000000006</v>
      </c>
      <c r="AA59">
        <v>49</v>
      </c>
      <c r="AB59">
        <v>83.9</v>
      </c>
      <c r="AC59">
        <v>64.7</v>
      </c>
      <c r="AD59">
        <v>100</v>
      </c>
      <c r="AE59">
        <v>100</v>
      </c>
      <c r="AF59" t="s">
        <v>47</v>
      </c>
    </row>
    <row r="60" spans="1:32">
      <c r="A60" t="s">
        <v>743</v>
      </c>
      <c r="B60">
        <v>1.2</v>
      </c>
      <c r="C60">
        <v>2</v>
      </c>
      <c r="D60">
        <v>1</v>
      </c>
      <c r="F60">
        <v>3.6</v>
      </c>
      <c r="H60">
        <v>83.4</v>
      </c>
      <c r="I60">
        <v>39.1</v>
      </c>
      <c r="J60">
        <v>0</v>
      </c>
      <c r="K60">
        <v>33</v>
      </c>
      <c r="L60">
        <v>23.8</v>
      </c>
      <c r="M60">
        <v>8.9</v>
      </c>
      <c r="O60">
        <v>94</v>
      </c>
      <c r="P60">
        <v>17.399999999999999</v>
      </c>
      <c r="T60">
        <v>87</v>
      </c>
      <c r="U60">
        <v>2968</v>
      </c>
      <c r="V60">
        <v>3820000</v>
      </c>
      <c r="W60">
        <v>62</v>
      </c>
      <c r="X60">
        <v>71.900000000000006</v>
      </c>
      <c r="Y60">
        <v>51.9</v>
      </c>
      <c r="Z60">
        <v>94.3</v>
      </c>
      <c r="AA60">
        <v>62</v>
      </c>
      <c r="AB60">
        <v>82.3</v>
      </c>
      <c r="AC60">
        <v>71.400000000000006</v>
      </c>
      <c r="AD60">
        <v>100</v>
      </c>
      <c r="AE60">
        <v>71.400000000000006</v>
      </c>
      <c r="AF60" t="s">
        <v>1971</v>
      </c>
    </row>
    <row r="61" spans="1:32">
      <c r="A61" t="s">
        <v>744</v>
      </c>
      <c r="B61">
        <v>3.3</v>
      </c>
      <c r="C61">
        <v>7</v>
      </c>
      <c r="D61">
        <v>2</v>
      </c>
      <c r="E61">
        <v>10.7</v>
      </c>
      <c r="F61">
        <v>11.5</v>
      </c>
      <c r="G61">
        <v>4.7</v>
      </c>
      <c r="H61">
        <v>56.6</v>
      </c>
      <c r="I61">
        <v>49.6</v>
      </c>
      <c r="J61">
        <v>0</v>
      </c>
      <c r="K61">
        <v>45</v>
      </c>
      <c r="L61">
        <v>17.899999999999999</v>
      </c>
      <c r="M61">
        <v>5.9</v>
      </c>
      <c r="N61">
        <v>106</v>
      </c>
      <c r="O61">
        <v>94</v>
      </c>
      <c r="P61">
        <v>20.9</v>
      </c>
      <c r="Q61">
        <v>12.4</v>
      </c>
      <c r="R61">
        <v>10.6</v>
      </c>
      <c r="S61">
        <v>19.600000000000001</v>
      </c>
      <c r="T61">
        <v>69</v>
      </c>
      <c r="U61">
        <v>2147</v>
      </c>
      <c r="V61">
        <v>979000</v>
      </c>
      <c r="W61">
        <v>33</v>
      </c>
      <c r="X61">
        <v>58.4</v>
      </c>
      <c r="Y61">
        <v>62.2</v>
      </c>
      <c r="Z61">
        <v>65.099999999999994</v>
      </c>
      <c r="AA61">
        <v>33</v>
      </c>
      <c r="AB61">
        <v>90.2</v>
      </c>
      <c r="AC61">
        <v>61.3</v>
      </c>
      <c r="AD61">
        <v>100</v>
      </c>
      <c r="AE61">
        <v>100</v>
      </c>
      <c r="AF61" t="s">
        <v>47</v>
      </c>
    </row>
    <row r="62" spans="1:32">
      <c r="A62" t="s">
        <v>746</v>
      </c>
      <c r="B62">
        <v>1.8</v>
      </c>
      <c r="C62">
        <v>6</v>
      </c>
      <c r="D62">
        <v>4</v>
      </c>
      <c r="E62">
        <v>10.4</v>
      </c>
      <c r="F62">
        <v>10.3</v>
      </c>
      <c r="G62">
        <v>4.3</v>
      </c>
      <c r="H62">
        <v>59.5</v>
      </c>
      <c r="I62">
        <v>58.1</v>
      </c>
      <c r="J62">
        <v>0</v>
      </c>
      <c r="K62">
        <v>43</v>
      </c>
      <c r="L62">
        <v>27.1</v>
      </c>
      <c r="M62">
        <v>6.9</v>
      </c>
      <c r="N62">
        <v>100</v>
      </c>
      <c r="O62">
        <v>113</v>
      </c>
      <c r="P62">
        <v>17.5</v>
      </c>
      <c r="Q62">
        <v>13.8</v>
      </c>
      <c r="R62">
        <v>9.6999999999999993</v>
      </c>
      <c r="S62">
        <v>19.100000000000001</v>
      </c>
      <c r="T62">
        <v>84</v>
      </c>
      <c r="U62">
        <v>2358</v>
      </c>
      <c r="V62">
        <v>1545000</v>
      </c>
      <c r="W62">
        <v>45</v>
      </c>
      <c r="X62">
        <v>53.3</v>
      </c>
      <c r="Y62">
        <v>65.5</v>
      </c>
      <c r="Z62">
        <v>68.3</v>
      </c>
      <c r="AA62">
        <v>45</v>
      </c>
      <c r="AB62">
        <v>88.2</v>
      </c>
      <c r="AC62">
        <v>62</v>
      </c>
      <c r="AD62">
        <v>100</v>
      </c>
      <c r="AE62">
        <v>100</v>
      </c>
      <c r="AF62" t="s">
        <v>47</v>
      </c>
    </row>
    <row r="63" spans="1:32">
      <c r="A63" t="s">
        <v>749</v>
      </c>
      <c r="B63">
        <v>2.5</v>
      </c>
      <c r="C63">
        <v>8</v>
      </c>
      <c r="D63">
        <v>4</v>
      </c>
      <c r="E63">
        <v>10.4</v>
      </c>
      <c r="F63">
        <v>11.1</v>
      </c>
      <c r="G63">
        <v>4.7</v>
      </c>
      <c r="H63">
        <v>53.5</v>
      </c>
      <c r="I63">
        <v>61.5</v>
      </c>
      <c r="J63">
        <v>1</v>
      </c>
      <c r="K63">
        <v>39</v>
      </c>
      <c r="L63">
        <v>21.2</v>
      </c>
      <c r="M63">
        <v>9.5</v>
      </c>
      <c r="N63">
        <v>98</v>
      </c>
      <c r="O63">
        <v>77</v>
      </c>
      <c r="P63">
        <v>20.6</v>
      </c>
      <c r="Q63">
        <v>12.9</v>
      </c>
      <c r="R63">
        <v>7.9</v>
      </c>
      <c r="S63">
        <v>22.4</v>
      </c>
      <c r="T63">
        <v>89</v>
      </c>
      <c r="U63">
        <v>2323</v>
      </c>
      <c r="V63">
        <v>1629000</v>
      </c>
      <c r="W63">
        <v>57</v>
      </c>
      <c r="X63">
        <v>58.7</v>
      </c>
      <c r="Y63">
        <v>64.7</v>
      </c>
      <c r="Z63">
        <v>64</v>
      </c>
      <c r="AA63">
        <v>57</v>
      </c>
      <c r="AB63">
        <v>88.5</v>
      </c>
      <c r="AC63">
        <v>64.099999999999994</v>
      </c>
      <c r="AD63">
        <v>100</v>
      </c>
      <c r="AE63">
        <v>100</v>
      </c>
      <c r="AF63" t="s">
        <v>47</v>
      </c>
    </row>
    <row r="64" spans="1:32">
      <c r="A64" t="s">
        <v>751</v>
      </c>
      <c r="B64">
        <v>4.3</v>
      </c>
      <c r="C64">
        <v>10</v>
      </c>
      <c r="D64">
        <v>4</v>
      </c>
      <c r="E64">
        <v>16.8</v>
      </c>
      <c r="F64">
        <v>4</v>
      </c>
      <c r="G64">
        <v>4.5</v>
      </c>
      <c r="H64">
        <v>73.7</v>
      </c>
      <c r="I64">
        <v>66</v>
      </c>
      <c r="J64">
        <v>0</v>
      </c>
      <c r="K64">
        <v>62</v>
      </c>
      <c r="L64">
        <v>26.2</v>
      </c>
      <c r="M64">
        <v>3.1</v>
      </c>
      <c r="N64">
        <v>77</v>
      </c>
      <c r="O64">
        <v>41</v>
      </c>
      <c r="P64">
        <v>12.5</v>
      </c>
      <c r="Q64">
        <v>15.6</v>
      </c>
      <c r="R64">
        <v>10.9</v>
      </c>
      <c r="S64">
        <v>26.6</v>
      </c>
      <c r="T64">
        <v>99</v>
      </c>
      <c r="U64">
        <v>4059</v>
      </c>
      <c r="V64">
        <v>1667000</v>
      </c>
      <c r="W64">
        <v>46</v>
      </c>
      <c r="X64">
        <v>71.8</v>
      </c>
      <c r="Y64">
        <v>71.900000000000006</v>
      </c>
      <c r="Z64">
        <v>77.400000000000006</v>
      </c>
      <c r="AA64">
        <v>46</v>
      </c>
      <c r="AB64">
        <v>71.7</v>
      </c>
      <c r="AC64">
        <v>70.400000000000006</v>
      </c>
      <c r="AD64">
        <v>100</v>
      </c>
      <c r="AE64">
        <v>100</v>
      </c>
      <c r="AF64" t="s">
        <v>47</v>
      </c>
    </row>
    <row r="65" spans="1:32">
      <c r="A65" t="s">
        <v>754</v>
      </c>
      <c r="B65">
        <v>2.8</v>
      </c>
      <c r="C65">
        <v>10</v>
      </c>
      <c r="D65">
        <v>5</v>
      </c>
      <c r="E65">
        <v>13.8</v>
      </c>
      <c r="F65">
        <v>18.399999999999999</v>
      </c>
      <c r="G65">
        <v>6.4</v>
      </c>
      <c r="H65">
        <v>69</v>
      </c>
      <c r="I65">
        <v>64.3</v>
      </c>
      <c r="J65">
        <v>0</v>
      </c>
      <c r="K65">
        <v>47</v>
      </c>
      <c r="L65">
        <v>24.5</v>
      </c>
      <c r="M65">
        <v>3.8</v>
      </c>
      <c r="N65">
        <v>88</v>
      </c>
      <c r="O65">
        <v>49</v>
      </c>
      <c r="P65">
        <v>19.7</v>
      </c>
      <c r="Q65">
        <v>6.6</v>
      </c>
      <c r="R65">
        <v>3.7</v>
      </c>
      <c r="S65">
        <v>20.5</v>
      </c>
      <c r="T65">
        <v>99</v>
      </c>
      <c r="U65">
        <v>4163</v>
      </c>
      <c r="V65">
        <v>715000</v>
      </c>
      <c r="W65">
        <v>41</v>
      </c>
      <c r="X65">
        <v>66</v>
      </c>
      <c r="Y65">
        <v>74.599999999999994</v>
      </c>
      <c r="Z65">
        <v>48.4</v>
      </c>
      <c r="AA65">
        <v>41</v>
      </c>
      <c r="AB65">
        <v>70.7</v>
      </c>
      <c r="AC65">
        <v>62.6</v>
      </c>
      <c r="AD65">
        <v>100</v>
      </c>
      <c r="AE65">
        <v>100</v>
      </c>
      <c r="AF65" t="s">
        <v>47</v>
      </c>
    </row>
    <row r="66" spans="1:32">
      <c r="A66" t="s">
        <v>757</v>
      </c>
      <c r="B66">
        <v>0.5</v>
      </c>
      <c r="C66">
        <v>3</v>
      </c>
      <c r="D66">
        <v>1</v>
      </c>
      <c r="E66">
        <v>12.6</v>
      </c>
      <c r="F66">
        <v>8.6999999999999993</v>
      </c>
      <c r="G66">
        <v>7.9</v>
      </c>
      <c r="H66">
        <v>74.5</v>
      </c>
      <c r="I66">
        <v>59.1</v>
      </c>
      <c r="J66">
        <v>0</v>
      </c>
      <c r="K66">
        <v>51</v>
      </c>
      <c r="L66">
        <v>27.6</v>
      </c>
      <c r="M66">
        <v>4.2</v>
      </c>
      <c r="N66">
        <v>76</v>
      </c>
      <c r="O66">
        <v>46</v>
      </c>
      <c r="P66">
        <v>19.600000000000001</v>
      </c>
      <c r="Q66">
        <v>11.5</v>
      </c>
      <c r="R66">
        <v>4.9000000000000004</v>
      </c>
      <c r="S66">
        <v>14.3</v>
      </c>
      <c r="T66">
        <v>83</v>
      </c>
      <c r="U66">
        <v>4268</v>
      </c>
      <c r="V66">
        <v>2093000</v>
      </c>
      <c r="W66">
        <v>51</v>
      </c>
      <c r="X66">
        <v>64.3</v>
      </c>
      <c r="Y66">
        <v>70.099999999999994</v>
      </c>
      <c r="Z66">
        <v>75.5</v>
      </c>
      <c r="AA66">
        <v>51</v>
      </c>
      <c r="AB66">
        <v>69.7</v>
      </c>
      <c r="AC66">
        <v>67.2</v>
      </c>
      <c r="AD66">
        <v>100</v>
      </c>
      <c r="AE66">
        <v>100</v>
      </c>
      <c r="AF66" t="s">
        <v>47</v>
      </c>
    </row>
    <row r="67" spans="1:32">
      <c r="A67" t="s">
        <v>759</v>
      </c>
      <c r="B67">
        <v>3.4</v>
      </c>
      <c r="C67">
        <v>11</v>
      </c>
      <c r="D67">
        <v>7</v>
      </c>
      <c r="E67">
        <v>12.4</v>
      </c>
      <c r="F67">
        <v>1</v>
      </c>
      <c r="G67">
        <v>6.7</v>
      </c>
      <c r="H67">
        <v>76.5</v>
      </c>
      <c r="I67">
        <v>55.8</v>
      </c>
      <c r="J67">
        <v>1</v>
      </c>
      <c r="K67">
        <v>56</v>
      </c>
      <c r="L67">
        <v>20.7</v>
      </c>
      <c r="M67">
        <v>4.5</v>
      </c>
      <c r="N67">
        <v>82</v>
      </c>
      <c r="O67">
        <v>52</v>
      </c>
      <c r="P67">
        <v>14.4</v>
      </c>
      <c r="Q67">
        <v>10.6</v>
      </c>
      <c r="R67">
        <v>8.1999999999999993</v>
      </c>
      <c r="S67">
        <v>22.4</v>
      </c>
      <c r="T67">
        <v>83</v>
      </c>
      <c r="U67">
        <v>4351</v>
      </c>
      <c r="V67">
        <v>2118000</v>
      </c>
      <c r="W67">
        <v>45</v>
      </c>
      <c r="X67">
        <v>65.7</v>
      </c>
      <c r="Y67">
        <v>69.599999999999994</v>
      </c>
      <c r="Z67">
        <v>85.1</v>
      </c>
      <c r="AA67">
        <v>45</v>
      </c>
      <c r="AB67">
        <v>68.900000000000006</v>
      </c>
      <c r="AC67">
        <v>68.8</v>
      </c>
      <c r="AD67">
        <v>100</v>
      </c>
      <c r="AE67">
        <v>100</v>
      </c>
      <c r="AF67" t="s">
        <v>47</v>
      </c>
    </row>
    <row r="68" spans="1:32">
      <c r="A68" t="s">
        <v>761</v>
      </c>
      <c r="B68">
        <v>0.6</v>
      </c>
      <c r="C68">
        <v>6</v>
      </c>
      <c r="D68">
        <v>0</v>
      </c>
      <c r="E68">
        <v>10.9</v>
      </c>
      <c r="F68">
        <v>4.8</v>
      </c>
      <c r="G68">
        <v>6.2</v>
      </c>
      <c r="H68">
        <v>67.2</v>
      </c>
      <c r="I68">
        <v>46.1</v>
      </c>
      <c r="J68">
        <v>1</v>
      </c>
      <c r="K68">
        <v>43</v>
      </c>
      <c r="L68">
        <v>24.2</v>
      </c>
      <c r="M68">
        <v>9.6</v>
      </c>
      <c r="N68">
        <v>88</v>
      </c>
      <c r="O68">
        <v>56</v>
      </c>
      <c r="P68">
        <v>22.3</v>
      </c>
      <c r="Q68">
        <v>12.2</v>
      </c>
      <c r="R68">
        <v>7.7</v>
      </c>
      <c r="S68">
        <v>20.5</v>
      </c>
      <c r="T68">
        <v>70</v>
      </c>
      <c r="U68">
        <v>3707</v>
      </c>
      <c r="V68">
        <v>935000</v>
      </c>
      <c r="W68">
        <v>31</v>
      </c>
      <c r="X68">
        <v>60.9</v>
      </c>
      <c r="Y68">
        <v>59</v>
      </c>
      <c r="Z68">
        <v>80</v>
      </c>
      <c r="AA68">
        <v>31</v>
      </c>
      <c r="AB68">
        <v>75.099999999999994</v>
      </c>
      <c r="AC68">
        <v>62.7</v>
      </c>
      <c r="AD68">
        <v>100</v>
      </c>
      <c r="AE68">
        <v>100</v>
      </c>
      <c r="AF68" t="s">
        <v>47</v>
      </c>
    </row>
    <row r="69" spans="1:32">
      <c r="A69" t="s">
        <v>763</v>
      </c>
      <c r="B69">
        <v>3.8</v>
      </c>
      <c r="C69">
        <v>6</v>
      </c>
      <c r="D69">
        <v>5</v>
      </c>
      <c r="E69">
        <v>8.5</v>
      </c>
      <c r="F69">
        <v>9.6</v>
      </c>
      <c r="G69">
        <v>8.4</v>
      </c>
      <c r="H69">
        <v>76.8</v>
      </c>
      <c r="I69">
        <v>42.2</v>
      </c>
      <c r="J69">
        <v>2</v>
      </c>
      <c r="K69">
        <v>43</v>
      </c>
      <c r="L69">
        <v>19.7</v>
      </c>
      <c r="M69">
        <v>7.5</v>
      </c>
      <c r="N69">
        <v>96</v>
      </c>
      <c r="O69">
        <v>43</v>
      </c>
      <c r="P69">
        <v>17.5</v>
      </c>
      <c r="Q69">
        <v>11.3</v>
      </c>
      <c r="R69">
        <v>7</v>
      </c>
      <c r="S69">
        <v>14.6</v>
      </c>
      <c r="T69">
        <v>69</v>
      </c>
      <c r="U69">
        <v>4857</v>
      </c>
      <c r="V69">
        <v>955000</v>
      </c>
      <c r="W69">
        <v>46</v>
      </c>
      <c r="X69">
        <v>59.1</v>
      </c>
      <c r="Y69">
        <v>61.7</v>
      </c>
      <c r="Z69">
        <v>73.2</v>
      </c>
      <c r="AA69">
        <v>46</v>
      </c>
      <c r="AB69">
        <v>64</v>
      </c>
      <c r="AC69">
        <v>61.7</v>
      </c>
      <c r="AD69">
        <v>100</v>
      </c>
      <c r="AE69">
        <v>100</v>
      </c>
      <c r="AF69" t="s">
        <v>47</v>
      </c>
    </row>
    <row r="70" spans="1:32">
      <c r="A70" t="s">
        <v>766</v>
      </c>
      <c r="B70">
        <v>5.5</v>
      </c>
      <c r="C70">
        <v>17</v>
      </c>
      <c r="D70">
        <v>9</v>
      </c>
      <c r="E70">
        <v>20.8</v>
      </c>
      <c r="F70">
        <v>16.399999999999999</v>
      </c>
      <c r="G70">
        <v>4.5999999999999996</v>
      </c>
      <c r="I70">
        <v>72.2</v>
      </c>
      <c r="J70">
        <v>0</v>
      </c>
      <c r="K70">
        <v>48</v>
      </c>
      <c r="L70">
        <v>23.2</v>
      </c>
      <c r="M70">
        <v>6.2</v>
      </c>
      <c r="N70">
        <v>85</v>
      </c>
      <c r="P70">
        <v>17.399999999999999</v>
      </c>
      <c r="Q70">
        <v>14.1</v>
      </c>
      <c r="R70">
        <v>10</v>
      </c>
      <c r="S70">
        <v>18.2</v>
      </c>
      <c r="T70">
        <v>92</v>
      </c>
      <c r="U70">
        <v>3739</v>
      </c>
      <c r="V70">
        <v>1073000</v>
      </c>
      <c r="W70">
        <v>56</v>
      </c>
      <c r="X70">
        <v>76.599999999999994</v>
      </c>
      <c r="Y70">
        <v>70.8</v>
      </c>
      <c r="Z70">
        <v>54.8</v>
      </c>
      <c r="AA70">
        <v>56</v>
      </c>
      <c r="AB70">
        <v>74.8</v>
      </c>
      <c r="AC70">
        <v>68.599999999999994</v>
      </c>
      <c r="AD70">
        <v>100</v>
      </c>
      <c r="AE70">
        <v>90.5</v>
      </c>
      <c r="AF70" t="s">
        <v>47</v>
      </c>
    </row>
    <row r="71" spans="1:32">
      <c r="A71" t="s">
        <v>768</v>
      </c>
      <c r="B71">
        <v>1.5</v>
      </c>
      <c r="C71">
        <v>5</v>
      </c>
      <c r="D71">
        <v>4</v>
      </c>
      <c r="E71">
        <v>8.8000000000000007</v>
      </c>
      <c r="F71">
        <v>11.7</v>
      </c>
      <c r="G71">
        <v>7.4</v>
      </c>
      <c r="H71">
        <v>70.3</v>
      </c>
      <c r="I71">
        <v>54.5</v>
      </c>
      <c r="J71">
        <v>0</v>
      </c>
      <c r="K71">
        <v>46</v>
      </c>
      <c r="L71">
        <v>28.7</v>
      </c>
      <c r="M71">
        <v>7.9</v>
      </c>
      <c r="N71">
        <v>91</v>
      </c>
      <c r="O71">
        <v>69</v>
      </c>
      <c r="P71">
        <v>15.8</v>
      </c>
      <c r="Q71">
        <v>14</v>
      </c>
      <c r="R71">
        <v>9.3000000000000007</v>
      </c>
      <c r="S71">
        <v>3.2</v>
      </c>
      <c r="T71">
        <v>80</v>
      </c>
      <c r="U71">
        <v>5470</v>
      </c>
      <c r="V71">
        <v>2233000</v>
      </c>
      <c r="W71">
        <v>51</v>
      </c>
      <c r="X71">
        <v>54.4</v>
      </c>
      <c r="Y71">
        <v>64.3</v>
      </c>
      <c r="Z71">
        <v>76.599999999999994</v>
      </c>
      <c r="AA71">
        <v>51</v>
      </c>
      <c r="AB71">
        <v>58</v>
      </c>
      <c r="AC71">
        <v>61.3</v>
      </c>
      <c r="AD71">
        <v>100</v>
      </c>
      <c r="AE71">
        <v>100</v>
      </c>
      <c r="AF71" t="s">
        <v>47</v>
      </c>
    </row>
    <row r="72" spans="1:32">
      <c r="A72" t="s">
        <v>770</v>
      </c>
      <c r="B72">
        <v>8.1999999999999993</v>
      </c>
      <c r="C72">
        <v>25</v>
      </c>
      <c r="D72">
        <v>12</v>
      </c>
      <c r="E72">
        <v>24.4</v>
      </c>
      <c r="F72">
        <v>7.4</v>
      </c>
      <c r="G72">
        <v>6</v>
      </c>
      <c r="H72">
        <v>73.900000000000006</v>
      </c>
      <c r="I72">
        <v>81.900000000000006</v>
      </c>
      <c r="J72">
        <v>0</v>
      </c>
      <c r="K72">
        <v>78</v>
      </c>
      <c r="L72">
        <v>10.199999999999999</v>
      </c>
      <c r="M72">
        <v>3.8</v>
      </c>
      <c r="N72">
        <v>47</v>
      </c>
      <c r="O72">
        <v>50</v>
      </c>
      <c r="P72">
        <v>9.4</v>
      </c>
      <c r="Q72">
        <v>10.9</v>
      </c>
      <c r="R72">
        <v>7.4</v>
      </c>
      <c r="S72">
        <v>15.6</v>
      </c>
      <c r="T72">
        <v>90</v>
      </c>
      <c r="U72">
        <v>6212</v>
      </c>
      <c r="V72">
        <v>851000</v>
      </c>
      <c r="W72">
        <v>50</v>
      </c>
      <c r="X72">
        <v>93.2</v>
      </c>
      <c r="Y72">
        <v>81.400000000000006</v>
      </c>
      <c r="Z72">
        <v>77.5</v>
      </c>
      <c r="AA72">
        <v>50</v>
      </c>
      <c r="AB72">
        <v>50.9</v>
      </c>
      <c r="AC72">
        <v>78.599999999999994</v>
      </c>
      <c r="AD72">
        <v>100</v>
      </c>
      <c r="AE72">
        <v>100</v>
      </c>
      <c r="AF72" t="s">
        <v>47</v>
      </c>
    </row>
    <row r="73" spans="1:32">
      <c r="A73" t="s">
        <v>773</v>
      </c>
      <c r="B73">
        <v>0.5</v>
      </c>
      <c r="C73">
        <v>4</v>
      </c>
      <c r="D73">
        <v>2</v>
      </c>
      <c r="E73">
        <v>8.4</v>
      </c>
      <c r="F73">
        <v>11.6</v>
      </c>
      <c r="G73">
        <v>4</v>
      </c>
      <c r="H73">
        <v>67.2</v>
      </c>
      <c r="I73">
        <v>44.9</v>
      </c>
      <c r="J73">
        <v>1</v>
      </c>
      <c r="K73">
        <v>32</v>
      </c>
      <c r="L73">
        <v>33.4</v>
      </c>
      <c r="M73">
        <v>9.5</v>
      </c>
      <c r="N73">
        <v>72</v>
      </c>
      <c r="O73">
        <v>37</v>
      </c>
      <c r="P73">
        <v>21.6</v>
      </c>
      <c r="Q73">
        <v>14</v>
      </c>
      <c r="R73">
        <v>12.2</v>
      </c>
      <c r="S73">
        <v>19</v>
      </c>
      <c r="T73">
        <v>77</v>
      </c>
      <c r="U73">
        <v>6597</v>
      </c>
      <c r="V73">
        <v>2034000</v>
      </c>
      <c r="W73">
        <v>38</v>
      </c>
      <c r="X73">
        <v>56.2</v>
      </c>
      <c r="Y73">
        <v>56.2</v>
      </c>
      <c r="Z73">
        <v>65.3</v>
      </c>
      <c r="AA73">
        <v>38</v>
      </c>
      <c r="AB73">
        <v>47.1</v>
      </c>
      <c r="AC73">
        <v>55.3</v>
      </c>
      <c r="AD73">
        <v>100</v>
      </c>
      <c r="AE73">
        <v>100</v>
      </c>
      <c r="AF73" t="s">
        <v>47</v>
      </c>
    </row>
    <row r="74" spans="1:32">
      <c r="A74" t="s">
        <v>776</v>
      </c>
      <c r="B74">
        <v>4</v>
      </c>
      <c r="C74">
        <v>12</v>
      </c>
      <c r="D74">
        <v>7</v>
      </c>
      <c r="E74">
        <v>11.5</v>
      </c>
      <c r="F74">
        <v>11.4</v>
      </c>
      <c r="G74">
        <v>7.7</v>
      </c>
      <c r="H74">
        <v>87.5</v>
      </c>
      <c r="I74">
        <v>65.2</v>
      </c>
      <c r="J74">
        <v>0</v>
      </c>
      <c r="K74">
        <v>58</v>
      </c>
      <c r="L74">
        <v>15.7</v>
      </c>
      <c r="M74">
        <v>7</v>
      </c>
      <c r="N74">
        <v>59</v>
      </c>
      <c r="O74">
        <v>36</v>
      </c>
      <c r="P74">
        <v>11.3</v>
      </c>
      <c r="Q74">
        <v>3.5</v>
      </c>
      <c r="R74">
        <v>6.7</v>
      </c>
      <c r="S74">
        <v>19.7</v>
      </c>
      <c r="T74">
        <v>85</v>
      </c>
      <c r="U74">
        <v>7889</v>
      </c>
      <c r="V74">
        <v>555000</v>
      </c>
      <c r="W74">
        <v>40</v>
      </c>
      <c r="X74">
        <v>70.099999999999994</v>
      </c>
      <c r="Y74">
        <v>75.599999999999994</v>
      </c>
      <c r="Z74">
        <v>65.3</v>
      </c>
      <c r="AA74">
        <v>40</v>
      </c>
      <c r="AB74">
        <v>34.6</v>
      </c>
      <c r="AC74">
        <v>63.9</v>
      </c>
      <c r="AD74">
        <v>100</v>
      </c>
      <c r="AE74">
        <v>100</v>
      </c>
      <c r="AF74" t="s">
        <v>47</v>
      </c>
    </row>
    <row r="75" spans="1:32">
      <c r="A75" t="s">
        <v>778</v>
      </c>
      <c r="B75">
        <v>2.5</v>
      </c>
      <c r="C75">
        <v>3</v>
      </c>
      <c r="D75">
        <v>4</v>
      </c>
      <c r="E75">
        <v>10.8</v>
      </c>
      <c r="F75">
        <v>5.3</v>
      </c>
      <c r="G75">
        <v>7.5</v>
      </c>
      <c r="H75">
        <v>76.900000000000006</v>
      </c>
      <c r="I75">
        <v>16.8</v>
      </c>
      <c r="J75">
        <v>0</v>
      </c>
      <c r="K75">
        <v>50</v>
      </c>
      <c r="L75">
        <v>29.4</v>
      </c>
      <c r="M75">
        <v>11.1</v>
      </c>
      <c r="N75">
        <v>78</v>
      </c>
      <c r="O75">
        <v>40</v>
      </c>
      <c r="P75">
        <v>29.7</v>
      </c>
      <c r="Q75">
        <v>10.6</v>
      </c>
      <c r="R75">
        <v>11.2</v>
      </c>
      <c r="S75">
        <v>16.899999999999999</v>
      </c>
      <c r="T75">
        <v>60</v>
      </c>
      <c r="U75">
        <v>11466</v>
      </c>
      <c r="V75">
        <v>1152000</v>
      </c>
      <c r="W75">
        <v>72</v>
      </c>
      <c r="X75">
        <v>60.9</v>
      </c>
      <c r="Y75">
        <v>43.9</v>
      </c>
      <c r="Z75">
        <v>81.5</v>
      </c>
      <c r="AA75">
        <v>72</v>
      </c>
      <c r="AB75">
        <v>0</v>
      </c>
      <c r="AC75">
        <v>55.8</v>
      </c>
      <c r="AD75">
        <v>100</v>
      </c>
      <c r="AE75">
        <v>100</v>
      </c>
      <c r="AF75" t="s">
        <v>47</v>
      </c>
    </row>
    <row r="76" spans="1:32">
      <c r="A76" t="s">
        <v>780</v>
      </c>
      <c r="B76">
        <v>2.8</v>
      </c>
      <c r="C76">
        <v>4</v>
      </c>
      <c r="D76">
        <v>3</v>
      </c>
      <c r="E76">
        <v>8</v>
      </c>
      <c r="F76">
        <v>2.2999999999999998</v>
      </c>
      <c r="G76">
        <v>8.4</v>
      </c>
      <c r="H76">
        <v>92.9</v>
      </c>
      <c r="I76">
        <v>69.599999999999994</v>
      </c>
      <c r="J76">
        <v>1</v>
      </c>
      <c r="K76">
        <v>57</v>
      </c>
      <c r="L76">
        <v>26</v>
      </c>
      <c r="M76">
        <v>5.8</v>
      </c>
      <c r="N76">
        <v>80</v>
      </c>
      <c r="O76">
        <v>31</v>
      </c>
      <c r="P76">
        <v>12.7</v>
      </c>
      <c r="Q76">
        <v>5.0999999999999996</v>
      </c>
      <c r="R76">
        <v>3.9</v>
      </c>
      <c r="S76">
        <v>12.8</v>
      </c>
      <c r="T76">
        <v>84</v>
      </c>
      <c r="U76">
        <v>8320</v>
      </c>
      <c r="V76">
        <v>1566000</v>
      </c>
      <c r="W76">
        <v>70</v>
      </c>
      <c r="X76">
        <v>58.3</v>
      </c>
      <c r="Y76">
        <v>78.099999999999994</v>
      </c>
      <c r="Z76">
        <v>91.4</v>
      </c>
      <c r="AA76">
        <v>70</v>
      </c>
      <c r="AB76">
        <v>30.5</v>
      </c>
      <c r="AC76">
        <v>68.2</v>
      </c>
      <c r="AD76">
        <v>100</v>
      </c>
      <c r="AE76">
        <v>100</v>
      </c>
      <c r="AF76" t="s">
        <v>47</v>
      </c>
    </row>
    <row r="77" spans="1:32">
      <c r="A77" t="s">
        <v>783</v>
      </c>
      <c r="B77">
        <v>4.0999999999999996</v>
      </c>
      <c r="C77">
        <v>11</v>
      </c>
      <c r="D77">
        <v>6</v>
      </c>
      <c r="E77">
        <v>14.8</v>
      </c>
      <c r="F77">
        <v>7.1</v>
      </c>
      <c r="G77">
        <v>6.7</v>
      </c>
      <c r="H77">
        <v>61.9</v>
      </c>
      <c r="I77">
        <v>70.2</v>
      </c>
      <c r="J77">
        <v>1</v>
      </c>
      <c r="K77">
        <v>55</v>
      </c>
      <c r="L77">
        <v>38.200000000000003</v>
      </c>
      <c r="M77">
        <v>4.3</v>
      </c>
      <c r="N77">
        <v>54</v>
      </c>
      <c r="O77">
        <v>34</v>
      </c>
      <c r="P77">
        <v>23.6</v>
      </c>
      <c r="Q77">
        <v>11.7</v>
      </c>
      <c r="R77">
        <v>7.6</v>
      </c>
      <c r="S77">
        <v>13.6</v>
      </c>
      <c r="T77">
        <v>84</v>
      </c>
      <c r="U77">
        <v>5220</v>
      </c>
      <c r="V77">
        <v>1315000</v>
      </c>
      <c r="W77">
        <v>43</v>
      </c>
      <c r="X77">
        <v>66.599999999999994</v>
      </c>
      <c r="Y77">
        <v>71.2</v>
      </c>
      <c r="Z77">
        <v>79.7</v>
      </c>
      <c r="AA77">
        <v>43</v>
      </c>
      <c r="AB77">
        <v>60.5</v>
      </c>
      <c r="AC77">
        <v>67.400000000000006</v>
      </c>
      <c r="AD77">
        <v>100</v>
      </c>
      <c r="AE77">
        <v>100</v>
      </c>
      <c r="AF77" t="s">
        <v>47</v>
      </c>
    </row>
    <row r="78" spans="1:32">
      <c r="A78" t="s">
        <v>784</v>
      </c>
      <c r="B78">
        <v>2.1</v>
      </c>
      <c r="C78">
        <v>6</v>
      </c>
      <c r="D78">
        <v>1</v>
      </c>
      <c r="E78">
        <v>9</v>
      </c>
      <c r="F78">
        <v>6.3</v>
      </c>
      <c r="G78">
        <v>7</v>
      </c>
      <c r="H78">
        <v>65.099999999999994</v>
      </c>
      <c r="I78">
        <v>73.8</v>
      </c>
      <c r="J78">
        <v>0</v>
      </c>
      <c r="K78">
        <v>53</v>
      </c>
      <c r="L78">
        <v>19.7</v>
      </c>
      <c r="M78">
        <v>5.6</v>
      </c>
      <c r="N78">
        <v>73</v>
      </c>
      <c r="O78">
        <v>35</v>
      </c>
      <c r="P78">
        <v>12.1</v>
      </c>
      <c r="Q78">
        <v>6.5</v>
      </c>
      <c r="R78">
        <v>5.7</v>
      </c>
      <c r="S78">
        <v>19.2</v>
      </c>
      <c r="T78">
        <v>87</v>
      </c>
      <c r="U78">
        <v>6331</v>
      </c>
      <c r="V78">
        <v>861000</v>
      </c>
      <c r="W78">
        <v>54</v>
      </c>
      <c r="X78">
        <v>63</v>
      </c>
      <c r="Y78">
        <v>78.599999999999994</v>
      </c>
      <c r="Z78">
        <v>77.5</v>
      </c>
      <c r="AA78">
        <v>54</v>
      </c>
      <c r="AB78">
        <v>49.7</v>
      </c>
      <c r="AC78">
        <v>67.599999999999994</v>
      </c>
      <c r="AD78">
        <v>100</v>
      </c>
      <c r="AE78">
        <v>100</v>
      </c>
      <c r="AF78" t="s">
        <v>47</v>
      </c>
    </row>
    <row r="79" spans="1:32">
      <c r="A79" t="s">
        <v>786</v>
      </c>
      <c r="B79">
        <v>1.6</v>
      </c>
      <c r="C79">
        <v>5</v>
      </c>
      <c r="D79">
        <v>2</v>
      </c>
      <c r="E79">
        <v>11.9</v>
      </c>
      <c r="F79">
        <v>13.2</v>
      </c>
      <c r="G79">
        <v>6.5</v>
      </c>
      <c r="I79">
        <v>50.2</v>
      </c>
      <c r="J79">
        <v>0</v>
      </c>
      <c r="K79">
        <v>35</v>
      </c>
      <c r="L79">
        <v>28.5</v>
      </c>
      <c r="M79">
        <v>6.4</v>
      </c>
      <c r="N79">
        <v>63</v>
      </c>
      <c r="P79">
        <v>18.399999999999999</v>
      </c>
      <c r="Q79">
        <v>14</v>
      </c>
      <c r="R79">
        <v>9.3000000000000007</v>
      </c>
      <c r="S79">
        <v>16.100000000000001</v>
      </c>
      <c r="T79">
        <v>84</v>
      </c>
      <c r="U79">
        <v>5997</v>
      </c>
      <c r="V79">
        <v>1691000</v>
      </c>
      <c r="W79">
        <v>41</v>
      </c>
      <c r="X79">
        <v>60.1</v>
      </c>
      <c r="Y79">
        <v>62.9</v>
      </c>
      <c r="Z79">
        <v>63.7</v>
      </c>
      <c r="AA79">
        <v>41</v>
      </c>
      <c r="AB79">
        <v>52.9</v>
      </c>
      <c r="AC79">
        <v>58.9</v>
      </c>
      <c r="AD79">
        <v>100</v>
      </c>
      <c r="AE79">
        <v>90.5</v>
      </c>
      <c r="AF79" t="s">
        <v>47</v>
      </c>
    </row>
    <row r="80" spans="1:32">
      <c r="A80" t="s">
        <v>788</v>
      </c>
      <c r="B80">
        <v>4.0999999999999996</v>
      </c>
      <c r="C80">
        <v>10</v>
      </c>
      <c r="D80">
        <v>5</v>
      </c>
      <c r="E80">
        <v>15.6</v>
      </c>
      <c r="F80">
        <v>8.6999999999999993</v>
      </c>
      <c r="G80">
        <v>8.9</v>
      </c>
      <c r="H80">
        <v>66.5</v>
      </c>
      <c r="I80">
        <v>43.2</v>
      </c>
      <c r="J80">
        <v>0</v>
      </c>
      <c r="K80">
        <v>59</v>
      </c>
      <c r="L80">
        <v>18.600000000000001</v>
      </c>
      <c r="M80">
        <v>7.8</v>
      </c>
      <c r="N80">
        <v>68</v>
      </c>
      <c r="O80">
        <v>29</v>
      </c>
      <c r="P80">
        <v>21.1</v>
      </c>
      <c r="Q80">
        <v>5.4</v>
      </c>
      <c r="R80">
        <v>5</v>
      </c>
      <c r="S80">
        <v>9.1999999999999993</v>
      </c>
      <c r="T80">
        <v>78</v>
      </c>
      <c r="U80">
        <v>7578</v>
      </c>
      <c r="V80">
        <v>834000</v>
      </c>
      <c r="W80">
        <v>54</v>
      </c>
      <c r="X80">
        <v>75</v>
      </c>
      <c r="Y80">
        <v>63.6</v>
      </c>
      <c r="Z80">
        <v>79.2</v>
      </c>
      <c r="AA80">
        <v>54</v>
      </c>
      <c r="AB80">
        <v>37.6</v>
      </c>
      <c r="AC80">
        <v>67.099999999999994</v>
      </c>
      <c r="AD80">
        <v>100</v>
      </c>
      <c r="AE80">
        <v>100</v>
      </c>
      <c r="AF80" t="s">
        <v>47</v>
      </c>
    </row>
    <row r="81" spans="1:32">
      <c r="A81" t="s">
        <v>790</v>
      </c>
      <c r="B81">
        <v>7.9</v>
      </c>
      <c r="C81">
        <v>20</v>
      </c>
      <c r="D81">
        <v>9</v>
      </c>
      <c r="E81">
        <v>11.9</v>
      </c>
      <c r="F81">
        <v>9.1</v>
      </c>
      <c r="G81">
        <v>5.8</v>
      </c>
      <c r="H81">
        <v>73.8</v>
      </c>
      <c r="I81">
        <v>66</v>
      </c>
      <c r="J81">
        <v>0</v>
      </c>
      <c r="K81">
        <v>63</v>
      </c>
      <c r="L81">
        <v>13.4</v>
      </c>
      <c r="M81">
        <v>6.6</v>
      </c>
      <c r="N81">
        <v>69</v>
      </c>
      <c r="O81">
        <v>31</v>
      </c>
      <c r="P81">
        <v>12.9</v>
      </c>
      <c r="Q81">
        <v>11.9</v>
      </c>
      <c r="R81">
        <v>7.1</v>
      </c>
      <c r="S81">
        <v>16.399999999999999</v>
      </c>
      <c r="T81">
        <v>87</v>
      </c>
      <c r="U81">
        <v>7717</v>
      </c>
      <c r="V81">
        <v>1392000</v>
      </c>
      <c r="W81">
        <v>40</v>
      </c>
      <c r="X81">
        <v>71</v>
      </c>
      <c r="Y81">
        <v>72.099999999999994</v>
      </c>
      <c r="Z81">
        <v>73</v>
      </c>
      <c r="AA81">
        <v>40</v>
      </c>
      <c r="AB81">
        <v>36.299999999999997</v>
      </c>
      <c r="AC81">
        <v>65.099999999999994</v>
      </c>
      <c r="AD81">
        <v>100</v>
      </c>
      <c r="AE81">
        <v>100</v>
      </c>
      <c r="AF81" t="s">
        <v>47</v>
      </c>
    </row>
    <row r="82" spans="1:32">
      <c r="A82" t="s">
        <v>792</v>
      </c>
      <c r="B82">
        <v>1.3</v>
      </c>
      <c r="C82">
        <v>2</v>
      </c>
      <c r="D82">
        <v>0</v>
      </c>
      <c r="E82">
        <v>10.5</v>
      </c>
      <c r="F82">
        <v>15</v>
      </c>
      <c r="G82">
        <v>6.4</v>
      </c>
      <c r="H82">
        <v>62.6</v>
      </c>
      <c r="I82">
        <v>44.8</v>
      </c>
      <c r="J82">
        <v>1</v>
      </c>
      <c r="K82">
        <v>35</v>
      </c>
      <c r="L82">
        <v>43</v>
      </c>
      <c r="M82">
        <v>7.4</v>
      </c>
      <c r="N82">
        <v>76</v>
      </c>
      <c r="O82">
        <v>54</v>
      </c>
      <c r="P82">
        <v>26</v>
      </c>
      <c r="Q82">
        <v>11.4</v>
      </c>
      <c r="R82">
        <v>6.7</v>
      </c>
      <c r="S82">
        <v>18</v>
      </c>
      <c r="T82">
        <v>70</v>
      </c>
      <c r="U82">
        <v>6711</v>
      </c>
      <c r="V82">
        <v>1307000</v>
      </c>
      <c r="W82">
        <v>36</v>
      </c>
      <c r="X82">
        <v>53.9</v>
      </c>
      <c r="Y82">
        <v>59.5</v>
      </c>
      <c r="Z82">
        <v>58.2</v>
      </c>
      <c r="AA82">
        <v>36</v>
      </c>
      <c r="AB82">
        <v>46</v>
      </c>
      <c r="AC82">
        <v>53.6</v>
      </c>
      <c r="AD82">
        <v>100</v>
      </c>
      <c r="AE82">
        <v>100</v>
      </c>
      <c r="AF82" t="s">
        <v>47</v>
      </c>
    </row>
    <row r="83" spans="1:32">
      <c r="A83" t="s">
        <v>795</v>
      </c>
      <c r="B83">
        <v>1</v>
      </c>
      <c r="C83">
        <v>4</v>
      </c>
      <c r="D83">
        <v>3</v>
      </c>
      <c r="E83">
        <v>9.6999999999999993</v>
      </c>
      <c r="F83">
        <v>18.399999999999999</v>
      </c>
      <c r="G83">
        <v>7</v>
      </c>
      <c r="H83">
        <v>60.2</v>
      </c>
      <c r="I83">
        <v>53.1</v>
      </c>
      <c r="J83">
        <v>0</v>
      </c>
      <c r="K83">
        <v>38</v>
      </c>
      <c r="L83">
        <v>38.6</v>
      </c>
      <c r="M83">
        <v>5.7</v>
      </c>
      <c r="N83">
        <v>68</v>
      </c>
      <c r="O83">
        <v>34</v>
      </c>
      <c r="P83">
        <v>25.2</v>
      </c>
      <c r="Q83">
        <v>11.8</v>
      </c>
      <c r="R83">
        <v>7.3</v>
      </c>
      <c r="S83">
        <v>16</v>
      </c>
      <c r="T83">
        <v>84</v>
      </c>
      <c r="U83">
        <v>5812</v>
      </c>
      <c r="V83">
        <v>680000</v>
      </c>
      <c r="W83">
        <v>33</v>
      </c>
      <c r="X83">
        <v>56.8</v>
      </c>
      <c r="Y83">
        <v>63.6</v>
      </c>
      <c r="Z83">
        <v>51.7</v>
      </c>
      <c r="AA83">
        <v>33</v>
      </c>
      <c r="AB83">
        <v>54.7</v>
      </c>
      <c r="AC83">
        <v>54.9</v>
      </c>
      <c r="AD83">
        <v>100</v>
      </c>
      <c r="AE83">
        <v>100</v>
      </c>
      <c r="AF83" t="s">
        <v>47</v>
      </c>
    </row>
    <row r="84" spans="1:32">
      <c r="A84" t="s">
        <v>797</v>
      </c>
      <c r="B84">
        <v>4.5</v>
      </c>
      <c r="C84">
        <v>14</v>
      </c>
      <c r="D84">
        <v>8</v>
      </c>
      <c r="E84">
        <v>10.6</v>
      </c>
      <c r="F84">
        <v>6.3</v>
      </c>
      <c r="G84">
        <v>6.9</v>
      </c>
      <c r="H84">
        <v>68.3</v>
      </c>
      <c r="I84">
        <v>67</v>
      </c>
      <c r="J84">
        <v>2</v>
      </c>
      <c r="K84">
        <v>48</v>
      </c>
      <c r="L84">
        <v>23.6</v>
      </c>
      <c r="M84">
        <v>5.2</v>
      </c>
      <c r="N84">
        <v>87</v>
      </c>
      <c r="O84">
        <v>30</v>
      </c>
      <c r="P84">
        <v>10.199999999999999</v>
      </c>
      <c r="Q84">
        <v>14.6</v>
      </c>
      <c r="R84">
        <v>12.3</v>
      </c>
      <c r="S84">
        <v>13.6</v>
      </c>
      <c r="T84">
        <v>83</v>
      </c>
      <c r="U84">
        <v>7038</v>
      </c>
      <c r="V84">
        <v>796000</v>
      </c>
      <c r="W84">
        <v>36</v>
      </c>
      <c r="X84">
        <v>62.8</v>
      </c>
      <c r="Y84">
        <v>71.3</v>
      </c>
      <c r="Z84">
        <v>81.599999999999994</v>
      </c>
      <c r="AA84">
        <v>36</v>
      </c>
      <c r="AB84">
        <v>42.9</v>
      </c>
      <c r="AC84">
        <v>64</v>
      </c>
      <c r="AD84">
        <v>100</v>
      </c>
      <c r="AE84">
        <v>100</v>
      </c>
      <c r="AF84" t="s">
        <v>47</v>
      </c>
    </row>
    <row r="85" spans="1:32">
      <c r="A85" t="s">
        <v>800</v>
      </c>
      <c r="B85">
        <v>2.9</v>
      </c>
      <c r="C85">
        <v>10</v>
      </c>
      <c r="D85">
        <v>5</v>
      </c>
      <c r="E85">
        <v>12.4</v>
      </c>
      <c r="F85">
        <v>3.8</v>
      </c>
      <c r="G85">
        <v>8.1</v>
      </c>
      <c r="H85">
        <v>70.099999999999994</v>
      </c>
      <c r="I85">
        <v>59.4</v>
      </c>
      <c r="J85">
        <v>0</v>
      </c>
      <c r="K85">
        <v>59</v>
      </c>
      <c r="L85">
        <v>21.7</v>
      </c>
      <c r="M85">
        <v>4.9000000000000004</v>
      </c>
      <c r="N85">
        <v>67</v>
      </c>
      <c r="O85">
        <v>29</v>
      </c>
      <c r="P85">
        <v>13.8</v>
      </c>
      <c r="Q85">
        <v>9.6999999999999993</v>
      </c>
      <c r="R85">
        <v>9.6</v>
      </c>
      <c r="S85">
        <v>13.8</v>
      </c>
      <c r="T85">
        <v>89</v>
      </c>
      <c r="U85">
        <v>5924</v>
      </c>
      <c r="V85">
        <v>618000</v>
      </c>
      <c r="W85">
        <v>38</v>
      </c>
      <c r="X85">
        <v>68.7</v>
      </c>
      <c r="Y85">
        <v>70.5</v>
      </c>
      <c r="Z85">
        <v>87.2</v>
      </c>
      <c r="AA85">
        <v>38</v>
      </c>
      <c r="AB85">
        <v>53.6</v>
      </c>
      <c r="AC85">
        <v>68.3</v>
      </c>
      <c r="AD85">
        <v>100</v>
      </c>
      <c r="AE85">
        <v>100</v>
      </c>
      <c r="AF85" t="s">
        <v>47</v>
      </c>
    </row>
    <row r="86" spans="1:32">
      <c r="A86" t="s">
        <v>803</v>
      </c>
      <c r="B86">
        <v>5.7</v>
      </c>
      <c r="C86">
        <v>17</v>
      </c>
      <c r="D86">
        <v>7</v>
      </c>
      <c r="F86">
        <v>13.8</v>
      </c>
      <c r="H86">
        <v>75.099999999999994</v>
      </c>
      <c r="I86">
        <v>79.3</v>
      </c>
      <c r="J86">
        <v>0</v>
      </c>
      <c r="K86">
        <v>39</v>
      </c>
      <c r="L86">
        <v>24.7</v>
      </c>
      <c r="M86">
        <v>2.4</v>
      </c>
      <c r="O86">
        <v>41</v>
      </c>
      <c r="P86">
        <v>13.4</v>
      </c>
      <c r="T86">
        <v>98</v>
      </c>
      <c r="U86">
        <v>6729</v>
      </c>
      <c r="V86">
        <v>2182000</v>
      </c>
      <c r="W86">
        <v>57</v>
      </c>
      <c r="X86">
        <v>80.900000000000006</v>
      </c>
      <c r="Y86">
        <v>81.2</v>
      </c>
      <c r="Z86">
        <v>57.9</v>
      </c>
      <c r="AA86">
        <v>57</v>
      </c>
      <c r="AB86">
        <v>45.9</v>
      </c>
      <c r="AC86">
        <v>70.5</v>
      </c>
      <c r="AD86">
        <v>100</v>
      </c>
      <c r="AE86">
        <v>71.400000000000006</v>
      </c>
      <c r="AF86" t="s">
        <v>1971</v>
      </c>
    </row>
    <row r="87" spans="1:32">
      <c r="A87" t="s">
        <v>805</v>
      </c>
      <c r="B87">
        <v>3.7</v>
      </c>
      <c r="C87">
        <v>10</v>
      </c>
      <c r="D87">
        <v>5</v>
      </c>
      <c r="E87">
        <v>13</v>
      </c>
      <c r="F87">
        <v>9.3000000000000007</v>
      </c>
      <c r="G87">
        <v>7.7</v>
      </c>
      <c r="H87">
        <v>90.4</v>
      </c>
      <c r="I87">
        <v>65.900000000000006</v>
      </c>
      <c r="J87">
        <v>0</v>
      </c>
      <c r="K87">
        <v>61</v>
      </c>
      <c r="L87">
        <v>27.6</v>
      </c>
      <c r="M87">
        <v>2.7</v>
      </c>
      <c r="N87">
        <v>61</v>
      </c>
      <c r="O87">
        <v>58</v>
      </c>
      <c r="P87">
        <v>20.3</v>
      </c>
      <c r="Q87">
        <v>7.5</v>
      </c>
      <c r="R87">
        <v>2.4</v>
      </c>
      <c r="S87">
        <v>13.5</v>
      </c>
      <c r="T87">
        <v>92</v>
      </c>
      <c r="U87">
        <v>8656</v>
      </c>
      <c r="V87">
        <v>1736000</v>
      </c>
      <c r="W87">
        <v>49</v>
      </c>
      <c r="X87">
        <v>65.599999999999994</v>
      </c>
      <c r="Y87">
        <v>76</v>
      </c>
      <c r="Z87">
        <v>74.7</v>
      </c>
      <c r="AA87">
        <v>49</v>
      </c>
      <c r="AB87">
        <v>27.2</v>
      </c>
      <c r="AC87">
        <v>64.5</v>
      </c>
      <c r="AD87">
        <v>100</v>
      </c>
      <c r="AE87">
        <v>100</v>
      </c>
      <c r="AF87" t="s">
        <v>47</v>
      </c>
    </row>
    <row r="88" spans="1:32">
      <c r="A88" t="s">
        <v>807</v>
      </c>
      <c r="B88">
        <v>5.8</v>
      </c>
      <c r="C88">
        <v>11</v>
      </c>
      <c r="D88">
        <v>10</v>
      </c>
      <c r="E88">
        <v>15.8</v>
      </c>
      <c r="F88">
        <v>9</v>
      </c>
      <c r="G88">
        <v>6.2</v>
      </c>
      <c r="H88">
        <v>78.8</v>
      </c>
      <c r="I88">
        <v>63.7</v>
      </c>
      <c r="J88">
        <v>0</v>
      </c>
      <c r="K88">
        <v>63</v>
      </c>
      <c r="L88">
        <v>18.899999999999999</v>
      </c>
      <c r="M88">
        <v>8.3000000000000007</v>
      </c>
      <c r="N88">
        <v>48</v>
      </c>
      <c r="O88">
        <v>27</v>
      </c>
      <c r="P88">
        <v>11.7</v>
      </c>
      <c r="Q88">
        <v>12.2</v>
      </c>
      <c r="R88">
        <v>7.6</v>
      </c>
      <c r="S88">
        <v>15.5</v>
      </c>
      <c r="T88">
        <v>85</v>
      </c>
      <c r="U88">
        <v>8235</v>
      </c>
      <c r="V88">
        <v>818000</v>
      </c>
      <c r="W88">
        <v>36</v>
      </c>
      <c r="X88">
        <v>77.5</v>
      </c>
      <c r="Y88">
        <v>70.099999999999994</v>
      </c>
      <c r="Z88">
        <v>73.900000000000006</v>
      </c>
      <c r="AA88">
        <v>36</v>
      </c>
      <c r="AB88">
        <v>31.3</v>
      </c>
      <c r="AC88">
        <v>66.2</v>
      </c>
      <c r="AD88">
        <v>100</v>
      </c>
      <c r="AE88">
        <v>100</v>
      </c>
      <c r="AF88" t="s">
        <v>47</v>
      </c>
    </row>
    <row r="89" spans="1:32">
      <c r="A89" t="s">
        <v>809</v>
      </c>
      <c r="B89">
        <v>2.9</v>
      </c>
      <c r="C89">
        <v>7</v>
      </c>
      <c r="D89">
        <v>3</v>
      </c>
      <c r="E89">
        <v>12</v>
      </c>
      <c r="F89">
        <v>17.3</v>
      </c>
      <c r="G89">
        <v>8.4</v>
      </c>
      <c r="H89">
        <v>76.400000000000006</v>
      </c>
      <c r="I89">
        <v>58.9</v>
      </c>
      <c r="J89">
        <v>0</v>
      </c>
      <c r="K89">
        <v>50</v>
      </c>
      <c r="L89">
        <v>39.799999999999997</v>
      </c>
      <c r="M89">
        <v>5.7</v>
      </c>
      <c r="N89">
        <v>68</v>
      </c>
      <c r="O89">
        <v>56</v>
      </c>
      <c r="P89">
        <v>18.399999999999999</v>
      </c>
      <c r="Q89">
        <v>11.1</v>
      </c>
      <c r="R89">
        <v>2.9</v>
      </c>
      <c r="S89">
        <v>8.8000000000000007</v>
      </c>
      <c r="T89">
        <v>83</v>
      </c>
      <c r="U89">
        <v>7517</v>
      </c>
      <c r="V89">
        <v>1117000</v>
      </c>
      <c r="W89">
        <v>48</v>
      </c>
      <c r="X89">
        <v>58.3</v>
      </c>
      <c r="Y89">
        <v>70.400000000000006</v>
      </c>
      <c r="Z89">
        <v>59.5</v>
      </c>
      <c r="AA89">
        <v>48</v>
      </c>
      <c r="AB89">
        <v>38.200000000000003</v>
      </c>
      <c r="AC89">
        <v>58.5</v>
      </c>
      <c r="AD89">
        <v>100</v>
      </c>
      <c r="AE89">
        <v>100</v>
      </c>
      <c r="AF89" t="s">
        <v>47</v>
      </c>
    </row>
    <row r="90" spans="1:32">
      <c r="A90" t="s">
        <v>812</v>
      </c>
      <c r="B90">
        <v>1.9</v>
      </c>
      <c r="C90">
        <v>6</v>
      </c>
      <c r="D90">
        <v>4</v>
      </c>
      <c r="E90">
        <v>18.8</v>
      </c>
      <c r="F90">
        <v>13.9</v>
      </c>
      <c r="G90">
        <v>7.2</v>
      </c>
      <c r="H90">
        <v>82.9</v>
      </c>
      <c r="I90">
        <v>55.5</v>
      </c>
      <c r="J90">
        <v>1</v>
      </c>
      <c r="K90">
        <v>50</v>
      </c>
      <c r="L90">
        <v>30</v>
      </c>
      <c r="M90">
        <v>8.1999999999999993</v>
      </c>
      <c r="N90">
        <v>59</v>
      </c>
      <c r="O90">
        <v>36</v>
      </c>
      <c r="P90">
        <v>23</v>
      </c>
      <c r="Q90">
        <v>11.5</v>
      </c>
      <c r="R90">
        <v>3.4</v>
      </c>
      <c r="S90">
        <v>20.8</v>
      </c>
      <c r="T90">
        <v>86</v>
      </c>
      <c r="U90">
        <v>9223</v>
      </c>
      <c r="V90">
        <v>2261000</v>
      </c>
      <c r="W90">
        <v>70</v>
      </c>
      <c r="X90">
        <v>75.8</v>
      </c>
      <c r="Y90">
        <v>65.2</v>
      </c>
      <c r="Z90">
        <v>58.7</v>
      </c>
      <c r="AA90">
        <v>70</v>
      </c>
      <c r="AB90">
        <v>21.7</v>
      </c>
      <c r="AC90">
        <v>63.7</v>
      </c>
      <c r="AD90">
        <v>100</v>
      </c>
      <c r="AE90">
        <v>100</v>
      </c>
      <c r="AF90" t="s">
        <v>47</v>
      </c>
    </row>
    <row r="91" spans="1:32">
      <c r="A91" t="s">
        <v>814</v>
      </c>
      <c r="B91">
        <v>1.1000000000000001</v>
      </c>
      <c r="C91">
        <v>3</v>
      </c>
      <c r="D91">
        <v>0</v>
      </c>
      <c r="E91">
        <v>9</v>
      </c>
      <c r="F91">
        <v>6.3</v>
      </c>
      <c r="G91">
        <v>5.4</v>
      </c>
      <c r="H91">
        <v>73.900000000000006</v>
      </c>
      <c r="I91">
        <v>50</v>
      </c>
      <c r="J91">
        <v>0</v>
      </c>
      <c r="K91">
        <v>46</v>
      </c>
      <c r="L91">
        <v>27.3</v>
      </c>
      <c r="M91">
        <v>8.5</v>
      </c>
      <c r="N91">
        <v>81</v>
      </c>
      <c r="O91">
        <v>36</v>
      </c>
      <c r="P91">
        <v>19.100000000000001</v>
      </c>
      <c r="Q91">
        <v>10.8</v>
      </c>
      <c r="R91">
        <v>11.2</v>
      </c>
      <c r="S91">
        <v>17.2</v>
      </c>
      <c r="T91">
        <v>83</v>
      </c>
      <c r="U91">
        <v>7956</v>
      </c>
      <c r="V91">
        <v>1495000</v>
      </c>
      <c r="W91">
        <v>63</v>
      </c>
      <c r="X91">
        <v>58.9</v>
      </c>
      <c r="Y91">
        <v>61.4</v>
      </c>
      <c r="Z91">
        <v>78.900000000000006</v>
      </c>
      <c r="AA91">
        <v>63</v>
      </c>
      <c r="AB91">
        <v>34</v>
      </c>
      <c r="AC91">
        <v>61.4</v>
      </c>
      <c r="AD91">
        <v>100</v>
      </c>
      <c r="AE91">
        <v>100</v>
      </c>
      <c r="AF91" t="s">
        <v>47</v>
      </c>
    </row>
    <row r="92" spans="1:32">
      <c r="A92" t="s">
        <v>817</v>
      </c>
      <c r="B92">
        <v>4.0999999999999996</v>
      </c>
      <c r="C92">
        <v>11</v>
      </c>
      <c r="D92">
        <v>1</v>
      </c>
      <c r="E92">
        <v>12.6</v>
      </c>
      <c r="F92">
        <v>6.7</v>
      </c>
      <c r="G92">
        <v>7.6</v>
      </c>
      <c r="H92">
        <v>73</v>
      </c>
      <c r="I92">
        <v>71.599999999999994</v>
      </c>
      <c r="J92">
        <v>1</v>
      </c>
      <c r="K92">
        <v>56</v>
      </c>
      <c r="L92">
        <v>16</v>
      </c>
      <c r="M92">
        <v>6.5</v>
      </c>
      <c r="N92">
        <v>64</v>
      </c>
      <c r="O92">
        <v>32</v>
      </c>
      <c r="P92">
        <v>10.1</v>
      </c>
      <c r="Q92">
        <v>7.2</v>
      </c>
      <c r="R92">
        <v>7.3</v>
      </c>
      <c r="S92">
        <v>14.1</v>
      </c>
      <c r="T92">
        <v>91</v>
      </c>
      <c r="U92">
        <v>8912</v>
      </c>
      <c r="V92">
        <v>906000</v>
      </c>
      <c r="W92">
        <v>52</v>
      </c>
      <c r="X92">
        <v>71.5</v>
      </c>
      <c r="Y92">
        <v>76.900000000000006</v>
      </c>
      <c r="Z92">
        <v>80.3</v>
      </c>
      <c r="AA92">
        <v>52</v>
      </c>
      <c r="AB92">
        <v>24.7</v>
      </c>
      <c r="AC92">
        <v>68</v>
      </c>
      <c r="AD92">
        <v>100</v>
      </c>
      <c r="AE92">
        <v>100</v>
      </c>
      <c r="AF92" t="s">
        <v>47</v>
      </c>
    </row>
    <row r="93" spans="1:32">
      <c r="A93" t="s">
        <v>819</v>
      </c>
      <c r="B93">
        <v>3.2</v>
      </c>
      <c r="C93">
        <v>10</v>
      </c>
      <c r="D93">
        <v>6</v>
      </c>
      <c r="E93">
        <v>13.3</v>
      </c>
      <c r="F93">
        <v>6.7</v>
      </c>
      <c r="G93">
        <v>8.6999999999999993</v>
      </c>
      <c r="H93">
        <v>82.9</v>
      </c>
      <c r="I93">
        <v>86.2</v>
      </c>
      <c r="J93">
        <v>0</v>
      </c>
      <c r="K93">
        <v>65</v>
      </c>
      <c r="L93">
        <v>24.5</v>
      </c>
      <c r="M93">
        <v>4.0999999999999996</v>
      </c>
      <c r="N93">
        <v>67</v>
      </c>
      <c r="O93">
        <v>31</v>
      </c>
      <c r="P93">
        <v>13.7</v>
      </c>
      <c r="Q93">
        <v>4.5</v>
      </c>
      <c r="R93">
        <v>3.6</v>
      </c>
      <c r="S93">
        <v>7.1</v>
      </c>
      <c r="T93">
        <v>94</v>
      </c>
      <c r="U93">
        <v>9080</v>
      </c>
      <c r="V93">
        <v>750000</v>
      </c>
      <c r="W93">
        <v>41</v>
      </c>
      <c r="X93">
        <v>68.8</v>
      </c>
      <c r="Y93">
        <v>85.2</v>
      </c>
      <c r="Z93">
        <v>85.4</v>
      </c>
      <c r="AA93">
        <v>41</v>
      </c>
      <c r="AB93">
        <v>23.1</v>
      </c>
      <c r="AC93">
        <v>68.900000000000006</v>
      </c>
      <c r="AD93">
        <v>100</v>
      </c>
      <c r="AE93">
        <v>100</v>
      </c>
      <c r="AF93" t="s">
        <v>47</v>
      </c>
    </row>
    <row r="94" spans="1:32">
      <c r="A94" t="s">
        <v>822</v>
      </c>
      <c r="B94">
        <v>1.5</v>
      </c>
      <c r="C94">
        <v>3</v>
      </c>
      <c r="D94">
        <v>3</v>
      </c>
      <c r="E94">
        <v>7.3</v>
      </c>
      <c r="F94">
        <v>9.3000000000000007</v>
      </c>
      <c r="G94">
        <v>4.4000000000000004</v>
      </c>
      <c r="H94">
        <v>80.599999999999994</v>
      </c>
      <c r="I94">
        <v>30.4</v>
      </c>
      <c r="J94">
        <v>0</v>
      </c>
      <c r="K94">
        <v>40</v>
      </c>
      <c r="L94">
        <v>26.9</v>
      </c>
      <c r="M94">
        <v>8</v>
      </c>
      <c r="N94">
        <v>83</v>
      </c>
      <c r="O94">
        <v>38</v>
      </c>
      <c r="P94">
        <v>27.3</v>
      </c>
      <c r="Q94">
        <v>8.6999999999999993</v>
      </c>
      <c r="R94">
        <v>14.6</v>
      </c>
      <c r="S94">
        <v>20.3</v>
      </c>
      <c r="T94">
        <v>69</v>
      </c>
      <c r="U94">
        <v>7494</v>
      </c>
      <c r="V94">
        <v>1900000</v>
      </c>
      <c r="W94">
        <v>64</v>
      </c>
      <c r="X94">
        <v>55.9</v>
      </c>
      <c r="Y94">
        <v>51.1</v>
      </c>
      <c r="Z94">
        <v>69.7</v>
      </c>
      <c r="AA94">
        <v>64</v>
      </c>
      <c r="AB94">
        <v>38.4</v>
      </c>
      <c r="AC94">
        <v>56.5</v>
      </c>
      <c r="AD94">
        <v>100</v>
      </c>
      <c r="AE94">
        <v>100</v>
      </c>
      <c r="AF94" t="s">
        <v>47</v>
      </c>
    </row>
    <row r="95" spans="1:32">
      <c r="A95" t="s">
        <v>824</v>
      </c>
      <c r="B95">
        <v>1.8</v>
      </c>
      <c r="C95">
        <v>5</v>
      </c>
      <c r="D95">
        <v>3</v>
      </c>
      <c r="E95">
        <v>16.399999999999999</v>
      </c>
      <c r="F95">
        <v>19.3</v>
      </c>
      <c r="G95">
        <v>6.9</v>
      </c>
      <c r="H95">
        <v>69.3</v>
      </c>
      <c r="I95">
        <v>53</v>
      </c>
      <c r="J95">
        <v>0</v>
      </c>
      <c r="K95">
        <v>46</v>
      </c>
      <c r="L95">
        <v>40.200000000000003</v>
      </c>
      <c r="M95">
        <v>9.1</v>
      </c>
      <c r="N95">
        <v>68</v>
      </c>
      <c r="O95">
        <v>55</v>
      </c>
      <c r="P95">
        <v>27.3</v>
      </c>
      <c r="Q95">
        <v>9.6</v>
      </c>
      <c r="R95">
        <v>7.4</v>
      </c>
      <c r="S95">
        <v>17.399999999999999</v>
      </c>
      <c r="T95">
        <v>91</v>
      </c>
      <c r="U95">
        <v>9915</v>
      </c>
      <c r="V95">
        <v>4896000</v>
      </c>
      <c r="W95">
        <v>64</v>
      </c>
      <c r="X95">
        <v>65.3</v>
      </c>
      <c r="Y95">
        <v>61</v>
      </c>
      <c r="Z95">
        <v>48.6</v>
      </c>
      <c r="AA95">
        <v>64</v>
      </c>
      <c r="AB95">
        <v>15</v>
      </c>
      <c r="AC95">
        <v>55.7</v>
      </c>
      <c r="AD95">
        <v>100</v>
      </c>
      <c r="AE95">
        <v>100</v>
      </c>
      <c r="AF95" t="s">
        <v>47</v>
      </c>
    </row>
    <row r="96" spans="1:32">
      <c r="A96" t="s">
        <v>826</v>
      </c>
      <c r="B96">
        <v>3.8</v>
      </c>
      <c r="C96">
        <v>9</v>
      </c>
      <c r="D96">
        <v>4</v>
      </c>
      <c r="E96">
        <v>11.7</v>
      </c>
      <c r="F96">
        <v>8.3000000000000007</v>
      </c>
      <c r="G96">
        <v>7.4</v>
      </c>
      <c r="H96">
        <v>77</v>
      </c>
      <c r="I96">
        <v>64</v>
      </c>
      <c r="J96">
        <v>0</v>
      </c>
      <c r="K96">
        <v>58</v>
      </c>
      <c r="L96">
        <v>26.9</v>
      </c>
      <c r="M96">
        <v>4.5999999999999996</v>
      </c>
      <c r="N96">
        <v>80</v>
      </c>
      <c r="O96">
        <v>32</v>
      </c>
      <c r="P96">
        <v>14.2</v>
      </c>
      <c r="Q96">
        <v>7.7</v>
      </c>
      <c r="R96">
        <v>5.5</v>
      </c>
      <c r="S96">
        <v>17.8</v>
      </c>
      <c r="T96">
        <v>88</v>
      </c>
      <c r="U96">
        <v>8205</v>
      </c>
      <c r="V96">
        <v>1082000</v>
      </c>
      <c r="W96">
        <v>41</v>
      </c>
      <c r="X96">
        <v>63.8</v>
      </c>
      <c r="Y96">
        <v>74.8</v>
      </c>
      <c r="Z96">
        <v>73.900000000000006</v>
      </c>
      <c r="AA96">
        <v>41</v>
      </c>
      <c r="AB96">
        <v>31.6</v>
      </c>
      <c r="AC96">
        <v>63</v>
      </c>
      <c r="AD96">
        <v>100</v>
      </c>
      <c r="AE96">
        <v>100</v>
      </c>
      <c r="AF96" t="s">
        <v>47</v>
      </c>
    </row>
    <row r="97" spans="1:32">
      <c r="A97" t="s">
        <v>828</v>
      </c>
      <c r="B97">
        <v>1.3</v>
      </c>
      <c r="C97">
        <v>4</v>
      </c>
      <c r="D97">
        <v>1</v>
      </c>
      <c r="E97">
        <v>9.5</v>
      </c>
      <c r="F97">
        <v>7.1</v>
      </c>
      <c r="G97">
        <v>8.5</v>
      </c>
      <c r="H97">
        <v>68.5</v>
      </c>
      <c r="I97">
        <v>59.3</v>
      </c>
      <c r="J97">
        <v>0</v>
      </c>
      <c r="K97">
        <v>52</v>
      </c>
      <c r="L97">
        <v>35.4</v>
      </c>
      <c r="M97">
        <v>8.6</v>
      </c>
      <c r="N97">
        <v>88</v>
      </c>
      <c r="O97">
        <v>21</v>
      </c>
      <c r="P97">
        <v>22.6</v>
      </c>
      <c r="Q97">
        <v>3.9</v>
      </c>
      <c r="R97">
        <v>4.3</v>
      </c>
      <c r="S97">
        <v>6.3</v>
      </c>
      <c r="T97">
        <v>84</v>
      </c>
      <c r="U97">
        <v>7813</v>
      </c>
      <c r="V97">
        <v>1426000</v>
      </c>
      <c r="W97">
        <v>54</v>
      </c>
      <c r="X97">
        <v>56.7</v>
      </c>
      <c r="Y97">
        <v>68.900000000000006</v>
      </c>
      <c r="Z97">
        <v>85</v>
      </c>
      <c r="AA97">
        <v>54</v>
      </c>
      <c r="AB97">
        <v>35.4</v>
      </c>
      <c r="AC97">
        <v>63</v>
      </c>
      <c r="AD97">
        <v>100</v>
      </c>
      <c r="AE97">
        <v>100</v>
      </c>
      <c r="AF97" t="s">
        <v>47</v>
      </c>
    </row>
    <row r="98" spans="1:32">
      <c r="A98" t="s">
        <v>830</v>
      </c>
      <c r="B98">
        <v>8.9</v>
      </c>
      <c r="C98">
        <v>22</v>
      </c>
      <c r="D98">
        <v>10</v>
      </c>
      <c r="E98">
        <v>17.899999999999999</v>
      </c>
      <c r="F98">
        <v>11.5</v>
      </c>
      <c r="G98">
        <v>8.1999999999999993</v>
      </c>
      <c r="H98">
        <v>87.3</v>
      </c>
      <c r="J98">
        <v>1</v>
      </c>
      <c r="K98">
        <v>59</v>
      </c>
      <c r="L98">
        <v>26.1</v>
      </c>
      <c r="N98">
        <v>70</v>
      </c>
      <c r="O98">
        <v>46</v>
      </c>
      <c r="Q98">
        <v>6.2</v>
      </c>
      <c r="R98">
        <v>4.3</v>
      </c>
      <c r="S98">
        <v>14</v>
      </c>
      <c r="U98">
        <v>8799</v>
      </c>
      <c r="V98">
        <v>5073000</v>
      </c>
      <c r="W98">
        <v>68</v>
      </c>
      <c r="X98">
        <v>74</v>
      </c>
      <c r="Y98">
        <v>87.8</v>
      </c>
      <c r="Z98">
        <v>69.2</v>
      </c>
      <c r="AA98">
        <v>68</v>
      </c>
      <c r="AB98">
        <v>25.8</v>
      </c>
      <c r="AC98">
        <v>71.099999999999994</v>
      </c>
      <c r="AD98">
        <v>100</v>
      </c>
      <c r="AE98">
        <v>81</v>
      </c>
      <c r="AF98" t="s">
        <v>1971</v>
      </c>
    </row>
    <row r="99" spans="1:32">
      <c r="A99" t="s">
        <v>832</v>
      </c>
      <c r="B99">
        <v>1.7</v>
      </c>
      <c r="C99">
        <v>5</v>
      </c>
      <c r="D99">
        <v>1</v>
      </c>
      <c r="E99">
        <v>12</v>
      </c>
      <c r="F99">
        <v>16.3</v>
      </c>
      <c r="G99">
        <v>7.6</v>
      </c>
      <c r="H99">
        <v>65</v>
      </c>
      <c r="I99">
        <v>49.4</v>
      </c>
      <c r="J99">
        <v>0</v>
      </c>
      <c r="K99">
        <v>44</v>
      </c>
      <c r="L99">
        <v>42.6</v>
      </c>
      <c r="M99">
        <v>5.2</v>
      </c>
      <c r="N99">
        <v>76</v>
      </c>
      <c r="O99">
        <v>54</v>
      </c>
      <c r="P99">
        <v>27.1</v>
      </c>
      <c r="Q99">
        <v>12.3</v>
      </c>
      <c r="R99">
        <v>8.1</v>
      </c>
      <c r="S99">
        <v>15.4</v>
      </c>
      <c r="T99">
        <v>83</v>
      </c>
      <c r="U99">
        <v>7185</v>
      </c>
      <c r="V99">
        <v>1773000</v>
      </c>
      <c r="W99">
        <v>41</v>
      </c>
      <c r="X99">
        <v>56.5</v>
      </c>
      <c r="Y99">
        <v>61.4</v>
      </c>
      <c r="Z99">
        <v>57</v>
      </c>
      <c r="AA99">
        <v>41</v>
      </c>
      <c r="AB99">
        <v>41.4</v>
      </c>
      <c r="AC99">
        <v>54.8</v>
      </c>
      <c r="AD99">
        <v>100</v>
      </c>
      <c r="AE99">
        <v>100</v>
      </c>
      <c r="AF99" t="s">
        <v>47</v>
      </c>
    </row>
    <row r="100" spans="1:32">
      <c r="A100" t="s">
        <v>834</v>
      </c>
      <c r="B100">
        <v>2.7</v>
      </c>
      <c r="C100">
        <v>6</v>
      </c>
      <c r="D100">
        <v>3</v>
      </c>
      <c r="E100">
        <v>11.9</v>
      </c>
      <c r="F100">
        <v>10.4</v>
      </c>
      <c r="G100">
        <v>8</v>
      </c>
      <c r="H100">
        <v>73.400000000000006</v>
      </c>
      <c r="I100">
        <v>50.7</v>
      </c>
      <c r="J100">
        <v>0</v>
      </c>
      <c r="K100">
        <v>53</v>
      </c>
      <c r="L100">
        <v>43</v>
      </c>
      <c r="M100">
        <v>8.1</v>
      </c>
      <c r="N100">
        <v>67</v>
      </c>
      <c r="O100">
        <v>39</v>
      </c>
      <c r="P100">
        <v>24.3</v>
      </c>
      <c r="Q100">
        <v>7.6</v>
      </c>
      <c r="R100">
        <v>3.6</v>
      </c>
      <c r="S100">
        <v>16.100000000000001</v>
      </c>
      <c r="T100">
        <v>87</v>
      </c>
      <c r="U100">
        <v>7901</v>
      </c>
      <c r="V100">
        <v>727000</v>
      </c>
      <c r="W100">
        <v>37</v>
      </c>
      <c r="X100">
        <v>58.2</v>
      </c>
      <c r="Y100">
        <v>64.5</v>
      </c>
      <c r="Z100">
        <v>70.2</v>
      </c>
      <c r="AA100">
        <v>37</v>
      </c>
      <c r="AB100">
        <v>34.5</v>
      </c>
      <c r="AC100">
        <v>57.7</v>
      </c>
      <c r="AD100">
        <v>100</v>
      </c>
      <c r="AE100">
        <v>100</v>
      </c>
      <c r="AF100" t="s">
        <v>47</v>
      </c>
    </row>
    <row r="101" spans="1:32">
      <c r="A101" t="s">
        <v>836</v>
      </c>
      <c r="B101">
        <v>2.4</v>
      </c>
      <c r="C101">
        <v>5</v>
      </c>
      <c r="D101">
        <v>2</v>
      </c>
      <c r="E101">
        <v>13.1</v>
      </c>
      <c r="F101">
        <v>6.9</v>
      </c>
      <c r="G101">
        <v>8.3000000000000007</v>
      </c>
      <c r="H101">
        <v>88</v>
      </c>
      <c r="I101">
        <v>63.8</v>
      </c>
      <c r="J101">
        <v>1</v>
      </c>
      <c r="K101">
        <v>55</v>
      </c>
      <c r="L101">
        <v>29.4</v>
      </c>
      <c r="M101">
        <v>9.8000000000000007</v>
      </c>
      <c r="N101">
        <v>54</v>
      </c>
      <c r="O101">
        <v>43</v>
      </c>
      <c r="P101">
        <v>18.899999999999999</v>
      </c>
      <c r="Q101">
        <v>7.7</v>
      </c>
      <c r="R101">
        <v>7.4</v>
      </c>
      <c r="S101">
        <v>9.4</v>
      </c>
      <c r="T101">
        <v>87</v>
      </c>
      <c r="U101">
        <v>11053</v>
      </c>
      <c r="V101">
        <v>4055000</v>
      </c>
      <c r="W101">
        <v>54</v>
      </c>
      <c r="X101">
        <v>66.900000000000006</v>
      </c>
      <c r="Y101">
        <v>68.099999999999994</v>
      </c>
      <c r="Z101">
        <v>83.2</v>
      </c>
      <c r="AA101">
        <v>54</v>
      </c>
      <c r="AB101">
        <v>4</v>
      </c>
      <c r="AC101">
        <v>62.9</v>
      </c>
      <c r="AD101">
        <v>100</v>
      </c>
      <c r="AE101">
        <v>100</v>
      </c>
      <c r="AF101" t="s">
        <v>47</v>
      </c>
    </row>
    <row r="102" spans="1:32">
      <c r="A102" t="s">
        <v>837</v>
      </c>
      <c r="B102">
        <v>5.0999999999999996</v>
      </c>
      <c r="C102">
        <v>11</v>
      </c>
      <c r="D102">
        <v>5</v>
      </c>
      <c r="E102">
        <v>13.8</v>
      </c>
      <c r="F102">
        <v>9.9</v>
      </c>
      <c r="G102">
        <v>7.7</v>
      </c>
      <c r="H102">
        <v>76.099999999999994</v>
      </c>
      <c r="I102">
        <v>76.900000000000006</v>
      </c>
      <c r="J102">
        <v>0</v>
      </c>
      <c r="K102">
        <v>63</v>
      </c>
      <c r="L102">
        <v>18.2</v>
      </c>
      <c r="M102">
        <v>6.9</v>
      </c>
      <c r="N102">
        <v>70</v>
      </c>
      <c r="O102">
        <v>35</v>
      </c>
      <c r="P102">
        <v>10.3</v>
      </c>
      <c r="Q102">
        <v>8.8000000000000007</v>
      </c>
      <c r="R102">
        <v>6.4</v>
      </c>
      <c r="S102">
        <v>12.2</v>
      </c>
      <c r="T102">
        <v>97</v>
      </c>
      <c r="U102">
        <v>7452</v>
      </c>
      <c r="V102">
        <v>1220000</v>
      </c>
      <c r="W102">
        <v>42</v>
      </c>
      <c r="X102">
        <v>71.599999999999994</v>
      </c>
      <c r="Y102">
        <v>78.2</v>
      </c>
      <c r="Z102">
        <v>74.2</v>
      </c>
      <c r="AA102">
        <v>42</v>
      </c>
      <c r="AB102">
        <v>38.9</v>
      </c>
      <c r="AC102">
        <v>67.5</v>
      </c>
      <c r="AD102">
        <v>100</v>
      </c>
      <c r="AE102">
        <v>100</v>
      </c>
      <c r="AF102" t="s">
        <v>47</v>
      </c>
    </row>
    <row r="103" spans="1:32">
      <c r="A103" t="s">
        <v>838</v>
      </c>
      <c r="B103">
        <v>5.2</v>
      </c>
      <c r="C103">
        <v>13</v>
      </c>
      <c r="D103">
        <v>8</v>
      </c>
      <c r="E103">
        <v>17.2</v>
      </c>
      <c r="F103">
        <v>16.7</v>
      </c>
      <c r="H103">
        <v>75.8</v>
      </c>
      <c r="J103">
        <v>0</v>
      </c>
      <c r="K103">
        <v>38</v>
      </c>
      <c r="L103">
        <v>35.9</v>
      </c>
      <c r="N103">
        <v>58</v>
      </c>
      <c r="O103">
        <v>47</v>
      </c>
      <c r="U103">
        <v>8560</v>
      </c>
      <c r="V103">
        <v>1877000</v>
      </c>
      <c r="W103">
        <v>43</v>
      </c>
      <c r="X103">
        <v>70</v>
      </c>
      <c r="Z103">
        <v>47.5</v>
      </c>
      <c r="AA103">
        <v>43</v>
      </c>
      <c r="AB103">
        <v>28.1</v>
      </c>
      <c r="AC103">
        <v>54.8</v>
      </c>
      <c r="AD103">
        <v>75</v>
      </c>
      <c r="AE103">
        <v>61.9</v>
      </c>
      <c r="AF103" t="s">
        <v>57</v>
      </c>
    </row>
    <row r="104" spans="1:32">
      <c r="A104" t="s">
        <v>840</v>
      </c>
      <c r="B104">
        <v>6.1</v>
      </c>
      <c r="C104">
        <v>12</v>
      </c>
      <c r="D104">
        <v>9</v>
      </c>
      <c r="E104">
        <v>36.200000000000003</v>
      </c>
      <c r="F104">
        <v>5.9</v>
      </c>
      <c r="H104">
        <v>67.099999999999994</v>
      </c>
      <c r="I104">
        <v>67.8</v>
      </c>
      <c r="J104">
        <v>0</v>
      </c>
      <c r="K104">
        <v>63</v>
      </c>
      <c r="L104">
        <v>24.9</v>
      </c>
      <c r="M104">
        <v>5.9</v>
      </c>
      <c r="N104">
        <v>30</v>
      </c>
      <c r="O104">
        <v>34</v>
      </c>
      <c r="P104">
        <v>12</v>
      </c>
      <c r="T104">
        <v>93</v>
      </c>
      <c r="U104">
        <v>7176</v>
      </c>
      <c r="V104">
        <v>432000</v>
      </c>
      <c r="W104">
        <v>56</v>
      </c>
      <c r="X104">
        <v>91.1</v>
      </c>
      <c r="Y104">
        <v>72.400000000000006</v>
      </c>
      <c r="Z104">
        <v>86.1</v>
      </c>
      <c r="AA104">
        <v>56</v>
      </c>
      <c r="AB104">
        <v>41.5</v>
      </c>
      <c r="AC104">
        <v>77</v>
      </c>
      <c r="AD104">
        <v>100</v>
      </c>
      <c r="AE104">
        <v>81</v>
      </c>
      <c r="AF104" t="s">
        <v>1971</v>
      </c>
    </row>
    <row r="105" spans="1:32">
      <c r="A105" t="s">
        <v>843</v>
      </c>
      <c r="B105">
        <v>1.3</v>
      </c>
      <c r="C105">
        <v>4</v>
      </c>
      <c r="D105">
        <v>1</v>
      </c>
      <c r="E105">
        <v>9.1999999999999993</v>
      </c>
      <c r="F105">
        <v>8.6</v>
      </c>
      <c r="G105">
        <v>8.6999999999999993</v>
      </c>
      <c r="H105">
        <v>90.2</v>
      </c>
      <c r="I105">
        <v>45.7</v>
      </c>
      <c r="J105">
        <v>1</v>
      </c>
      <c r="K105">
        <v>47</v>
      </c>
      <c r="L105">
        <v>25.8</v>
      </c>
      <c r="M105">
        <v>5.5</v>
      </c>
      <c r="N105">
        <v>49</v>
      </c>
      <c r="O105">
        <v>21</v>
      </c>
      <c r="P105">
        <v>19.899999999999999</v>
      </c>
      <c r="Q105">
        <v>7.1</v>
      </c>
      <c r="R105">
        <v>7.4</v>
      </c>
      <c r="S105">
        <v>11.1</v>
      </c>
      <c r="T105">
        <v>81</v>
      </c>
      <c r="U105">
        <v>8991</v>
      </c>
      <c r="V105">
        <v>3795000</v>
      </c>
      <c r="W105">
        <v>63</v>
      </c>
      <c r="X105">
        <v>64.400000000000006</v>
      </c>
      <c r="Y105">
        <v>64.900000000000006</v>
      </c>
      <c r="Z105">
        <v>78</v>
      </c>
      <c r="AA105">
        <v>63</v>
      </c>
      <c r="AB105">
        <v>24</v>
      </c>
      <c r="AC105">
        <v>63.1</v>
      </c>
      <c r="AD105">
        <v>100</v>
      </c>
      <c r="AE105">
        <v>100</v>
      </c>
      <c r="AF105" t="s">
        <v>47</v>
      </c>
    </row>
    <row r="106" spans="1:32">
      <c r="A106" t="s">
        <v>845</v>
      </c>
      <c r="B106">
        <v>4.8</v>
      </c>
      <c r="C106">
        <v>10</v>
      </c>
      <c r="D106">
        <v>5</v>
      </c>
      <c r="E106">
        <v>11.6</v>
      </c>
      <c r="F106">
        <v>12.5</v>
      </c>
      <c r="G106">
        <v>6.6</v>
      </c>
      <c r="H106">
        <v>83.3</v>
      </c>
      <c r="I106">
        <v>60.6</v>
      </c>
      <c r="J106">
        <v>0</v>
      </c>
      <c r="K106">
        <v>56</v>
      </c>
      <c r="L106">
        <v>34.200000000000003</v>
      </c>
      <c r="M106">
        <v>7.6</v>
      </c>
      <c r="N106">
        <v>63</v>
      </c>
      <c r="O106">
        <v>46</v>
      </c>
      <c r="P106">
        <v>17.2</v>
      </c>
      <c r="Q106">
        <v>8.1999999999999993</v>
      </c>
      <c r="R106">
        <v>11.1</v>
      </c>
      <c r="S106">
        <v>8.1999999999999993</v>
      </c>
      <c r="T106">
        <v>74</v>
      </c>
      <c r="U106">
        <v>5331</v>
      </c>
      <c r="V106">
        <v>978000</v>
      </c>
      <c r="W106">
        <v>47</v>
      </c>
      <c r="X106">
        <v>61.3</v>
      </c>
      <c r="Y106">
        <v>67.5</v>
      </c>
      <c r="Z106">
        <v>71.099999999999994</v>
      </c>
      <c r="AA106">
        <v>47</v>
      </c>
      <c r="AB106">
        <v>59.4</v>
      </c>
      <c r="AC106">
        <v>63.2</v>
      </c>
      <c r="AD106">
        <v>100</v>
      </c>
      <c r="AE106">
        <v>100</v>
      </c>
      <c r="AF106" t="s">
        <v>47</v>
      </c>
    </row>
    <row r="107" spans="1:32">
      <c r="A107" t="s">
        <v>847</v>
      </c>
      <c r="B107">
        <v>3.8</v>
      </c>
      <c r="C107">
        <v>9</v>
      </c>
      <c r="D107">
        <v>6</v>
      </c>
      <c r="E107">
        <v>14.9</v>
      </c>
      <c r="F107">
        <v>13.7</v>
      </c>
      <c r="G107">
        <v>7</v>
      </c>
      <c r="H107">
        <v>76.3</v>
      </c>
      <c r="I107">
        <v>71.3</v>
      </c>
      <c r="J107">
        <v>0</v>
      </c>
      <c r="K107">
        <v>57</v>
      </c>
      <c r="L107">
        <v>22.6</v>
      </c>
      <c r="M107">
        <v>5.2</v>
      </c>
      <c r="N107">
        <v>72</v>
      </c>
      <c r="O107">
        <v>44</v>
      </c>
      <c r="P107">
        <v>14.5</v>
      </c>
      <c r="Q107">
        <v>3.4</v>
      </c>
      <c r="R107">
        <v>7.3</v>
      </c>
      <c r="S107">
        <v>16.600000000000001</v>
      </c>
      <c r="T107">
        <v>88</v>
      </c>
      <c r="U107">
        <v>7858</v>
      </c>
      <c r="V107">
        <v>277000</v>
      </c>
      <c r="W107">
        <v>32</v>
      </c>
      <c r="X107">
        <v>70.599999999999994</v>
      </c>
      <c r="Y107">
        <v>77.599999999999994</v>
      </c>
      <c r="Z107">
        <v>62.2</v>
      </c>
      <c r="AA107">
        <v>32</v>
      </c>
      <c r="AB107">
        <v>34.9</v>
      </c>
      <c r="AC107">
        <v>63.3</v>
      </c>
      <c r="AD107">
        <v>100</v>
      </c>
      <c r="AE107">
        <v>100</v>
      </c>
      <c r="AF107" t="s">
        <v>47</v>
      </c>
    </row>
    <row r="108" spans="1:32">
      <c r="A108" t="s">
        <v>849</v>
      </c>
      <c r="B108">
        <v>3.7</v>
      </c>
      <c r="C108">
        <v>11</v>
      </c>
      <c r="D108">
        <v>5</v>
      </c>
      <c r="E108">
        <v>12.9</v>
      </c>
      <c r="F108">
        <v>4.9000000000000004</v>
      </c>
      <c r="G108">
        <v>8.1999999999999993</v>
      </c>
      <c r="H108">
        <v>74.599999999999994</v>
      </c>
      <c r="I108">
        <v>81.8</v>
      </c>
      <c r="J108">
        <v>0</v>
      </c>
      <c r="K108">
        <v>65</v>
      </c>
      <c r="L108">
        <v>18</v>
      </c>
      <c r="M108">
        <v>4.4000000000000004</v>
      </c>
      <c r="N108">
        <v>65</v>
      </c>
      <c r="O108">
        <v>27</v>
      </c>
      <c r="P108">
        <v>10.3</v>
      </c>
      <c r="Q108">
        <v>5.0999999999999996</v>
      </c>
      <c r="R108">
        <v>3.6</v>
      </c>
      <c r="S108">
        <v>16.899999999999999</v>
      </c>
      <c r="T108">
        <v>82</v>
      </c>
      <c r="U108">
        <v>6308</v>
      </c>
      <c r="V108">
        <v>764000</v>
      </c>
      <c r="W108">
        <v>41</v>
      </c>
      <c r="X108">
        <v>71.400000000000006</v>
      </c>
      <c r="Y108">
        <v>84.5</v>
      </c>
      <c r="Z108">
        <v>82.4</v>
      </c>
      <c r="AA108">
        <v>41</v>
      </c>
      <c r="AB108">
        <v>49.9</v>
      </c>
      <c r="AC108">
        <v>71.7</v>
      </c>
      <c r="AD108">
        <v>100</v>
      </c>
      <c r="AE108">
        <v>100</v>
      </c>
      <c r="AF108" t="s">
        <v>47</v>
      </c>
    </row>
    <row r="109" spans="1:32">
      <c r="A109" t="s">
        <v>851</v>
      </c>
      <c r="B109">
        <v>1.1000000000000001</v>
      </c>
      <c r="C109">
        <v>3</v>
      </c>
      <c r="D109">
        <v>2</v>
      </c>
      <c r="E109">
        <v>9</v>
      </c>
      <c r="F109">
        <v>11.6</v>
      </c>
      <c r="G109">
        <v>5.9</v>
      </c>
      <c r="H109">
        <v>60.8</v>
      </c>
      <c r="I109">
        <v>46</v>
      </c>
      <c r="J109">
        <v>0</v>
      </c>
      <c r="K109">
        <v>41</v>
      </c>
      <c r="L109">
        <v>36.6</v>
      </c>
      <c r="M109">
        <v>8.8000000000000007</v>
      </c>
      <c r="N109">
        <v>85</v>
      </c>
      <c r="O109">
        <v>64</v>
      </c>
      <c r="P109">
        <v>27.3</v>
      </c>
      <c r="Q109">
        <v>12.7</v>
      </c>
      <c r="R109">
        <v>9.6</v>
      </c>
      <c r="S109">
        <v>23.6</v>
      </c>
      <c r="T109">
        <v>84</v>
      </c>
      <c r="U109">
        <v>7050</v>
      </c>
      <c r="V109">
        <v>897000</v>
      </c>
      <c r="W109">
        <v>41</v>
      </c>
      <c r="X109">
        <v>52.4</v>
      </c>
      <c r="Y109">
        <v>56.6</v>
      </c>
      <c r="Z109">
        <v>62</v>
      </c>
      <c r="AA109">
        <v>41</v>
      </c>
      <c r="AB109">
        <v>42.7</v>
      </c>
      <c r="AC109">
        <v>53.3</v>
      </c>
      <c r="AD109">
        <v>100</v>
      </c>
      <c r="AE109">
        <v>100</v>
      </c>
      <c r="AF109" t="s">
        <v>47</v>
      </c>
    </row>
    <row r="110" spans="1:32">
      <c r="A110" t="s">
        <v>853</v>
      </c>
      <c r="B110">
        <v>4</v>
      </c>
      <c r="C110">
        <v>14</v>
      </c>
      <c r="D110">
        <v>3</v>
      </c>
      <c r="E110">
        <v>8.9</v>
      </c>
      <c r="F110">
        <v>12.4</v>
      </c>
      <c r="G110">
        <v>6.3</v>
      </c>
      <c r="H110">
        <v>66.599999999999994</v>
      </c>
      <c r="I110">
        <v>68.2</v>
      </c>
      <c r="J110">
        <v>0</v>
      </c>
      <c r="K110">
        <v>50</v>
      </c>
      <c r="L110">
        <v>23.9</v>
      </c>
      <c r="M110">
        <v>7.4</v>
      </c>
      <c r="N110">
        <v>74</v>
      </c>
      <c r="O110">
        <v>42</v>
      </c>
      <c r="P110">
        <v>12.7</v>
      </c>
      <c r="Q110">
        <v>8.1999999999999993</v>
      </c>
      <c r="R110">
        <v>5.4</v>
      </c>
      <c r="S110">
        <v>16.7</v>
      </c>
      <c r="T110">
        <v>94</v>
      </c>
      <c r="U110">
        <v>8360</v>
      </c>
      <c r="V110">
        <v>2486000</v>
      </c>
      <c r="W110">
        <v>38</v>
      </c>
      <c r="X110">
        <v>60.4</v>
      </c>
      <c r="Y110">
        <v>74.5</v>
      </c>
      <c r="Z110">
        <v>65.099999999999994</v>
      </c>
      <c r="AA110">
        <v>38</v>
      </c>
      <c r="AB110">
        <v>30.1</v>
      </c>
      <c r="AC110">
        <v>59.6</v>
      </c>
      <c r="AD110">
        <v>100</v>
      </c>
      <c r="AE110">
        <v>100</v>
      </c>
      <c r="AF110" t="s">
        <v>47</v>
      </c>
    </row>
    <row r="111" spans="1:32">
      <c r="A111" t="s">
        <v>855</v>
      </c>
      <c r="B111">
        <v>3.5</v>
      </c>
      <c r="C111">
        <v>7</v>
      </c>
      <c r="D111">
        <v>7</v>
      </c>
      <c r="E111">
        <v>17.8</v>
      </c>
      <c r="F111">
        <v>5.5</v>
      </c>
      <c r="G111">
        <v>7.9</v>
      </c>
      <c r="H111">
        <v>75</v>
      </c>
      <c r="I111">
        <v>71.7</v>
      </c>
      <c r="J111">
        <v>0</v>
      </c>
      <c r="K111">
        <v>66</v>
      </c>
      <c r="L111">
        <v>40.5</v>
      </c>
      <c r="M111">
        <v>5.7</v>
      </c>
      <c r="N111">
        <v>68</v>
      </c>
      <c r="O111">
        <v>45</v>
      </c>
      <c r="P111">
        <v>13.4</v>
      </c>
      <c r="Q111">
        <v>13.2</v>
      </c>
      <c r="R111">
        <v>7.1</v>
      </c>
      <c r="S111">
        <v>9.1</v>
      </c>
      <c r="T111">
        <v>93</v>
      </c>
      <c r="U111">
        <v>7253</v>
      </c>
      <c r="V111">
        <v>691000</v>
      </c>
      <c r="W111">
        <v>42</v>
      </c>
      <c r="X111">
        <v>68.2</v>
      </c>
      <c r="Y111">
        <v>74.099999999999994</v>
      </c>
      <c r="Z111">
        <v>86.7</v>
      </c>
      <c r="AA111">
        <v>42</v>
      </c>
      <c r="AB111">
        <v>40.799999999999997</v>
      </c>
      <c r="AC111">
        <v>68</v>
      </c>
      <c r="AD111">
        <v>100</v>
      </c>
      <c r="AE111">
        <v>100</v>
      </c>
      <c r="AF111" t="s">
        <v>47</v>
      </c>
    </row>
    <row r="112" spans="1:32">
      <c r="A112" t="s">
        <v>857</v>
      </c>
      <c r="B112">
        <v>4.5</v>
      </c>
      <c r="C112">
        <v>10</v>
      </c>
      <c r="D112">
        <v>7</v>
      </c>
      <c r="E112">
        <v>13</v>
      </c>
      <c r="F112">
        <v>6.2</v>
      </c>
      <c r="G112">
        <v>6.7</v>
      </c>
      <c r="H112">
        <v>79.599999999999994</v>
      </c>
      <c r="I112">
        <v>68</v>
      </c>
      <c r="J112">
        <v>0</v>
      </c>
      <c r="K112">
        <v>62</v>
      </c>
      <c r="L112">
        <v>18.100000000000001</v>
      </c>
      <c r="M112">
        <v>3.6</v>
      </c>
      <c r="N112">
        <v>51</v>
      </c>
      <c r="O112">
        <v>39</v>
      </c>
      <c r="P112">
        <v>4.5</v>
      </c>
      <c r="Q112">
        <v>8.3000000000000007</v>
      </c>
      <c r="R112">
        <v>6.7</v>
      </c>
      <c r="S112">
        <v>11.8</v>
      </c>
      <c r="T112">
        <v>92</v>
      </c>
      <c r="U112">
        <v>8746</v>
      </c>
      <c r="V112">
        <v>1667000</v>
      </c>
      <c r="W112">
        <v>53</v>
      </c>
      <c r="X112">
        <v>72.099999999999994</v>
      </c>
      <c r="Y112">
        <v>79.8</v>
      </c>
      <c r="Z112">
        <v>83.1</v>
      </c>
      <c r="AA112">
        <v>53</v>
      </c>
      <c r="AB112">
        <v>26.3</v>
      </c>
      <c r="AC112">
        <v>69.7</v>
      </c>
      <c r="AD112">
        <v>100</v>
      </c>
      <c r="AE112">
        <v>100</v>
      </c>
      <c r="AF112" t="s">
        <v>47</v>
      </c>
    </row>
    <row r="113" spans="1:32">
      <c r="A113" t="s">
        <v>858</v>
      </c>
      <c r="B113">
        <v>10</v>
      </c>
      <c r="C113">
        <v>25</v>
      </c>
      <c r="D113">
        <v>15</v>
      </c>
      <c r="E113">
        <v>19.2</v>
      </c>
      <c r="F113">
        <v>10.1</v>
      </c>
      <c r="H113">
        <v>78.5</v>
      </c>
      <c r="I113">
        <v>78.5</v>
      </c>
      <c r="J113">
        <v>0</v>
      </c>
      <c r="K113">
        <v>66</v>
      </c>
      <c r="L113">
        <v>6.9</v>
      </c>
      <c r="M113">
        <v>2.8</v>
      </c>
      <c r="N113">
        <v>48</v>
      </c>
      <c r="O113">
        <v>72</v>
      </c>
      <c r="P113">
        <v>9.9</v>
      </c>
      <c r="T113">
        <v>89</v>
      </c>
      <c r="U113">
        <v>7469</v>
      </c>
      <c r="V113">
        <v>884000</v>
      </c>
      <c r="W113">
        <v>42</v>
      </c>
      <c r="X113">
        <v>83.2</v>
      </c>
      <c r="Y113">
        <v>82.3</v>
      </c>
      <c r="Z113">
        <v>71.099999999999994</v>
      </c>
      <c r="AA113">
        <v>42</v>
      </c>
      <c r="AB113">
        <v>38.700000000000003</v>
      </c>
      <c r="AC113">
        <v>72</v>
      </c>
      <c r="AD113">
        <v>100</v>
      </c>
      <c r="AE113">
        <v>81</v>
      </c>
      <c r="AF113" t="s">
        <v>1971</v>
      </c>
    </row>
    <row r="114" spans="1:32">
      <c r="A114" t="s">
        <v>860</v>
      </c>
      <c r="B114">
        <v>4</v>
      </c>
      <c r="C114">
        <v>8</v>
      </c>
      <c r="D114">
        <v>5</v>
      </c>
      <c r="E114">
        <v>14.2</v>
      </c>
      <c r="F114">
        <v>5.3</v>
      </c>
      <c r="G114">
        <v>5.2</v>
      </c>
      <c r="H114">
        <v>67.7</v>
      </c>
      <c r="I114">
        <v>65.400000000000006</v>
      </c>
      <c r="J114">
        <v>0</v>
      </c>
      <c r="K114">
        <v>58</v>
      </c>
      <c r="L114">
        <v>16.3</v>
      </c>
      <c r="M114">
        <v>6.9</v>
      </c>
      <c r="N114">
        <v>67</v>
      </c>
      <c r="O114">
        <v>35</v>
      </c>
      <c r="P114">
        <v>20.6</v>
      </c>
      <c r="Q114">
        <v>14.3</v>
      </c>
      <c r="R114">
        <v>11.1</v>
      </c>
      <c r="S114">
        <v>18.5</v>
      </c>
      <c r="T114">
        <v>94</v>
      </c>
      <c r="U114">
        <v>6563</v>
      </c>
      <c r="V114">
        <v>2024000</v>
      </c>
      <c r="W114">
        <v>54</v>
      </c>
      <c r="X114">
        <v>73.3</v>
      </c>
      <c r="Y114">
        <v>66.099999999999994</v>
      </c>
      <c r="Z114">
        <v>80.3</v>
      </c>
      <c r="AA114">
        <v>54</v>
      </c>
      <c r="AB114">
        <v>47.5</v>
      </c>
      <c r="AC114">
        <v>68.400000000000006</v>
      </c>
      <c r="AD114">
        <v>100</v>
      </c>
      <c r="AE114">
        <v>100</v>
      </c>
      <c r="AF114" t="s">
        <v>47</v>
      </c>
    </row>
    <row r="115" spans="1:32">
      <c r="A115" t="s">
        <v>861</v>
      </c>
      <c r="B115">
        <v>0.6</v>
      </c>
      <c r="C115">
        <v>5</v>
      </c>
      <c r="D115">
        <v>3</v>
      </c>
      <c r="E115">
        <v>8.9</v>
      </c>
      <c r="F115">
        <v>12</v>
      </c>
      <c r="G115">
        <v>8.3000000000000007</v>
      </c>
      <c r="I115">
        <v>35.700000000000003</v>
      </c>
      <c r="J115">
        <v>0</v>
      </c>
      <c r="K115">
        <v>32</v>
      </c>
      <c r="L115">
        <v>37.299999999999997</v>
      </c>
      <c r="M115">
        <v>9.8000000000000007</v>
      </c>
      <c r="N115">
        <v>72</v>
      </c>
      <c r="P115">
        <v>24.5</v>
      </c>
      <c r="Q115">
        <v>7.3</v>
      </c>
      <c r="R115">
        <v>8.6</v>
      </c>
      <c r="S115">
        <v>16.5</v>
      </c>
      <c r="T115">
        <v>78</v>
      </c>
      <c r="U115">
        <v>10602</v>
      </c>
      <c r="V115">
        <v>2765000</v>
      </c>
      <c r="W115">
        <v>62</v>
      </c>
      <c r="X115">
        <v>49</v>
      </c>
      <c r="Y115">
        <v>55.8</v>
      </c>
      <c r="Z115">
        <v>66.2</v>
      </c>
      <c r="AA115">
        <v>62</v>
      </c>
      <c r="AB115">
        <v>8.4</v>
      </c>
      <c r="AC115">
        <v>51.4</v>
      </c>
      <c r="AD115">
        <v>100</v>
      </c>
      <c r="AE115">
        <v>90.5</v>
      </c>
      <c r="AF115" t="s">
        <v>47</v>
      </c>
    </row>
    <row r="116" spans="1:32">
      <c r="A116" t="s">
        <v>863</v>
      </c>
      <c r="B116">
        <v>6.7</v>
      </c>
      <c r="C116">
        <v>20</v>
      </c>
      <c r="D116">
        <v>10</v>
      </c>
      <c r="E116">
        <v>6.8</v>
      </c>
      <c r="F116">
        <v>10.1</v>
      </c>
      <c r="G116">
        <v>8.9</v>
      </c>
      <c r="H116">
        <v>85.2</v>
      </c>
      <c r="I116">
        <v>57.3</v>
      </c>
      <c r="J116">
        <v>1</v>
      </c>
      <c r="K116">
        <v>56</v>
      </c>
      <c r="L116">
        <v>37.299999999999997</v>
      </c>
      <c r="M116">
        <v>7.9</v>
      </c>
      <c r="N116">
        <v>59</v>
      </c>
      <c r="O116">
        <v>40</v>
      </c>
      <c r="P116">
        <v>16.600000000000001</v>
      </c>
      <c r="Q116">
        <v>4.7</v>
      </c>
      <c r="R116">
        <v>6.3</v>
      </c>
      <c r="S116">
        <v>5.9</v>
      </c>
      <c r="T116">
        <v>73</v>
      </c>
      <c r="U116">
        <v>7231</v>
      </c>
      <c r="V116">
        <v>1268000</v>
      </c>
      <c r="W116">
        <v>46</v>
      </c>
      <c r="X116">
        <v>53.2</v>
      </c>
      <c r="Y116">
        <v>69.8</v>
      </c>
      <c r="Z116">
        <v>78.400000000000006</v>
      </c>
      <c r="AA116">
        <v>46</v>
      </c>
      <c r="AB116">
        <v>41</v>
      </c>
      <c r="AC116">
        <v>60.5</v>
      </c>
      <c r="AD116">
        <v>100</v>
      </c>
      <c r="AE116">
        <v>100</v>
      </c>
      <c r="AF116" t="s">
        <v>47</v>
      </c>
    </row>
    <row r="117" spans="1:32">
      <c r="A117" t="s">
        <v>865</v>
      </c>
      <c r="B117">
        <v>1.6</v>
      </c>
      <c r="C117">
        <v>5</v>
      </c>
      <c r="D117">
        <v>2</v>
      </c>
      <c r="E117">
        <v>10.3</v>
      </c>
      <c r="F117">
        <v>15</v>
      </c>
      <c r="G117">
        <v>8.5</v>
      </c>
      <c r="H117">
        <v>87</v>
      </c>
      <c r="I117">
        <v>54.6</v>
      </c>
      <c r="J117">
        <v>0</v>
      </c>
      <c r="K117">
        <v>49</v>
      </c>
      <c r="L117">
        <v>36.799999999999997</v>
      </c>
      <c r="M117">
        <v>7.4</v>
      </c>
      <c r="N117">
        <v>68</v>
      </c>
      <c r="O117">
        <v>36</v>
      </c>
      <c r="P117">
        <v>23.1</v>
      </c>
      <c r="Q117">
        <v>9.8000000000000007</v>
      </c>
      <c r="R117">
        <v>5.0999999999999996</v>
      </c>
      <c r="S117">
        <v>7.3</v>
      </c>
      <c r="T117">
        <v>79</v>
      </c>
      <c r="U117">
        <v>10536</v>
      </c>
      <c r="V117">
        <v>3792000</v>
      </c>
      <c r="W117">
        <v>79</v>
      </c>
      <c r="X117">
        <v>58.4</v>
      </c>
      <c r="Y117">
        <v>65.400000000000006</v>
      </c>
      <c r="Z117">
        <v>66</v>
      </c>
      <c r="AA117">
        <v>79</v>
      </c>
      <c r="AB117">
        <v>9</v>
      </c>
      <c r="AC117">
        <v>58.8</v>
      </c>
      <c r="AD117">
        <v>100</v>
      </c>
      <c r="AE117">
        <v>100</v>
      </c>
      <c r="AF117" t="s">
        <v>47</v>
      </c>
    </row>
    <row r="118" spans="1:32">
      <c r="A118" t="s">
        <v>866</v>
      </c>
      <c r="B118">
        <v>2</v>
      </c>
      <c r="C118">
        <v>6</v>
      </c>
      <c r="D118">
        <v>5</v>
      </c>
      <c r="E118">
        <v>15.7</v>
      </c>
      <c r="F118">
        <v>6</v>
      </c>
      <c r="G118">
        <v>7</v>
      </c>
      <c r="H118">
        <v>74.3</v>
      </c>
      <c r="I118">
        <v>58.9</v>
      </c>
      <c r="J118">
        <v>0</v>
      </c>
      <c r="K118">
        <v>58</v>
      </c>
      <c r="L118">
        <v>29.7</v>
      </c>
      <c r="M118">
        <v>8.1999999999999993</v>
      </c>
      <c r="N118">
        <v>57</v>
      </c>
      <c r="O118">
        <v>47</v>
      </c>
      <c r="P118">
        <v>13.4</v>
      </c>
      <c r="Q118">
        <v>12.5</v>
      </c>
      <c r="R118">
        <v>8.9</v>
      </c>
      <c r="S118">
        <v>18</v>
      </c>
      <c r="T118">
        <v>86</v>
      </c>
      <c r="U118">
        <v>8544</v>
      </c>
      <c r="V118">
        <v>2160000</v>
      </c>
      <c r="W118">
        <v>57</v>
      </c>
      <c r="X118">
        <v>70.3</v>
      </c>
      <c r="Y118">
        <v>67.2</v>
      </c>
      <c r="Z118">
        <v>79</v>
      </c>
      <c r="AA118">
        <v>57</v>
      </c>
      <c r="AB118">
        <v>28.3</v>
      </c>
      <c r="AC118">
        <v>65.8</v>
      </c>
      <c r="AD118">
        <v>100</v>
      </c>
      <c r="AE118">
        <v>100</v>
      </c>
      <c r="AF118" t="s">
        <v>47</v>
      </c>
    </row>
    <row r="119" spans="1:32">
      <c r="A119" t="s">
        <v>868</v>
      </c>
      <c r="B119">
        <v>2</v>
      </c>
      <c r="C119">
        <v>6</v>
      </c>
      <c r="D119">
        <v>3</v>
      </c>
      <c r="E119">
        <v>10.6</v>
      </c>
      <c r="F119">
        <v>4.0999999999999996</v>
      </c>
      <c r="G119">
        <v>7.5</v>
      </c>
      <c r="H119">
        <v>81.099999999999994</v>
      </c>
      <c r="I119">
        <v>35.5</v>
      </c>
      <c r="J119">
        <v>2</v>
      </c>
      <c r="K119">
        <v>43</v>
      </c>
      <c r="L119">
        <v>27.9</v>
      </c>
      <c r="M119">
        <v>9.5</v>
      </c>
      <c r="N119">
        <v>65</v>
      </c>
      <c r="O119">
        <v>30</v>
      </c>
      <c r="P119">
        <v>19.899999999999999</v>
      </c>
      <c r="Q119">
        <v>11.6</v>
      </c>
      <c r="R119">
        <v>9</v>
      </c>
      <c r="S119">
        <v>11</v>
      </c>
      <c r="T119">
        <v>68</v>
      </c>
      <c r="U119">
        <v>8081</v>
      </c>
      <c r="V119">
        <v>1284000</v>
      </c>
      <c r="W119">
        <v>51</v>
      </c>
      <c r="X119">
        <v>63.3</v>
      </c>
      <c r="Y119">
        <v>55.9</v>
      </c>
      <c r="Z119">
        <v>88.6</v>
      </c>
      <c r="AA119">
        <v>51</v>
      </c>
      <c r="AB119">
        <v>32.799999999999997</v>
      </c>
      <c r="AC119">
        <v>62.2</v>
      </c>
      <c r="AD119">
        <v>100</v>
      </c>
      <c r="AE119">
        <v>100</v>
      </c>
      <c r="AF119" t="s">
        <v>47</v>
      </c>
    </row>
    <row r="120" spans="1:32">
      <c r="A120" t="s">
        <v>869</v>
      </c>
      <c r="B120">
        <v>3.9</v>
      </c>
      <c r="C120">
        <v>13</v>
      </c>
      <c r="D120">
        <v>4</v>
      </c>
      <c r="E120">
        <v>8.5</v>
      </c>
      <c r="F120">
        <v>3.3</v>
      </c>
      <c r="G120">
        <v>9.6999999999999993</v>
      </c>
      <c r="H120">
        <v>80.8</v>
      </c>
      <c r="I120">
        <v>73.2</v>
      </c>
      <c r="J120">
        <v>1</v>
      </c>
      <c r="K120">
        <v>60</v>
      </c>
      <c r="L120">
        <v>22.1</v>
      </c>
      <c r="M120">
        <v>5</v>
      </c>
      <c r="N120">
        <v>77</v>
      </c>
      <c r="O120">
        <v>39</v>
      </c>
      <c r="P120">
        <v>11.8</v>
      </c>
      <c r="Q120">
        <v>6.5</v>
      </c>
      <c r="R120">
        <v>4.5999999999999996</v>
      </c>
      <c r="S120">
        <v>15.1</v>
      </c>
      <c r="T120">
        <v>93</v>
      </c>
      <c r="U120">
        <v>8757</v>
      </c>
      <c r="V120">
        <v>2208000</v>
      </c>
      <c r="W120">
        <v>66</v>
      </c>
      <c r="X120">
        <v>60.4</v>
      </c>
      <c r="Y120">
        <v>79.400000000000006</v>
      </c>
      <c r="Z120">
        <v>87.4</v>
      </c>
      <c r="AA120">
        <v>66</v>
      </c>
      <c r="AB120">
        <v>26.2</v>
      </c>
      <c r="AC120">
        <v>67.7</v>
      </c>
      <c r="AD120">
        <v>100</v>
      </c>
      <c r="AE120">
        <v>100</v>
      </c>
      <c r="AF120" t="s">
        <v>47</v>
      </c>
    </row>
    <row r="121" spans="1:32">
      <c r="A121" t="s">
        <v>871</v>
      </c>
      <c r="B121">
        <v>4.8</v>
      </c>
      <c r="C121">
        <v>12</v>
      </c>
      <c r="D121">
        <v>5</v>
      </c>
      <c r="E121">
        <v>14.2</v>
      </c>
      <c r="F121">
        <v>10</v>
      </c>
      <c r="G121">
        <v>4.7</v>
      </c>
      <c r="H121">
        <v>76.5</v>
      </c>
      <c r="I121">
        <v>74.3</v>
      </c>
      <c r="J121">
        <v>0</v>
      </c>
      <c r="K121">
        <v>58</v>
      </c>
      <c r="L121">
        <v>24</v>
      </c>
      <c r="M121">
        <v>3.4</v>
      </c>
      <c r="N121">
        <v>66</v>
      </c>
      <c r="O121">
        <v>53</v>
      </c>
      <c r="P121">
        <v>12.9</v>
      </c>
      <c r="Q121">
        <v>11</v>
      </c>
      <c r="R121">
        <v>8.4</v>
      </c>
      <c r="S121">
        <v>18.600000000000001</v>
      </c>
      <c r="T121">
        <v>100</v>
      </c>
      <c r="U121">
        <v>7225</v>
      </c>
      <c r="V121">
        <v>1347000</v>
      </c>
      <c r="W121">
        <v>64</v>
      </c>
      <c r="X121">
        <v>68.900000000000006</v>
      </c>
      <c r="Y121">
        <v>77.3</v>
      </c>
      <c r="Z121">
        <v>69.3</v>
      </c>
      <c r="AA121">
        <v>64</v>
      </c>
      <c r="AB121">
        <v>41.1</v>
      </c>
      <c r="AC121">
        <v>67.8</v>
      </c>
      <c r="AD121">
        <v>100</v>
      </c>
      <c r="AE121">
        <v>100</v>
      </c>
      <c r="AF121" t="s">
        <v>47</v>
      </c>
    </row>
    <row r="122" spans="1:32">
      <c r="A122" t="s">
        <v>873</v>
      </c>
      <c r="B122">
        <v>3.2</v>
      </c>
      <c r="C122">
        <v>6</v>
      </c>
      <c r="D122">
        <v>3</v>
      </c>
      <c r="E122">
        <v>7.5</v>
      </c>
      <c r="F122">
        <v>8.6999999999999993</v>
      </c>
      <c r="G122">
        <v>5.9</v>
      </c>
      <c r="H122">
        <v>82</v>
      </c>
      <c r="I122">
        <v>54.9</v>
      </c>
      <c r="J122">
        <v>0</v>
      </c>
      <c r="K122">
        <v>50</v>
      </c>
      <c r="L122">
        <v>23.9</v>
      </c>
      <c r="M122">
        <v>6.3</v>
      </c>
      <c r="N122">
        <v>101</v>
      </c>
      <c r="O122">
        <v>36</v>
      </c>
      <c r="P122">
        <v>11.3</v>
      </c>
      <c r="Q122">
        <v>10.5</v>
      </c>
      <c r="R122">
        <v>7.2</v>
      </c>
      <c r="S122">
        <v>21.2</v>
      </c>
      <c r="T122">
        <v>88</v>
      </c>
      <c r="U122">
        <v>8684</v>
      </c>
      <c r="V122">
        <v>1266000</v>
      </c>
      <c r="W122">
        <v>55</v>
      </c>
      <c r="X122">
        <v>55.7</v>
      </c>
      <c r="Y122">
        <v>69.599999999999994</v>
      </c>
      <c r="Z122">
        <v>70.400000000000006</v>
      </c>
      <c r="AA122">
        <v>55</v>
      </c>
      <c r="AB122">
        <v>26.9</v>
      </c>
      <c r="AC122">
        <v>59.2</v>
      </c>
      <c r="AD122">
        <v>100</v>
      </c>
      <c r="AE122">
        <v>100</v>
      </c>
      <c r="AF122" t="s">
        <v>47</v>
      </c>
    </row>
    <row r="123" spans="1:32">
      <c r="A123" t="s">
        <v>875</v>
      </c>
      <c r="B123">
        <v>4.3</v>
      </c>
      <c r="C123">
        <v>12</v>
      </c>
      <c r="D123">
        <v>5</v>
      </c>
      <c r="E123">
        <v>13.4</v>
      </c>
      <c r="F123">
        <v>11.4</v>
      </c>
      <c r="G123">
        <v>8.1999999999999993</v>
      </c>
      <c r="H123">
        <v>62.8</v>
      </c>
      <c r="I123">
        <v>72</v>
      </c>
      <c r="J123">
        <v>0</v>
      </c>
      <c r="K123">
        <v>58</v>
      </c>
      <c r="L123">
        <v>35.299999999999997</v>
      </c>
      <c r="M123">
        <v>4.8</v>
      </c>
      <c r="N123">
        <v>61</v>
      </c>
      <c r="O123">
        <v>35</v>
      </c>
      <c r="P123">
        <v>14.8</v>
      </c>
      <c r="Q123">
        <v>6.3</v>
      </c>
      <c r="R123">
        <v>2.4</v>
      </c>
      <c r="S123">
        <v>15.4</v>
      </c>
      <c r="T123">
        <v>100</v>
      </c>
      <c r="U123">
        <v>8068</v>
      </c>
      <c r="V123">
        <v>1819000</v>
      </c>
      <c r="W123">
        <v>43</v>
      </c>
      <c r="X123">
        <v>64.8</v>
      </c>
      <c r="Y123">
        <v>79.099999999999994</v>
      </c>
      <c r="Z123">
        <v>68.400000000000006</v>
      </c>
      <c r="AA123">
        <v>43</v>
      </c>
      <c r="AB123">
        <v>32.9</v>
      </c>
      <c r="AC123">
        <v>63.7</v>
      </c>
      <c r="AD123">
        <v>100</v>
      </c>
      <c r="AE123">
        <v>100</v>
      </c>
      <c r="AF123" t="s">
        <v>47</v>
      </c>
    </row>
    <row r="124" spans="1:32">
      <c r="A124" t="s">
        <v>877</v>
      </c>
      <c r="B124">
        <v>4</v>
      </c>
      <c r="C124">
        <v>8</v>
      </c>
      <c r="D124">
        <v>4</v>
      </c>
      <c r="E124">
        <v>10.199999999999999</v>
      </c>
      <c r="F124">
        <v>8</v>
      </c>
      <c r="G124">
        <v>7.6</v>
      </c>
      <c r="H124">
        <v>66</v>
      </c>
      <c r="J124">
        <v>0</v>
      </c>
      <c r="K124">
        <v>46</v>
      </c>
      <c r="L124">
        <v>28.5</v>
      </c>
      <c r="N124">
        <v>74</v>
      </c>
      <c r="O124">
        <v>26</v>
      </c>
      <c r="Q124">
        <v>9.9</v>
      </c>
      <c r="R124">
        <v>9.8000000000000007</v>
      </c>
      <c r="S124">
        <v>12.6</v>
      </c>
      <c r="U124">
        <v>9855</v>
      </c>
      <c r="V124">
        <v>3263000</v>
      </c>
      <c r="W124">
        <v>76</v>
      </c>
      <c r="X124">
        <v>61.8</v>
      </c>
      <c r="Y124">
        <v>75.099999999999994</v>
      </c>
      <c r="Z124">
        <v>78.3</v>
      </c>
      <c r="AA124">
        <v>76</v>
      </c>
      <c r="AB124">
        <v>15.6</v>
      </c>
      <c r="AC124">
        <v>65.2</v>
      </c>
      <c r="AD124">
        <v>100</v>
      </c>
      <c r="AE124">
        <v>81</v>
      </c>
      <c r="AF124" t="s">
        <v>1971</v>
      </c>
    </row>
    <row r="125" spans="1:32">
      <c r="A125" t="s">
        <v>879</v>
      </c>
      <c r="B125">
        <v>4.0999999999999996</v>
      </c>
      <c r="C125">
        <v>9</v>
      </c>
      <c r="D125">
        <v>7</v>
      </c>
      <c r="E125">
        <v>17.7</v>
      </c>
      <c r="F125">
        <v>10.6</v>
      </c>
      <c r="G125">
        <v>5.8</v>
      </c>
      <c r="H125">
        <v>77.099999999999994</v>
      </c>
      <c r="I125">
        <v>64.3</v>
      </c>
      <c r="J125">
        <v>0</v>
      </c>
      <c r="K125">
        <v>59</v>
      </c>
      <c r="L125">
        <v>31.2</v>
      </c>
      <c r="M125">
        <v>6.2</v>
      </c>
      <c r="N125">
        <v>73</v>
      </c>
      <c r="O125">
        <v>43</v>
      </c>
      <c r="P125">
        <v>18.100000000000001</v>
      </c>
      <c r="Q125">
        <v>7.3</v>
      </c>
      <c r="R125">
        <v>5.9</v>
      </c>
      <c r="S125">
        <v>17.7</v>
      </c>
      <c r="T125">
        <v>85</v>
      </c>
      <c r="U125">
        <v>7561</v>
      </c>
      <c r="V125">
        <v>1423000</v>
      </c>
      <c r="W125">
        <v>42</v>
      </c>
      <c r="X125">
        <v>71.5</v>
      </c>
      <c r="Y125">
        <v>72.2</v>
      </c>
      <c r="Z125">
        <v>68.599999999999994</v>
      </c>
      <c r="AA125">
        <v>42</v>
      </c>
      <c r="AB125">
        <v>37.799999999999997</v>
      </c>
      <c r="AC125">
        <v>64.8</v>
      </c>
      <c r="AD125">
        <v>100</v>
      </c>
      <c r="AE125">
        <v>100</v>
      </c>
      <c r="AF125" t="s">
        <v>47</v>
      </c>
    </row>
    <row r="126" spans="1:32">
      <c r="A126" t="s">
        <v>881</v>
      </c>
      <c r="B126">
        <v>3</v>
      </c>
      <c r="C126">
        <v>7</v>
      </c>
      <c r="D126">
        <v>3</v>
      </c>
      <c r="E126">
        <v>6.8</v>
      </c>
      <c r="F126">
        <v>3.2</v>
      </c>
      <c r="G126">
        <v>7.4</v>
      </c>
      <c r="I126">
        <v>71.400000000000006</v>
      </c>
      <c r="J126">
        <v>0</v>
      </c>
      <c r="K126">
        <v>46</v>
      </c>
      <c r="L126">
        <v>27.7</v>
      </c>
      <c r="M126">
        <v>6.3</v>
      </c>
      <c r="N126">
        <v>89</v>
      </c>
      <c r="P126">
        <v>10.8</v>
      </c>
      <c r="Q126">
        <v>11.7</v>
      </c>
      <c r="R126">
        <v>6.1</v>
      </c>
      <c r="S126">
        <v>10.4</v>
      </c>
      <c r="T126">
        <v>84</v>
      </c>
      <c r="U126">
        <v>8131</v>
      </c>
      <c r="V126">
        <v>2359000</v>
      </c>
      <c r="W126">
        <v>75</v>
      </c>
      <c r="X126">
        <v>47.6</v>
      </c>
      <c r="Y126">
        <v>75.599999999999994</v>
      </c>
      <c r="Z126">
        <v>91.1</v>
      </c>
      <c r="AA126">
        <v>75</v>
      </c>
      <c r="AB126">
        <v>32.299999999999997</v>
      </c>
      <c r="AC126">
        <v>64.5</v>
      </c>
      <c r="AD126">
        <v>100</v>
      </c>
      <c r="AE126">
        <v>90.5</v>
      </c>
      <c r="AF126" t="s">
        <v>47</v>
      </c>
    </row>
    <row r="127" spans="1:32">
      <c r="A127" t="s">
        <v>883</v>
      </c>
      <c r="B127">
        <v>1.7</v>
      </c>
      <c r="C127">
        <v>4</v>
      </c>
      <c r="D127">
        <v>4</v>
      </c>
      <c r="E127">
        <v>8.6999999999999993</v>
      </c>
      <c r="F127">
        <v>3.9</v>
      </c>
      <c r="G127">
        <v>7.5</v>
      </c>
      <c r="H127">
        <v>69.7</v>
      </c>
      <c r="I127">
        <v>53</v>
      </c>
      <c r="J127">
        <v>0</v>
      </c>
      <c r="K127">
        <v>52</v>
      </c>
      <c r="L127">
        <v>38.4</v>
      </c>
      <c r="M127">
        <v>6.9</v>
      </c>
      <c r="N127">
        <v>81</v>
      </c>
      <c r="O127">
        <v>66</v>
      </c>
      <c r="P127">
        <v>15.9</v>
      </c>
      <c r="Q127">
        <v>11.4</v>
      </c>
      <c r="R127">
        <v>7.6</v>
      </c>
      <c r="S127">
        <v>11</v>
      </c>
      <c r="T127">
        <v>78</v>
      </c>
      <c r="U127">
        <v>3350</v>
      </c>
      <c r="V127">
        <v>1498000</v>
      </c>
      <c r="W127">
        <v>61</v>
      </c>
      <c r="X127">
        <v>51.5</v>
      </c>
      <c r="Y127">
        <v>66.2</v>
      </c>
      <c r="Z127">
        <v>89</v>
      </c>
      <c r="AA127">
        <v>61</v>
      </c>
      <c r="AB127">
        <v>78.599999999999994</v>
      </c>
      <c r="AC127">
        <v>66.3</v>
      </c>
      <c r="AD127">
        <v>100</v>
      </c>
      <c r="AE127">
        <v>100</v>
      </c>
      <c r="AF127" t="s">
        <v>47</v>
      </c>
    </row>
    <row r="128" spans="1:32">
      <c r="A128" t="s">
        <v>886</v>
      </c>
      <c r="B128">
        <v>1.7</v>
      </c>
      <c r="C128">
        <v>6</v>
      </c>
      <c r="D128">
        <v>3</v>
      </c>
      <c r="E128">
        <v>9.9</v>
      </c>
      <c r="F128">
        <v>3.2</v>
      </c>
      <c r="G128">
        <v>8.1999999999999993</v>
      </c>
      <c r="H128">
        <v>74.8</v>
      </c>
      <c r="I128">
        <v>58.6</v>
      </c>
      <c r="J128">
        <v>0</v>
      </c>
      <c r="K128">
        <v>56</v>
      </c>
      <c r="L128">
        <v>24.2</v>
      </c>
      <c r="M128">
        <v>8.1</v>
      </c>
      <c r="N128">
        <v>84</v>
      </c>
      <c r="O128">
        <v>43</v>
      </c>
      <c r="P128">
        <v>17.5</v>
      </c>
      <c r="Q128">
        <v>11.1</v>
      </c>
      <c r="R128">
        <v>6.1</v>
      </c>
      <c r="S128">
        <v>7.8</v>
      </c>
      <c r="T128">
        <v>78</v>
      </c>
      <c r="U128">
        <v>4811</v>
      </c>
      <c r="V128">
        <v>1672000</v>
      </c>
      <c r="W128">
        <v>37</v>
      </c>
      <c r="X128">
        <v>60.7</v>
      </c>
      <c r="Y128">
        <v>67.400000000000006</v>
      </c>
      <c r="Z128">
        <v>93</v>
      </c>
      <c r="AA128">
        <v>37</v>
      </c>
      <c r="AB128">
        <v>64.400000000000006</v>
      </c>
      <c r="AC128">
        <v>66.8</v>
      </c>
      <c r="AD128">
        <v>100</v>
      </c>
      <c r="AE128">
        <v>100</v>
      </c>
      <c r="AF128" t="s">
        <v>47</v>
      </c>
    </row>
    <row r="129" spans="1:32">
      <c r="A129" t="s">
        <v>888</v>
      </c>
      <c r="B129">
        <v>9.5</v>
      </c>
      <c r="C129">
        <v>25</v>
      </c>
      <c r="D129">
        <v>11</v>
      </c>
      <c r="E129">
        <v>18.100000000000001</v>
      </c>
      <c r="F129">
        <v>8.3000000000000007</v>
      </c>
      <c r="G129">
        <v>6.4</v>
      </c>
      <c r="H129">
        <v>80.2</v>
      </c>
      <c r="I129">
        <v>100</v>
      </c>
      <c r="J129">
        <v>0</v>
      </c>
      <c r="K129">
        <v>79</v>
      </c>
      <c r="L129">
        <v>17.100000000000001</v>
      </c>
      <c r="M129">
        <v>2.7</v>
      </c>
      <c r="N129">
        <v>51</v>
      </c>
      <c r="O129">
        <v>59</v>
      </c>
      <c r="P129">
        <v>2.8</v>
      </c>
      <c r="Q129">
        <v>6.9</v>
      </c>
      <c r="R129">
        <v>5.4</v>
      </c>
      <c r="S129">
        <v>17</v>
      </c>
      <c r="T129">
        <v>100</v>
      </c>
      <c r="U129">
        <v>5389</v>
      </c>
      <c r="V129">
        <v>3817000</v>
      </c>
      <c r="W129">
        <v>60</v>
      </c>
      <c r="X129">
        <v>79.2</v>
      </c>
      <c r="Y129">
        <v>93.5</v>
      </c>
      <c r="Z129">
        <v>74.400000000000006</v>
      </c>
      <c r="AA129">
        <v>60</v>
      </c>
      <c r="AB129">
        <v>58.8</v>
      </c>
      <c r="AC129">
        <v>77.8</v>
      </c>
      <c r="AD129">
        <v>100</v>
      </c>
      <c r="AE129">
        <v>100</v>
      </c>
      <c r="AF129" t="s">
        <v>47</v>
      </c>
    </row>
    <row r="130" spans="1:32">
      <c r="A130" t="s">
        <v>891</v>
      </c>
      <c r="B130">
        <v>2.8</v>
      </c>
      <c r="C130">
        <v>10</v>
      </c>
      <c r="D130">
        <v>4</v>
      </c>
      <c r="E130">
        <v>10.3</v>
      </c>
      <c r="F130">
        <v>9.4</v>
      </c>
      <c r="G130">
        <v>6.1</v>
      </c>
      <c r="H130">
        <v>76.900000000000006</v>
      </c>
      <c r="I130">
        <v>58.1</v>
      </c>
      <c r="J130">
        <v>0</v>
      </c>
      <c r="K130">
        <v>51</v>
      </c>
      <c r="L130">
        <v>21.7</v>
      </c>
      <c r="M130">
        <v>6.7</v>
      </c>
      <c r="N130">
        <v>78</v>
      </c>
      <c r="O130">
        <v>63</v>
      </c>
      <c r="P130">
        <v>16.399999999999999</v>
      </c>
      <c r="Q130">
        <v>8.8000000000000007</v>
      </c>
      <c r="R130">
        <v>8.4</v>
      </c>
      <c r="S130">
        <v>17.5</v>
      </c>
      <c r="T130">
        <v>76</v>
      </c>
      <c r="U130">
        <v>4140</v>
      </c>
      <c r="V130">
        <v>1631000</v>
      </c>
      <c r="W130">
        <v>41</v>
      </c>
      <c r="X130">
        <v>61.6</v>
      </c>
      <c r="Y130">
        <v>68.599999999999994</v>
      </c>
      <c r="Z130">
        <v>71.5</v>
      </c>
      <c r="AA130">
        <v>41</v>
      </c>
      <c r="AB130">
        <v>70.900000000000006</v>
      </c>
      <c r="AC130">
        <v>64.2</v>
      </c>
      <c r="AD130">
        <v>100</v>
      </c>
      <c r="AE130">
        <v>100</v>
      </c>
      <c r="AF130" t="s">
        <v>47</v>
      </c>
    </row>
    <row r="131" spans="1:32">
      <c r="A131" t="s">
        <v>893</v>
      </c>
      <c r="B131">
        <v>1.6</v>
      </c>
      <c r="C131">
        <v>3</v>
      </c>
      <c r="D131">
        <v>0</v>
      </c>
      <c r="E131">
        <v>15.4</v>
      </c>
      <c r="F131">
        <v>7.5</v>
      </c>
      <c r="G131">
        <v>3</v>
      </c>
      <c r="H131">
        <v>48.2</v>
      </c>
      <c r="I131">
        <v>56</v>
      </c>
      <c r="J131">
        <v>0</v>
      </c>
      <c r="K131">
        <v>45</v>
      </c>
      <c r="L131">
        <v>22.7</v>
      </c>
      <c r="M131">
        <v>11.4</v>
      </c>
      <c r="N131">
        <v>72</v>
      </c>
      <c r="O131">
        <v>65</v>
      </c>
      <c r="P131">
        <v>18.8</v>
      </c>
      <c r="Q131">
        <v>17.3</v>
      </c>
      <c r="R131">
        <v>12.6</v>
      </c>
      <c r="S131">
        <v>29.6</v>
      </c>
      <c r="T131">
        <v>86</v>
      </c>
      <c r="U131">
        <v>3115</v>
      </c>
      <c r="V131">
        <v>1047000</v>
      </c>
      <c r="W131">
        <v>49</v>
      </c>
      <c r="X131">
        <v>69.8</v>
      </c>
      <c r="Y131">
        <v>58.3</v>
      </c>
      <c r="Z131">
        <v>67.099999999999994</v>
      </c>
      <c r="AA131">
        <v>49</v>
      </c>
      <c r="AB131">
        <v>80.8</v>
      </c>
      <c r="AC131">
        <v>65.400000000000006</v>
      </c>
      <c r="AD131">
        <v>100</v>
      </c>
      <c r="AE131">
        <v>100</v>
      </c>
      <c r="AF131" t="s">
        <v>47</v>
      </c>
    </row>
    <row r="132" spans="1:32">
      <c r="A132" t="s">
        <v>896</v>
      </c>
      <c r="B132">
        <v>5.5</v>
      </c>
      <c r="C132">
        <v>13</v>
      </c>
      <c r="D132">
        <v>6</v>
      </c>
      <c r="E132">
        <v>17.3</v>
      </c>
      <c r="G132">
        <v>9</v>
      </c>
      <c r="H132">
        <v>78.3</v>
      </c>
      <c r="I132">
        <v>66.900000000000006</v>
      </c>
      <c r="J132">
        <v>0</v>
      </c>
      <c r="K132">
        <v>75</v>
      </c>
      <c r="L132">
        <v>33</v>
      </c>
      <c r="M132">
        <v>6.8</v>
      </c>
      <c r="N132">
        <v>61</v>
      </c>
      <c r="O132">
        <v>64</v>
      </c>
      <c r="P132">
        <v>18.100000000000001</v>
      </c>
      <c r="Q132">
        <v>9.4</v>
      </c>
      <c r="R132">
        <v>6.4</v>
      </c>
      <c r="S132">
        <v>16.399999999999999</v>
      </c>
      <c r="T132">
        <v>89</v>
      </c>
      <c r="U132">
        <v>5665</v>
      </c>
      <c r="V132">
        <v>3836000</v>
      </c>
      <c r="W132">
        <v>57</v>
      </c>
      <c r="X132">
        <v>69.8</v>
      </c>
      <c r="Y132">
        <v>71.599999999999994</v>
      </c>
      <c r="Z132">
        <v>70</v>
      </c>
      <c r="AA132">
        <v>57</v>
      </c>
      <c r="AB132">
        <v>56.2</v>
      </c>
      <c r="AC132">
        <v>67.599999999999994</v>
      </c>
      <c r="AD132">
        <v>100</v>
      </c>
      <c r="AE132">
        <v>95.2</v>
      </c>
      <c r="AF132" t="s">
        <v>47</v>
      </c>
    </row>
    <row r="133" spans="1:32">
      <c r="A133" t="s">
        <v>898</v>
      </c>
      <c r="B133">
        <v>6.5</v>
      </c>
      <c r="C133">
        <v>17</v>
      </c>
      <c r="D133">
        <v>9</v>
      </c>
      <c r="E133">
        <v>12.1</v>
      </c>
      <c r="F133">
        <v>3.5</v>
      </c>
      <c r="G133">
        <v>5.8</v>
      </c>
      <c r="H133">
        <v>71.7</v>
      </c>
      <c r="I133">
        <v>75.599999999999994</v>
      </c>
      <c r="J133">
        <v>0</v>
      </c>
      <c r="K133">
        <v>66</v>
      </c>
      <c r="L133">
        <v>17.2</v>
      </c>
      <c r="M133">
        <v>4</v>
      </c>
      <c r="N133">
        <v>86</v>
      </c>
      <c r="O133">
        <v>48</v>
      </c>
      <c r="P133">
        <v>12.1</v>
      </c>
      <c r="Q133">
        <v>12.1</v>
      </c>
      <c r="R133">
        <v>4.9000000000000004</v>
      </c>
      <c r="S133">
        <v>14.6</v>
      </c>
      <c r="T133">
        <v>94</v>
      </c>
      <c r="U133">
        <v>3430</v>
      </c>
      <c r="V133">
        <v>2130000</v>
      </c>
      <c r="W133">
        <v>61</v>
      </c>
      <c r="X133">
        <v>66.599999999999994</v>
      </c>
      <c r="Y133">
        <v>78.599999999999994</v>
      </c>
      <c r="Z133">
        <v>87.3</v>
      </c>
      <c r="AA133">
        <v>61</v>
      </c>
      <c r="AB133">
        <v>77.8</v>
      </c>
      <c r="AC133">
        <v>74.3</v>
      </c>
      <c r="AD133">
        <v>100</v>
      </c>
      <c r="AE133">
        <v>100</v>
      </c>
      <c r="AF133" t="s">
        <v>47</v>
      </c>
    </row>
    <row r="134" spans="1:32">
      <c r="A134" t="s">
        <v>900</v>
      </c>
      <c r="B134">
        <v>0.7</v>
      </c>
      <c r="C134">
        <v>2</v>
      </c>
      <c r="D134">
        <v>0</v>
      </c>
      <c r="E134">
        <v>2.2999999999999998</v>
      </c>
      <c r="F134">
        <v>12.8</v>
      </c>
      <c r="G134">
        <v>6.6</v>
      </c>
      <c r="H134">
        <v>67.099999999999994</v>
      </c>
      <c r="I134">
        <v>35.5</v>
      </c>
      <c r="J134">
        <v>0</v>
      </c>
      <c r="K134">
        <v>34</v>
      </c>
      <c r="L134">
        <v>43.4</v>
      </c>
      <c r="M134">
        <v>10.3</v>
      </c>
      <c r="N134">
        <v>110</v>
      </c>
      <c r="O134">
        <v>62</v>
      </c>
      <c r="P134">
        <v>23.5</v>
      </c>
      <c r="Q134">
        <v>6.4</v>
      </c>
      <c r="R134">
        <v>13.9</v>
      </c>
      <c r="S134">
        <v>12.9</v>
      </c>
      <c r="T134">
        <v>70</v>
      </c>
      <c r="U134">
        <v>3448</v>
      </c>
      <c r="V134">
        <v>1459000</v>
      </c>
      <c r="W134">
        <v>62</v>
      </c>
      <c r="X134">
        <v>36.4</v>
      </c>
      <c r="Y134">
        <v>53.8</v>
      </c>
      <c r="Z134">
        <v>67</v>
      </c>
      <c r="AA134">
        <v>62</v>
      </c>
      <c r="AB134">
        <v>77.599999999999994</v>
      </c>
      <c r="AC134">
        <v>53.5</v>
      </c>
      <c r="AD134">
        <v>100</v>
      </c>
      <c r="AE134">
        <v>100</v>
      </c>
      <c r="AF134" t="s">
        <v>47</v>
      </c>
    </row>
    <row r="135" spans="1:32">
      <c r="A135" t="s">
        <v>902</v>
      </c>
      <c r="B135">
        <v>3.9</v>
      </c>
      <c r="C135">
        <v>11</v>
      </c>
      <c r="D135">
        <v>8</v>
      </c>
      <c r="E135">
        <v>12.6</v>
      </c>
      <c r="F135">
        <v>12.1</v>
      </c>
      <c r="G135">
        <v>7.6</v>
      </c>
      <c r="H135">
        <v>68.099999999999994</v>
      </c>
      <c r="I135">
        <v>56.1</v>
      </c>
      <c r="J135">
        <v>0</v>
      </c>
      <c r="K135">
        <v>54</v>
      </c>
      <c r="L135">
        <v>28.6</v>
      </c>
      <c r="M135">
        <v>7.6</v>
      </c>
      <c r="N135">
        <v>66</v>
      </c>
      <c r="O135">
        <v>58</v>
      </c>
      <c r="P135">
        <v>18.5</v>
      </c>
      <c r="Q135">
        <v>7.3</v>
      </c>
      <c r="R135">
        <v>7.5</v>
      </c>
      <c r="S135">
        <v>14.5</v>
      </c>
      <c r="T135">
        <v>78</v>
      </c>
      <c r="U135">
        <v>3674</v>
      </c>
      <c r="V135">
        <v>884000</v>
      </c>
      <c r="W135">
        <v>48</v>
      </c>
      <c r="X135">
        <v>64</v>
      </c>
      <c r="Y135">
        <v>67.400000000000006</v>
      </c>
      <c r="Z135">
        <v>67.400000000000006</v>
      </c>
      <c r="AA135">
        <v>48</v>
      </c>
      <c r="AB135">
        <v>75.400000000000006</v>
      </c>
      <c r="AC135">
        <v>65.099999999999994</v>
      </c>
      <c r="AD135">
        <v>100</v>
      </c>
      <c r="AE135">
        <v>100</v>
      </c>
      <c r="AF135" t="s">
        <v>47</v>
      </c>
    </row>
    <row r="136" spans="1:32">
      <c r="A136" t="s">
        <v>904</v>
      </c>
      <c r="B136">
        <v>5.7</v>
      </c>
      <c r="C136">
        <v>16</v>
      </c>
      <c r="D136">
        <v>8</v>
      </c>
      <c r="E136">
        <v>10.1</v>
      </c>
      <c r="F136">
        <v>6.1</v>
      </c>
      <c r="G136">
        <v>5.5</v>
      </c>
      <c r="H136">
        <v>58.5</v>
      </c>
      <c r="I136">
        <v>67.400000000000006</v>
      </c>
      <c r="J136">
        <v>3</v>
      </c>
      <c r="K136">
        <v>42</v>
      </c>
      <c r="L136">
        <v>25</v>
      </c>
      <c r="M136">
        <v>3.1</v>
      </c>
      <c r="N136">
        <v>88</v>
      </c>
      <c r="O136">
        <v>59</v>
      </c>
      <c r="P136">
        <v>15.9</v>
      </c>
      <c r="Q136">
        <v>11.2</v>
      </c>
      <c r="R136">
        <v>7.2</v>
      </c>
      <c r="S136">
        <v>20.5</v>
      </c>
      <c r="T136">
        <v>85</v>
      </c>
      <c r="U136">
        <v>3816</v>
      </c>
      <c r="V136">
        <v>809000</v>
      </c>
      <c r="W136">
        <v>46</v>
      </c>
      <c r="X136">
        <v>59.1</v>
      </c>
      <c r="Y136">
        <v>74.400000000000006</v>
      </c>
      <c r="Z136">
        <v>77</v>
      </c>
      <c r="AA136">
        <v>46</v>
      </c>
      <c r="AB136">
        <v>74</v>
      </c>
      <c r="AC136">
        <v>66.7</v>
      </c>
      <c r="AD136">
        <v>100</v>
      </c>
      <c r="AE136">
        <v>100</v>
      </c>
      <c r="AF136" t="s">
        <v>47</v>
      </c>
    </row>
    <row r="137" spans="1:32">
      <c r="A137" t="s">
        <v>907</v>
      </c>
      <c r="B137">
        <v>2.9</v>
      </c>
      <c r="C137">
        <v>6</v>
      </c>
      <c r="D137">
        <v>4</v>
      </c>
      <c r="E137">
        <v>6.3</v>
      </c>
      <c r="F137">
        <v>10.5</v>
      </c>
      <c r="G137">
        <v>6.7</v>
      </c>
      <c r="H137">
        <v>64.2</v>
      </c>
      <c r="I137">
        <v>67.099999999999994</v>
      </c>
      <c r="J137">
        <v>0</v>
      </c>
      <c r="K137">
        <v>48</v>
      </c>
      <c r="L137">
        <v>23.5</v>
      </c>
      <c r="M137">
        <v>8.1</v>
      </c>
      <c r="N137">
        <v>89</v>
      </c>
      <c r="O137">
        <v>60</v>
      </c>
      <c r="P137">
        <v>12.8</v>
      </c>
      <c r="Q137">
        <v>9.6</v>
      </c>
      <c r="R137">
        <v>5.9</v>
      </c>
      <c r="S137">
        <v>12.4</v>
      </c>
      <c r="T137">
        <v>89</v>
      </c>
      <c r="U137">
        <v>4235</v>
      </c>
      <c r="V137">
        <v>1952000</v>
      </c>
      <c r="W137">
        <v>26</v>
      </c>
      <c r="X137">
        <v>53.5</v>
      </c>
      <c r="Y137">
        <v>72.8</v>
      </c>
      <c r="Z137">
        <v>72.7</v>
      </c>
      <c r="AA137">
        <v>26</v>
      </c>
      <c r="AB137">
        <v>70</v>
      </c>
      <c r="AC137">
        <v>61</v>
      </c>
      <c r="AD137">
        <v>100</v>
      </c>
      <c r="AE137">
        <v>100</v>
      </c>
      <c r="AF137" t="s">
        <v>47</v>
      </c>
    </row>
    <row r="138" spans="1:32">
      <c r="A138" t="s">
        <v>909</v>
      </c>
      <c r="B138">
        <v>4.5</v>
      </c>
      <c r="C138">
        <v>11</v>
      </c>
      <c r="D138">
        <v>5</v>
      </c>
      <c r="E138">
        <v>7.5</v>
      </c>
      <c r="F138">
        <v>7.9</v>
      </c>
      <c r="G138">
        <v>6.6</v>
      </c>
      <c r="H138">
        <v>48.5</v>
      </c>
      <c r="I138">
        <v>64</v>
      </c>
      <c r="J138">
        <v>0</v>
      </c>
      <c r="K138">
        <v>51</v>
      </c>
      <c r="L138">
        <v>23.4</v>
      </c>
      <c r="M138">
        <v>6.1</v>
      </c>
      <c r="N138">
        <v>97</v>
      </c>
      <c r="O138">
        <v>77</v>
      </c>
      <c r="P138">
        <v>16.3</v>
      </c>
      <c r="Q138">
        <v>10.9</v>
      </c>
      <c r="R138">
        <v>8.3000000000000007</v>
      </c>
      <c r="S138">
        <v>17.8</v>
      </c>
      <c r="T138">
        <v>90</v>
      </c>
      <c r="U138">
        <v>3523</v>
      </c>
      <c r="V138">
        <v>1121000</v>
      </c>
      <c r="W138">
        <v>62</v>
      </c>
      <c r="X138">
        <v>53.3</v>
      </c>
      <c r="Y138">
        <v>70.400000000000006</v>
      </c>
      <c r="Z138">
        <v>74.8</v>
      </c>
      <c r="AA138">
        <v>62</v>
      </c>
      <c r="AB138">
        <v>76.900000000000006</v>
      </c>
      <c r="AC138">
        <v>65.099999999999994</v>
      </c>
      <c r="AD138">
        <v>100</v>
      </c>
      <c r="AE138">
        <v>100</v>
      </c>
      <c r="AF138" t="s">
        <v>47</v>
      </c>
    </row>
    <row r="139" spans="1:32">
      <c r="A139" t="s">
        <v>911</v>
      </c>
      <c r="B139">
        <v>0.5</v>
      </c>
      <c r="C139">
        <v>4</v>
      </c>
      <c r="D139">
        <v>0</v>
      </c>
      <c r="E139">
        <v>5.8</v>
      </c>
      <c r="F139">
        <v>7.4</v>
      </c>
      <c r="G139">
        <v>4.2</v>
      </c>
      <c r="H139">
        <v>69.7</v>
      </c>
      <c r="I139">
        <v>48.2</v>
      </c>
      <c r="J139">
        <v>0</v>
      </c>
      <c r="K139">
        <v>39</v>
      </c>
      <c r="L139">
        <v>38.299999999999997</v>
      </c>
      <c r="M139">
        <v>7.4</v>
      </c>
      <c r="N139">
        <v>89</v>
      </c>
      <c r="O139">
        <v>62</v>
      </c>
      <c r="P139">
        <v>22</v>
      </c>
      <c r="Q139">
        <v>16.399999999999999</v>
      </c>
      <c r="R139">
        <v>12.8</v>
      </c>
      <c r="S139">
        <v>20.9</v>
      </c>
      <c r="T139">
        <v>82</v>
      </c>
      <c r="U139">
        <v>4297</v>
      </c>
      <c r="V139">
        <v>1533000</v>
      </c>
      <c r="W139">
        <v>46</v>
      </c>
      <c r="X139">
        <v>46.3</v>
      </c>
      <c r="Y139">
        <v>57.6</v>
      </c>
      <c r="Z139">
        <v>73.7</v>
      </c>
      <c r="AA139">
        <v>46</v>
      </c>
      <c r="AB139">
        <v>69.400000000000006</v>
      </c>
      <c r="AC139">
        <v>56.9</v>
      </c>
      <c r="AD139">
        <v>100</v>
      </c>
      <c r="AE139">
        <v>100</v>
      </c>
      <c r="AF139" t="s">
        <v>47</v>
      </c>
    </row>
    <row r="140" spans="1:32">
      <c r="A140" t="s">
        <v>913</v>
      </c>
      <c r="B140">
        <v>5.2</v>
      </c>
      <c r="C140">
        <v>13</v>
      </c>
      <c r="D140">
        <v>8</v>
      </c>
      <c r="E140">
        <v>9.1999999999999993</v>
      </c>
      <c r="F140">
        <v>13.3</v>
      </c>
      <c r="G140">
        <v>9</v>
      </c>
      <c r="H140">
        <v>86.6</v>
      </c>
      <c r="I140">
        <v>63.1</v>
      </c>
      <c r="J140">
        <v>1</v>
      </c>
      <c r="K140">
        <v>54</v>
      </c>
      <c r="L140">
        <v>21</v>
      </c>
      <c r="M140">
        <v>6.6</v>
      </c>
      <c r="N140">
        <v>105</v>
      </c>
      <c r="O140">
        <v>53</v>
      </c>
      <c r="P140">
        <v>15.1</v>
      </c>
      <c r="Q140">
        <v>7.7</v>
      </c>
      <c r="R140">
        <v>7.6</v>
      </c>
      <c r="S140">
        <v>2.1</v>
      </c>
      <c r="T140">
        <v>87</v>
      </c>
      <c r="U140">
        <v>5026</v>
      </c>
      <c r="V140">
        <v>3089000</v>
      </c>
      <c r="W140">
        <v>70</v>
      </c>
      <c r="X140">
        <v>57.9</v>
      </c>
      <c r="Y140">
        <v>71.7</v>
      </c>
      <c r="Z140">
        <v>73.7</v>
      </c>
      <c r="AA140">
        <v>70</v>
      </c>
      <c r="AB140">
        <v>62.3</v>
      </c>
      <c r="AC140">
        <v>66.2</v>
      </c>
      <c r="AD140">
        <v>100</v>
      </c>
      <c r="AE140">
        <v>100</v>
      </c>
      <c r="AF140" t="s">
        <v>47</v>
      </c>
    </row>
    <row r="141" spans="1:32">
      <c r="A141" t="s">
        <v>915</v>
      </c>
      <c r="B141">
        <v>1.3</v>
      </c>
      <c r="C141">
        <v>3</v>
      </c>
      <c r="D141">
        <v>3</v>
      </c>
      <c r="E141">
        <v>6.6</v>
      </c>
      <c r="F141">
        <v>14</v>
      </c>
      <c r="H141">
        <v>75.3</v>
      </c>
      <c r="I141">
        <v>58</v>
      </c>
      <c r="J141">
        <v>0</v>
      </c>
      <c r="K141">
        <v>32</v>
      </c>
      <c r="L141">
        <v>25.5</v>
      </c>
      <c r="M141">
        <v>7.2</v>
      </c>
      <c r="N141">
        <v>93</v>
      </c>
      <c r="O141">
        <v>53</v>
      </c>
      <c r="P141">
        <v>20.3</v>
      </c>
      <c r="T141">
        <v>81</v>
      </c>
      <c r="U141">
        <v>5994</v>
      </c>
      <c r="V141">
        <v>2009000</v>
      </c>
      <c r="W141">
        <v>71</v>
      </c>
      <c r="X141">
        <v>53.2</v>
      </c>
      <c r="Y141">
        <v>61.6</v>
      </c>
      <c r="Z141">
        <v>57.1</v>
      </c>
      <c r="AA141">
        <v>71</v>
      </c>
      <c r="AB141">
        <v>53</v>
      </c>
      <c r="AC141">
        <v>57.9</v>
      </c>
      <c r="AD141">
        <v>100</v>
      </c>
      <c r="AE141">
        <v>81</v>
      </c>
      <c r="AF141" t="s">
        <v>1971</v>
      </c>
    </row>
    <row r="142" spans="1:32">
      <c r="A142" t="s">
        <v>917</v>
      </c>
      <c r="B142">
        <v>2.9</v>
      </c>
      <c r="C142">
        <v>8</v>
      </c>
      <c r="D142">
        <v>5</v>
      </c>
      <c r="E142">
        <v>11.4</v>
      </c>
      <c r="F142">
        <v>6.4</v>
      </c>
      <c r="G142">
        <v>7.2</v>
      </c>
      <c r="H142">
        <v>43.9</v>
      </c>
      <c r="I142">
        <v>68.099999999999994</v>
      </c>
      <c r="J142">
        <v>0</v>
      </c>
      <c r="K142">
        <v>53</v>
      </c>
      <c r="L142">
        <v>21.3</v>
      </c>
      <c r="M142">
        <v>4.9000000000000004</v>
      </c>
      <c r="N142">
        <v>111</v>
      </c>
      <c r="O142">
        <v>89</v>
      </c>
      <c r="P142">
        <v>15.3</v>
      </c>
      <c r="Q142">
        <v>4</v>
      </c>
      <c r="R142">
        <v>7.3</v>
      </c>
      <c r="S142">
        <v>14.7</v>
      </c>
      <c r="T142">
        <v>85</v>
      </c>
      <c r="U142">
        <v>2135</v>
      </c>
      <c r="V142">
        <v>1471000</v>
      </c>
      <c r="W142">
        <v>39</v>
      </c>
      <c r="X142">
        <v>58</v>
      </c>
      <c r="Y142">
        <v>76.2</v>
      </c>
      <c r="Z142">
        <v>80.5</v>
      </c>
      <c r="AA142">
        <v>39</v>
      </c>
      <c r="AB142">
        <v>90.3</v>
      </c>
      <c r="AC142">
        <v>68.400000000000006</v>
      </c>
      <c r="AD142">
        <v>100</v>
      </c>
      <c r="AE142">
        <v>100</v>
      </c>
      <c r="AF142" t="s">
        <v>47</v>
      </c>
    </row>
    <row r="143" spans="1:32">
      <c r="A143" t="s">
        <v>920</v>
      </c>
      <c r="B143">
        <v>2.8</v>
      </c>
      <c r="C143">
        <v>10</v>
      </c>
      <c r="D143">
        <v>4</v>
      </c>
      <c r="E143">
        <v>18.899999999999999</v>
      </c>
      <c r="F143">
        <v>10.1</v>
      </c>
      <c r="G143">
        <v>4.0999999999999996</v>
      </c>
      <c r="H143">
        <v>68</v>
      </c>
      <c r="I143">
        <v>58.2</v>
      </c>
      <c r="J143">
        <v>0</v>
      </c>
      <c r="K143">
        <v>53</v>
      </c>
      <c r="L143">
        <v>24.1</v>
      </c>
      <c r="M143">
        <v>7.1</v>
      </c>
      <c r="N143">
        <v>100</v>
      </c>
      <c r="O143">
        <v>104</v>
      </c>
      <c r="P143">
        <v>15.6</v>
      </c>
      <c r="Q143">
        <v>13.5</v>
      </c>
      <c r="R143">
        <v>11.3</v>
      </c>
      <c r="S143">
        <v>16.5</v>
      </c>
      <c r="T143">
        <v>85</v>
      </c>
      <c r="U143">
        <v>2173</v>
      </c>
      <c r="V143">
        <v>1050000</v>
      </c>
      <c r="W143">
        <v>47</v>
      </c>
      <c r="X143">
        <v>68.900000000000006</v>
      </c>
      <c r="Y143">
        <v>65.599999999999994</v>
      </c>
      <c r="Z143">
        <v>70.599999999999994</v>
      </c>
      <c r="AA143">
        <v>47</v>
      </c>
      <c r="AB143">
        <v>90</v>
      </c>
      <c r="AC143">
        <v>68.3</v>
      </c>
      <c r="AD143">
        <v>100</v>
      </c>
      <c r="AE143">
        <v>100</v>
      </c>
      <c r="AF143" t="s">
        <v>47</v>
      </c>
    </row>
    <row r="144" spans="1:32">
      <c r="A144" t="s">
        <v>922</v>
      </c>
      <c r="B144">
        <v>1.8</v>
      </c>
      <c r="C144">
        <v>6</v>
      </c>
      <c r="D144">
        <v>2</v>
      </c>
      <c r="E144">
        <v>12.9</v>
      </c>
      <c r="F144">
        <v>13.8</v>
      </c>
      <c r="G144">
        <v>5.9</v>
      </c>
      <c r="H144">
        <v>56.1</v>
      </c>
      <c r="I144">
        <v>52.1</v>
      </c>
      <c r="J144">
        <v>0</v>
      </c>
      <c r="K144">
        <v>44</v>
      </c>
      <c r="L144">
        <v>26.7</v>
      </c>
      <c r="M144">
        <v>6</v>
      </c>
      <c r="N144">
        <v>94</v>
      </c>
      <c r="O144">
        <v>109</v>
      </c>
      <c r="P144">
        <v>19.899999999999999</v>
      </c>
      <c r="Q144">
        <v>9.4</v>
      </c>
      <c r="R144">
        <v>9</v>
      </c>
      <c r="S144">
        <v>11.3</v>
      </c>
      <c r="T144">
        <v>81</v>
      </c>
      <c r="U144">
        <v>1370</v>
      </c>
      <c r="V144">
        <v>245000</v>
      </c>
      <c r="W144">
        <v>38</v>
      </c>
      <c r="X144">
        <v>58.4</v>
      </c>
      <c r="Y144">
        <v>65.2</v>
      </c>
      <c r="Z144">
        <v>65.8</v>
      </c>
      <c r="AA144">
        <v>38</v>
      </c>
      <c r="AB144">
        <v>97.7</v>
      </c>
      <c r="AC144">
        <v>63.5</v>
      </c>
      <c r="AD144">
        <v>100</v>
      </c>
      <c r="AE144">
        <v>100</v>
      </c>
      <c r="AF144" t="s">
        <v>47</v>
      </c>
    </row>
    <row r="145" spans="1:32">
      <c r="A145" t="s">
        <v>925</v>
      </c>
      <c r="B145">
        <v>2.8</v>
      </c>
      <c r="C145">
        <v>8</v>
      </c>
      <c r="D145">
        <v>7</v>
      </c>
      <c r="E145">
        <v>10.199999999999999</v>
      </c>
      <c r="F145">
        <v>7.7</v>
      </c>
      <c r="G145">
        <v>8.1</v>
      </c>
      <c r="H145">
        <v>65.3</v>
      </c>
      <c r="I145">
        <v>58.9</v>
      </c>
      <c r="J145">
        <v>0</v>
      </c>
      <c r="K145">
        <v>54</v>
      </c>
      <c r="L145">
        <v>28.7</v>
      </c>
      <c r="M145">
        <v>9.3000000000000007</v>
      </c>
      <c r="N145">
        <v>101</v>
      </c>
      <c r="O145">
        <v>86</v>
      </c>
      <c r="P145">
        <v>17</v>
      </c>
      <c r="Q145">
        <v>11.3</v>
      </c>
      <c r="R145">
        <v>5.8</v>
      </c>
      <c r="S145">
        <v>9.9</v>
      </c>
      <c r="T145">
        <v>76</v>
      </c>
      <c r="U145">
        <v>2039</v>
      </c>
      <c r="V145">
        <v>1586000</v>
      </c>
      <c r="W145">
        <v>57</v>
      </c>
      <c r="X145">
        <v>54.3</v>
      </c>
      <c r="Y145">
        <v>66.8</v>
      </c>
      <c r="Z145">
        <v>81</v>
      </c>
      <c r="AA145">
        <v>57</v>
      </c>
      <c r="AB145">
        <v>91.2</v>
      </c>
      <c r="AC145">
        <v>66.7</v>
      </c>
      <c r="AD145">
        <v>100</v>
      </c>
      <c r="AE145">
        <v>100</v>
      </c>
      <c r="AF145" t="s">
        <v>47</v>
      </c>
    </row>
    <row r="146" spans="1:32">
      <c r="A146" t="s">
        <v>928</v>
      </c>
      <c r="B146">
        <v>2</v>
      </c>
      <c r="C146">
        <v>3</v>
      </c>
      <c r="D146">
        <v>2</v>
      </c>
      <c r="E146">
        <v>4.8</v>
      </c>
      <c r="F146">
        <v>11.5</v>
      </c>
      <c r="G146">
        <v>6.4</v>
      </c>
      <c r="H146">
        <v>54.5</v>
      </c>
      <c r="I146">
        <v>59.6</v>
      </c>
      <c r="J146">
        <v>0</v>
      </c>
      <c r="K146">
        <v>41</v>
      </c>
      <c r="L146">
        <v>27.1</v>
      </c>
      <c r="M146">
        <v>5.6</v>
      </c>
      <c r="N146">
        <v>111</v>
      </c>
      <c r="O146">
        <v>98</v>
      </c>
      <c r="P146">
        <v>11</v>
      </c>
      <c r="Q146">
        <v>9.3000000000000007</v>
      </c>
      <c r="R146">
        <v>12.7</v>
      </c>
      <c r="S146">
        <v>17.100000000000001</v>
      </c>
      <c r="T146">
        <v>90</v>
      </c>
      <c r="U146">
        <v>2103</v>
      </c>
      <c r="V146">
        <v>2134000</v>
      </c>
      <c r="W146">
        <v>35</v>
      </c>
      <c r="X146">
        <v>44.3</v>
      </c>
      <c r="Y146">
        <v>69.900000000000006</v>
      </c>
      <c r="Z146">
        <v>66.900000000000006</v>
      </c>
      <c r="AA146">
        <v>35</v>
      </c>
      <c r="AB146">
        <v>90.6</v>
      </c>
      <c r="AC146">
        <v>58.9</v>
      </c>
      <c r="AD146">
        <v>100</v>
      </c>
      <c r="AE146">
        <v>100</v>
      </c>
      <c r="AF146" t="s">
        <v>47</v>
      </c>
    </row>
    <row r="147" spans="1:32">
      <c r="A147" t="s">
        <v>930</v>
      </c>
      <c r="B147">
        <v>3.6</v>
      </c>
      <c r="C147">
        <v>12</v>
      </c>
      <c r="D147">
        <v>6</v>
      </c>
      <c r="E147">
        <v>12.2</v>
      </c>
      <c r="G147">
        <v>4.4000000000000004</v>
      </c>
      <c r="H147">
        <v>49.9</v>
      </c>
      <c r="I147">
        <v>68.400000000000006</v>
      </c>
      <c r="J147">
        <v>0</v>
      </c>
      <c r="K147">
        <v>56</v>
      </c>
      <c r="L147">
        <v>22.2</v>
      </c>
      <c r="M147">
        <v>7</v>
      </c>
      <c r="N147">
        <v>98</v>
      </c>
      <c r="O147">
        <v>106</v>
      </c>
      <c r="P147">
        <v>13.3</v>
      </c>
      <c r="Q147">
        <v>9.1</v>
      </c>
      <c r="R147">
        <v>10.1</v>
      </c>
      <c r="S147">
        <v>22.1</v>
      </c>
      <c r="T147">
        <v>83</v>
      </c>
      <c r="U147">
        <v>2020</v>
      </c>
      <c r="V147">
        <v>306000</v>
      </c>
      <c r="W147">
        <v>31</v>
      </c>
      <c r="X147">
        <v>59</v>
      </c>
      <c r="Y147">
        <v>72.3</v>
      </c>
      <c r="Z147">
        <v>58.1</v>
      </c>
      <c r="AA147">
        <v>31</v>
      </c>
      <c r="AB147">
        <v>91.4</v>
      </c>
      <c r="AC147">
        <v>62.6</v>
      </c>
      <c r="AD147">
        <v>100</v>
      </c>
      <c r="AE147">
        <v>95.2</v>
      </c>
      <c r="AF147" t="s">
        <v>47</v>
      </c>
    </row>
    <row r="148" spans="1:32">
      <c r="A148" t="s">
        <v>932</v>
      </c>
      <c r="B148">
        <v>2.1</v>
      </c>
      <c r="C148">
        <v>3</v>
      </c>
      <c r="D148">
        <v>1</v>
      </c>
      <c r="E148">
        <v>2.7</v>
      </c>
      <c r="F148">
        <v>5.0999999999999996</v>
      </c>
      <c r="G148">
        <v>7.8</v>
      </c>
      <c r="H148">
        <v>73.400000000000006</v>
      </c>
      <c r="I148">
        <v>52.1</v>
      </c>
      <c r="J148">
        <v>0</v>
      </c>
      <c r="K148">
        <v>48</v>
      </c>
      <c r="L148">
        <v>31.7</v>
      </c>
      <c r="M148">
        <v>9.3000000000000007</v>
      </c>
      <c r="N148">
        <v>107</v>
      </c>
      <c r="O148">
        <v>82</v>
      </c>
      <c r="P148">
        <v>21.6</v>
      </c>
      <c r="Q148">
        <v>5</v>
      </c>
      <c r="R148">
        <v>5.5</v>
      </c>
      <c r="S148">
        <v>9</v>
      </c>
      <c r="T148">
        <v>87</v>
      </c>
      <c r="U148">
        <v>2026</v>
      </c>
      <c r="V148">
        <v>1603000</v>
      </c>
      <c r="W148">
        <v>29</v>
      </c>
      <c r="X148">
        <v>40.700000000000003</v>
      </c>
      <c r="Y148">
        <v>65.3</v>
      </c>
      <c r="Z148">
        <v>87.7</v>
      </c>
      <c r="AA148">
        <v>29</v>
      </c>
      <c r="AB148">
        <v>91.4</v>
      </c>
      <c r="AC148">
        <v>60.1</v>
      </c>
      <c r="AD148">
        <v>100</v>
      </c>
      <c r="AE148">
        <v>100</v>
      </c>
      <c r="AF148" t="s">
        <v>47</v>
      </c>
    </row>
    <row r="149" spans="1:32">
      <c r="A149" t="s">
        <v>934</v>
      </c>
      <c r="B149">
        <v>6.3</v>
      </c>
      <c r="C149">
        <v>15</v>
      </c>
      <c r="D149">
        <v>6</v>
      </c>
      <c r="E149">
        <v>14.7</v>
      </c>
      <c r="F149">
        <v>7.6</v>
      </c>
      <c r="G149">
        <v>5.6</v>
      </c>
      <c r="H149">
        <v>72.099999999999994</v>
      </c>
      <c r="I149">
        <v>63</v>
      </c>
      <c r="J149">
        <v>2</v>
      </c>
      <c r="K149">
        <v>52</v>
      </c>
      <c r="L149">
        <v>8.8000000000000007</v>
      </c>
      <c r="M149">
        <v>2.2000000000000002</v>
      </c>
      <c r="N149">
        <v>89</v>
      </c>
      <c r="O149">
        <v>100</v>
      </c>
      <c r="P149">
        <v>17</v>
      </c>
      <c r="Q149">
        <v>13.2</v>
      </c>
      <c r="R149">
        <v>9.8000000000000007</v>
      </c>
      <c r="S149">
        <v>20.9</v>
      </c>
      <c r="T149">
        <v>83</v>
      </c>
      <c r="U149">
        <v>2350</v>
      </c>
      <c r="V149">
        <v>1495000</v>
      </c>
      <c r="W149">
        <v>80</v>
      </c>
      <c r="X149">
        <v>69.5</v>
      </c>
      <c r="Y149">
        <v>71.2</v>
      </c>
      <c r="Z149">
        <v>73.2</v>
      </c>
      <c r="AA149">
        <v>80</v>
      </c>
      <c r="AB149">
        <v>88.2</v>
      </c>
      <c r="AC149">
        <v>73.599999999999994</v>
      </c>
      <c r="AD149">
        <v>100</v>
      </c>
      <c r="AE149">
        <v>100</v>
      </c>
      <c r="AF149" t="s">
        <v>47</v>
      </c>
    </row>
    <row r="150" spans="1:32">
      <c r="A150" t="s">
        <v>935</v>
      </c>
      <c r="B150">
        <v>1.2</v>
      </c>
      <c r="C150">
        <v>2</v>
      </c>
      <c r="D150">
        <v>0</v>
      </c>
      <c r="E150">
        <v>8</v>
      </c>
      <c r="F150">
        <v>12.7</v>
      </c>
      <c r="G150">
        <v>6.9</v>
      </c>
      <c r="H150">
        <v>80.5</v>
      </c>
      <c r="I150">
        <v>44.2</v>
      </c>
      <c r="J150">
        <v>2</v>
      </c>
      <c r="K150">
        <v>33</v>
      </c>
      <c r="L150">
        <v>42.3</v>
      </c>
      <c r="M150">
        <v>10.199999999999999</v>
      </c>
      <c r="N150">
        <v>87</v>
      </c>
      <c r="O150">
        <v>53</v>
      </c>
      <c r="P150">
        <v>23.9</v>
      </c>
      <c r="Q150">
        <v>12.1</v>
      </c>
      <c r="R150">
        <v>6.5</v>
      </c>
      <c r="S150">
        <v>20.2</v>
      </c>
      <c r="T150">
        <v>82</v>
      </c>
      <c r="U150">
        <v>5031</v>
      </c>
      <c r="V150">
        <v>3980000</v>
      </c>
      <c r="W150">
        <v>58</v>
      </c>
      <c r="X150">
        <v>49.1</v>
      </c>
      <c r="Y150">
        <v>57.8</v>
      </c>
      <c r="Z150">
        <v>61.9</v>
      </c>
      <c r="AA150">
        <v>58</v>
      </c>
      <c r="AB150">
        <v>62.3</v>
      </c>
      <c r="AC150">
        <v>56</v>
      </c>
      <c r="AD150">
        <v>100</v>
      </c>
      <c r="AE150">
        <v>100</v>
      </c>
      <c r="AF150" t="s">
        <v>47</v>
      </c>
    </row>
    <row r="151" spans="1:32">
      <c r="A151" t="s">
        <v>938</v>
      </c>
      <c r="B151">
        <v>2.4</v>
      </c>
      <c r="C151">
        <v>7</v>
      </c>
      <c r="D151">
        <v>2</v>
      </c>
      <c r="E151">
        <v>11.2</v>
      </c>
      <c r="F151">
        <v>9.4</v>
      </c>
      <c r="G151">
        <v>5.3</v>
      </c>
      <c r="H151">
        <v>65.2</v>
      </c>
      <c r="I151">
        <v>51.7</v>
      </c>
      <c r="J151">
        <v>0</v>
      </c>
      <c r="K151">
        <v>47</v>
      </c>
      <c r="L151">
        <v>21</v>
      </c>
      <c r="M151">
        <v>7.7</v>
      </c>
      <c r="N151">
        <v>87</v>
      </c>
      <c r="O151">
        <v>73</v>
      </c>
      <c r="P151">
        <v>24.6</v>
      </c>
      <c r="Q151">
        <v>16.8</v>
      </c>
      <c r="R151">
        <v>9</v>
      </c>
      <c r="S151">
        <v>24.8</v>
      </c>
      <c r="T151">
        <v>82</v>
      </c>
      <c r="U151">
        <v>4298</v>
      </c>
      <c r="V151">
        <v>1033000</v>
      </c>
      <c r="W151">
        <v>61</v>
      </c>
      <c r="X151">
        <v>61.6</v>
      </c>
      <c r="Y151">
        <v>59.2</v>
      </c>
      <c r="Z151">
        <v>66.2</v>
      </c>
      <c r="AA151">
        <v>61</v>
      </c>
      <c r="AB151">
        <v>69.400000000000006</v>
      </c>
      <c r="AC151">
        <v>62.6</v>
      </c>
      <c r="AD151">
        <v>100</v>
      </c>
      <c r="AE151">
        <v>100</v>
      </c>
      <c r="AF151" t="s">
        <v>47</v>
      </c>
    </row>
    <row r="152" spans="1:32">
      <c r="A152" t="s">
        <v>941</v>
      </c>
      <c r="B152">
        <v>1.2</v>
      </c>
      <c r="C152">
        <v>2</v>
      </c>
      <c r="D152">
        <v>2</v>
      </c>
      <c r="E152">
        <v>5.4</v>
      </c>
      <c r="F152">
        <v>4.9000000000000004</v>
      </c>
      <c r="G152">
        <v>7.7</v>
      </c>
      <c r="H152">
        <v>87</v>
      </c>
      <c r="J152">
        <v>0</v>
      </c>
      <c r="K152">
        <v>43</v>
      </c>
      <c r="L152">
        <v>21.5</v>
      </c>
      <c r="N152">
        <v>88</v>
      </c>
      <c r="O152">
        <v>55</v>
      </c>
      <c r="Q152">
        <v>6.5</v>
      </c>
      <c r="R152">
        <v>9.4</v>
      </c>
      <c r="S152">
        <v>14.5</v>
      </c>
      <c r="U152">
        <v>5061</v>
      </c>
      <c r="V152">
        <v>2534000</v>
      </c>
      <c r="W152">
        <v>68</v>
      </c>
      <c r="X152">
        <v>53.3</v>
      </c>
      <c r="Y152">
        <v>80.099999999999994</v>
      </c>
      <c r="Z152">
        <v>84.2</v>
      </c>
      <c r="AA152">
        <v>68</v>
      </c>
      <c r="AB152">
        <v>62</v>
      </c>
      <c r="AC152">
        <v>68.5</v>
      </c>
      <c r="AD152">
        <v>100</v>
      </c>
      <c r="AE152">
        <v>81</v>
      </c>
      <c r="AF152" t="s">
        <v>1971</v>
      </c>
    </row>
    <row r="153" spans="1:32">
      <c r="A153" t="s">
        <v>943</v>
      </c>
      <c r="B153">
        <v>0.6</v>
      </c>
      <c r="C153">
        <v>4</v>
      </c>
      <c r="D153">
        <v>0</v>
      </c>
      <c r="E153">
        <v>7.2</v>
      </c>
      <c r="F153">
        <v>4.5</v>
      </c>
      <c r="G153">
        <v>7.9</v>
      </c>
      <c r="H153">
        <v>61.5</v>
      </c>
      <c r="I153">
        <v>57.3</v>
      </c>
      <c r="J153">
        <v>2</v>
      </c>
      <c r="K153">
        <v>38</v>
      </c>
      <c r="L153">
        <v>26.8</v>
      </c>
      <c r="M153">
        <v>5.4</v>
      </c>
      <c r="N153">
        <v>106</v>
      </c>
      <c r="O153">
        <v>62</v>
      </c>
      <c r="P153">
        <v>15.4</v>
      </c>
      <c r="Q153">
        <v>7.7</v>
      </c>
      <c r="R153">
        <v>9.9</v>
      </c>
      <c r="S153">
        <v>10.9</v>
      </c>
      <c r="T153">
        <v>73</v>
      </c>
      <c r="U153">
        <v>3197</v>
      </c>
      <c r="V153">
        <v>1654000</v>
      </c>
      <c r="W153">
        <v>48</v>
      </c>
      <c r="X153">
        <v>51.5</v>
      </c>
      <c r="Y153">
        <v>69.5</v>
      </c>
      <c r="Z153">
        <v>87.7</v>
      </c>
      <c r="AA153">
        <v>48</v>
      </c>
      <c r="AB153">
        <v>80</v>
      </c>
      <c r="AC153">
        <v>65.7</v>
      </c>
      <c r="AD153">
        <v>100</v>
      </c>
      <c r="AE153">
        <v>100</v>
      </c>
      <c r="AF153" t="s">
        <v>47</v>
      </c>
    </row>
    <row r="154" spans="1:32">
      <c r="A154" t="s">
        <v>946</v>
      </c>
      <c r="B154">
        <v>5.7</v>
      </c>
      <c r="C154">
        <v>9</v>
      </c>
      <c r="D154">
        <v>6</v>
      </c>
      <c r="E154">
        <v>16.100000000000001</v>
      </c>
      <c r="F154">
        <v>6.4</v>
      </c>
      <c r="G154">
        <v>3.2</v>
      </c>
      <c r="H154">
        <v>53.2</v>
      </c>
      <c r="I154">
        <v>72</v>
      </c>
      <c r="J154">
        <v>0</v>
      </c>
      <c r="K154">
        <v>58</v>
      </c>
      <c r="L154">
        <v>27.5</v>
      </c>
      <c r="M154">
        <v>8.9</v>
      </c>
      <c r="N154">
        <v>83</v>
      </c>
      <c r="O154">
        <v>65</v>
      </c>
      <c r="P154">
        <v>19.100000000000001</v>
      </c>
      <c r="Q154">
        <v>7</v>
      </c>
      <c r="R154">
        <v>13.1</v>
      </c>
      <c r="S154">
        <v>22</v>
      </c>
      <c r="T154">
        <v>85</v>
      </c>
      <c r="U154">
        <v>4627</v>
      </c>
      <c r="V154">
        <v>1973000</v>
      </c>
      <c r="W154">
        <v>43</v>
      </c>
      <c r="X154">
        <v>67.7</v>
      </c>
      <c r="Y154">
        <v>69.400000000000006</v>
      </c>
      <c r="Z154">
        <v>75.2</v>
      </c>
      <c r="AA154">
        <v>43</v>
      </c>
      <c r="AB154">
        <v>66.2</v>
      </c>
      <c r="AC154">
        <v>67</v>
      </c>
      <c r="AD154">
        <v>100</v>
      </c>
      <c r="AE154">
        <v>100</v>
      </c>
      <c r="AF154" t="s">
        <v>47</v>
      </c>
    </row>
    <row r="155" spans="1:32">
      <c r="A155" t="s">
        <v>947</v>
      </c>
      <c r="B155">
        <v>3.2</v>
      </c>
      <c r="C155">
        <v>7</v>
      </c>
      <c r="D155">
        <v>6</v>
      </c>
      <c r="E155">
        <v>11.9</v>
      </c>
      <c r="F155">
        <v>20.5</v>
      </c>
      <c r="G155">
        <v>5.6</v>
      </c>
      <c r="H155">
        <v>61</v>
      </c>
      <c r="I155">
        <v>62</v>
      </c>
      <c r="J155">
        <v>0</v>
      </c>
      <c r="K155">
        <v>43</v>
      </c>
      <c r="L155">
        <v>33.799999999999997</v>
      </c>
      <c r="M155">
        <v>7.4</v>
      </c>
      <c r="N155">
        <v>84</v>
      </c>
      <c r="O155">
        <v>70</v>
      </c>
      <c r="P155">
        <v>22.1</v>
      </c>
      <c r="Q155">
        <v>11.5</v>
      </c>
      <c r="R155">
        <v>5.6</v>
      </c>
      <c r="S155">
        <v>20.7</v>
      </c>
      <c r="T155">
        <v>92</v>
      </c>
      <c r="U155">
        <v>3988</v>
      </c>
      <c r="V155">
        <v>1052000</v>
      </c>
      <c r="W155">
        <v>41</v>
      </c>
      <c r="X155">
        <v>57.9</v>
      </c>
      <c r="Y155">
        <v>67.5</v>
      </c>
      <c r="Z155">
        <v>43.4</v>
      </c>
      <c r="AA155">
        <v>41</v>
      </c>
      <c r="AB155">
        <v>72.400000000000006</v>
      </c>
      <c r="AC155">
        <v>57.2</v>
      </c>
      <c r="AD155">
        <v>100</v>
      </c>
      <c r="AE155">
        <v>100</v>
      </c>
      <c r="AF155" t="s">
        <v>47</v>
      </c>
    </row>
    <row r="156" spans="1:32">
      <c r="A156" t="s">
        <v>949</v>
      </c>
      <c r="B156">
        <v>4</v>
      </c>
      <c r="C156">
        <v>11</v>
      </c>
      <c r="D156">
        <v>4</v>
      </c>
      <c r="E156">
        <v>17.100000000000001</v>
      </c>
      <c r="F156">
        <v>12.2</v>
      </c>
      <c r="G156">
        <v>7.7</v>
      </c>
      <c r="H156">
        <v>73.3</v>
      </c>
      <c r="I156">
        <v>64.7</v>
      </c>
      <c r="J156">
        <v>0</v>
      </c>
      <c r="K156">
        <v>60</v>
      </c>
      <c r="L156">
        <v>21.4</v>
      </c>
      <c r="M156">
        <v>6.1</v>
      </c>
      <c r="N156">
        <v>61</v>
      </c>
      <c r="O156">
        <v>64</v>
      </c>
      <c r="P156">
        <v>2.5</v>
      </c>
      <c r="Q156">
        <v>8.1</v>
      </c>
      <c r="R156">
        <v>4.7</v>
      </c>
      <c r="S156">
        <v>12.3</v>
      </c>
      <c r="T156">
        <v>90</v>
      </c>
      <c r="U156">
        <v>4228</v>
      </c>
      <c r="V156">
        <v>1894000</v>
      </c>
      <c r="W156">
        <v>53</v>
      </c>
      <c r="X156">
        <v>74.3</v>
      </c>
      <c r="Y156">
        <v>78.5</v>
      </c>
      <c r="Z156">
        <v>68.8</v>
      </c>
      <c r="AA156">
        <v>53</v>
      </c>
      <c r="AB156">
        <v>70.099999999999994</v>
      </c>
      <c r="AC156">
        <v>71.7</v>
      </c>
      <c r="AD156">
        <v>100</v>
      </c>
      <c r="AE156">
        <v>100</v>
      </c>
      <c r="AF156" t="s">
        <v>47</v>
      </c>
    </row>
    <row r="157" spans="1:32">
      <c r="A157" t="s">
        <v>950</v>
      </c>
      <c r="B157">
        <v>5.5</v>
      </c>
      <c r="C157">
        <v>16</v>
      </c>
      <c r="D157">
        <v>10</v>
      </c>
      <c r="E157">
        <v>11.9</v>
      </c>
      <c r="F157">
        <v>9.1</v>
      </c>
      <c r="G157">
        <v>5</v>
      </c>
      <c r="H157">
        <v>64.900000000000006</v>
      </c>
      <c r="I157">
        <v>75.099999999999994</v>
      </c>
      <c r="J157">
        <v>1</v>
      </c>
      <c r="K157">
        <v>52</v>
      </c>
      <c r="L157">
        <v>22.9</v>
      </c>
      <c r="M157">
        <v>3.5</v>
      </c>
      <c r="N157">
        <v>80</v>
      </c>
      <c r="O157">
        <v>47</v>
      </c>
      <c r="P157">
        <v>12.5</v>
      </c>
      <c r="Q157">
        <v>9.5</v>
      </c>
      <c r="R157">
        <v>7.4</v>
      </c>
      <c r="S157">
        <v>17.5</v>
      </c>
      <c r="T157">
        <v>98</v>
      </c>
      <c r="U157">
        <v>3743</v>
      </c>
      <c r="V157">
        <v>724000</v>
      </c>
      <c r="W157">
        <v>61</v>
      </c>
      <c r="X157">
        <v>64.599999999999994</v>
      </c>
      <c r="Y157">
        <v>78.599999999999994</v>
      </c>
      <c r="Z157">
        <v>72.2</v>
      </c>
      <c r="AA157">
        <v>61</v>
      </c>
      <c r="AB157">
        <v>74.8</v>
      </c>
      <c r="AC157">
        <v>70.3</v>
      </c>
      <c r="AD157">
        <v>100</v>
      </c>
      <c r="AE157">
        <v>100</v>
      </c>
      <c r="AF157" t="s">
        <v>47</v>
      </c>
    </row>
    <row r="158" spans="1:32">
      <c r="A158" t="s">
        <v>952</v>
      </c>
      <c r="B158">
        <v>4.5</v>
      </c>
      <c r="C158">
        <v>7</v>
      </c>
      <c r="D158">
        <v>9</v>
      </c>
      <c r="E158">
        <v>14</v>
      </c>
      <c r="F158">
        <v>7.2</v>
      </c>
      <c r="G158">
        <v>5.7</v>
      </c>
      <c r="H158">
        <v>59.4</v>
      </c>
      <c r="I158">
        <v>58.7</v>
      </c>
      <c r="J158">
        <v>0</v>
      </c>
      <c r="K158">
        <v>56</v>
      </c>
      <c r="L158">
        <v>19.5</v>
      </c>
      <c r="M158">
        <v>5.2</v>
      </c>
      <c r="N158">
        <v>95</v>
      </c>
      <c r="O158">
        <v>77</v>
      </c>
      <c r="P158">
        <v>20.9</v>
      </c>
      <c r="Q158">
        <v>10.9</v>
      </c>
      <c r="R158">
        <v>6.4</v>
      </c>
      <c r="S158">
        <v>14.2</v>
      </c>
      <c r="T158">
        <v>87</v>
      </c>
      <c r="U158">
        <v>4776</v>
      </c>
      <c r="V158">
        <v>1984000</v>
      </c>
      <c r="W158">
        <v>54</v>
      </c>
      <c r="X158">
        <v>65.5</v>
      </c>
      <c r="Y158">
        <v>68.3</v>
      </c>
      <c r="Z158">
        <v>79</v>
      </c>
      <c r="AA158">
        <v>54</v>
      </c>
      <c r="AB158">
        <v>64.8</v>
      </c>
      <c r="AC158">
        <v>67.7</v>
      </c>
      <c r="AD158">
        <v>100</v>
      </c>
      <c r="AE158">
        <v>100</v>
      </c>
      <c r="AF158" t="s">
        <v>47</v>
      </c>
    </row>
    <row r="159" spans="1:32">
      <c r="A159" t="s">
        <v>954</v>
      </c>
      <c r="B159">
        <v>8.8000000000000007</v>
      </c>
      <c r="C159">
        <v>23</v>
      </c>
      <c r="D159">
        <v>11</v>
      </c>
      <c r="E159">
        <v>17.7</v>
      </c>
      <c r="F159">
        <v>16.3</v>
      </c>
      <c r="G159">
        <v>7.3</v>
      </c>
      <c r="H159">
        <v>80.400000000000006</v>
      </c>
      <c r="I159">
        <v>100</v>
      </c>
      <c r="J159">
        <v>0</v>
      </c>
      <c r="K159">
        <v>73</v>
      </c>
      <c r="L159">
        <v>21.1</v>
      </c>
      <c r="M159">
        <v>1.3</v>
      </c>
      <c r="N159">
        <v>61</v>
      </c>
      <c r="O159">
        <v>55</v>
      </c>
      <c r="P159">
        <v>9.6999999999999993</v>
      </c>
      <c r="Q159">
        <v>6.5</v>
      </c>
      <c r="R159">
        <v>8.3000000000000007</v>
      </c>
      <c r="S159">
        <v>14.2</v>
      </c>
      <c r="T159">
        <v>100</v>
      </c>
      <c r="U159">
        <v>3771</v>
      </c>
      <c r="V159">
        <v>1812000</v>
      </c>
      <c r="W159">
        <v>59</v>
      </c>
      <c r="X159">
        <v>76.099999999999994</v>
      </c>
      <c r="Y159">
        <v>90.8</v>
      </c>
      <c r="Z159">
        <v>57.9</v>
      </c>
      <c r="AA159">
        <v>59</v>
      </c>
      <c r="AB159">
        <v>74.5</v>
      </c>
      <c r="AC159">
        <v>74.3</v>
      </c>
      <c r="AD159">
        <v>100</v>
      </c>
      <c r="AE159">
        <v>100</v>
      </c>
      <c r="AF159" t="s">
        <v>47</v>
      </c>
    </row>
    <row r="160" spans="1:32">
      <c r="A160" t="s">
        <v>956</v>
      </c>
      <c r="B160">
        <v>1.4</v>
      </c>
      <c r="C160">
        <v>5</v>
      </c>
      <c r="D160">
        <v>0</v>
      </c>
      <c r="E160">
        <v>7</v>
      </c>
      <c r="F160">
        <v>12.4</v>
      </c>
      <c r="G160">
        <v>6.3</v>
      </c>
      <c r="H160">
        <v>65.5</v>
      </c>
      <c r="I160">
        <v>55.2</v>
      </c>
      <c r="J160">
        <v>0</v>
      </c>
      <c r="K160">
        <v>42</v>
      </c>
      <c r="L160">
        <v>45.4</v>
      </c>
      <c r="M160">
        <v>9.1999999999999993</v>
      </c>
      <c r="N160">
        <v>95</v>
      </c>
      <c r="O160">
        <v>70</v>
      </c>
      <c r="P160">
        <v>26.1</v>
      </c>
      <c r="Q160">
        <v>9.9</v>
      </c>
      <c r="R160">
        <v>8.1999999999999993</v>
      </c>
      <c r="S160">
        <v>13.4</v>
      </c>
      <c r="T160">
        <v>81</v>
      </c>
      <c r="U160">
        <v>4472</v>
      </c>
      <c r="V160">
        <v>552000</v>
      </c>
      <c r="W160">
        <v>46</v>
      </c>
      <c r="X160">
        <v>44</v>
      </c>
      <c r="Y160">
        <v>61.7</v>
      </c>
      <c r="Z160">
        <v>67.5</v>
      </c>
      <c r="AA160">
        <v>46</v>
      </c>
      <c r="AB160">
        <v>67.7</v>
      </c>
      <c r="AC160">
        <v>55.7</v>
      </c>
      <c r="AD160">
        <v>100</v>
      </c>
      <c r="AE160">
        <v>100</v>
      </c>
      <c r="AF160" t="s">
        <v>47</v>
      </c>
    </row>
    <row r="161" spans="1:32">
      <c r="A161" t="s">
        <v>958</v>
      </c>
      <c r="B161">
        <v>1.5</v>
      </c>
      <c r="C161">
        <v>5</v>
      </c>
      <c r="D161">
        <v>2</v>
      </c>
      <c r="E161">
        <v>3.9</v>
      </c>
      <c r="F161">
        <v>3.5</v>
      </c>
      <c r="G161">
        <v>6.8</v>
      </c>
      <c r="H161">
        <v>61</v>
      </c>
      <c r="I161">
        <v>61.5</v>
      </c>
      <c r="J161">
        <v>0</v>
      </c>
      <c r="K161">
        <v>47</v>
      </c>
      <c r="L161">
        <v>34.5</v>
      </c>
      <c r="M161">
        <v>5</v>
      </c>
      <c r="N161">
        <v>86</v>
      </c>
      <c r="O161">
        <v>53</v>
      </c>
      <c r="P161">
        <v>12.9</v>
      </c>
      <c r="Q161">
        <v>15.2</v>
      </c>
      <c r="R161">
        <v>6.7</v>
      </c>
      <c r="S161">
        <v>17.600000000000001</v>
      </c>
      <c r="T161">
        <v>85</v>
      </c>
      <c r="U161">
        <v>5335</v>
      </c>
      <c r="V161">
        <v>1361000</v>
      </c>
      <c r="W161">
        <v>40</v>
      </c>
      <c r="X161">
        <v>45.9</v>
      </c>
      <c r="Y161">
        <v>70.7</v>
      </c>
      <c r="Z161">
        <v>85.1</v>
      </c>
      <c r="AA161">
        <v>40</v>
      </c>
      <c r="AB161">
        <v>59.3</v>
      </c>
      <c r="AC161">
        <v>60.7</v>
      </c>
      <c r="AD161">
        <v>100</v>
      </c>
      <c r="AE161">
        <v>100</v>
      </c>
      <c r="AF161" t="s">
        <v>47</v>
      </c>
    </row>
    <row r="162" spans="1:32">
      <c r="A162" t="s">
        <v>960</v>
      </c>
      <c r="B162">
        <v>0.8</v>
      </c>
      <c r="C162">
        <v>4</v>
      </c>
      <c r="D162">
        <v>4</v>
      </c>
      <c r="E162">
        <v>9.1</v>
      </c>
      <c r="F162">
        <v>13.1</v>
      </c>
      <c r="G162">
        <v>5.4</v>
      </c>
      <c r="H162">
        <v>68.5</v>
      </c>
      <c r="I162">
        <v>42.2</v>
      </c>
      <c r="J162">
        <v>0</v>
      </c>
      <c r="K162">
        <v>39</v>
      </c>
      <c r="L162">
        <v>36</v>
      </c>
      <c r="M162">
        <v>11.1</v>
      </c>
      <c r="N162">
        <v>108</v>
      </c>
      <c r="O162">
        <v>67</v>
      </c>
      <c r="P162">
        <v>26.1</v>
      </c>
      <c r="Q162">
        <v>9.1999999999999993</v>
      </c>
      <c r="R162">
        <v>11.6</v>
      </c>
      <c r="S162">
        <v>19.100000000000001</v>
      </c>
      <c r="T162">
        <v>73</v>
      </c>
      <c r="U162">
        <v>3947</v>
      </c>
      <c r="V162">
        <v>629000</v>
      </c>
      <c r="W162">
        <v>48</v>
      </c>
      <c r="X162">
        <v>50.2</v>
      </c>
      <c r="Y162">
        <v>54.5</v>
      </c>
      <c r="Z162">
        <v>61.8</v>
      </c>
      <c r="AA162">
        <v>48</v>
      </c>
      <c r="AB162">
        <v>72.8</v>
      </c>
      <c r="AC162">
        <v>55.6</v>
      </c>
      <c r="AD162">
        <v>100</v>
      </c>
      <c r="AE162">
        <v>100</v>
      </c>
      <c r="AF162" t="s">
        <v>47</v>
      </c>
    </row>
    <row r="163" spans="1:32">
      <c r="A163" t="s">
        <v>962</v>
      </c>
      <c r="B163">
        <v>3.3</v>
      </c>
      <c r="C163">
        <v>11</v>
      </c>
      <c r="D163">
        <v>5</v>
      </c>
      <c r="E163">
        <v>10.6</v>
      </c>
      <c r="F163">
        <v>10.8</v>
      </c>
      <c r="G163">
        <v>4</v>
      </c>
      <c r="H163">
        <v>62.2</v>
      </c>
      <c r="I163">
        <v>68.599999999999994</v>
      </c>
      <c r="J163">
        <v>0</v>
      </c>
      <c r="K163">
        <v>48</v>
      </c>
      <c r="L163">
        <v>22.1</v>
      </c>
      <c r="M163">
        <v>6.1</v>
      </c>
      <c r="N163">
        <v>79</v>
      </c>
      <c r="O163">
        <v>71</v>
      </c>
      <c r="P163">
        <v>10.7</v>
      </c>
      <c r="Q163">
        <v>11.9</v>
      </c>
      <c r="R163">
        <v>9.3000000000000007</v>
      </c>
      <c r="S163">
        <v>22.2</v>
      </c>
      <c r="T163">
        <v>100</v>
      </c>
      <c r="U163">
        <v>3430</v>
      </c>
      <c r="V163">
        <v>495000</v>
      </c>
      <c r="W163">
        <v>59</v>
      </c>
      <c r="X163">
        <v>61.2</v>
      </c>
      <c r="Y163">
        <v>73.3</v>
      </c>
      <c r="Z163">
        <v>64.8</v>
      </c>
      <c r="AA163">
        <v>59</v>
      </c>
      <c r="AB163">
        <v>77.8</v>
      </c>
      <c r="AC163">
        <v>66.400000000000006</v>
      </c>
      <c r="AD163">
        <v>100</v>
      </c>
      <c r="AE163">
        <v>100</v>
      </c>
      <c r="AF163" t="s">
        <v>47</v>
      </c>
    </row>
    <row r="164" spans="1:32">
      <c r="A164" t="s">
        <v>964</v>
      </c>
      <c r="B164">
        <v>5.3</v>
      </c>
      <c r="C164">
        <v>13</v>
      </c>
      <c r="D164">
        <v>6</v>
      </c>
      <c r="E164">
        <v>14</v>
      </c>
      <c r="F164">
        <v>9.3000000000000007</v>
      </c>
      <c r="G164">
        <v>2.4</v>
      </c>
      <c r="H164">
        <v>64.5</v>
      </c>
      <c r="I164">
        <v>59.8</v>
      </c>
      <c r="J164">
        <v>0</v>
      </c>
      <c r="K164">
        <v>52</v>
      </c>
      <c r="L164">
        <v>31.3</v>
      </c>
      <c r="M164">
        <v>4</v>
      </c>
      <c r="N164">
        <v>84</v>
      </c>
      <c r="O164">
        <v>54</v>
      </c>
      <c r="P164">
        <v>20.399999999999999</v>
      </c>
      <c r="Q164">
        <v>14.2</v>
      </c>
      <c r="R164">
        <v>11.9</v>
      </c>
      <c r="S164">
        <v>26.6</v>
      </c>
      <c r="T164">
        <v>84</v>
      </c>
      <c r="U164">
        <v>3606</v>
      </c>
      <c r="V164">
        <v>924000</v>
      </c>
      <c r="W164">
        <v>47</v>
      </c>
      <c r="X164">
        <v>63.5</v>
      </c>
      <c r="Y164">
        <v>66.099999999999994</v>
      </c>
      <c r="Z164">
        <v>65.099999999999994</v>
      </c>
      <c r="AA164">
        <v>47</v>
      </c>
      <c r="AB164">
        <v>76.099999999999994</v>
      </c>
      <c r="AC164">
        <v>64.099999999999994</v>
      </c>
      <c r="AD164">
        <v>100</v>
      </c>
      <c r="AE164">
        <v>100</v>
      </c>
      <c r="AF164" t="s">
        <v>47</v>
      </c>
    </row>
    <row r="165" spans="1:32">
      <c r="A165" t="s">
        <v>967</v>
      </c>
      <c r="B165">
        <v>1.7</v>
      </c>
      <c r="C165">
        <v>5</v>
      </c>
      <c r="D165">
        <v>1</v>
      </c>
      <c r="F165">
        <v>12</v>
      </c>
      <c r="G165">
        <v>7.9</v>
      </c>
      <c r="H165">
        <v>84.7</v>
      </c>
      <c r="I165">
        <v>52.4</v>
      </c>
      <c r="J165">
        <v>0</v>
      </c>
      <c r="K165">
        <v>42</v>
      </c>
      <c r="L165">
        <v>36</v>
      </c>
      <c r="M165">
        <v>9.5</v>
      </c>
      <c r="O165">
        <v>50</v>
      </c>
      <c r="P165">
        <v>24.2</v>
      </c>
      <c r="Q165">
        <v>10.8</v>
      </c>
      <c r="R165">
        <v>9.1999999999999993</v>
      </c>
      <c r="S165">
        <v>15.6</v>
      </c>
      <c r="T165">
        <v>75</v>
      </c>
      <c r="U165">
        <v>5487</v>
      </c>
      <c r="V165">
        <v>2627000</v>
      </c>
      <c r="W165">
        <v>75</v>
      </c>
      <c r="X165">
        <v>67.5</v>
      </c>
      <c r="Y165">
        <v>60.4</v>
      </c>
      <c r="Z165">
        <v>66.900000000000006</v>
      </c>
      <c r="AA165">
        <v>75</v>
      </c>
      <c r="AB165">
        <v>57.9</v>
      </c>
      <c r="AC165">
        <v>65.400000000000006</v>
      </c>
      <c r="AD165">
        <v>100</v>
      </c>
      <c r="AE165">
        <v>90.5</v>
      </c>
      <c r="AF165" t="s">
        <v>47</v>
      </c>
    </row>
    <row r="166" spans="1:32">
      <c r="A166" t="s">
        <v>970</v>
      </c>
      <c r="B166">
        <v>3.9</v>
      </c>
      <c r="C166">
        <v>12</v>
      </c>
      <c r="D166">
        <v>5</v>
      </c>
      <c r="E166">
        <v>14.3</v>
      </c>
      <c r="F166">
        <v>9</v>
      </c>
      <c r="G166">
        <v>4.9000000000000004</v>
      </c>
      <c r="H166">
        <v>81.599999999999994</v>
      </c>
      <c r="I166">
        <v>59.3</v>
      </c>
      <c r="J166">
        <v>0</v>
      </c>
      <c r="K166">
        <v>56</v>
      </c>
      <c r="L166">
        <v>31.3</v>
      </c>
      <c r="M166">
        <v>9.6</v>
      </c>
      <c r="N166">
        <v>83</v>
      </c>
      <c r="O166">
        <v>70</v>
      </c>
      <c r="P166">
        <v>23.9</v>
      </c>
      <c r="Q166">
        <v>11.5</v>
      </c>
      <c r="R166">
        <v>9.9</v>
      </c>
      <c r="S166">
        <v>22.6</v>
      </c>
      <c r="T166">
        <v>77</v>
      </c>
      <c r="U166">
        <v>5408</v>
      </c>
      <c r="V166">
        <v>3307000</v>
      </c>
      <c r="W166">
        <v>70</v>
      </c>
      <c r="X166">
        <v>62.9</v>
      </c>
      <c r="Y166">
        <v>62.3</v>
      </c>
      <c r="Z166">
        <v>68.7</v>
      </c>
      <c r="AA166">
        <v>70</v>
      </c>
      <c r="AB166">
        <v>58.6</v>
      </c>
      <c r="AC166">
        <v>64.2</v>
      </c>
      <c r="AD166">
        <v>100</v>
      </c>
      <c r="AE166">
        <v>100</v>
      </c>
      <c r="AF166" t="s">
        <v>47</v>
      </c>
    </row>
    <row r="167" spans="1:32">
      <c r="A167" t="s">
        <v>973</v>
      </c>
      <c r="B167">
        <v>3.7</v>
      </c>
      <c r="C167">
        <v>10</v>
      </c>
      <c r="D167">
        <v>6</v>
      </c>
      <c r="E167">
        <v>9.3000000000000007</v>
      </c>
      <c r="F167">
        <v>15.1</v>
      </c>
      <c r="G167">
        <v>6.4</v>
      </c>
      <c r="H167">
        <v>66.7</v>
      </c>
      <c r="I167">
        <v>45.9</v>
      </c>
      <c r="J167">
        <v>0</v>
      </c>
      <c r="K167">
        <v>45</v>
      </c>
      <c r="L167">
        <v>37.5</v>
      </c>
      <c r="M167">
        <v>8.6999999999999993</v>
      </c>
      <c r="N167">
        <v>85</v>
      </c>
      <c r="O167">
        <v>64</v>
      </c>
      <c r="P167">
        <v>24.7</v>
      </c>
      <c r="Q167">
        <v>8.1999999999999993</v>
      </c>
      <c r="R167">
        <v>8</v>
      </c>
      <c r="S167">
        <v>14.4</v>
      </c>
      <c r="T167">
        <v>69</v>
      </c>
      <c r="U167">
        <v>4389</v>
      </c>
      <c r="V167">
        <v>1606000</v>
      </c>
      <c r="W167">
        <v>30</v>
      </c>
      <c r="X167">
        <v>52.5</v>
      </c>
      <c r="Y167">
        <v>60.1</v>
      </c>
      <c r="Z167">
        <v>60.5</v>
      </c>
      <c r="AA167">
        <v>30</v>
      </c>
      <c r="AB167">
        <v>68.5</v>
      </c>
      <c r="AC167">
        <v>55.4</v>
      </c>
      <c r="AD167">
        <v>100</v>
      </c>
      <c r="AE167">
        <v>100</v>
      </c>
      <c r="AF167" t="s">
        <v>47</v>
      </c>
    </row>
    <row r="168" spans="1:32">
      <c r="A168" t="s">
        <v>975</v>
      </c>
      <c r="B168">
        <v>5.0999999999999996</v>
      </c>
      <c r="C168">
        <v>11</v>
      </c>
      <c r="D168">
        <v>5</v>
      </c>
      <c r="E168">
        <v>15.8</v>
      </c>
      <c r="F168">
        <v>7.5</v>
      </c>
      <c r="G168">
        <v>6.3</v>
      </c>
      <c r="H168">
        <v>85.8</v>
      </c>
      <c r="I168">
        <v>75.3</v>
      </c>
      <c r="J168">
        <v>0</v>
      </c>
      <c r="K168">
        <v>66</v>
      </c>
      <c r="L168">
        <v>29.3</v>
      </c>
      <c r="M168">
        <v>4.8</v>
      </c>
      <c r="N168">
        <v>52</v>
      </c>
      <c r="O168">
        <v>72</v>
      </c>
      <c r="P168">
        <v>7.5</v>
      </c>
      <c r="Q168">
        <v>8.3000000000000007</v>
      </c>
      <c r="R168">
        <v>6.4</v>
      </c>
      <c r="S168">
        <v>20.6</v>
      </c>
      <c r="T168">
        <v>89</v>
      </c>
      <c r="U168">
        <v>5231</v>
      </c>
      <c r="V168">
        <v>3115000</v>
      </c>
      <c r="W168">
        <v>61</v>
      </c>
      <c r="X168">
        <v>69.3</v>
      </c>
      <c r="Y168">
        <v>80.5</v>
      </c>
      <c r="Z168">
        <v>73.7</v>
      </c>
      <c r="AA168">
        <v>61</v>
      </c>
      <c r="AB168">
        <v>60.4</v>
      </c>
      <c r="AC168">
        <v>71.2</v>
      </c>
      <c r="AD168">
        <v>100</v>
      </c>
      <c r="AE168">
        <v>100</v>
      </c>
      <c r="AF168" t="s">
        <v>47</v>
      </c>
    </row>
    <row r="169" spans="1:32">
      <c r="A169" t="s">
        <v>977</v>
      </c>
      <c r="B169">
        <v>6.5</v>
      </c>
      <c r="C169">
        <v>20</v>
      </c>
      <c r="D169">
        <v>8</v>
      </c>
      <c r="E169">
        <v>18.600000000000001</v>
      </c>
      <c r="F169">
        <v>14.7</v>
      </c>
      <c r="G169">
        <v>5.9</v>
      </c>
      <c r="H169">
        <v>77</v>
      </c>
      <c r="I169">
        <v>88.6</v>
      </c>
      <c r="J169">
        <v>1</v>
      </c>
      <c r="K169">
        <v>61</v>
      </c>
      <c r="L169">
        <v>30.4</v>
      </c>
      <c r="M169">
        <v>5.4</v>
      </c>
      <c r="N169">
        <v>66</v>
      </c>
      <c r="O169">
        <v>65</v>
      </c>
      <c r="P169">
        <v>17.899999999999999</v>
      </c>
      <c r="Q169">
        <v>8.1</v>
      </c>
      <c r="R169">
        <v>8.8000000000000007</v>
      </c>
      <c r="S169">
        <v>16.899999999999999</v>
      </c>
      <c r="T169">
        <v>100</v>
      </c>
      <c r="U169">
        <v>4768</v>
      </c>
      <c r="V169">
        <v>2292000</v>
      </c>
      <c r="W169">
        <v>77</v>
      </c>
      <c r="X169">
        <v>72.400000000000006</v>
      </c>
      <c r="Y169">
        <v>79.8</v>
      </c>
      <c r="Z169">
        <v>59.7</v>
      </c>
      <c r="AA169">
        <v>77</v>
      </c>
      <c r="AB169">
        <v>64.8</v>
      </c>
      <c r="AC169">
        <v>71.400000000000006</v>
      </c>
      <c r="AD169">
        <v>100</v>
      </c>
      <c r="AE169">
        <v>100</v>
      </c>
      <c r="AF169" t="s">
        <v>47</v>
      </c>
    </row>
    <row r="170" spans="1:32">
      <c r="A170" t="s">
        <v>979</v>
      </c>
      <c r="B170">
        <v>3.4</v>
      </c>
      <c r="C170">
        <v>8</v>
      </c>
      <c r="D170">
        <v>3</v>
      </c>
      <c r="E170">
        <v>10.199999999999999</v>
      </c>
      <c r="F170">
        <v>2</v>
      </c>
      <c r="G170">
        <v>7.7</v>
      </c>
      <c r="H170">
        <v>76</v>
      </c>
      <c r="I170">
        <v>52.2</v>
      </c>
      <c r="J170">
        <v>1</v>
      </c>
      <c r="K170">
        <v>54</v>
      </c>
      <c r="L170">
        <v>25.1</v>
      </c>
      <c r="M170">
        <v>6.2</v>
      </c>
      <c r="N170">
        <v>79</v>
      </c>
      <c r="O170">
        <v>58</v>
      </c>
      <c r="P170">
        <v>17.899999999999999</v>
      </c>
      <c r="Q170">
        <v>11.1</v>
      </c>
      <c r="R170">
        <v>9.3000000000000007</v>
      </c>
      <c r="S170">
        <v>8.5</v>
      </c>
      <c r="T170">
        <v>85</v>
      </c>
      <c r="U170">
        <v>3363</v>
      </c>
      <c r="V170">
        <v>1395000</v>
      </c>
      <c r="W170">
        <v>45</v>
      </c>
      <c r="X170">
        <v>60.3</v>
      </c>
      <c r="Y170">
        <v>65.099999999999994</v>
      </c>
      <c r="Z170">
        <v>95.3</v>
      </c>
      <c r="AA170">
        <v>45</v>
      </c>
      <c r="AB170">
        <v>78.400000000000006</v>
      </c>
      <c r="AC170">
        <v>68.7</v>
      </c>
      <c r="AD170">
        <v>100</v>
      </c>
      <c r="AE170">
        <v>100</v>
      </c>
      <c r="AF170" t="s">
        <v>47</v>
      </c>
    </row>
    <row r="171" spans="1:32">
      <c r="A171" t="s">
        <v>981</v>
      </c>
      <c r="B171">
        <v>0.8</v>
      </c>
      <c r="D171">
        <v>2</v>
      </c>
      <c r="E171">
        <v>5.8</v>
      </c>
      <c r="F171">
        <v>14.1</v>
      </c>
      <c r="G171">
        <v>4.0999999999999996</v>
      </c>
      <c r="H171">
        <v>62.9</v>
      </c>
      <c r="I171">
        <v>45.9</v>
      </c>
      <c r="J171">
        <v>0</v>
      </c>
      <c r="K171">
        <v>33</v>
      </c>
      <c r="L171">
        <v>27.6</v>
      </c>
      <c r="M171">
        <v>7.3</v>
      </c>
      <c r="N171">
        <v>85</v>
      </c>
      <c r="O171">
        <v>78</v>
      </c>
      <c r="P171">
        <v>22.6</v>
      </c>
      <c r="Q171">
        <v>11.6</v>
      </c>
      <c r="R171">
        <v>10.5</v>
      </c>
      <c r="S171">
        <v>24.5</v>
      </c>
      <c r="T171">
        <v>81</v>
      </c>
      <c r="U171">
        <v>4344</v>
      </c>
      <c r="V171">
        <v>1995000</v>
      </c>
      <c r="W171">
        <v>57</v>
      </c>
      <c r="X171">
        <v>50</v>
      </c>
      <c r="Y171">
        <v>59.5</v>
      </c>
      <c r="Z171">
        <v>55.5</v>
      </c>
      <c r="AA171">
        <v>57</v>
      </c>
      <c r="AB171">
        <v>68.900000000000006</v>
      </c>
      <c r="AC171">
        <v>56.1</v>
      </c>
      <c r="AD171">
        <v>100</v>
      </c>
      <c r="AE171">
        <v>95.2</v>
      </c>
      <c r="AF171" t="s">
        <v>47</v>
      </c>
    </row>
    <row r="172" spans="1:32">
      <c r="A172" t="s">
        <v>982</v>
      </c>
      <c r="B172">
        <v>0.8</v>
      </c>
      <c r="C172">
        <v>4</v>
      </c>
      <c r="D172">
        <v>2</v>
      </c>
      <c r="E172">
        <v>0.3</v>
      </c>
      <c r="F172">
        <v>3.3</v>
      </c>
      <c r="G172">
        <v>5.5</v>
      </c>
      <c r="H172">
        <v>64</v>
      </c>
      <c r="I172">
        <v>61.4</v>
      </c>
      <c r="J172">
        <v>1</v>
      </c>
      <c r="K172">
        <v>36</v>
      </c>
      <c r="L172">
        <v>27.7</v>
      </c>
      <c r="M172">
        <v>7.8</v>
      </c>
      <c r="N172">
        <v>82</v>
      </c>
      <c r="O172">
        <v>55</v>
      </c>
      <c r="P172">
        <v>14.4</v>
      </c>
      <c r="Q172">
        <v>14</v>
      </c>
      <c r="R172">
        <v>8</v>
      </c>
      <c r="S172">
        <v>17.899999999999999</v>
      </c>
      <c r="T172">
        <v>83</v>
      </c>
      <c r="U172">
        <v>4423</v>
      </c>
      <c r="V172">
        <v>1979000</v>
      </c>
      <c r="W172">
        <v>42</v>
      </c>
      <c r="X172">
        <v>43.2</v>
      </c>
      <c r="Y172">
        <v>67.8</v>
      </c>
      <c r="Z172">
        <v>85.4</v>
      </c>
      <c r="AA172">
        <v>42</v>
      </c>
      <c r="AB172">
        <v>68.2</v>
      </c>
      <c r="AC172">
        <v>60.2</v>
      </c>
      <c r="AD172">
        <v>100</v>
      </c>
      <c r="AE172">
        <v>100</v>
      </c>
      <c r="AF172" t="s">
        <v>47</v>
      </c>
    </row>
    <row r="173" spans="1:32">
      <c r="A173" t="s">
        <v>984</v>
      </c>
      <c r="B173">
        <v>4.0999999999999996</v>
      </c>
      <c r="C173">
        <v>8</v>
      </c>
      <c r="D173">
        <v>5</v>
      </c>
      <c r="E173">
        <v>18.5</v>
      </c>
      <c r="F173">
        <v>13.5</v>
      </c>
      <c r="G173">
        <v>3.9</v>
      </c>
      <c r="H173">
        <v>70</v>
      </c>
      <c r="I173">
        <v>72.400000000000006</v>
      </c>
      <c r="J173">
        <v>0</v>
      </c>
      <c r="K173">
        <v>55</v>
      </c>
      <c r="L173">
        <v>31.5</v>
      </c>
      <c r="M173">
        <v>4.8</v>
      </c>
      <c r="N173">
        <v>92</v>
      </c>
      <c r="O173">
        <v>56</v>
      </c>
      <c r="P173">
        <v>10.199999999999999</v>
      </c>
      <c r="Q173">
        <v>15.1</v>
      </c>
      <c r="R173">
        <v>8.8000000000000007</v>
      </c>
      <c r="S173">
        <v>24</v>
      </c>
      <c r="T173">
        <v>88</v>
      </c>
      <c r="U173">
        <v>2922</v>
      </c>
      <c r="V173">
        <v>755000</v>
      </c>
      <c r="W173">
        <v>53</v>
      </c>
      <c r="X173">
        <v>69.599999999999994</v>
      </c>
      <c r="Y173">
        <v>74.8</v>
      </c>
      <c r="Z173">
        <v>57.3</v>
      </c>
      <c r="AA173">
        <v>53</v>
      </c>
      <c r="AB173">
        <v>82.7</v>
      </c>
      <c r="AC173">
        <v>68.099999999999994</v>
      </c>
      <c r="AD173">
        <v>100</v>
      </c>
      <c r="AE173">
        <v>100</v>
      </c>
      <c r="AF173" t="s">
        <v>47</v>
      </c>
    </row>
    <row r="174" spans="1:32">
      <c r="A174" t="s">
        <v>986</v>
      </c>
      <c r="B174">
        <v>2.2000000000000002</v>
      </c>
      <c r="C174">
        <v>8</v>
      </c>
      <c r="D174">
        <v>2</v>
      </c>
      <c r="E174">
        <v>9</v>
      </c>
      <c r="F174">
        <v>15.4</v>
      </c>
      <c r="G174">
        <v>5.8</v>
      </c>
      <c r="H174">
        <v>65</v>
      </c>
      <c r="I174">
        <v>46.7</v>
      </c>
      <c r="J174">
        <v>0</v>
      </c>
      <c r="K174">
        <v>41</v>
      </c>
      <c r="L174">
        <v>28</v>
      </c>
      <c r="M174">
        <v>7.9</v>
      </c>
      <c r="N174">
        <v>78</v>
      </c>
      <c r="O174">
        <v>79</v>
      </c>
      <c r="P174">
        <v>23.9</v>
      </c>
      <c r="Q174">
        <v>12.5</v>
      </c>
      <c r="R174">
        <v>8.1</v>
      </c>
      <c r="S174">
        <v>18.3</v>
      </c>
      <c r="T174">
        <v>81</v>
      </c>
      <c r="U174">
        <v>3286</v>
      </c>
      <c r="V174">
        <v>878000</v>
      </c>
      <c r="W174">
        <v>35</v>
      </c>
      <c r="X174">
        <v>55.6</v>
      </c>
      <c r="Y174">
        <v>59.6</v>
      </c>
      <c r="Z174">
        <v>57</v>
      </c>
      <c r="AA174">
        <v>35</v>
      </c>
      <c r="AB174">
        <v>79.2</v>
      </c>
      <c r="AC174">
        <v>57.2</v>
      </c>
      <c r="AD174">
        <v>100</v>
      </c>
      <c r="AE174">
        <v>100</v>
      </c>
      <c r="AF174" t="s">
        <v>47</v>
      </c>
    </row>
    <row r="175" spans="1:32">
      <c r="A175" t="s">
        <v>988</v>
      </c>
      <c r="B175">
        <v>2.6</v>
      </c>
      <c r="C175">
        <v>9</v>
      </c>
      <c r="D175">
        <v>1</v>
      </c>
      <c r="E175">
        <v>8.4</v>
      </c>
      <c r="F175">
        <v>10.1</v>
      </c>
      <c r="G175">
        <v>6.6</v>
      </c>
      <c r="H175">
        <v>59.8</v>
      </c>
      <c r="I175">
        <v>63.8</v>
      </c>
      <c r="J175">
        <v>0</v>
      </c>
      <c r="K175">
        <v>48</v>
      </c>
      <c r="L175">
        <v>25.1</v>
      </c>
      <c r="M175">
        <v>7.1</v>
      </c>
      <c r="N175">
        <v>97</v>
      </c>
      <c r="O175">
        <v>70</v>
      </c>
      <c r="P175">
        <v>14.5</v>
      </c>
      <c r="Q175">
        <v>12.8</v>
      </c>
      <c r="R175">
        <v>10.8</v>
      </c>
      <c r="S175">
        <v>14.9</v>
      </c>
      <c r="T175">
        <v>97</v>
      </c>
      <c r="U175">
        <v>3601</v>
      </c>
      <c r="V175">
        <v>637000</v>
      </c>
      <c r="W175">
        <v>31</v>
      </c>
      <c r="X175">
        <v>54.5</v>
      </c>
      <c r="Y175">
        <v>68.400000000000006</v>
      </c>
      <c r="Z175">
        <v>71.8</v>
      </c>
      <c r="AA175">
        <v>31</v>
      </c>
      <c r="AB175">
        <v>76.099999999999994</v>
      </c>
      <c r="AC175">
        <v>61.3</v>
      </c>
      <c r="AD175">
        <v>100</v>
      </c>
      <c r="AE175">
        <v>100</v>
      </c>
      <c r="AF175" t="s">
        <v>47</v>
      </c>
    </row>
    <row r="176" spans="1:32">
      <c r="A176" t="s">
        <v>990</v>
      </c>
      <c r="B176">
        <v>2.5</v>
      </c>
      <c r="C176">
        <v>8</v>
      </c>
      <c r="D176">
        <v>3</v>
      </c>
      <c r="E176">
        <v>12.4</v>
      </c>
      <c r="F176">
        <v>5.0999999999999996</v>
      </c>
      <c r="G176">
        <v>7.9</v>
      </c>
      <c r="H176">
        <v>61</v>
      </c>
      <c r="I176">
        <v>69.400000000000006</v>
      </c>
      <c r="J176">
        <v>0</v>
      </c>
      <c r="K176">
        <v>58</v>
      </c>
      <c r="L176">
        <v>21.6</v>
      </c>
      <c r="M176">
        <v>5.2</v>
      </c>
      <c r="N176">
        <v>85</v>
      </c>
      <c r="O176">
        <v>81</v>
      </c>
      <c r="P176">
        <v>9.6999999999999993</v>
      </c>
      <c r="Q176">
        <v>9.8000000000000007</v>
      </c>
      <c r="R176">
        <v>6.5</v>
      </c>
      <c r="S176">
        <v>9.9</v>
      </c>
      <c r="T176">
        <v>82</v>
      </c>
      <c r="U176">
        <v>3467</v>
      </c>
      <c r="V176">
        <v>1782000</v>
      </c>
      <c r="W176">
        <v>37</v>
      </c>
      <c r="X176">
        <v>62.8</v>
      </c>
      <c r="Y176">
        <v>76.7</v>
      </c>
      <c r="Z176">
        <v>87</v>
      </c>
      <c r="AA176">
        <v>37</v>
      </c>
      <c r="AB176">
        <v>77.400000000000006</v>
      </c>
      <c r="AC176">
        <v>70</v>
      </c>
      <c r="AD176">
        <v>100</v>
      </c>
      <c r="AE176">
        <v>100</v>
      </c>
      <c r="AF176" t="s">
        <v>47</v>
      </c>
    </row>
    <row r="177" spans="1:32">
      <c r="A177" t="s">
        <v>992</v>
      </c>
      <c r="B177">
        <v>0.5</v>
      </c>
      <c r="C177">
        <v>3</v>
      </c>
      <c r="D177">
        <v>3</v>
      </c>
      <c r="E177">
        <v>15.3</v>
      </c>
      <c r="F177">
        <v>3.6</v>
      </c>
      <c r="G177">
        <v>6.9</v>
      </c>
      <c r="H177">
        <v>82.9</v>
      </c>
      <c r="I177">
        <v>35.700000000000003</v>
      </c>
      <c r="J177">
        <v>0</v>
      </c>
      <c r="K177">
        <v>54</v>
      </c>
      <c r="L177">
        <v>30.5</v>
      </c>
      <c r="M177">
        <v>11.1</v>
      </c>
      <c r="N177">
        <v>61</v>
      </c>
      <c r="O177">
        <v>33</v>
      </c>
      <c r="P177">
        <v>22.2</v>
      </c>
      <c r="Q177">
        <v>14.4</v>
      </c>
      <c r="R177">
        <v>8.8000000000000007</v>
      </c>
      <c r="S177">
        <v>12.2</v>
      </c>
      <c r="T177">
        <v>75</v>
      </c>
      <c r="U177">
        <v>3980</v>
      </c>
      <c r="V177">
        <v>1840000</v>
      </c>
      <c r="W177">
        <v>41</v>
      </c>
      <c r="X177">
        <v>70</v>
      </c>
      <c r="Y177">
        <v>52.9</v>
      </c>
      <c r="Z177">
        <v>88.8</v>
      </c>
      <c r="AA177">
        <v>41</v>
      </c>
      <c r="AB177">
        <v>72.5</v>
      </c>
      <c r="AC177">
        <v>66.8</v>
      </c>
      <c r="AD177">
        <v>100</v>
      </c>
      <c r="AE177">
        <v>100</v>
      </c>
      <c r="AF177" t="s">
        <v>47</v>
      </c>
    </row>
    <row r="178" spans="1:32">
      <c r="A178" t="s">
        <v>995</v>
      </c>
      <c r="B178">
        <v>0.5</v>
      </c>
      <c r="C178">
        <v>2</v>
      </c>
      <c r="D178">
        <v>0</v>
      </c>
      <c r="E178">
        <v>11.4</v>
      </c>
      <c r="F178">
        <v>4.3</v>
      </c>
      <c r="G178">
        <v>5</v>
      </c>
      <c r="H178">
        <v>69</v>
      </c>
      <c r="I178">
        <v>48.5</v>
      </c>
      <c r="J178">
        <v>0</v>
      </c>
      <c r="K178">
        <v>47</v>
      </c>
      <c r="L178">
        <v>23.2</v>
      </c>
      <c r="M178">
        <v>5.6</v>
      </c>
      <c r="N178">
        <v>78</v>
      </c>
      <c r="O178">
        <v>70</v>
      </c>
      <c r="P178">
        <v>22.8</v>
      </c>
      <c r="Q178">
        <v>7.8</v>
      </c>
      <c r="R178">
        <v>10.6</v>
      </c>
      <c r="S178">
        <v>22.3</v>
      </c>
      <c r="T178">
        <v>82</v>
      </c>
      <c r="U178">
        <v>3632</v>
      </c>
      <c r="V178">
        <v>1998000</v>
      </c>
      <c r="W178">
        <v>44</v>
      </c>
      <c r="X178">
        <v>62.2</v>
      </c>
      <c r="Y178">
        <v>63.1</v>
      </c>
      <c r="Z178">
        <v>79.900000000000006</v>
      </c>
      <c r="AA178">
        <v>44</v>
      </c>
      <c r="AB178">
        <v>75.8</v>
      </c>
      <c r="AC178">
        <v>65.5</v>
      </c>
      <c r="AD178">
        <v>100</v>
      </c>
      <c r="AE178">
        <v>100</v>
      </c>
      <c r="AF178" t="s">
        <v>47</v>
      </c>
    </row>
    <row r="179" spans="1:32">
      <c r="A179" t="s">
        <v>998</v>
      </c>
      <c r="B179">
        <v>0.6</v>
      </c>
      <c r="C179">
        <v>4</v>
      </c>
      <c r="D179">
        <v>2</v>
      </c>
      <c r="E179">
        <v>8.1999999999999993</v>
      </c>
      <c r="F179">
        <v>5.7</v>
      </c>
      <c r="G179">
        <v>5</v>
      </c>
      <c r="H179">
        <v>87.9</v>
      </c>
      <c r="J179">
        <v>0</v>
      </c>
      <c r="K179">
        <v>39</v>
      </c>
      <c r="L179">
        <v>27.3</v>
      </c>
      <c r="N179">
        <v>80</v>
      </c>
      <c r="O179">
        <v>53</v>
      </c>
      <c r="Q179">
        <v>4.2</v>
      </c>
      <c r="R179">
        <v>10.199999999999999</v>
      </c>
      <c r="S179">
        <v>14.4</v>
      </c>
      <c r="U179">
        <v>4488</v>
      </c>
      <c r="V179">
        <v>5642000</v>
      </c>
      <c r="W179">
        <v>56</v>
      </c>
      <c r="X179">
        <v>56.4</v>
      </c>
      <c r="Y179">
        <v>81.8</v>
      </c>
      <c r="Z179">
        <v>82.4</v>
      </c>
      <c r="AA179">
        <v>56</v>
      </c>
      <c r="AB179">
        <v>67.5</v>
      </c>
      <c r="AC179">
        <v>69</v>
      </c>
      <c r="AD179">
        <v>100</v>
      </c>
      <c r="AE179">
        <v>81</v>
      </c>
      <c r="AF179" t="s">
        <v>1971</v>
      </c>
    </row>
    <row r="180" spans="1:32">
      <c r="A180" t="s">
        <v>1000</v>
      </c>
      <c r="B180">
        <v>4.5</v>
      </c>
      <c r="C180">
        <v>13</v>
      </c>
      <c r="D180">
        <v>5</v>
      </c>
      <c r="E180">
        <v>14.7</v>
      </c>
      <c r="G180">
        <v>5.8</v>
      </c>
      <c r="H180">
        <v>80.400000000000006</v>
      </c>
      <c r="I180">
        <v>50.4</v>
      </c>
      <c r="J180">
        <v>0</v>
      </c>
      <c r="K180">
        <v>64</v>
      </c>
      <c r="L180">
        <v>23</v>
      </c>
      <c r="M180">
        <v>7.6</v>
      </c>
      <c r="N180">
        <v>83</v>
      </c>
      <c r="O180">
        <v>57</v>
      </c>
      <c r="P180">
        <v>21.2</v>
      </c>
      <c r="Q180">
        <v>6.1</v>
      </c>
      <c r="R180">
        <v>7.4</v>
      </c>
      <c r="S180">
        <v>17.7</v>
      </c>
      <c r="T180">
        <v>83</v>
      </c>
      <c r="U180">
        <v>5105</v>
      </c>
      <c r="V180">
        <v>3044000</v>
      </c>
      <c r="W180">
        <v>67</v>
      </c>
      <c r="X180">
        <v>68</v>
      </c>
      <c r="Y180">
        <v>64.900000000000006</v>
      </c>
      <c r="Z180">
        <v>67.3</v>
      </c>
      <c r="AA180">
        <v>67</v>
      </c>
      <c r="AB180">
        <v>61.6</v>
      </c>
      <c r="AC180">
        <v>66.3</v>
      </c>
      <c r="AD180">
        <v>100</v>
      </c>
      <c r="AE180">
        <v>95.2</v>
      </c>
      <c r="AF180" t="s">
        <v>47</v>
      </c>
    </row>
    <row r="181" spans="1:32">
      <c r="A181" t="s">
        <v>1001</v>
      </c>
      <c r="B181">
        <v>4.0999999999999996</v>
      </c>
      <c r="C181">
        <v>12</v>
      </c>
      <c r="D181">
        <v>4</v>
      </c>
      <c r="E181">
        <v>9.6999999999999993</v>
      </c>
      <c r="F181">
        <v>7.3</v>
      </c>
      <c r="G181">
        <v>5.8</v>
      </c>
      <c r="H181">
        <v>60.1</v>
      </c>
      <c r="I181">
        <v>46.5</v>
      </c>
      <c r="J181">
        <v>0</v>
      </c>
      <c r="K181">
        <v>50</v>
      </c>
      <c r="L181">
        <v>23.8</v>
      </c>
      <c r="M181">
        <v>9.1</v>
      </c>
      <c r="N181">
        <v>94</v>
      </c>
      <c r="O181">
        <v>62</v>
      </c>
      <c r="P181">
        <v>16.399999999999999</v>
      </c>
      <c r="Q181">
        <v>11.3</v>
      </c>
      <c r="R181">
        <v>8.1</v>
      </c>
      <c r="S181">
        <v>12.7</v>
      </c>
      <c r="T181">
        <v>69</v>
      </c>
      <c r="U181">
        <v>3533</v>
      </c>
      <c r="V181">
        <v>660000</v>
      </c>
      <c r="W181">
        <v>44</v>
      </c>
      <c r="X181">
        <v>58.1</v>
      </c>
      <c r="Y181">
        <v>61.9</v>
      </c>
      <c r="Z181">
        <v>79.900000000000006</v>
      </c>
      <c r="AA181">
        <v>44</v>
      </c>
      <c r="AB181">
        <v>76.8</v>
      </c>
      <c r="AC181">
        <v>63.9</v>
      </c>
      <c r="AD181">
        <v>100</v>
      </c>
      <c r="AE181">
        <v>100</v>
      </c>
      <c r="AF181" t="s">
        <v>47</v>
      </c>
    </row>
    <row r="182" spans="1:32">
      <c r="A182" t="s">
        <v>1003</v>
      </c>
      <c r="B182">
        <v>0.5</v>
      </c>
      <c r="C182">
        <v>3</v>
      </c>
      <c r="D182">
        <v>0</v>
      </c>
      <c r="E182">
        <v>9.3000000000000007</v>
      </c>
      <c r="F182">
        <v>1.2</v>
      </c>
      <c r="G182">
        <v>6.3</v>
      </c>
      <c r="H182">
        <v>62.3</v>
      </c>
      <c r="I182">
        <v>53.2</v>
      </c>
      <c r="J182">
        <v>0</v>
      </c>
      <c r="K182">
        <v>49</v>
      </c>
      <c r="L182">
        <v>29.3</v>
      </c>
      <c r="M182">
        <v>9.5</v>
      </c>
      <c r="N182">
        <v>73</v>
      </c>
      <c r="O182">
        <v>74</v>
      </c>
      <c r="P182">
        <v>25.2</v>
      </c>
      <c r="Q182">
        <v>10.9</v>
      </c>
      <c r="R182">
        <v>11.1</v>
      </c>
      <c r="S182">
        <v>19.8</v>
      </c>
      <c r="T182">
        <v>83</v>
      </c>
      <c r="U182">
        <v>3774</v>
      </c>
      <c r="V182">
        <v>1415000</v>
      </c>
      <c r="W182">
        <v>45</v>
      </c>
      <c r="X182">
        <v>56.5</v>
      </c>
      <c r="Y182">
        <v>59.4</v>
      </c>
      <c r="Z182">
        <v>87</v>
      </c>
      <c r="AA182">
        <v>45</v>
      </c>
      <c r="AB182">
        <v>74.5</v>
      </c>
      <c r="AC182">
        <v>64</v>
      </c>
      <c r="AD182">
        <v>100</v>
      </c>
      <c r="AE182">
        <v>100</v>
      </c>
      <c r="AF182" t="s">
        <v>47</v>
      </c>
    </row>
    <row r="183" spans="1:32">
      <c r="A183" t="s">
        <v>1006</v>
      </c>
      <c r="B183">
        <v>3.7</v>
      </c>
      <c r="C183">
        <v>13</v>
      </c>
      <c r="D183">
        <v>4</v>
      </c>
      <c r="E183">
        <v>5.9</v>
      </c>
      <c r="F183">
        <v>8.5</v>
      </c>
      <c r="G183">
        <v>7.3</v>
      </c>
      <c r="H183">
        <v>67.5</v>
      </c>
      <c r="I183">
        <v>69.5</v>
      </c>
      <c r="J183">
        <v>0</v>
      </c>
      <c r="K183">
        <v>52</v>
      </c>
      <c r="L183">
        <v>24.3</v>
      </c>
      <c r="M183">
        <v>8.1999999999999993</v>
      </c>
      <c r="N183">
        <v>108</v>
      </c>
      <c r="O183">
        <v>68</v>
      </c>
      <c r="P183">
        <v>11.4</v>
      </c>
      <c r="Q183">
        <v>7.5</v>
      </c>
      <c r="R183">
        <v>5.3</v>
      </c>
      <c r="S183">
        <v>13.3</v>
      </c>
      <c r="T183">
        <v>89</v>
      </c>
      <c r="U183">
        <v>3962</v>
      </c>
      <c r="V183">
        <v>2072000</v>
      </c>
      <c r="W183">
        <v>39</v>
      </c>
      <c r="X183">
        <v>49.8</v>
      </c>
      <c r="Y183">
        <v>75.2</v>
      </c>
      <c r="Z183">
        <v>76.7</v>
      </c>
      <c r="AA183">
        <v>39</v>
      </c>
      <c r="AB183">
        <v>72.599999999999994</v>
      </c>
      <c r="AC183">
        <v>62.7</v>
      </c>
      <c r="AD183">
        <v>100</v>
      </c>
      <c r="AE183">
        <v>100</v>
      </c>
      <c r="AF183" t="s">
        <v>47</v>
      </c>
    </row>
    <row r="184" spans="1:32">
      <c r="A184" t="s">
        <v>1008</v>
      </c>
      <c r="B184">
        <v>1.9</v>
      </c>
      <c r="C184">
        <v>6</v>
      </c>
      <c r="D184">
        <v>3</v>
      </c>
      <c r="E184">
        <v>12.2</v>
      </c>
      <c r="F184">
        <v>1</v>
      </c>
      <c r="G184">
        <v>6.9</v>
      </c>
      <c r="H184">
        <v>66.8</v>
      </c>
      <c r="I184">
        <v>49.5</v>
      </c>
      <c r="J184">
        <v>0</v>
      </c>
      <c r="K184">
        <v>56</v>
      </c>
      <c r="L184">
        <v>27.1</v>
      </c>
      <c r="M184">
        <v>6.8</v>
      </c>
      <c r="N184">
        <v>76</v>
      </c>
      <c r="O184">
        <v>54</v>
      </c>
      <c r="P184">
        <v>19.8</v>
      </c>
      <c r="Q184">
        <v>13.1</v>
      </c>
      <c r="R184">
        <v>9.1999999999999993</v>
      </c>
      <c r="S184">
        <v>20.3</v>
      </c>
      <c r="T184">
        <v>77</v>
      </c>
      <c r="U184">
        <v>3643</v>
      </c>
      <c r="V184">
        <v>1340000</v>
      </c>
      <c r="W184">
        <v>46</v>
      </c>
      <c r="X184">
        <v>63.2</v>
      </c>
      <c r="Y184">
        <v>62.2</v>
      </c>
      <c r="Z184">
        <v>86.7</v>
      </c>
      <c r="AA184">
        <v>46</v>
      </c>
      <c r="AB184">
        <v>75.7</v>
      </c>
      <c r="AC184">
        <v>67.2</v>
      </c>
      <c r="AD184">
        <v>100</v>
      </c>
      <c r="AE184">
        <v>100</v>
      </c>
      <c r="AF184" t="s">
        <v>47</v>
      </c>
    </row>
    <row r="185" spans="1:32">
      <c r="A185" t="s">
        <v>1010</v>
      </c>
      <c r="B185">
        <v>2.6</v>
      </c>
      <c r="C185">
        <v>9</v>
      </c>
      <c r="D185">
        <v>3</v>
      </c>
      <c r="E185">
        <v>14.2</v>
      </c>
      <c r="F185">
        <v>7.5</v>
      </c>
      <c r="G185">
        <v>5</v>
      </c>
      <c r="H185">
        <v>50.1</v>
      </c>
      <c r="I185">
        <v>54.4</v>
      </c>
      <c r="J185">
        <v>0</v>
      </c>
      <c r="K185">
        <v>49</v>
      </c>
      <c r="L185">
        <v>26.9</v>
      </c>
      <c r="M185">
        <v>6.2</v>
      </c>
      <c r="N185">
        <v>103</v>
      </c>
      <c r="O185">
        <v>106</v>
      </c>
      <c r="P185">
        <v>16.5</v>
      </c>
      <c r="Q185">
        <v>14</v>
      </c>
      <c r="R185">
        <v>12.5</v>
      </c>
      <c r="S185">
        <v>22</v>
      </c>
      <c r="T185">
        <v>90</v>
      </c>
      <c r="U185">
        <v>2132</v>
      </c>
      <c r="V185">
        <v>746000</v>
      </c>
      <c r="W185">
        <v>34</v>
      </c>
      <c r="X185">
        <v>59.7</v>
      </c>
      <c r="Y185">
        <v>63.9</v>
      </c>
      <c r="Z185">
        <v>72.599999999999994</v>
      </c>
      <c r="AA185">
        <v>34</v>
      </c>
      <c r="AB185">
        <v>90.3</v>
      </c>
      <c r="AC185">
        <v>63.8</v>
      </c>
      <c r="AD185">
        <v>100</v>
      </c>
      <c r="AE185">
        <v>100</v>
      </c>
      <c r="AF185" t="s">
        <v>47</v>
      </c>
    </row>
    <row r="186" spans="1:32">
      <c r="A186" t="s">
        <v>1013</v>
      </c>
      <c r="B186">
        <v>1.8</v>
      </c>
      <c r="C186">
        <v>7</v>
      </c>
      <c r="D186">
        <v>2</v>
      </c>
      <c r="E186">
        <v>5.6</v>
      </c>
      <c r="F186">
        <v>23.9</v>
      </c>
      <c r="G186">
        <v>7</v>
      </c>
      <c r="H186">
        <v>65.5</v>
      </c>
      <c r="I186">
        <v>47.1</v>
      </c>
      <c r="J186">
        <v>0</v>
      </c>
      <c r="K186">
        <v>35</v>
      </c>
      <c r="L186">
        <v>43.4</v>
      </c>
      <c r="M186">
        <v>11.1</v>
      </c>
      <c r="N186">
        <v>109</v>
      </c>
      <c r="O186">
        <v>80</v>
      </c>
      <c r="P186">
        <v>22.7</v>
      </c>
      <c r="Q186">
        <v>9.3000000000000007</v>
      </c>
      <c r="R186">
        <v>5.6</v>
      </c>
      <c r="S186">
        <v>21.2</v>
      </c>
      <c r="T186">
        <v>72</v>
      </c>
      <c r="U186">
        <v>3167</v>
      </c>
      <c r="V186">
        <v>1500000</v>
      </c>
      <c r="W186">
        <v>76</v>
      </c>
      <c r="X186">
        <v>40.4</v>
      </c>
      <c r="Y186">
        <v>60</v>
      </c>
      <c r="Z186">
        <v>35.200000000000003</v>
      </c>
      <c r="AA186">
        <v>76</v>
      </c>
      <c r="AB186">
        <v>80.3</v>
      </c>
      <c r="AC186">
        <v>51.8</v>
      </c>
      <c r="AD186">
        <v>100</v>
      </c>
      <c r="AE186">
        <v>100</v>
      </c>
      <c r="AF186" t="s">
        <v>47</v>
      </c>
    </row>
    <row r="187" spans="1:32">
      <c r="A187" t="s">
        <v>1016</v>
      </c>
      <c r="B187">
        <v>1.6</v>
      </c>
      <c r="C187">
        <v>5</v>
      </c>
      <c r="D187">
        <v>0</v>
      </c>
      <c r="E187">
        <v>13.4</v>
      </c>
      <c r="F187">
        <v>8.9</v>
      </c>
      <c r="G187">
        <v>6.6</v>
      </c>
      <c r="H187">
        <v>57.2</v>
      </c>
      <c r="I187">
        <v>41.1</v>
      </c>
      <c r="J187">
        <v>0</v>
      </c>
      <c r="K187">
        <v>47</v>
      </c>
      <c r="L187">
        <v>28.3</v>
      </c>
      <c r="M187">
        <v>7.7</v>
      </c>
      <c r="N187">
        <v>114</v>
      </c>
      <c r="O187">
        <v>99</v>
      </c>
      <c r="P187">
        <v>24.6</v>
      </c>
      <c r="Q187">
        <v>12.1</v>
      </c>
      <c r="R187">
        <v>11.2</v>
      </c>
      <c r="S187">
        <v>11.6</v>
      </c>
      <c r="T187">
        <v>68</v>
      </c>
      <c r="U187">
        <v>1698</v>
      </c>
      <c r="V187">
        <v>1123000</v>
      </c>
      <c r="W187">
        <v>71</v>
      </c>
      <c r="X187">
        <v>57.2</v>
      </c>
      <c r="Y187">
        <v>56.3</v>
      </c>
      <c r="Z187">
        <v>77</v>
      </c>
      <c r="AA187">
        <v>71</v>
      </c>
      <c r="AB187">
        <v>94.6</v>
      </c>
      <c r="AC187">
        <v>66</v>
      </c>
      <c r="AD187">
        <v>100</v>
      </c>
      <c r="AE187">
        <v>100</v>
      </c>
      <c r="AF187" t="s">
        <v>47</v>
      </c>
    </row>
    <row r="188" spans="1:32">
      <c r="A188" t="s">
        <v>1019</v>
      </c>
      <c r="B188">
        <v>3</v>
      </c>
      <c r="C188">
        <v>9</v>
      </c>
      <c r="D188">
        <v>5</v>
      </c>
      <c r="E188">
        <v>9.1999999999999993</v>
      </c>
      <c r="F188">
        <v>15.7</v>
      </c>
      <c r="G188">
        <v>6</v>
      </c>
      <c r="H188">
        <v>62.1</v>
      </c>
      <c r="I188">
        <v>73.3</v>
      </c>
      <c r="J188">
        <v>0</v>
      </c>
      <c r="K188">
        <v>46</v>
      </c>
      <c r="L188">
        <v>35.9</v>
      </c>
      <c r="M188">
        <v>5.2</v>
      </c>
      <c r="N188">
        <v>112</v>
      </c>
      <c r="O188">
        <v>110</v>
      </c>
      <c r="P188">
        <v>17.600000000000001</v>
      </c>
      <c r="Q188">
        <v>10</v>
      </c>
      <c r="R188">
        <v>5.0999999999999996</v>
      </c>
      <c r="S188">
        <v>18.899999999999999</v>
      </c>
      <c r="T188">
        <v>89</v>
      </c>
      <c r="U188">
        <v>2600</v>
      </c>
      <c r="V188">
        <v>1232000</v>
      </c>
      <c r="W188">
        <v>51</v>
      </c>
      <c r="X188">
        <v>46.7</v>
      </c>
      <c r="Y188">
        <v>75.599999999999994</v>
      </c>
      <c r="Z188">
        <v>55.9</v>
      </c>
      <c r="AA188">
        <v>51</v>
      </c>
      <c r="AB188">
        <v>85.8</v>
      </c>
      <c r="AC188">
        <v>60.1</v>
      </c>
      <c r="AD188">
        <v>100</v>
      </c>
      <c r="AE188">
        <v>100</v>
      </c>
      <c r="AF188" t="s">
        <v>47</v>
      </c>
    </row>
    <row r="189" spans="1:32">
      <c r="A189" t="s">
        <v>1021</v>
      </c>
      <c r="B189">
        <v>4.7</v>
      </c>
      <c r="C189">
        <v>14</v>
      </c>
      <c r="D189">
        <v>7</v>
      </c>
      <c r="E189">
        <v>8.9</v>
      </c>
      <c r="F189">
        <v>18.8</v>
      </c>
      <c r="G189">
        <v>4.5999999999999996</v>
      </c>
      <c r="H189">
        <v>70.8</v>
      </c>
      <c r="I189">
        <v>55.8</v>
      </c>
      <c r="J189">
        <v>0</v>
      </c>
      <c r="K189">
        <v>43</v>
      </c>
      <c r="L189">
        <v>23.2</v>
      </c>
      <c r="M189">
        <v>5.9</v>
      </c>
      <c r="N189">
        <v>86</v>
      </c>
      <c r="O189">
        <v>87</v>
      </c>
      <c r="P189">
        <v>15.4</v>
      </c>
      <c r="Q189">
        <v>10.3</v>
      </c>
      <c r="R189">
        <v>12.6</v>
      </c>
      <c r="S189">
        <v>24.6</v>
      </c>
      <c r="T189">
        <v>80</v>
      </c>
      <c r="U189">
        <v>2164</v>
      </c>
      <c r="V189">
        <v>1116000</v>
      </c>
      <c r="W189">
        <v>53</v>
      </c>
      <c r="X189">
        <v>56</v>
      </c>
      <c r="Y189">
        <v>66.400000000000006</v>
      </c>
      <c r="Z189">
        <v>44.5</v>
      </c>
      <c r="AA189">
        <v>53</v>
      </c>
      <c r="AB189">
        <v>90</v>
      </c>
      <c r="AC189">
        <v>59.4</v>
      </c>
      <c r="AD189">
        <v>100</v>
      </c>
      <c r="AE189">
        <v>100</v>
      </c>
      <c r="AF189" t="s">
        <v>47</v>
      </c>
    </row>
    <row r="190" spans="1:32">
      <c r="A190" t="s">
        <v>1023</v>
      </c>
      <c r="B190">
        <v>2.2000000000000002</v>
      </c>
      <c r="D190">
        <v>6</v>
      </c>
      <c r="E190">
        <v>14.5</v>
      </c>
      <c r="F190">
        <v>12.4</v>
      </c>
      <c r="G190">
        <v>4.5999999999999996</v>
      </c>
      <c r="H190">
        <v>62.2</v>
      </c>
      <c r="I190">
        <v>55.9</v>
      </c>
      <c r="J190">
        <v>0</v>
      </c>
      <c r="K190">
        <v>46</v>
      </c>
      <c r="L190">
        <v>17.7</v>
      </c>
      <c r="M190">
        <v>7.6</v>
      </c>
      <c r="N190">
        <v>107</v>
      </c>
      <c r="O190">
        <v>101</v>
      </c>
      <c r="P190">
        <v>20</v>
      </c>
      <c r="Q190">
        <v>13.1</v>
      </c>
      <c r="R190">
        <v>10.3</v>
      </c>
      <c r="S190">
        <v>23.5</v>
      </c>
      <c r="T190">
        <v>83</v>
      </c>
      <c r="U190">
        <v>2182</v>
      </c>
      <c r="V190">
        <v>1978000</v>
      </c>
      <c r="W190">
        <v>63</v>
      </c>
      <c r="X190">
        <v>64</v>
      </c>
      <c r="Y190">
        <v>63.3</v>
      </c>
      <c r="Z190">
        <v>60.2</v>
      </c>
      <c r="AA190">
        <v>63</v>
      </c>
      <c r="AB190">
        <v>89.9</v>
      </c>
      <c r="AC190">
        <v>65.5</v>
      </c>
      <c r="AD190">
        <v>100</v>
      </c>
      <c r="AE190">
        <v>95.2</v>
      </c>
      <c r="AF190" t="s">
        <v>47</v>
      </c>
    </row>
    <row r="191" spans="1:32">
      <c r="A191" t="s">
        <v>1025</v>
      </c>
      <c r="B191">
        <v>0.5</v>
      </c>
      <c r="C191">
        <v>3</v>
      </c>
      <c r="D191">
        <v>1</v>
      </c>
      <c r="E191">
        <v>7.6</v>
      </c>
      <c r="F191">
        <v>6.1</v>
      </c>
      <c r="H191">
        <v>54.9</v>
      </c>
      <c r="I191">
        <v>48.6</v>
      </c>
      <c r="J191">
        <v>2</v>
      </c>
      <c r="K191">
        <v>23</v>
      </c>
      <c r="L191">
        <v>35.200000000000003</v>
      </c>
      <c r="M191">
        <v>5.8</v>
      </c>
      <c r="N191">
        <v>98</v>
      </c>
      <c r="O191">
        <v>111</v>
      </c>
      <c r="P191">
        <v>19.2</v>
      </c>
      <c r="T191">
        <v>82</v>
      </c>
      <c r="U191">
        <v>1951</v>
      </c>
      <c r="V191">
        <v>846000</v>
      </c>
      <c r="W191">
        <v>53</v>
      </c>
      <c r="X191">
        <v>45.8</v>
      </c>
      <c r="Y191">
        <v>59</v>
      </c>
      <c r="Z191">
        <v>85.4</v>
      </c>
      <c r="AA191">
        <v>53</v>
      </c>
      <c r="AB191">
        <v>92.1</v>
      </c>
      <c r="AC191">
        <v>62.4</v>
      </c>
      <c r="AD191">
        <v>100</v>
      </c>
      <c r="AE191">
        <v>81</v>
      </c>
      <c r="AF191" t="s">
        <v>1971</v>
      </c>
    </row>
    <row r="192" spans="1:32">
      <c r="A192" t="s">
        <v>1027</v>
      </c>
      <c r="B192">
        <v>3.5</v>
      </c>
      <c r="C192">
        <v>7</v>
      </c>
      <c r="D192">
        <v>5</v>
      </c>
      <c r="E192">
        <v>11</v>
      </c>
      <c r="F192">
        <v>6.5</v>
      </c>
      <c r="G192">
        <v>5.7</v>
      </c>
      <c r="H192">
        <v>62.4</v>
      </c>
      <c r="I192">
        <v>45.9</v>
      </c>
      <c r="J192">
        <v>0</v>
      </c>
      <c r="K192">
        <v>51</v>
      </c>
      <c r="L192">
        <v>20.9</v>
      </c>
      <c r="M192">
        <v>8.6</v>
      </c>
      <c r="N192">
        <v>104</v>
      </c>
      <c r="O192">
        <v>102</v>
      </c>
      <c r="P192">
        <v>12.1</v>
      </c>
      <c r="Q192">
        <v>11.9</v>
      </c>
      <c r="R192">
        <v>10.5</v>
      </c>
      <c r="S192">
        <v>18.899999999999999</v>
      </c>
      <c r="T192">
        <v>73</v>
      </c>
      <c r="U192">
        <v>2260</v>
      </c>
      <c r="V192">
        <v>1273000</v>
      </c>
      <c r="W192">
        <v>37</v>
      </c>
      <c r="X192">
        <v>57.3</v>
      </c>
      <c r="Y192">
        <v>62.4</v>
      </c>
      <c r="Z192">
        <v>77.2</v>
      </c>
      <c r="AA192">
        <v>37</v>
      </c>
      <c r="AB192">
        <v>89.1</v>
      </c>
      <c r="AC192">
        <v>63.7</v>
      </c>
      <c r="AD192">
        <v>100</v>
      </c>
      <c r="AE192">
        <v>100</v>
      </c>
      <c r="AF192" t="s">
        <v>47</v>
      </c>
    </row>
    <row r="193" spans="1:32">
      <c r="A193" t="s">
        <v>1029</v>
      </c>
      <c r="B193">
        <v>7.5</v>
      </c>
      <c r="C193">
        <v>23</v>
      </c>
      <c r="D193">
        <v>11</v>
      </c>
      <c r="E193">
        <v>13.9</v>
      </c>
      <c r="F193">
        <v>13</v>
      </c>
      <c r="G193">
        <v>4.5</v>
      </c>
      <c r="H193">
        <v>53.1</v>
      </c>
      <c r="I193">
        <v>71.5</v>
      </c>
      <c r="J193">
        <v>0</v>
      </c>
      <c r="K193">
        <v>57</v>
      </c>
      <c r="L193">
        <v>28</v>
      </c>
      <c r="M193">
        <v>3.5</v>
      </c>
      <c r="N193">
        <v>97</v>
      </c>
      <c r="O193">
        <v>100</v>
      </c>
      <c r="P193">
        <v>22.2</v>
      </c>
      <c r="Q193">
        <v>6.4</v>
      </c>
      <c r="R193">
        <v>7.3</v>
      </c>
      <c r="S193">
        <v>19.899999999999999</v>
      </c>
      <c r="T193">
        <v>91</v>
      </c>
      <c r="U193">
        <v>1930</v>
      </c>
      <c r="V193">
        <v>1508000</v>
      </c>
      <c r="W193">
        <v>40</v>
      </c>
      <c r="X193">
        <v>59.9</v>
      </c>
      <c r="Y193">
        <v>74.900000000000006</v>
      </c>
      <c r="Z193">
        <v>61.4</v>
      </c>
      <c r="AA193">
        <v>40</v>
      </c>
      <c r="AB193">
        <v>92.3</v>
      </c>
      <c r="AC193">
        <v>65.2</v>
      </c>
      <c r="AD193">
        <v>100</v>
      </c>
      <c r="AE193">
        <v>100</v>
      </c>
      <c r="AF193" t="s">
        <v>47</v>
      </c>
    </row>
    <row r="194" spans="1:32">
      <c r="A194" t="s">
        <v>1031</v>
      </c>
      <c r="B194">
        <v>3.6</v>
      </c>
      <c r="D194">
        <v>4</v>
      </c>
      <c r="E194">
        <v>11.3</v>
      </c>
      <c r="F194">
        <v>14</v>
      </c>
      <c r="G194">
        <v>5.6</v>
      </c>
      <c r="H194">
        <v>46</v>
      </c>
      <c r="I194">
        <v>54.7</v>
      </c>
      <c r="J194">
        <v>0</v>
      </c>
      <c r="K194">
        <v>44</v>
      </c>
      <c r="L194">
        <v>22.2</v>
      </c>
      <c r="M194">
        <v>8</v>
      </c>
      <c r="N194">
        <v>92</v>
      </c>
      <c r="O194">
        <v>86</v>
      </c>
      <c r="P194">
        <v>21.8</v>
      </c>
      <c r="Q194">
        <v>11.7</v>
      </c>
      <c r="R194">
        <v>6.2</v>
      </c>
      <c r="S194">
        <v>17.899999999999999</v>
      </c>
      <c r="T194">
        <v>79</v>
      </c>
      <c r="U194">
        <v>2396</v>
      </c>
      <c r="V194">
        <v>1524000</v>
      </c>
      <c r="W194">
        <v>31</v>
      </c>
      <c r="X194">
        <v>59.7</v>
      </c>
      <c r="Y194">
        <v>64.2</v>
      </c>
      <c r="Z194">
        <v>60.5</v>
      </c>
      <c r="AA194">
        <v>31</v>
      </c>
      <c r="AB194">
        <v>87.8</v>
      </c>
      <c r="AC194">
        <v>60.9</v>
      </c>
      <c r="AD194">
        <v>100</v>
      </c>
      <c r="AE194">
        <v>95.2</v>
      </c>
      <c r="AF194" t="s">
        <v>47</v>
      </c>
    </row>
    <row r="195" spans="1:32">
      <c r="A195" t="s">
        <v>1033</v>
      </c>
      <c r="B195">
        <v>3</v>
      </c>
      <c r="C195">
        <v>11</v>
      </c>
      <c r="D195">
        <v>4</v>
      </c>
      <c r="E195">
        <v>15.6</v>
      </c>
      <c r="F195">
        <v>17.7</v>
      </c>
      <c r="G195">
        <v>5.3</v>
      </c>
      <c r="H195">
        <v>70.599999999999994</v>
      </c>
      <c r="I195">
        <v>60.3</v>
      </c>
      <c r="J195">
        <v>0</v>
      </c>
      <c r="K195">
        <v>48</v>
      </c>
      <c r="L195">
        <v>38.6</v>
      </c>
      <c r="M195">
        <v>8.1</v>
      </c>
      <c r="N195">
        <v>77</v>
      </c>
      <c r="O195">
        <v>90</v>
      </c>
      <c r="P195">
        <v>20.2</v>
      </c>
      <c r="Q195">
        <v>10.3</v>
      </c>
      <c r="R195">
        <v>8.6</v>
      </c>
      <c r="S195">
        <v>22.4</v>
      </c>
      <c r="T195">
        <v>80</v>
      </c>
      <c r="U195">
        <v>2632</v>
      </c>
      <c r="V195">
        <v>1210000</v>
      </c>
      <c r="W195">
        <v>38</v>
      </c>
      <c r="X195">
        <v>61.1</v>
      </c>
      <c r="Y195">
        <v>66.2</v>
      </c>
      <c r="Z195">
        <v>48.7</v>
      </c>
      <c r="AA195">
        <v>38</v>
      </c>
      <c r="AB195">
        <v>85.5</v>
      </c>
      <c r="AC195">
        <v>60</v>
      </c>
      <c r="AD195">
        <v>100</v>
      </c>
      <c r="AE195">
        <v>100</v>
      </c>
      <c r="AF195" t="s">
        <v>47</v>
      </c>
    </row>
    <row r="196" spans="1:32">
      <c r="A196" t="s">
        <v>1035</v>
      </c>
      <c r="B196">
        <v>3.1</v>
      </c>
      <c r="C196">
        <v>6</v>
      </c>
      <c r="D196">
        <v>2</v>
      </c>
      <c r="E196">
        <v>4.3</v>
      </c>
      <c r="F196">
        <v>20.9</v>
      </c>
      <c r="G196">
        <v>5.9</v>
      </c>
      <c r="H196">
        <v>68.2</v>
      </c>
      <c r="I196">
        <v>64.8</v>
      </c>
      <c r="J196">
        <v>0</v>
      </c>
      <c r="K196">
        <v>38</v>
      </c>
      <c r="L196">
        <v>34.700000000000003</v>
      </c>
      <c r="M196">
        <v>4.9000000000000004</v>
      </c>
      <c r="N196">
        <v>92</v>
      </c>
      <c r="O196">
        <v>96</v>
      </c>
      <c r="P196">
        <v>18.8</v>
      </c>
      <c r="Q196">
        <v>9.5</v>
      </c>
      <c r="R196">
        <v>5.2</v>
      </c>
      <c r="S196">
        <v>18</v>
      </c>
      <c r="T196">
        <v>88</v>
      </c>
      <c r="U196">
        <v>2160</v>
      </c>
      <c r="V196">
        <v>2175000</v>
      </c>
      <c r="W196">
        <v>44</v>
      </c>
      <c r="X196">
        <v>42.5</v>
      </c>
      <c r="Y196">
        <v>72.5</v>
      </c>
      <c r="Z196">
        <v>44.5</v>
      </c>
      <c r="AA196">
        <v>44</v>
      </c>
      <c r="AB196">
        <v>90.1</v>
      </c>
      <c r="AC196">
        <v>55.3</v>
      </c>
      <c r="AD196">
        <v>100</v>
      </c>
      <c r="AE196">
        <v>100</v>
      </c>
      <c r="AF196" t="s">
        <v>47</v>
      </c>
    </row>
    <row r="197" spans="1:32">
      <c r="A197" t="s">
        <v>1037</v>
      </c>
      <c r="B197">
        <v>1</v>
      </c>
      <c r="C197">
        <v>7</v>
      </c>
      <c r="D197">
        <v>2</v>
      </c>
      <c r="E197">
        <v>9.3000000000000007</v>
      </c>
      <c r="F197">
        <v>11.5</v>
      </c>
      <c r="G197">
        <v>5.9</v>
      </c>
      <c r="H197">
        <v>63.9</v>
      </c>
      <c r="I197">
        <v>49.8</v>
      </c>
      <c r="J197">
        <v>0</v>
      </c>
      <c r="K197">
        <v>42</v>
      </c>
      <c r="L197">
        <v>37.700000000000003</v>
      </c>
      <c r="M197">
        <v>9.9</v>
      </c>
      <c r="N197">
        <v>78</v>
      </c>
      <c r="O197">
        <v>88</v>
      </c>
      <c r="P197">
        <v>28.9</v>
      </c>
      <c r="Q197">
        <v>15.7</v>
      </c>
      <c r="R197">
        <v>12.8</v>
      </c>
      <c r="S197">
        <v>21</v>
      </c>
      <c r="T197">
        <v>84</v>
      </c>
      <c r="U197">
        <v>2302</v>
      </c>
      <c r="V197">
        <v>1498000</v>
      </c>
      <c r="W197">
        <v>54</v>
      </c>
      <c r="X197">
        <v>51.4</v>
      </c>
      <c r="Y197">
        <v>54</v>
      </c>
      <c r="Z197">
        <v>64.099999999999994</v>
      </c>
      <c r="AA197">
        <v>54</v>
      </c>
      <c r="AB197">
        <v>88.7</v>
      </c>
      <c r="AC197">
        <v>58.6</v>
      </c>
      <c r="AD197">
        <v>100</v>
      </c>
      <c r="AE197">
        <v>100</v>
      </c>
      <c r="AF197" t="s">
        <v>47</v>
      </c>
    </row>
    <row r="198" spans="1:32">
      <c r="A198" t="s">
        <v>1039</v>
      </c>
      <c r="B198">
        <v>2.9</v>
      </c>
      <c r="C198">
        <v>7</v>
      </c>
      <c r="D198">
        <v>5</v>
      </c>
      <c r="E198">
        <v>7.1</v>
      </c>
      <c r="F198">
        <v>11.3</v>
      </c>
      <c r="G198">
        <v>5.2</v>
      </c>
      <c r="H198">
        <v>49.1</v>
      </c>
      <c r="I198">
        <v>43.1</v>
      </c>
      <c r="J198">
        <v>1</v>
      </c>
      <c r="K198">
        <v>35</v>
      </c>
      <c r="L198">
        <v>15.1</v>
      </c>
      <c r="M198">
        <v>7.4</v>
      </c>
      <c r="N198">
        <v>91</v>
      </c>
      <c r="O198">
        <v>92</v>
      </c>
      <c r="P198">
        <v>20</v>
      </c>
      <c r="Q198">
        <v>13.8</v>
      </c>
      <c r="R198">
        <v>10.9</v>
      </c>
      <c r="S198">
        <v>24.6</v>
      </c>
      <c r="T198">
        <v>64</v>
      </c>
      <c r="U198">
        <v>2212</v>
      </c>
      <c r="V198">
        <v>919000</v>
      </c>
      <c r="W198">
        <v>44</v>
      </c>
      <c r="X198">
        <v>55.6</v>
      </c>
      <c r="Y198">
        <v>58.4</v>
      </c>
      <c r="Z198">
        <v>61.9</v>
      </c>
      <c r="AA198">
        <v>44</v>
      </c>
      <c r="AB198">
        <v>89.6</v>
      </c>
      <c r="AC198">
        <v>59.8</v>
      </c>
      <c r="AD198">
        <v>100</v>
      </c>
      <c r="AE198">
        <v>100</v>
      </c>
      <c r="AF198" t="s">
        <v>47</v>
      </c>
    </row>
    <row r="199" spans="1:32">
      <c r="A199" t="s">
        <v>1041</v>
      </c>
      <c r="B199">
        <v>0.5</v>
      </c>
      <c r="C199">
        <v>4</v>
      </c>
      <c r="D199">
        <v>2</v>
      </c>
      <c r="E199">
        <v>25.9</v>
      </c>
      <c r="F199">
        <v>6.6</v>
      </c>
      <c r="G199">
        <v>6.3</v>
      </c>
      <c r="H199">
        <v>55.3</v>
      </c>
      <c r="I199">
        <v>41.3</v>
      </c>
      <c r="J199">
        <v>0</v>
      </c>
      <c r="K199">
        <v>55</v>
      </c>
      <c r="L199">
        <v>29.7</v>
      </c>
      <c r="M199">
        <v>11.5</v>
      </c>
      <c r="N199">
        <v>67</v>
      </c>
      <c r="O199">
        <v>88</v>
      </c>
      <c r="P199">
        <v>20.6</v>
      </c>
      <c r="Q199">
        <v>11.5</v>
      </c>
      <c r="R199">
        <v>9.6</v>
      </c>
      <c r="S199">
        <v>12.3</v>
      </c>
      <c r="T199">
        <v>77</v>
      </c>
      <c r="U199">
        <v>2108</v>
      </c>
      <c r="V199">
        <v>1608000</v>
      </c>
      <c r="W199">
        <v>48</v>
      </c>
      <c r="X199">
        <v>81</v>
      </c>
      <c r="Y199">
        <v>55.9</v>
      </c>
      <c r="Z199">
        <v>81.8</v>
      </c>
      <c r="AA199">
        <v>48</v>
      </c>
      <c r="AB199">
        <v>90.6</v>
      </c>
      <c r="AC199">
        <v>72.599999999999994</v>
      </c>
      <c r="AD199">
        <v>100</v>
      </c>
      <c r="AE199">
        <v>100</v>
      </c>
      <c r="AF199" t="s">
        <v>47</v>
      </c>
    </row>
    <row r="200" spans="1:32">
      <c r="A200" t="s">
        <v>1044</v>
      </c>
      <c r="B200">
        <v>1.7</v>
      </c>
      <c r="C200">
        <v>2</v>
      </c>
      <c r="D200">
        <v>0</v>
      </c>
      <c r="E200">
        <v>7.7</v>
      </c>
      <c r="F200">
        <v>13.3</v>
      </c>
      <c r="G200">
        <v>5.7</v>
      </c>
      <c r="H200">
        <v>62.7</v>
      </c>
      <c r="I200">
        <v>60.4</v>
      </c>
      <c r="J200">
        <v>0</v>
      </c>
      <c r="K200">
        <v>42</v>
      </c>
      <c r="L200">
        <v>23.9</v>
      </c>
      <c r="M200">
        <v>9.6999999999999993</v>
      </c>
      <c r="N200">
        <v>103</v>
      </c>
      <c r="O200">
        <v>75</v>
      </c>
      <c r="P200">
        <v>17.3</v>
      </c>
      <c r="Q200">
        <v>12.2</v>
      </c>
      <c r="R200">
        <v>12.5</v>
      </c>
      <c r="S200">
        <v>17</v>
      </c>
      <c r="T200">
        <v>88</v>
      </c>
      <c r="U200">
        <v>2109</v>
      </c>
      <c r="V200">
        <v>1223000</v>
      </c>
      <c r="W200">
        <v>35</v>
      </c>
      <c r="X200">
        <v>52.9</v>
      </c>
      <c r="Y200">
        <v>63.7</v>
      </c>
      <c r="Z200">
        <v>62.8</v>
      </c>
      <c r="AA200">
        <v>35</v>
      </c>
      <c r="AB200">
        <v>90.6</v>
      </c>
      <c r="AC200">
        <v>59.6</v>
      </c>
      <c r="AD200">
        <v>100</v>
      </c>
      <c r="AE200">
        <v>100</v>
      </c>
      <c r="AF200" t="s">
        <v>47</v>
      </c>
    </row>
    <row r="201" spans="1:32">
      <c r="A201" t="s">
        <v>1047</v>
      </c>
      <c r="B201">
        <v>4.0999999999999996</v>
      </c>
      <c r="C201">
        <v>10</v>
      </c>
      <c r="D201">
        <v>7</v>
      </c>
      <c r="E201">
        <v>10.9</v>
      </c>
      <c r="F201">
        <v>8.1999999999999993</v>
      </c>
      <c r="G201">
        <v>7.3</v>
      </c>
      <c r="H201">
        <v>69.7</v>
      </c>
      <c r="I201">
        <v>48.4</v>
      </c>
      <c r="J201">
        <v>0</v>
      </c>
      <c r="K201">
        <v>54</v>
      </c>
      <c r="L201">
        <v>24.5</v>
      </c>
      <c r="M201">
        <v>6.3</v>
      </c>
      <c r="N201">
        <v>88</v>
      </c>
      <c r="O201">
        <v>85</v>
      </c>
      <c r="P201">
        <v>17.8</v>
      </c>
      <c r="Q201">
        <v>12.3</v>
      </c>
      <c r="R201">
        <v>7.4</v>
      </c>
      <c r="S201">
        <v>14.9</v>
      </c>
      <c r="T201">
        <v>72</v>
      </c>
      <c r="U201">
        <v>2615</v>
      </c>
      <c r="V201">
        <v>3459000</v>
      </c>
      <c r="W201">
        <v>58</v>
      </c>
      <c r="X201">
        <v>58.6</v>
      </c>
      <c r="Y201">
        <v>64.099999999999994</v>
      </c>
      <c r="Z201">
        <v>76.2</v>
      </c>
      <c r="AA201">
        <v>58</v>
      </c>
      <c r="AB201">
        <v>85.7</v>
      </c>
      <c r="AC201">
        <v>66.099999999999994</v>
      </c>
      <c r="AD201">
        <v>100</v>
      </c>
      <c r="AE201">
        <v>100</v>
      </c>
      <c r="AF201" t="s">
        <v>47</v>
      </c>
    </row>
    <row r="202" spans="1:32">
      <c r="A202" t="s">
        <v>1049</v>
      </c>
      <c r="B202">
        <v>3</v>
      </c>
      <c r="C202">
        <v>6</v>
      </c>
      <c r="D202">
        <v>4</v>
      </c>
      <c r="E202">
        <v>10.1</v>
      </c>
      <c r="F202">
        <v>6.2</v>
      </c>
      <c r="G202">
        <v>4.9000000000000004</v>
      </c>
      <c r="H202">
        <v>48.5</v>
      </c>
      <c r="I202">
        <v>66.400000000000006</v>
      </c>
      <c r="J202">
        <v>0</v>
      </c>
      <c r="K202">
        <v>49</v>
      </c>
      <c r="L202">
        <v>30.7</v>
      </c>
      <c r="M202">
        <v>6.1</v>
      </c>
      <c r="N202">
        <v>105</v>
      </c>
      <c r="O202">
        <v>98</v>
      </c>
      <c r="P202">
        <v>15.6</v>
      </c>
      <c r="Q202">
        <v>13.4</v>
      </c>
      <c r="R202">
        <v>6.1</v>
      </c>
      <c r="S202">
        <v>20.3</v>
      </c>
      <c r="T202">
        <v>91</v>
      </c>
      <c r="U202">
        <v>1698</v>
      </c>
      <c r="V202">
        <v>536000</v>
      </c>
      <c r="W202">
        <v>40</v>
      </c>
      <c r="X202">
        <v>51.9</v>
      </c>
      <c r="Y202">
        <v>71.5</v>
      </c>
      <c r="Z202">
        <v>76.900000000000006</v>
      </c>
      <c r="AA202">
        <v>40</v>
      </c>
      <c r="AB202">
        <v>94.6</v>
      </c>
      <c r="AC202">
        <v>64.900000000000006</v>
      </c>
      <c r="AD202">
        <v>100</v>
      </c>
      <c r="AE202">
        <v>100</v>
      </c>
      <c r="AF202" t="s">
        <v>47</v>
      </c>
    </row>
    <row r="203" spans="1:32">
      <c r="A203" t="s">
        <v>1051</v>
      </c>
      <c r="B203">
        <v>1.7</v>
      </c>
      <c r="C203">
        <v>10</v>
      </c>
      <c r="D203">
        <v>3</v>
      </c>
      <c r="E203">
        <v>15.4</v>
      </c>
      <c r="F203">
        <v>16.600000000000001</v>
      </c>
      <c r="G203">
        <v>6</v>
      </c>
      <c r="H203">
        <v>68.5</v>
      </c>
      <c r="I203">
        <v>65</v>
      </c>
      <c r="J203">
        <v>0</v>
      </c>
      <c r="K203">
        <v>47</v>
      </c>
      <c r="L203">
        <v>34</v>
      </c>
      <c r="M203">
        <v>4.2</v>
      </c>
      <c r="N203">
        <v>81</v>
      </c>
      <c r="O203">
        <v>88</v>
      </c>
      <c r="P203">
        <v>19.600000000000001</v>
      </c>
      <c r="Q203">
        <v>9.1</v>
      </c>
      <c r="R203">
        <v>6.8</v>
      </c>
      <c r="S203">
        <v>16.7</v>
      </c>
      <c r="T203">
        <v>91</v>
      </c>
      <c r="U203">
        <v>1688</v>
      </c>
      <c r="V203">
        <v>1287000</v>
      </c>
      <c r="W203">
        <v>55</v>
      </c>
      <c r="X203">
        <v>62.4</v>
      </c>
      <c r="Y203">
        <v>72.3</v>
      </c>
      <c r="Z203">
        <v>55.4</v>
      </c>
      <c r="AA203">
        <v>55</v>
      </c>
      <c r="AB203">
        <v>94.6</v>
      </c>
      <c r="AC203">
        <v>65.900000000000006</v>
      </c>
      <c r="AD203">
        <v>100</v>
      </c>
      <c r="AE203">
        <v>100</v>
      </c>
      <c r="AF203" t="s">
        <v>47</v>
      </c>
    </row>
    <row r="204" spans="1:32">
      <c r="A204" t="s">
        <v>1053</v>
      </c>
      <c r="B204">
        <v>1.3</v>
      </c>
      <c r="C204">
        <v>5</v>
      </c>
      <c r="D204">
        <v>2</v>
      </c>
      <c r="E204">
        <v>6</v>
      </c>
      <c r="F204">
        <v>8.3000000000000007</v>
      </c>
      <c r="G204">
        <v>6.7</v>
      </c>
      <c r="H204">
        <v>45.5</v>
      </c>
      <c r="I204">
        <v>57.3</v>
      </c>
      <c r="J204">
        <v>0</v>
      </c>
      <c r="K204">
        <v>42</v>
      </c>
      <c r="L204">
        <v>29.6</v>
      </c>
      <c r="M204">
        <v>5.5</v>
      </c>
      <c r="N204">
        <v>112</v>
      </c>
      <c r="O204">
        <v>91</v>
      </c>
      <c r="P204">
        <v>21.1</v>
      </c>
      <c r="Q204">
        <v>9.9</v>
      </c>
      <c r="R204">
        <v>9.6999999999999993</v>
      </c>
      <c r="S204">
        <v>12.4</v>
      </c>
      <c r="T204">
        <v>85</v>
      </c>
      <c r="U204">
        <v>2116</v>
      </c>
      <c r="V204">
        <v>1856000</v>
      </c>
      <c r="W204">
        <v>53</v>
      </c>
      <c r="X204">
        <v>45.6</v>
      </c>
      <c r="Y204">
        <v>66.5</v>
      </c>
      <c r="Z204">
        <v>77.8</v>
      </c>
      <c r="AA204">
        <v>53</v>
      </c>
      <c r="AB204">
        <v>90.5</v>
      </c>
      <c r="AC204">
        <v>62.5</v>
      </c>
      <c r="AD204">
        <v>100</v>
      </c>
      <c r="AE204">
        <v>100</v>
      </c>
      <c r="AF204" t="s">
        <v>47</v>
      </c>
    </row>
    <row r="205" spans="1:32">
      <c r="A205" t="s">
        <v>1056</v>
      </c>
      <c r="B205">
        <v>5.3</v>
      </c>
      <c r="C205">
        <v>12</v>
      </c>
      <c r="D205">
        <v>10</v>
      </c>
      <c r="E205">
        <v>24.4</v>
      </c>
      <c r="F205">
        <v>7.7</v>
      </c>
      <c r="H205">
        <v>68</v>
      </c>
      <c r="I205">
        <v>75.2</v>
      </c>
      <c r="J205">
        <v>0</v>
      </c>
      <c r="K205">
        <v>61</v>
      </c>
      <c r="L205">
        <v>30.3</v>
      </c>
      <c r="M205">
        <v>4.5</v>
      </c>
      <c r="N205">
        <v>63</v>
      </c>
      <c r="O205">
        <v>78</v>
      </c>
      <c r="P205">
        <v>17.100000000000001</v>
      </c>
      <c r="T205">
        <v>92</v>
      </c>
      <c r="U205">
        <v>2412</v>
      </c>
      <c r="V205">
        <v>5091000</v>
      </c>
      <c r="W205">
        <v>78</v>
      </c>
      <c r="X205">
        <v>81</v>
      </c>
      <c r="Y205">
        <v>74.900000000000006</v>
      </c>
      <c r="Z205">
        <v>79.599999999999994</v>
      </c>
      <c r="AA205">
        <v>78</v>
      </c>
      <c r="AB205">
        <v>87.6</v>
      </c>
      <c r="AC205">
        <v>79.599999999999994</v>
      </c>
      <c r="AD205">
        <v>100</v>
      </c>
      <c r="AE205">
        <v>81</v>
      </c>
      <c r="AF205" t="s">
        <v>1971</v>
      </c>
    </row>
    <row r="206" spans="1:32">
      <c r="A206" t="s">
        <v>1058</v>
      </c>
      <c r="B206">
        <v>3.8</v>
      </c>
      <c r="C206">
        <v>9</v>
      </c>
      <c r="D206">
        <v>6</v>
      </c>
      <c r="F206">
        <v>10.3</v>
      </c>
      <c r="G206">
        <v>2.8</v>
      </c>
      <c r="H206">
        <v>48.5</v>
      </c>
      <c r="I206">
        <v>58.3</v>
      </c>
      <c r="J206">
        <v>0</v>
      </c>
      <c r="K206">
        <v>35</v>
      </c>
      <c r="L206">
        <v>32.4</v>
      </c>
      <c r="M206">
        <v>5.4</v>
      </c>
      <c r="O206">
        <v>103</v>
      </c>
      <c r="P206">
        <v>18.100000000000001</v>
      </c>
      <c r="Q206">
        <v>15.3</v>
      </c>
      <c r="R206">
        <v>11.1</v>
      </c>
      <c r="S206">
        <v>26.2</v>
      </c>
      <c r="T206">
        <v>84</v>
      </c>
      <c r="U206">
        <v>2185</v>
      </c>
      <c r="V206">
        <v>1380000</v>
      </c>
      <c r="W206">
        <v>38</v>
      </c>
      <c r="X206">
        <v>61.2</v>
      </c>
      <c r="Y206">
        <v>65.3</v>
      </c>
      <c r="Z206">
        <v>63.1</v>
      </c>
      <c r="AA206">
        <v>38</v>
      </c>
      <c r="AB206">
        <v>89.8</v>
      </c>
      <c r="AC206">
        <v>63.2</v>
      </c>
      <c r="AD206">
        <v>100</v>
      </c>
      <c r="AE206">
        <v>90.5</v>
      </c>
      <c r="AF206" t="s">
        <v>47</v>
      </c>
    </row>
    <row r="207" spans="1:32">
      <c r="A207" t="s">
        <v>1060</v>
      </c>
      <c r="B207">
        <v>4.5</v>
      </c>
      <c r="C207">
        <v>14</v>
      </c>
      <c r="D207">
        <v>6</v>
      </c>
      <c r="E207">
        <v>12.7</v>
      </c>
      <c r="F207">
        <v>12</v>
      </c>
      <c r="G207">
        <v>6.9</v>
      </c>
      <c r="H207">
        <v>74.8</v>
      </c>
      <c r="I207">
        <v>77.3</v>
      </c>
      <c r="J207">
        <v>0</v>
      </c>
      <c r="K207">
        <v>58</v>
      </c>
      <c r="L207">
        <v>34.5</v>
      </c>
      <c r="M207">
        <v>6.3</v>
      </c>
      <c r="N207">
        <v>93</v>
      </c>
      <c r="O207">
        <v>65</v>
      </c>
      <c r="P207">
        <v>13.7</v>
      </c>
      <c r="Q207">
        <v>9.3000000000000007</v>
      </c>
      <c r="R207">
        <v>8.9</v>
      </c>
      <c r="S207">
        <v>20.100000000000001</v>
      </c>
      <c r="T207">
        <v>92</v>
      </c>
      <c r="U207">
        <v>2563</v>
      </c>
      <c r="V207">
        <v>1646000</v>
      </c>
      <c r="W207">
        <v>61</v>
      </c>
      <c r="X207">
        <v>58.3</v>
      </c>
      <c r="Y207">
        <v>76.2</v>
      </c>
      <c r="Z207">
        <v>63.6</v>
      </c>
      <c r="AA207">
        <v>61</v>
      </c>
      <c r="AB207">
        <v>86.2</v>
      </c>
      <c r="AC207">
        <v>66.900000000000006</v>
      </c>
      <c r="AD207">
        <v>100</v>
      </c>
      <c r="AE207">
        <v>100</v>
      </c>
      <c r="AF207" t="s">
        <v>47</v>
      </c>
    </row>
    <row r="208" spans="1:32">
      <c r="A208" t="s">
        <v>1062</v>
      </c>
      <c r="B208">
        <v>1.3</v>
      </c>
      <c r="C208">
        <v>4</v>
      </c>
      <c r="D208">
        <v>0</v>
      </c>
      <c r="E208">
        <v>21.5</v>
      </c>
      <c r="F208">
        <v>7.9</v>
      </c>
      <c r="G208">
        <v>5.6</v>
      </c>
      <c r="H208">
        <v>56.4</v>
      </c>
      <c r="I208">
        <v>60.1</v>
      </c>
      <c r="J208">
        <v>0</v>
      </c>
      <c r="K208">
        <v>55</v>
      </c>
      <c r="L208">
        <v>24.8</v>
      </c>
      <c r="M208">
        <v>7.6</v>
      </c>
      <c r="N208">
        <v>78</v>
      </c>
      <c r="O208">
        <v>83</v>
      </c>
      <c r="P208">
        <v>14.9</v>
      </c>
      <c r="Q208">
        <v>12.8</v>
      </c>
      <c r="R208">
        <v>10.9</v>
      </c>
      <c r="S208">
        <v>17.7</v>
      </c>
      <c r="T208">
        <v>77</v>
      </c>
      <c r="U208">
        <v>1961</v>
      </c>
      <c r="V208">
        <v>2054000</v>
      </c>
      <c r="W208">
        <v>50</v>
      </c>
      <c r="X208">
        <v>76.7</v>
      </c>
      <c r="Y208">
        <v>66.5</v>
      </c>
      <c r="Z208">
        <v>74.900000000000006</v>
      </c>
      <c r="AA208">
        <v>50</v>
      </c>
      <c r="AB208">
        <v>92</v>
      </c>
      <c r="AC208">
        <v>72.599999999999994</v>
      </c>
      <c r="AD208">
        <v>100</v>
      </c>
      <c r="AE208">
        <v>100</v>
      </c>
      <c r="AF208" t="s">
        <v>47</v>
      </c>
    </row>
    <row r="209" spans="1:32">
      <c r="A209" t="s">
        <v>1064</v>
      </c>
      <c r="B209">
        <v>3.9</v>
      </c>
      <c r="C209">
        <v>11</v>
      </c>
      <c r="D209">
        <v>5</v>
      </c>
      <c r="E209">
        <v>10</v>
      </c>
      <c r="F209">
        <v>17.899999999999999</v>
      </c>
      <c r="G209">
        <v>5.9</v>
      </c>
      <c r="H209">
        <v>57</v>
      </c>
      <c r="I209">
        <v>70.8</v>
      </c>
      <c r="J209">
        <v>0</v>
      </c>
      <c r="K209">
        <v>45</v>
      </c>
      <c r="L209">
        <v>43.9</v>
      </c>
      <c r="M209">
        <v>7.1</v>
      </c>
      <c r="N209">
        <v>109</v>
      </c>
      <c r="O209">
        <v>79</v>
      </c>
      <c r="P209">
        <v>21.4</v>
      </c>
      <c r="Q209">
        <v>8.6</v>
      </c>
      <c r="R209">
        <v>8</v>
      </c>
      <c r="S209">
        <v>12.7</v>
      </c>
      <c r="T209">
        <v>90</v>
      </c>
      <c r="U209">
        <v>2019</v>
      </c>
      <c r="V209">
        <v>4014000</v>
      </c>
      <c r="W209">
        <v>75</v>
      </c>
      <c r="X209">
        <v>47.3</v>
      </c>
      <c r="Y209">
        <v>71.099999999999994</v>
      </c>
      <c r="Z209">
        <v>55.3</v>
      </c>
      <c r="AA209">
        <v>75</v>
      </c>
      <c r="AB209">
        <v>91.4</v>
      </c>
      <c r="AC209">
        <v>62</v>
      </c>
      <c r="AD209">
        <v>100</v>
      </c>
      <c r="AE209">
        <v>100</v>
      </c>
      <c r="AF209" t="s">
        <v>47</v>
      </c>
    </row>
    <row r="210" spans="1:32">
      <c r="A210" t="s">
        <v>1066</v>
      </c>
      <c r="B210">
        <v>4.3</v>
      </c>
      <c r="C210">
        <v>9</v>
      </c>
      <c r="D210">
        <v>5</v>
      </c>
      <c r="E210">
        <v>13.4</v>
      </c>
      <c r="F210">
        <v>18.2</v>
      </c>
      <c r="G210">
        <v>4.8</v>
      </c>
      <c r="H210">
        <v>42.7</v>
      </c>
      <c r="I210">
        <v>81.599999999999994</v>
      </c>
      <c r="J210">
        <v>0</v>
      </c>
      <c r="K210">
        <v>47</v>
      </c>
      <c r="L210">
        <v>17.3</v>
      </c>
      <c r="M210">
        <v>3.3</v>
      </c>
      <c r="N210">
        <v>100</v>
      </c>
      <c r="O210">
        <v>98</v>
      </c>
      <c r="P210">
        <v>15</v>
      </c>
      <c r="Q210">
        <v>11.5</v>
      </c>
      <c r="R210">
        <v>13.1</v>
      </c>
      <c r="S210">
        <v>19.899999999999999</v>
      </c>
      <c r="T210">
        <v>100</v>
      </c>
      <c r="U210">
        <v>1652</v>
      </c>
      <c r="V210">
        <v>980000</v>
      </c>
      <c r="W210">
        <v>53</v>
      </c>
      <c r="X210">
        <v>63.3</v>
      </c>
      <c r="Y210">
        <v>76.900000000000006</v>
      </c>
      <c r="Z210">
        <v>49.3</v>
      </c>
      <c r="AA210">
        <v>53</v>
      </c>
      <c r="AB210">
        <v>95</v>
      </c>
      <c r="AC210">
        <v>66.099999999999994</v>
      </c>
      <c r="AD210">
        <v>100</v>
      </c>
      <c r="AE210">
        <v>100</v>
      </c>
      <c r="AF210" t="s">
        <v>47</v>
      </c>
    </row>
    <row r="211" spans="1:32">
      <c r="A211" t="s">
        <v>1068</v>
      </c>
      <c r="B211">
        <v>8.1999999999999993</v>
      </c>
      <c r="C211">
        <v>19</v>
      </c>
      <c r="D211">
        <v>12</v>
      </c>
      <c r="E211">
        <v>17.8</v>
      </c>
      <c r="F211">
        <v>11.3</v>
      </c>
      <c r="G211">
        <v>6.1</v>
      </c>
      <c r="H211">
        <v>52.1</v>
      </c>
      <c r="I211">
        <v>79</v>
      </c>
      <c r="J211">
        <v>0</v>
      </c>
      <c r="K211">
        <v>66</v>
      </c>
      <c r="L211">
        <v>8.4</v>
      </c>
      <c r="M211">
        <v>2.8</v>
      </c>
      <c r="N211">
        <v>80</v>
      </c>
      <c r="O211">
        <v>91</v>
      </c>
      <c r="P211">
        <v>11.7</v>
      </c>
      <c r="Q211">
        <v>10.4</v>
      </c>
      <c r="R211">
        <v>7.8</v>
      </c>
      <c r="S211">
        <v>17.899999999999999</v>
      </c>
      <c r="T211">
        <v>90</v>
      </c>
      <c r="U211">
        <v>1948</v>
      </c>
      <c r="V211">
        <v>1664000</v>
      </c>
      <c r="W211">
        <v>47</v>
      </c>
      <c r="X211">
        <v>76.099999999999994</v>
      </c>
      <c r="Y211">
        <v>80.3</v>
      </c>
      <c r="Z211">
        <v>66.8</v>
      </c>
      <c r="AA211">
        <v>47</v>
      </c>
      <c r="AB211">
        <v>92.1</v>
      </c>
      <c r="AC211">
        <v>74</v>
      </c>
      <c r="AD211">
        <v>100</v>
      </c>
      <c r="AE211">
        <v>100</v>
      </c>
      <c r="AF211" t="s">
        <v>47</v>
      </c>
    </row>
    <row r="212" spans="1:32">
      <c r="A212" t="s">
        <v>1070</v>
      </c>
      <c r="B212">
        <v>1.9</v>
      </c>
      <c r="C212">
        <v>8</v>
      </c>
      <c r="D212">
        <v>0</v>
      </c>
      <c r="E212">
        <v>9.6</v>
      </c>
      <c r="F212">
        <v>5.9</v>
      </c>
      <c r="G212">
        <v>5.9</v>
      </c>
      <c r="H212">
        <v>63.8</v>
      </c>
      <c r="I212">
        <v>57</v>
      </c>
      <c r="J212">
        <v>0</v>
      </c>
      <c r="K212">
        <v>49</v>
      </c>
      <c r="L212">
        <v>22.9</v>
      </c>
      <c r="M212">
        <v>9</v>
      </c>
      <c r="N212">
        <v>118</v>
      </c>
      <c r="O212">
        <v>99</v>
      </c>
      <c r="P212">
        <v>18.2</v>
      </c>
      <c r="Q212">
        <v>16.8</v>
      </c>
      <c r="R212">
        <v>7</v>
      </c>
      <c r="S212">
        <v>18.600000000000001</v>
      </c>
      <c r="T212">
        <v>86</v>
      </c>
      <c r="U212">
        <v>1922</v>
      </c>
      <c r="V212">
        <v>976000</v>
      </c>
      <c r="W212">
        <v>40</v>
      </c>
      <c r="X212">
        <v>52.9</v>
      </c>
      <c r="Y212">
        <v>63.3</v>
      </c>
      <c r="Z212">
        <v>78.8</v>
      </c>
      <c r="AA212">
        <v>40</v>
      </c>
      <c r="AB212">
        <v>92.4</v>
      </c>
      <c r="AC212">
        <v>63.4</v>
      </c>
      <c r="AD212">
        <v>100</v>
      </c>
      <c r="AE212">
        <v>100</v>
      </c>
      <c r="AF212" t="s">
        <v>47</v>
      </c>
    </row>
    <row r="213" spans="1:32">
      <c r="A213" t="s">
        <v>1072</v>
      </c>
      <c r="B213">
        <v>3.3</v>
      </c>
      <c r="C213">
        <v>11</v>
      </c>
      <c r="D213">
        <v>4</v>
      </c>
      <c r="E213">
        <v>6.7</v>
      </c>
      <c r="F213">
        <v>13.7</v>
      </c>
      <c r="G213">
        <v>6.1</v>
      </c>
      <c r="H213">
        <v>61.5</v>
      </c>
      <c r="I213">
        <v>60.8</v>
      </c>
      <c r="J213">
        <v>0</v>
      </c>
      <c r="K213">
        <v>44</v>
      </c>
      <c r="L213">
        <v>38.4</v>
      </c>
      <c r="M213">
        <v>9.1999999999999993</v>
      </c>
      <c r="N213">
        <v>96</v>
      </c>
      <c r="O213">
        <v>93</v>
      </c>
      <c r="P213">
        <v>20.3</v>
      </c>
      <c r="Q213">
        <v>8.4</v>
      </c>
      <c r="R213">
        <v>6.1</v>
      </c>
      <c r="S213">
        <v>9.5</v>
      </c>
      <c r="T213">
        <v>94</v>
      </c>
      <c r="U213">
        <v>2028</v>
      </c>
      <c r="V213">
        <v>2020000</v>
      </c>
      <c r="W213">
        <v>45</v>
      </c>
      <c r="X213">
        <v>44.6</v>
      </c>
      <c r="Y213">
        <v>67.3</v>
      </c>
      <c r="Z213">
        <v>67.400000000000006</v>
      </c>
      <c r="AA213">
        <v>45</v>
      </c>
      <c r="AB213">
        <v>91.4</v>
      </c>
      <c r="AC213">
        <v>59.6</v>
      </c>
      <c r="AD213">
        <v>100</v>
      </c>
      <c r="AE213">
        <v>100</v>
      </c>
      <c r="AF213" t="s">
        <v>47</v>
      </c>
    </row>
    <row r="214" spans="1:32">
      <c r="A214" t="s">
        <v>1074</v>
      </c>
      <c r="B214">
        <v>2.4</v>
      </c>
      <c r="C214">
        <v>11</v>
      </c>
      <c r="D214">
        <v>3</v>
      </c>
      <c r="E214">
        <v>12.6</v>
      </c>
      <c r="F214">
        <v>12.2</v>
      </c>
      <c r="G214">
        <v>5.7</v>
      </c>
      <c r="H214">
        <v>63.3</v>
      </c>
      <c r="I214">
        <v>55.3</v>
      </c>
      <c r="J214">
        <v>0</v>
      </c>
      <c r="K214">
        <v>47</v>
      </c>
      <c r="L214">
        <v>28.9</v>
      </c>
      <c r="M214">
        <v>7.9</v>
      </c>
      <c r="N214">
        <v>105</v>
      </c>
      <c r="O214">
        <v>69</v>
      </c>
      <c r="P214">
        <v>20.7</v>
      </c>
      <c r="Q214">
        <v>13.9</v>
      </c>
      <c r="R214">
        <v>13</v>
      </c>
      <c r="S214">
        <v>18</v>
      </c>
      <c r="T214">
        <v>89</v>
      </c>
      <c r="U214">
        <v>1517</v>
      </c>
      <c r="V214">
        <v>990000</v>
      </c>
      <c r="W214">
        <v>37</v>
      </c>
      <c r="X214">
        <v>58.9</v>
      </c>
      <c r="Y214">
        <v>61.1</v>
      </c>
      <c r="Z214">
        <v>64.7</v>
      </c>
      <c r="AA214">
        <v>37</v>
      </c>
      <c r="AB214">
        <v>96.3</v>
      </c>
      <c r="AC214">
        <v>62.1</v>
      </c>
      <c r="AD214">
        <v>100</v>
      </c>
      <c r="AE214">
        <v>100</v>
      </c>
      <c r="AF214" t="s">
        <v>47</v>
      </c>
    </row>
    <row r="215" spans="1:32">
      <c r="A215" t="s">
        <v>1075</v>
      </c>
      <c r="B215">
        <v>2.9</v>
      </c>
      <c r="C215">
        <v>12</v>
      </c>
      <c r="D215">
        <v>2</v>
      </c>
      <c r="E215">
        <v>6.7</v>
      </c>
      <c r="F215">
        <v>13.7</v>
      </c>
      <c r="G215">
        <v>6.5</v>
      </c>
      <c r="H215">
        <v>51.7</v>
      </c>
      <c r="I215">
        <v>62.5</v>
      </c>
      <c r="J215">
        <v>0</v>
      </c>
      <c r="K215">
        <v>43</v>
      </c>
      <c r="L215">
        <v>39.700000000000003</v>
      </c>
      <c r="M215">
        <v>6.4</v>
      </c>
      <c r="N215">
        <v>105</v>
      </c>
      <c r="O215">
        <v>83</v>
      </c>
      <c r="P215">
        <v>20.6</v>
      </c>
      <c r="Q215">
        <v>9.5</v>
      </c>
      <c r="R215">
        <v>9.9</v>
      </c>
      <c r="S215">
        <v>16.2</v>
      </c>
      <c r="T215">
        <v>99</v>
      </c>
      <c r="U215">
        <v>1812</v>
      </c>
      <c r="V215">
        <v>973000</v>
      </c>
      <c r="W215">
        <v>39</v>
      </c>
      <c r="X215">
        <v>43.9</v>
      </c>
      <c r="Y215">
        <v>67.900000000000006</v>
      </c>
      <c r="Z215">
        <v>62.5</v>
      </c>
      <c r="AA215">
        <v>39</v>
      </c>
      <c r="AB215">
        <v>93.4</v>
      </c>
      <c r="AC215">
        <v>58.1</v>
      </c>
      <c r="AD215">
        <v>100</v>
      </c>
      <c r="AE215">
        <v>100</v>
      </c>
      <c r="AF215" t="s">
        <v>47</v>
      </c>
    </row>
    <row r="216" spans="1:32">
      <c r="A216" t="s">
        <v>1076</v>
      </c>
      <c r="B216">
        <v>2.6</v>
      </c>
      <c r="C216">
        <v>6</v>
      </c>
      <c r="D216">
        <v>2</v>
      </c>
      <c r="E216">
        <v>9.9</v>
      </c>
      <c r="F216">
        <v>19.2</v>
      </c>
      <c r="G216">
        <v>4.3</v>
      </c>
      <c r="H216">
        <v>44.1</v>
      </c>
      <c r="I216">
        <v>69</v>
      </c>
      <c r="J216">
        <v>0</v>
      </c>
      <c r="K216">
        <v>37</v>
      </c>
      <c r="L216">
        <v>29</v>
      </c>
      <c r="M216">
        <v>10.4</v>
      </c>
      <c r="N216">
        <v>105</v>
      </c>
      <c r="O216">
        <v>102</v>
      </c>
      <c r="P216">
        <v>17.399999999999999</v>
      </c>
      <c r="Q216">
        <v>16.100000000000001</v>
      </c>
      <c r="R216">
        <v>9.6999999999999993</v>
      </c>
      <c r="S216">
        <v>15.7</v>
      </c>
      <c r="T216">
        <v>88</v>
      </c>
      <c r="U216">
        <v>2068</v>
      </c>
      <c r="V216">
        <v>1019000</v>
      </c>
      <c r="W216">
        <v>43</v>
      </c>
      <c r="X216">
        <v>52</v>
      </c>
      <c r="Y216">
        <v>65.8</v>
      </c>
      <c r="Z216">
        <v>50.1</v>
      </c>
      <c r="AA216">
        <v>43</v>
      </c>
      <c r="AB216">
        <v>91</v>
      </c>
      <c r="AC216">
        <v>58.1</v>
      </c>
      <c r="AD216">
        <v>100</v>
      </c>
      <c r="AE216">
        <v>100</v>
      </c>
      <c r="AF216" t="s">
        <v>47</v>
      </c>
    </row>
    <row r="217" spans="1:32">
      <c r="A217" t="s">
        <v>1078</v>
      </c>
      <c r="B217">
        <v>6.4</v>
      </c>
      <c r="C217">
        <v>16</v>
      </c>
      <c r="D217">
        <v>8</v>
      </c>
      <c r="E217">
        <v>12.3</v>
      </c>
      <c r="F217">
        <v>13.8</v>
      </c>
      <c r="G217">
        <v>4.8</v>
      </c>
      <c r="H217">
        <v>51.4</v>
      </c>
      <c r="I217">
        <v>78.8</v>
      </c>
      <c r="J217">
        <v>0</v>
      </c>
      <c r="K217">
        <v>54</v>
      </c>
      <c r="L217">
        <v>19.2</v>
      </c>
      <c r="M217">
        <v>6</v>
      </c>
      <c r="N217">
        <v>101</v>
      </c>
      <c r="O217">
        <v>99</v>
      </c>
      <c r="P217">
        <v>12.1</v>
      </c>
      <c r="Q217">
        <v>8.8000000000000007</v>
      </c>
      <c r="R217">
        <v>5.2</v>
      </c>
      <c r="S217">
        <v>18.2</v>
      </c>
      <c r="T217">
        <v>98</v>
      </c>
      <c r="U217">
        <v>1880</v>
      </c>
      <c r="V217">
        <v>553000</v>
      </c>
      <c r="W217">
        <v>44</v>
      </c>
      <c r="X217">
        <v>60.6</v>
      </c>
      <c r="Y217">
        <v>79.400000000000006</v>
      </c>
      <c r="Z217">
        <v>60.8</v>
      </c>
      <c r="AA217">
        <v>44</v>
      </c>
      <c r="AB217">
        <v>92.8</v>
      </c>
      <c r="AC217">
        <v>66.900000000000006</v>
      </c>
      <c r="AD217">
        <v>100</v>
      </c>
      <c r="AE217">
        <v>100</v>
      </c>
      <c r="AF217" t="s">
        <v>47</v>
      </c>
    </row>
    <row r="218" spans="1:32">
      <c r="A218" t="s">
        <v>1079</v>
      </c>
      <c r="B218">
        <v>0.6</v>
      </c>
      <c r="C218">
        <v>5</v>
      </c>
      <c r="D218">
        <v>3</v>
      </c>
      <c r="E218">
        <v>10.4</v>
      </c>
      <c r="F218">
        <v>22.6</v>
      </c>
      <c r="G218">
        <v>6.1</v>
      </c>
      <c r="H218">
        <v>21.7</v>
      </c>
      <c r="I218">
        <v>57.4</v>
      </c>
      <c r="J218">
        <v>0</v>
      </c>
      <c r="K218">
        <v>31</v>
      </c>
      <c r="L218">
        <v>39.299999999999997</v>
      </c>
      <c r="M218">
        <v>5.9</v>
      </c>
      <c r="N218">
        <v>114</v>
      </c>
      <c r="O218">
        <v>108</v>
      </c>
      <c r="P218">
        <v>24</v>
      </c>
      <c r="Q218">
        <v>13.9</v>
      </c>
      <c r="R218">
        <v>9.3000000000000007</v>
      </c>
      <c r="S218">
        <v>13.9</v>
      </c>
      <c r="T218">
        <v>88</v>
      </c>
      <c r="U218">
        <v>1818</v>
      </c>
      <c r="V218">
        <v>1569000</v>
      </c>
      <c r="W218">
        <v>45</v>
      </c>
      <c r="X218">
        <v>47.1</v>
      </c>
      <c r="Y218">
        <v>63.7</v>
      </c>
      <c r="Z218">
        <v>43.5</v>
      </c>
      <c r="AA218">
        <v>45</v>
      </c>
      <c r="AB218">
        <v>93.4</v>
      </c>
      <c r="AC218">
        <v>55</v>
      </c>
      <c r="AD218">
        <v>100</v>
      </c>
      <c r="AE218">
        <v>100</v>
      </c>
      <c r="AF218" t="s">
        <v>47</v>
      </c>
    </row>
    <row r="219" spans="1:32">
      <c r="A219" t="s">
        <v>1080</v>
      </c>
      <c r="B219">
        <v>2.6</v>
      </c>
      <c r="C219">
        <v>6</v>
      </c>
      <c r="D219">
        <v>2</v>
      </c>
      <c r="E219">
        <v>9.9</v>
      </c>
      <c r="F219">
        <v>9.9</v>
      </c>
      <c r="G219">
        <v>5.8</v>
      </c>
      <c r="H219">
        <v>78.8</v>
      </c>
      <c r="I219">
        <v>69.3</v>
      </c>
      <c r="J219">
        <v>0</v>
      </c>
      <c r="K219">
        <v>52</v>
      </c>
      <c r="L219">
        <v>14.4</v>
      </c>
      <c r="M219">
        <v>5.4</v>
      </c>
      <c r="N219">
        <v>107</v>
      </c>
      <c r="O219">
        <v>89</v>
      </c>
      <c r="P219">
        <v>14.8</v>
      </c>
      <c r="Q219">
        <v>12.7</v>
      </c>
      <c r="R219">
        <v>4.9000000000000004</v>
      </c>
      <c r="S219">
        <v>16.899999999999999</v>
      </c>
      <c r="T219">
        <v>86</v>
      </c>
      <c r="U219">
        <v>2335</v>
      </c>
      <c r="V219">
        <v>2252000</v>
      </c>
      <c r="W219">
        <v>54</v>
      </c>
      <c r="X219">
        <v>58.9</v>
      </c>
      <c r="Y219">
        <v>74.099999999999994</v>
      </c>
      <c r="Z219">
        <v>70.8</v>
      </c>
      <c r="AA219">
        <v>54</v>
      </c>
      <c r="AB219">
        <v>88.4</v>
      </c>
      <c r="AC219">
        <v>67.5</v>
      </c>
      <c r="AD219">
        <v>100</v>
      </c>
      <c r="AE219">
        <v>100</v>
      </c>
      <c r="AF219" t="s">
        <v>47</v>
      </c>
    </row>
    <row r="220" spans="1:32">
      <c r="A220" t="s">
        <v>1082</v>
      </c>
      <c r="B220">
        <v>4.0999999999999996</v>
      </c>
      <c r="C220">
        <v>11</v>
      </c>
      <c r="D220">
        <v>6</v>
      </c>
      <c r="E220">
        <v>22.1</v>
      </c>
      <c r="F220">
        <v>13</v>
      </c>
      <c r="G220">
        <v>4.4000000000000004</v>
      </c>
      <c r="H220">
        <v>74.900000000000006</v>
      </c>
      <c r="I220">
        <v>61.7</v>
      </c>
      <c r="J220">
        <v>1</v>
      </c>
      <c r="K220">
        <v>53</v>
      </c>
      <c r="L220">
        <v>25.6</v>
      </c>
      <c r="M220">
        <v>7.1</v>
      </c>
      <c r="N220">
        <v>73</v>
      </c>
      <c r="O220">
        <v>91</v>
      </c>
      <c r="P220">
        <v>17.2</v>
      </c>
      <c r="Q220">
        <v>13</v>
      </c>
      <c r="R220">
        <v>11.3</v>
      </c>
      <c r="S220">
        <v>23.5</v>
      </c>
      <c r="T220">
        <v>84</v>
      </c>
      <c r="U220">
        <v>2392</v>
      </c>
      <c r="V220">
        <v>2035000</v>
      </c>
      <c r="W220">
        <v>69</v>
      </c>
      <c r="X220">
        <v>77.2</v>
      </c>
      <c r="Y220">
        <v>66.400000000000006</v>
      </c>
      <c r="Z220">
        <v>58.8</v>
      </c>
      <c r="AA220">
        <v>69</v>
      </c>
      <c r="AB220">
        <v>87.8</v>
      </c>
      <c r="AC220">
        <v>71.099999999999994</v>
      </c>
      <c r="AD220">
        <v>100</v>
      </c>
      <c r="AE220">
        <v>100</v>
      </c>
      <c r="AF220" t="s">
        <v>47</v>
      </c>
    </row>
    <row r="221" spans="1:32">
      <c r="A221" t="s">
        <v>1084</v>
      </c>
      <c r="B221">
        <v>1.1000000000000001</v>
      </c>
      <c r="C221">
        <v>2</v>
      </c>
      <c r="D221">
        <v>2</v>
      </c>
      <c r="E221">
        <v>7.7</v>
      </c>
      <c r="F221">
        <v>11</v>
      </c>
      <c r="G221">
        <v>3.5</v>
      </c>
      <c r="H221">
        <v>69.7</v>
      </c>
      <c r="I221">
        <v>54.8</v>
      </c>
      <c r="J221">
        <v>0</v>
      </c>
      <c r="K221">
        <v>39</v>
      </c>
      <c r="L221">
        <v>28</v>
      </c>
      <c r="M221">
        <v>6.7</v>
      </c>
      <c r="N221">
        <v>95</v>
      </c>
      <c r="O221">
        <v>90</v>
      </c>
      <c r="P221">
        <v>18.2</v>
      </c>
      <c r="Q221">
        <v>14.2</v>
      </c>
      <c r="R221">
        <v>11.9</v>
      </c>
      <c r="S221">
        <v>20.9</v>
      </c>
      <c r="T221">
        <v>79</v>
      </c>
      <c r="U221">
        <v>2207</v>
      </c>
      <c r="V221">
        <v>1029000</v>
      </c>
      <c r="W221">
        <v>52</v>
      </c>
      <c r="X221">
        <v>50.9</v>
      </c>
      <c r="Y221">
        <v>63.2</v>
      </c>
      <c r="Z221">
        <v>65.3</v>
      </c>
      <c r="AA221">
        <v>52</v>
      </c>
      <c r="AB221">
        <v>89.6</v>
      </c>
      <c r="AC221">
        <v>60.8</v>
      </c>
      <c r="AD221">
        <v>100</v>
      </c>
      <c r="AE221">
        <v>100</v>
      </c>
      <c r="AF221" t="s">
        <v>47</v>
      </c>
    </row>
    <row r="222" spans="1:32">
      <c r="A222" t="s">
        <v>1086</v>
      </c>
      <c r="B222">
        <v>4</v>
      </c>
      <c r="C222">
        <v>8</v>
      </c>
      <c r="D222">
        <v>2</v>
      </c>
      <c r="E222">
        <v>8.3000000000000007</v>
      </c>
      <c r="F222">
        <v>18.899999999999999</v>
      </c>
      <c r="G222">
        <v>4.5999999999999996</v>
      </c>
      <c r="H222">
        <v>64.3</v>
      </c>
      <c r="I222">
        <v>61.4</v>
      </c>
      <c r="J222">
        <v>0</v>
      </c>
      <c r="K222">
        <v>41</v>
      </c>
      <c r="L222">
        <v>25.9</v>
      </c>
      <c r="M222">
        <v>9.5</v>
      </c>
      <c r="N222">
        <v>96</v>
      </c>
      <c r="O222">
        <v>107</v>
      </c>
      <c r="P222">
        <v>14.3</v>
      </c>
      <c r="Q222">
        <v>8.4</v>
      </c>
      <c r="R222">
        <v>11.2</v>
      </c>
      <c r="S222">
        <v>19.7</v>
      </c>
      <c r="T222">
        <v>90</v>
      </c>
      <c r="U222">
        <v>1962</v>
      </c>
      <c r="V222">
        <v>1578000</v>
      </c>
      <c r="W222">
        <v>48</v>
      </c>
      <c r="X222">
        <v>51.4</v>
      </c>
      <c r="Y222">
        <v>67.3</v>
      </c>
      <c r="Z222">
        <v>47.9</v>
      </c>
      <c r="AA222">
        <v>48</v>
      </c>
      <c r="AB222">
        <v>92</v>
      </c>
      <c r="AC222">
        <v>58.4</v>
      </c>
      <c r="AD222">
        <v>100</v>
      </c>
      <c r="AE222">
        <v>100</v>
      </c>
      <c r="AF222" t="s">
        <v>47</v>
      </c>
    </row>
    <row r="223" spans="1:32">
      <c r="A223" t="s">
        <v>1088</v>
      </c>
      <c r="B223">
        <v>3.8</v>
      </c>
      <c r="C223">
        <v>6</v>
      </c>
      <c r="D223">
        <v>4</v>
      </c>
      <c r="E223">
        <v>7.4</v>
      </c>
      <c r="F223">
        <v>16.7</v>
      </c>
      <c r="G223">
        <v>6</v>
      </c>
      <c r="H223">
        <v>42.8</v>
      </c>
      <c r="I223">
        <v>63.2</v>
      </c>
      <c r="J223">
        <v>2</v>
      </c>
      <c r="K223">
        <v>31</v>
      </c>
      <c r="L223">
        <v>34.5</v>
      </c>
      <c r="M223">
        <v>7.4</v>
      </c>
      <c r="N223">
        <v>100</v>
      </c>
      <c r="O223">
        <v>107</v>
      </c>
      <c r="P223">
        <v>18.600000000000001</v>
      </c>
      <c r="Q223">
        <v>11.9</v>
      </c>
      <c r="R223">
        <v>9.5</v>
      </c>
      <c r="S223">
        <v>11.8</v>
      </c>
      <c r="T223">
        <v>87</v>
      </c>
      <c r="U223">
        <v>1922</v>
      </c>
      <c r="V223">
        <v>1836000</v>
      </c>
      <c r="W223">
        <v>54</v>
      </c>
      <c r="X223">
        <v>45.9</v>
      </c>
      <c r="Y223">
        <v>67.3</v>
      </c>
      <c r="Z223">
        <v>58.7</v>
      </c>
      <c r="AA223">
        <v>54</v>
      </c>
      <c r="AB223">
        <v>92.4</v>
      </c>
      <c r="AC223">
        <v>59.3</v>
      </c>
      <c r="AD223">
        <v>100</v>
      </c>
      <c r="AE223">
        <v>100</v>
      </c>
      <c r="AF223" t="s">
        <v>47</v>
      </c>
    </row>
    <row r="224" spans="1:32">
      <c r="A224" t="s">
        <v>1090</v>
      </c>
      <c r="B224">
        <v>3.2</v>
      </c>
      <c r="C224">
        <v>7</v>
      </c>
      <c r="D224">
        <v>4</v>
      </c>
      <c r="E224">
        <v>27.6</v>
      </c>
      <c r="F224">
        <v>17.3</v>
      </c>
      <c r="G224">
        <v>5.0999999999999996</v>
      </c>
      <c r="H224">
        <v>76.2</v>
      </c>
      <c r="I224">
        <v>66.900000000000006</v>
      </c>
      <c r="J224">
        <v>0</v>
      </c>
      <c r="K224">
        <v>58</v>
      </c>
      <c r="L224">
        <v>35.299999999999997</v>
      </c>
      <c r="M224">
        <v>4.5</v>
      </c>
      <c r="N224">
        <v>57</v>
      </c>
      <c r="O224">
        <v>83</v>
      </c>
      <c r="P224">
        <v>24.3</v>
      </c>
      <c r="Q224">
        <v>12.2</v>
      </c>
      <c r="R224">
        <v>5.8</v>
      </c>
      <c r="S224">
        <v>14.8</v>
      </c>
      <c r="T224">
        <v>96</v>
      </c>
      <c r="U224">
        <v>2120</v>
      </c>
      <c r="V224">
        <v>954000</v>
      </c>
      <c r="W224">
        <v>46</v>
      </c>
      <c r="X224">
        <v>80.2</v>
      </c>
      <c r="Y224">
        <v>70.2</v>
      </c>
      <c r="Z224">
        <v>55.1</v>
      </c>
      <c r="AA224">
        <v>46</v>
      </c>
      <c r="AB224">
        <v>90.5</v>
      </c>
      <c r="AC224">
        <v>70.3</v>
      </c>
      <c r="AD224">
        <v>100</v>
      </c>
      <c r="AE224">
        <v>100</v>
      </c>
      <c r="AF224" t="s">
        <v>47</v>
      </c>
    </row>
    <row r="225" spans="1:32">
      <c r="A225" t="s">
        <v>1092</v>
      </c>
      <c r="B225">
        <v>6.2</v>
      </c>
      <c r="C225">
        <v>15</v>
      </c>
      <c r="D225">
        <v>7</v>
      </c>
      <c r="F225">
        <v>9.8000000000000007</v>
      </c>
      <c r="G225">
        <v>4.5999999999999996</v>
      </c>
      <c r="H225">
        <v>34.200000000000003</v>
      </c>
      <c r="I225">
        <v>73.099999999999994</v>
      </c>
      <c r="J225">
        <v>0</v>
      </c>
      <c r="K225">
        <v>43</v>
      </c>
      <c r="L225">
        <v>18.399999999999999</v>
      </c>
      <c r="M225">
        <v>4.4000000000000004</v>
      </c>
      <c r="O225">
        <v>93</v>
      </c>
      <c r="P225">
        <v>10.4</v>
      </c>
      <c r="Q225">
        <v>13.7</v>
      </c>
      <c r="R225">
        <v>8.1999999999999993</v>
      </c>
      <c r="S225">
        <v>24.6</v>
      </c>
      <c r="T225">
        <v>87</v>
      </c>
      <c r="U225">
        <v>1790</v>
      </c>
      <c r="V225">
        <v>912000</v>
      </c>
      <c r="W225">
        <v>48</v>
      </c>
      <c r="X225">
        <v>77.7</v>
      </c>
      <c r="Y225">
        <v>76.099999999999994</v>
      </c>
      <c r="Z225">
        <v>65.400000000000006</v>
      </c>
      <c r="AA225">
        <v>48</v>
      </c>
      <c r="AB225">
        <v>93.7</v>
      </c>
      <c r="AC225">
        <v>73.5</v>
      </c>
      <c r="AD225">
        <v>100</v>
      </c>
      <c r="AE225">
        <v>90.5</v>
      </c>
      <c r="AF225" t="s">
        <v>47</v>
      </c>
    </row>
    <row r="226" spans="1:32">
      <c r="A226" t="s">
        <v>1094</v>
      </c>
      <c r="B226">
        <v>5.8</v>
      </c>
      <c r="C226">
        <v>16</v>
      </c>
      <c r="D226">
        <v>8</v>
      </c>
      <c r="E226">
        <v>10.4</v>
      </c>
      <c r="F226">
        <v>14.6</v>
      </c>
      <c r="G226">
        <v>6.5</v>
      </c>
      <c r="H226">
        <v>44.5</v>
      </c>
      <c r="I226">
        <v>53.5</v>
      </c>
      <c r="J226">
        <v>0</v>
      </c>
      <c r="K226">
        <v>48</v>
      </c>
      <c r="L226">
        <v>26.1</v>
      </c>
      <c r="M226">
        <v>6.1</v>
      </c>
      <c r="N226">
        <v>84</v>
      </c>
      <c r="O226">
        <v>77</v>
      </c>
      <c r="P226">
        <v>27</v>
      </c>
      <c r="Q226">
        <v>11.3</v>
      </c>
      <c r="R226">
        <v>11.7</v>
      </c>
      <c r="S226">
        <v>16.8</v>
      </c>
      <c r="T226">
        <v>77</v>
      </c>
      <c r="U226">
        <v>2290</v>
      </c>
      <c r="V226">
        <v>1449000</v>
      </c>
      <c r="W226">
        <v>35</v>
      </c>
      <c r="X226">
        <v>58.2</v>
      </c>
      <c r="Y226">
        <v>61</v>
      </c>
      <c r="Z226">
        <v>60</v>
      </c>
      <c r="AA226">
        <v>35</v>
      </c>
      <c r="AB226">
        <v>88.8</v>
      </c>
      <c r="AC226">
        <v>60</v>
      </c>
      <c r="AD226">
        <v>100</v>
      </c>
      <c r="AE226">
        <v>100</v>
      </c>
      <c r="AF226" t="s">
        <v>47</v>
      </c>
    </row>
    <row r="227" spans="1:32">
      <c r="A227" t="s">
        <v>1096</v>
      </c>
      <c r="B227">
        <v>4.7</v>
      </c>
      <c r="C227">
        <v>10</v>
      </c>
      <c r="D227">
        <v>8</v>
      </c>
      <c r="E227">
        <v>14.7</v>
      </c>
      <c r="F227">
        <v>1</v>
      </c>
      <c r="G227">
        <v>8.5</v>
      </c>
      <c r="H227">
        <v>82</v>
      </c>
      <c r="I227">
        <v>72.7</v>
      </c>
      <c r="J227">
        <v>0</v>
      </c>
      <c r="K227">
        <v>71</v>
      </c>
      <c r="L227">
        <v>27.4</v>
      </c>
      <c r="M227">
        <v>7.1</v>
      </c>
      <c r="N227">
        <v>55</v>
      </c>
      <c r="O227">
        <v>66</v>
      </c>
      <c r="P227">
        <v>9.6999999999999993</v>
      </c>
      <c r="Q227">
        <v>4.7</v>
      </c>
      <c r="R227">
        <v>1.8</v>
      </c>
      <c r="S227">
        <v>6.7</v>
      </c>
      <c r="T227">
        <v>93</v>
      </c>
      <c r="U227">
        <v>4366</v>
      </c>
      <c r="V227">
        <v>4834000</v>
      </c>
      <c r="W227">
        <v>74</v>
      </c>
      <c r="X227">
        <v>68.5</v>
      </c>
      <c r="Y227">
        <v>80.400000000000006</v>
      </c>
      <c r="Z227">
        <v>96.6</v>
      </c>
      <c r="AA227">
        <v>74</v>
      </c>
      <c r="AB227">
        <v>68.7</v>
      </c>
      <c r="AC227">
        <v>77.599999999999994</v>
      </c>
      <c r="AD227">
        <v>100</v>
      </c>
      <c r="AE227">
        <v>100</v>
      </c>
      <c r="AF227" t="s">
        <v>47</v>
      </c>
    </row>
    <row r="228" spans="1:32">
      <c r="A228" t="s">
        <v>1099</v>
      </c>
      <c r="B228">
        <v>1.1000000000000001</v>
      </c>
      <c r="C228">
        <v>2</v>
      </c>
      <c r="D228">
        <v>1</v>
      </c>
      <c r="E228">
        <v>11.8</v>
      </c>
      <c r="F228">
        <v>8.9</v>
      </c>
      <c r="G228">
        <v>4.5</v>
      </c>
      <c r="H228">
        <v>25</v>
      </c>
      <c r="I228">
        <v>56.4</v>
      </c>
      <c r="J228">
        <v>0</v>
      </c>
      <c r="K228">
        <v>39</v>
      </c>
      <c r="L228">
        <v>39</v>
      </c>
      <c r="M228">
        <v>7.6</v>
      </c>
      <c r="N228">
        <v>93</v>
      </c>
      <c r="O228">
        <v>94</v>
      </c>
      <c r="P228">
        <v>22.4</v>
      </c>
      <c r="Q228">
        <v>15.2</v>
      </c>
      <c r="R228">
        <v>14</v>
      </c>
      <c r="S228">
        <v>19.600000000000001</v>
      </c>
      <c r="T228">
        <v>91</v>
      </c>
      <c r="U228">
        <v>3820</v>
      </c>
      <c r="V228">
        <v>1816000</v>
      </c>
      <c r="W228">
        <v>59</v>
      </c>
      <c r="X228">
        <v>52.8</v>
      </c>
      <c r="Y228">
        <v>60.2</v>
      </c>
      <c r="Z228">
        <v>71.099999999999994</v>
      </c>
      <c r="AA228">
        <v>59</v>
      </c>
      <c r="AB228">
        <v>74</v>
      </c>
      <c r="AC228">
        <v>61</v>
      </c>
      <c r="AD228">
        <v>100</v>
      </c>
      <c r="AE228">
        <v>100</v>
      </c>
      <c r="AF228" t="s">
        <v>47</v>
      </c>
    </row>
    <row r="229" spans="1:32">
      <c r="A229" t="s">
        <v>1101</v>
      </c>
      <c r="B229">
        <v>4</v>
      </c>
      <c r="C229">
        <v>10</v>
      </c>
      <c r="D229">
        <v>4</v>
      </c>
      <c r="E229">
        <v>13.8</v>
      </c>
      <c r="F229">
        <v>6</v>
      </c>
      <c r="G229">
        <v>6.4</v>
      </c>
      <c r="H229">
        <v>67.5</v>
      </c>
      <c r="I229">
        <v>41.4</v>
      </c>
      <c r="J229">
        <v>0</v>
      </c>
      <c r="K229">
        <v>55</v>
      </c>
      <c r="L229">
        <v>22.2</v>
      </c>
      <c r="M229">
        <v>10.199999999999999</v>
      </c>
      <c r="N229">
        <v>83</v>
      </c>
      <c r="O229">
        <v>64</v>
      </c>
      <c r="P229">
        <v>17.899999999999999</v>
      </c>
      <c r="Q229">
        <v>12.3</v>
      </c>
      <c r="R229">
        <v>12.2</v>
      </c>
      <c r="S229">
        <v>20.7</v>
      </c>
      <c r="T229">
        <v>77</v>
      </c>
      <c r="U229">
        <v>4569</v>
      </c>
      <c r="V229">
        <v>1991000</v>
      </c>
      <c r="W229">
        <v>74</v>
      </c>
      <c r="X229">
        <v>66.3</v>
      </c>
      <c r="Y229">
        <v>56.5</v>
      </c>
      <c r="Z229">
        <v>77.099999999999994</v>
      </c>
      <c r="AA229">
        <v>74</v>
      </c>
      <c r="AB229">
        <v>66.8</v>
      </c>
      <c r="AC229">
        <v>66.8</v>
      </c>
      <c r="AD229">
        <v>100</v>
      </c>
      <c r="AE229">
        <v>100</v>
      </c>
      <c r="AF229" t="s">
        <v>47</v>
      </c>
    </row>
    <row r="230" spans="1:32">
      <c r="A230" t="s">
        <v>1104</v>
      </c>
      <c r="B230">
        <v>3.7</v>
      </c>
      <c r="C230">
        <v>11</v>
      </c>
      <c r="D230">
        <v>5</v>
      </c>
      <c r="E230">
        <v>11.9</v>
      </c>
      <c r="F230">
        <v>23.8</v>
      </c>
      <c r="H230">
        <v>60.1</v>
      </c>
      <c r="I230">
        <v>57.3</v>
      </c>
      <c r="J230">
        <v>0</v>
      </c>
      <c r="K230">
        <v>35</v>
      </c>
      <c r="L230">
        <v>30.4</v>
      </c>
      <c r="M230">
        <v>5.8</v>
      </c>
      <c r="N230">
        <v>85</v>
      </c>
      <c r="O230">
        <v>76</v>
      </c>
      <c r="P230">
        <v>24.2</v>
      </c>
      <c r="T230">
        <v>79</v>
      </c>
      <c r="U230">
        <v>4056</v>
      </c>
      <c r="V230">
        <v>1188000</v>
      </c>
      <c r="W230">
        <v>33</v>
      </c>
      <c r="X230">
        <v>58.8</v>
      </c>
      <c r="Y230">
        <v>60.7</v>
      </c>
      <c r="Z230">
        <v>22.1</v>
      </c>
      <c r="AA230">
        <v>33</v>
      </c>
      <c r="AB230">
        <v>71.7</v>
      </c>
      <c r="AC230">
        <v>50.6</v>
      </c>
      <c r="AD230">
        <v>100</v>
      </c>
      <c r="AE230">
        <v>81</v>
      </c>
      <c r="AF230" t="s">
        <v>1971</v>
      </c>
    </row>
    <row r="231" spans="1:32">
      <c r="A231" t="s">
        <v>1106</v>
      </c>
      <c r="B231">
        <v>0.5</v>
      </c>
      <c r="C231">
        <v>3</v>
      </c>
      <c r="D231">
        <v>0</v>
      </c>
      <c r="E231">
        <v>21.8</v>
      </c>
      <c r="F231">
        <v>7.7</v>
      </c>
      <c r="G231">
        <v>5.0999999999999996</v>
      </c>
      <c r="H231">
        <v>59.7</v>
      </c>
      <c r="I231">
        <v>37.799999999999997</v>
      </c>
      <c r="J231">
        <v>1</v>
      </c>
      <c r="K231">
        <v>45</v>
      </c>
      <c r="L231">
        <v>22.3</v>
      </c>
      <c r="M231">
        <v>8.1</v>
      </c>
      <c r="N231">
        <v>64</v>
      </c>
      <c r="O231">
        <v>66</v>
      </c>
      <c r="P231">
        <v>19.399999999999999</v>
      </c>
      <c r="Q231">
        <v>13.2</v>
      </c>
      <c r="R231">
        <v>10.199999999999999</v>
      </c>
      <c r="S231">
        <v>19.2</v>
      </c>
      <c r="T231">
        <v>69</v>
      </c>
      <c r="U231">
        <v>3275</v>
      </c>
      <c r="V231">
        <v>380000</v>
      </c>
      <c r="W231">
        <v>36</v>
      </c>
      <c r="X231">
        <v>81</v>
      </c>
      <c r="Y231">
        <v>56.8</v>
      </c>
      <c r="Z231">
        <v>74.2</v>
      </c>
      <c r="AA231">
        <v>36</v>
      </c>
      <c r="AB231">
        <v>79.3</v>
      </c>
      <c r="AC231">
        <v>68.900000000000006</v>
      </c>
      <c r="AD231">
        <v>100</v>
      </c>
      <c r="AE231">
        <v>100</v>
      </c>
      <c r="AF231" t="s">
        <v>47</v>
      </c>
    </row>
    <row r="232" spans="1:32">
      <c r="A232" t="s">
        <v>1108</v>
      </c>
      <c r="B232">
        <v>3</v>
      </c>
      <c r="C232">
        <v>9</v>
      </c>
      <c r="D232">
        <v>4</v>
      </c>
      <c r="E232">
        <v>14.1</v>
      </c>
      <c r="F232">
        <v>13.7</v>
      </c>
      <c r="G232">
        <v>5.2</v>
      </c>
      <c r="H232">
        <v>71.2</v>
      </c>
      <c r="I232">
        <v>56.8</v>
      </c>
      <c r="J232">
        <v>0</v>
      </c>
      <c r="K232">
        <v>49</v>
      </c>
      <c r="L232">
        <v>34.200000000000003</v>
      </c>
      <c r="M232">
        <v>7.3</v>
      </c>
      <c r="N232">
        <v>92</v>
      </c>
      <c r="O232">
        <v>58</v>
      </c>
      <c r="P232">
        <v>26.6</v>
      </c>
      <c r="Q232">
        <v>12.6</v>
      </c>
      <c r="R232">
        <v>8.1999999999999993</v>
      </c>
      <c r="S232">
        <v>18</v>
      </c>
      <c r="T232">
        <v>82</v>
      </c>
      <c r="U232">
        <v>4218</v>
      </c>
      <c r="V232">
        <v>1430000</v>
      </c>
      <c r="W232">
        <v>54</v>
      </c>
      <c r="X232">
        <v>61.3</v>
      </c>
      <c r="Y232">
        <v>62.5</v>
      </c>
      <c r="Z232">
        <v>61.2</v>
      </c>
      <c r="AA232">
        <v>54</v>
      </c>
      <c r="AB232">
        <v>70.2</v>
      </c>
      <c r="AC232">
        <v>61.7</v>
      </c>
      <c r="AD232">
        <v>100</v>
      </c>
      <c r="AE232">
        <v>100</v>
      </c>
      <c r="AF232" t="s">
        <v>47</v>
      </c>
    </row>
    <row r="233" spans="1:32">
      <c r="A233" t="s">
        <v>1110</v>
      </c>
      <c r="B233">
        <v>1.3</v>
      </c>
      <c r="C233">
        <v>4</v>
      </c>
      <c r="D233">
        <v>2</v>
      </c>
      <c r="E233">
        <v>5</v>
      </c>
      <c r="F233">
        <v>9.4</v>
      </c>
      <c r="G233">
        <v>7.4</v>
      </c>
      <c r="H233">
        <v>70.599999999999994</v>
      </c>
      <c r="I233">
        <v>54.8</v>
      </c>
      <c r="J233">
        <v>0</v>
      </c>
      <c r="K233">
        <v>44</v>
      </c>
      <c r="L233">
        <v>29.2</v>
      </c>
      <c r="M233">
        <v>7.1</v>
      </c>
      <c r="N233">
        <v>99</v>
      </c>
      <c r="O233">
        <v>49</v>
      </c>
      <c r="P233">
        <v>19.399999999999999</v>
      </c>
      <c r="Q233">
        <v>9.6</v>
      </c>
      <c r="R233">
        <v>7.5</v>
      </c>
      <c r="S233">
        <v>8.4</v>
      </c>
      <c r="T233">
        <v>94</v>
      </c>
      <c r="U233">
        <v>3223</v>
      </c>
      <c r="V233">
        <v>408000</v>
      </c>
      <c r="W233">
        <v>31</v>
      </c>
      <c r="X233">
        <v>48.7</v>
      </c>
      <c r="Y233">
        <v>66.099999999999994</v>
      </c>
      <c r="Z233">
        <v>78.2</v>
      </c>
      <c r="AA233">
        <v>31</v>
      </c>
      <c r="AB233">
        <v>79.8</v>
      </c>
      <c r="AC233">
        <v>60.3</v>
      </c>
      <c r="AD233">
        <v>100</v>
      </c>
      <c r="AE233">
        <v>100</v>
      </c>
      <c r="AF233" t="s">
        <v>47</v>
      </c>
    </row>
    <row r="234" spans="1:32">
      <c r="A234" t="s">
        <v>1112</v>
      </c>
      <c r="B234">
        <v>0.7</v>
      </c>
      <c r="C234">
        <v>5</v>
      </c>
      <c r="D234">
        <v>3</v>
      </c>
      <c r="F234">
        <v>15.1</v>
      </c>
      <c r="G234">
        <v>6.5</v>
      </c>
      <c r="H234">
        <v>61.8</v>
      </c>
      <c r="J234">
        <v>0</v>
      </c>
      <c r="K234">
        <v>24</v>
      </c>
      <c r="L234">
        <v>35.4</v>
      </c>
      <c r="O234">
        <v>63</v>
      </c>
      <c r="Q234">
        <v>10.9</v>
      </c>
      <c r="R234">
        <v>7.9</v>
      </c>
      <c r="S234">
        <v>15.2</v>
      </c>
      <c r="U234">
        <v>3070</v>
      </c>
      <c r="V234">
        <v>311000</v>
      </c>
      <c r="W234">
        <v>33</v>
      </c>
      <c r="X234">
        <v>65.599999999999994</v>
      </c>
      <c r="Y234">
        <v>76.599999999999994</v>
      </c>
      <c r="Z234">
        <v>60</v>
      </c>
      <c r="AA234">
        <v>33</v>
      </c>
      <c r="AB234">
        <v>81.3</v>
      </c>
      <c r="AC234">
        <v>65.5</v>
      </c>
      <c r="AD234">
        <v>100</v>
      </c>
      <c r="AE234">
        <v>71.400000000000006</v>
      </c>
      <c r="AF234" t="s">
        <v>1971</v>
      </c>
    </row>
    <row r="235" spans="1:32">
      <c r="A235" t="s">
        <v>1114</v>
      </c>
      <c r="B235">
        <v>2</v>
      </c>
      <c r="C235">
        <v>4</v>
      </c>
      <c r="D235">
        <v>2</v>
      </c>
      <c r="E235">
        <v>7.4</v>
      </c>
      <c r="F235">
        <v>9.6999999999999993</v>
      </c>
      <c r="G235">
        <v>4.2</v>
      </c>
      <c r="H235">
        <v>57.7</v>
      </c>
      <c r="I235">
        <v>59.5</v>
      </c>
      <c r="J235">
        <v>0</v>
      </c>
      <c r="K235">
        <v>42</v>
      </c>
      <c r="L235">
        <v>23.7</v>
      </c>
      <c r="M235">
        <v>10.8</v>
      </c>
      <c r="N235">
        <v>92</v>
      </c>
      <c r="O235">
        <v>83</v>
      </c>
      <c r="P235">
        <v>13.9</v>
      </c>
      <c r="Q235">
        <v>12.2</v>
      </c>
      <c r="R235">
        <v>10</v>
      </c>
      <c r="S235">
        <v>19.100000000000001</v>
      </c>
      <c r="T235">
        <v>88</v>
      </c>
      <c r="U235">
        <v>3931</v>
      </c>
      <c r="V235">
        <v>1039000</v>
      </c>
      <c r="W235">
        <v>51</v>
      </c>
      <c r="X235">
        <v>53.1</v>
      </c>
      <c r="Y235">
        <v>64.900000000000006</v>
      </c>
      <c r="Z235">
        <v>69.7</v>
      </c>
      <c r="AA235">
        <v>51</v>
      </c>
      <c r="AB235">
        <v>72.900000000000006</v>
      </c>
      <c r="AC235">
        <v>61.1</v>
      </c>
      <c r="AD235">
        <v>100</v>
      </c>
      <c r="AE235">
        <v>100</v>
      </c>
      <c r="AF235" t="s">
        <v>47</v>
      </c>
    </row>
    <row r="236" spans="1:32">
      <c r="A236" t="s">
        <v>1117</v>
      </c>
      <c r="B236">
        <v>7.9</v>
      </c>
      <c r="C236">
        <v>23</v>
      </c>
      <c r="D236">
        <v>10</v>
      </c>
      <c r="F236">
        <v>4.4000000000000004</v>
      </c>
      <c r="G236">
        <v>6.5</v>
      </c>
      <c r="H236">
        <v>88</v>
      </c>
      <c r="I236">
        <v>77</v>
      </c>
      <c r="J236">
        <v>0</v>
      </c>
      <c r="K236">
        <v>62</v>
      </c>
      <c r="L236">
        <v>16.2</v>
      </c>
      <c r="M236">
        <v>2</v>
      </c>
      <c r="O236">
        <v>35</v>
      </c>
      <c r="P236">
        <v>10.3</v>
      </c>
      <c r="Q236">
        <v>10.6</v>
      </c>
      <c r="R236">
        <v>3.1</v>
      </c>
      <c r="S236">
        <v>20.5</v>
      </c>
      <c r="T236">
        <v>90</v>
      </c>
      <c r="U236">
        <v>8625</v>
      </c>
      <c r="V236">
        <v>4377000</v>
      </c>
      <c r="W236">
        <v>51</v>
      </c>
      <c r="X236">
        <v>90.9</v>
      </c>
      <c r="Y236">
        <v>82.7</v>
      </c>
      <c r="Z236">
        <v>80.900000000000006</v>
      </c>
      <c r="AA236">
        <v>51</v>
      </c>
      <c r="AB236">
        <v>27.5</v>
      </c>
      <c r="AC236">
        <v>76.5</v>
      </c>
      <c r="AD236">
        <v>100</v>
      </c>
      <c r="AE236">
        <v>90.5</v>
      </c>
      <c r="AF236" t="s">
        <v>47</v>
      </c>
    </row>
    <row r="237" spans="1:32">
      <c r="A237" t="s">
        <v>1120</v>
      </c>
      <c r="B237">
        <v>4.0999999999999996</v>
      </c>
      <c r="C237">
        <v>10</v>
      </c>
      <c r="D237">
        <v>5</v>
      </c>
      <c r="E237">
        <v>13.4</v>
      </c>
      <c r="F237">
        <v>4.3</v>
      </c>
      <c r="G237">
        <v>6.7</v>
      </c>
      <c r="H237">
        <v>83.7</v>
      </c>
      <c r="J237">
        <v>0</v>
      </c>
      <c r="K237">
        <v>53</v>
      </c>
      <c r="L237">
        <v>41.7</v>
      </c>
      <c r="N237">
        <v>88</v>
      </c>
      <c r="O237">
        <v>45</v>
      </c>
      <c r="Q237">
        <v>11.1</v>
      </c>
      <c r="R237">
        <v>6.9</v>
      </c>
      <c r="S237">
        <v>13.4</v>
      </c>
      <c r="U237">
        <v>7016</v>
      </c>
      <c r="V237">
        <v>535000</v>
      </c>
      <c r="W237">
        <v>36</v>
      </c>
      <c r="X237">
        <v>58.5</v>
      </c>
      <c r="Y237">
        <v>77.8</v>
      </c>
      <c r="Z237">
        <v>86.3</v>
      </c>
      <c r="AA237">
        <v>36</v>
      </c>
      <c r="AB237">
        <v>43.1</v>
      </c>
      <c r="AC237">
        <v>65.099999999999994</v>
      </c>
      <c r="AD237">
        <v>100</v>
      </c>
      <c r="AE237">
        <v>81</v>
      </c>
      <c r="AF237" t="s">
        <v>1971</v>
      </c>
    </row>
    <row r="238" spans="1:32">
      <c r="A238" t="s">
        <v>1123</v>
      </c>
      <c r="B238">
        <v>3.6</v>
      </c>
      <c r="C238">
        <v>10</v>
      </c>
      <c r="D238">
        <v>5</v>
      </c>
      <c r="E238">
        <v>10.4</v>
      </c>
      <c r="F238">
        <v>6</v>
      </c>
      <c r="G238">
        <v>7.2</v>
      </c>
      <c r="H238">
        <v>52.4</v>
      </c>
      <c r="I238">
        <v>57.3</v>
      </c>
      <c r="J238">
        <v>0</v>
      </c>
      <c r="K238">
        <v>53</v>
      </c>
      <c r="L238">
        <v>20.3</v>
      </c>
      <c r="M238">
        <v>8.1999999999999993</v>
      </c>
      <c r="N238">
        <v>86</v>
      </c>
      <c r="O238">
        <v>77</v>
      </c>
      <c r="P238">
        <v>14.1</v>
      </c>
      <c r="Q238">
        <v>9.6</v>
      </c>
      <c r="R238">
        <v>10.5</v>
      </c>
      <c r="S238">
        <v>9.6999999999999993</v>
      </c>
      <c r="T238">
        <v>90</v>
      </c>
      <c r="U238">
        <v>6319</v>
      </c>
      <c r="V238">
        <v>856000</v>
      </c>
      <c r="W238">
        <v>38</v>
      </c>
      <c r="X238">
        <v>60.4</v>
      </c>
      <c r="Y238">
        <v>66.8</v>
      </c>
      <c r="Z238">
        <v>85.1</v>
      </c>
      <c r="AA238">
        <v>38</v>
      </c>
      <c r="AB238">
        <v>49.8</v>
      </c>
      <c r="AC238">
        <v>63.6</v>
      </c>
      <c r="AD238">
        <v>100</v>
      </c>
      <c r="AE238">
        <v>100</v>
      </c>
      <c r="AF238" t="s">
        <v>47</v>
      </c>
    </row>
    <row r="239" spans="1:32">
      <c r="A239" t="s">
        <v>1125</v>
      </c>
      <c r="B239">
        <v>3</v>
      </c>
      <c r="C239">
        <v>10</v>
      </c>
      <c r="D239">
        <v>5</v>
      </c>
      <c r="E239">
        <v>15.3</v>
      </c>
      <c r="F239">
        <v>14.3</v>
      </c>
      <c r="G239">
        <v>6.6</v>
      </c>
      <c r="H239">
        <v>90.9</v>
      </c>
      <c r="I239">
        <v>55.9</v>
      </c>
      <c r="J239">
        <v>0</v>
      </c>
      <c r="K239">
        <v>54</v>
      </c>
      <c r="L239">
        <v>18.3</v>
      </c>
      <c r="M239">
        <v>6.2</v>
      </c>
      <c r="N239">
        <v>67</v>
      </c>
      <c r="O239">
        <v>42</v>
      </c>
      <c r="P239">
        <v>20.399999999999999</v>
      </c>
      <c r="Q239">
        <v>6.7</v>
      </c>
      <c r="R239">
        <v>8.5</v>
      </c>
      <c r="S239">
        <v>19.3</v>
      </c>
      <c r="T239">
        <v>81</v>
      </c>
      <c r="U239">
        <v>4878</v>
      </c>
      <c r="V239">
        <v>1294000</v>
      </c>
      <c r="W239">
        <v>65</v>
      </c>
      <c r="X239">
        <v>73.7</v>
      </c>
      <c r="Y239">
        <v>67.5</v>
      </c>
      <c r="Z239">
        <v>58.8</v>
      </c>
      <c r="AA239">
        <v>65</v>
      </c>
      <c r="AB239">
        <v>63.8</v>
      </c>
      <c r="AC239">
        <v>67.3</v>
      </c>
      <c r="AD239">
        <v>100</v>
      </c>
      <c r="AE239">
        <v>100</v>
      </c>
      <c r="AF239" t="s">
        <v>47</v>
      </c>
    </row>
    <row r="240" spans="1:32">
      <c r="A240" t="s">
        <v>1128</v>
      </c>
      <c r="B240">
        <v>2.2999999999999998</v>
      </c>
      <c r="C240">
        <v>4</v>
      </c>
      <c r="D240">
        <v>3</v>
      </c>
      <c r="E240">
        <v>15.3</v>
      </c>
      <c r="F240">
        <v>3.7</v>
      </c>
      <c r="G240">
        <v>6.1</v>
      </c>
      <c r="H240">
        <v>66.900000000000006</v>
      </c>
      <c r="I240">
        <v>64.5</v>
      </c>
      <c r="J240">
        <v>0</v>
      </c>
      <c r="K240">
        <v>58</v>
      </c>
      <c r="L240">
        <v>25.3</v>
      </c>
      <c r="M240">
        <v>8.4</v>
      </c>
      <c r="N240">
        <v>61</v>
      </c>
      <c r="O240">
        <v>56</v>
      </c>
      <c r="P240">
        <v>12.8</v>
      </c>
      <c r="Q240">
        <v>11.4</v>
      </c>
      <c r="R240">
        <v>6.6</v>
      </c>
      <c r="S240">
        <v>14.2</v>
      </c>
      <c r="T240">
        <v>94</v>
      </c>
      <c r="U240">
        <v>4632</v>
      </c>
      <c r="V240">
        <v>1897000</v>
      </c>
      <c r="W240">
        <v>47</v>
      </c>
      <c r="X240">
        <v>70.400000000000006</v>
      </c>
      <c r="Y240">
        <v>70.7</v>
      </c>
      <c r="Z240">
        <v>87.2</v>
      </c>
      <c r="AA240">
        <v>47</v>
      </c>
      <c r="AB240">
        <v>66.2</v>
      </c>
      <c r="AC240">
        <v>71.099999999999994</v>
      </c>
      <c r="AD240">
        <v>100</v>
      </c>
      <c r="AE240">
        <v>100</v>
      </c>
      <c r="AF240" t="s">
        <v>47</v>
      </c>
    </row>
    <row r="241" spans="1:32">
      <c r="A241" t="s">
        <v>1130</v>
      </c>
      <c r="B241">
        <v>4.2</v>
      </c>
      <c r="C241">
        <v>11</v>
      </c>
      <c r="D241">
        <v>6</v>
      </c>
      <c r="E241">
        <v>9.1999999999999993</v>
      </c>
      <c r="F241">
        <v>10.6</v>
      </c>
      <c r="G241">
        <v>4.3</v>
      </c>
      <c r="H241">
        <v>70</v>
      </c>
      <c r="I241">
        <v>70.099999999999994</v>
      </c>
      <c r="J241">
        <v>0</v>
      </c>
      <c r="K241">
        <v>50</v>
      </c>
      <c r="L241">
        <v>31.1</v>
      </c>
      <c r="M241">
        <v>8.4</v>
      </c>
      <c r="N241">
        <v>77</v>
      </c>
      <c r="O241">
        <v>56</v>
      </c>
      <c r="P241">
        <v>19.899999999999999</v>
      </c>
      <c r="Q241">
        <v>12.8</v>
      </c>
      <c r="R241">
        <v>8.3000000000000007</v>
      </c>
      <c r="S241">
        <v>23.2</v>
      </c>
      <c r="T241">
        <v>84</v>
      </c>
      <c r="U241">
        <v>3999</v>
      </c>
      <c r="V241">
        <v>744000</v>
      </c>
      <c r="W241">
        <v>51</v>
      </c>
      <c r="X241">
        <v>56.5</v>
      </c>
      <c r="Y241">
        <v>68.7</v>
      </c>
      <c r="Z241">
        <v>64.599999999999994</v>
      </c>
      <c r="AA241">
        <v>51</v>
      </c>
      <c r="AB241">
        <v>72.3</v>
      </c>
      <c r="AC241">
        <v>62.2</v>
      </c>
      <c r="AD241">
        <v>100</v>
      </c>
      <c r="AE241">
        <v>100</v>
      </c>
      <c r="AF241" t="s">
        <v>47</v>
      </c>
    </row>
    <row r="242" spans="1:32">
      <c r="A242" t="s">
        <v>1132</v>
      </c>
      <c r="B242">
        <v>0.5</v>
      </c>
      <c r="C242">
        <v>4</v>
      </c>
      <c r="D242">
        <v>2</v>
      </c>
      <c r="E242">
        <v>10.5</v>
      </c>
      <c r="F242">
        <v>16.3</v>
      </c>
      <c r="G242">
        <v>6.2</v>
      </c>
      <c r="H242">
        <v>71.8</v>
      </c>
      <c r="J242">
        <v>0</v>
      </c>
      <c r="K242">
        <v>32</v>
      </c>
      <c r="L242">
        <v>39.200000000000003</v>
      </c>
      <c r="N242">
        <v>73</v>
      </c>
      <c r="O242">
        <v>58</v>
      </c>
      <c r="Q242">
        <v>12.2</v>
      </c>
      <c r="R242">
        <v>7.8</v>
      </c>
      <c r="S242">
        <v>15.6</v>
      </c>
      <c r="U242">
        <v>4275</v>
      </c>
      <c r="V242">
        <v>1305000</v>
      </c>
      <c r="W242">
        <v>48</v>
      </c>
      <c r="X242">
        <v>55.5</v>
      </c>
      <c r="Y242">
        <v>75.099999999999994</v>
      </c>
      <c r="Z242">
        <v>56.9</v>
      </c>
      <c r="AA242">
        <v>48</v>
      </c>
      <c r="AB242">
        <v>69.599999999999994</v>
      </c>
      <c r="AC242">
        <v>61.3</v>
      </c>
      <c r="AD242">
        <v>100</v>
      </c>
      <c r="AE242">
        <v>81</v>
      </c>
      <c r="AF242" t="s">
        <v>1971</v>
      </c>
    </row>
    <row r="243" spans="1:32">
      <c r="A243" t="s">
        <v>1135</v>
      </c>
      <c r="B243">
        <v>6.7</v>
      </c>
      <c r="C243">
        <v>15</v>
      </c>
      <c r="D243">
        <v>10</v>
      </c>
      <c r="E243">
        <v>15.7</v>
      </c>
      <c r="F243">
        <v>5.0999999999999996</v>
      </c>
      <c r="G243">
        <v>3.5</v>
      </c>
      <c r="H243">
        <v>61.1</v>
      </c>
      <c r="I243">
        <v>82.1</v>
      </c>
      <c r="J243">
        <v>1</v>
      </c>
      <c r="K243">
        <v>59</v>
      </c>
      <c r="L243">
        <v>14</v>
      </c>
      <c r="M243">
        <v>3.6</v>
      </c>
      <c r="N243">
        <v>79</v>
      </c>
      <c r="O243">
        <v>76</v>
      </c>
      <c r="P243">
        <v>14.6</v>
      </c>
      <c r="Q243">
        <v>10.199999999999999</v>
      </c>
      <c r="R243">
        <v>10</v>
      </c>
      <c r="S243">
        <v>26.2</v>
      </c>
      <c r="T243">
        <v>90</v>
      </c>
      <c r="U243">
        <v>3469</v>
      </c>
      <c r="V243">
        <v>617000</v>
      </c>
      <c r="W243">
        <v>32</v>
      </c>
      <c r="X243">
        <v>72.3</v>
      </c>
      <c r="Y243">
        <v>78.8</v>
      </c>
      <c r="Z243">
        <v>75.2</v>
      </c>
      <c r="AA243">
        <v>32</v>
      </c>
      <c r="AB243">
        <v>77.400000000000006</v>
      </c>
      <c r="AC243">
        <v>71</v>
      </c>
      <c r="AD243">
        <v>100</v>
      </c>
      <c r="AE243">
        <v>100</v>
      </c>
      <c r="AF243" t="s">
        <v>47</v>
      </c>
    </row>
    <row r="244" spans="1:32">
      <c r="A244" t="s">
        <v>1137</v>
      </c>
      <c r="B244">
        <v>2.2000000000000002</v>
      </c>
      <c r="C244">
        <v>7</v>
      </c>
      <c r="D244">
        <v>3</v>
      </c>
      <c r="E244">
        <v>13.3</v>
      </c>
      <c r="F244">
        <v>1.6</v>
      </c>
      <c r="G244">
        <v>7.8</v>
      </c>
      <c r="H244">
        <v>63.8</v>
      </c>
      <c r="I244">
        <v>70.7</v>
      </c>
      <c r="J244">
        <v>0</v>
      </c>
      <c r="K244">
        <v>61</v>
      </c>
      <c r="L244">
        <v>16.2</v>
      </c>
      <c r="M244">
        <v>7.1</v>
      </c>
      <c r="N244">
        <v>86</v>
      </c>
      <c r="O244">
        <v>69</v>
      </c>
      <c r="P244">
        <v>14.1</v>
      </c>
      <c r="Q244">
        <v>6.8</v>
      </c>
      <c r="R244">
        <v>7.6</v>
      </c>
      <c r="S244">
        <v>8.6</v>
      </c>
      <c r="T244">
        <v>93</v>
      </c>
      <c r="U244">
        <v>3799</v>
      </c>
      <c r="V244">
        <v>1486000</v>
      </c>
      <c r="W244">
        <v>36</v>
      </c>
      <c r="X244">
        <v>67.3</v>
      </c>
      <c r="Y244">
        <v>74.7</v>
      </c>
      <c r="Z244">
        <v>95.2</v>
      </c>
      <c r="AA244">
        <v>36</v>
      </c>
      <c r="AB244">
        <v>74.2</v>
      </c>
      <c r="AC244">
        <v>72.3</v>
      </c>
      <c r="AD244">
        <v>100</v>
      </c>
      <c r="AE244">
        <v>100</v>
      </c>
      <c r="AF244" t="s">
        <v>47</v>
      </c>
    </row>
    <row r="245" spans="1:32">
      <c r="A245" t="s">
        <v>1139</v>
      </c>
      <c r="B245">
        <v>2.2000000000000002</v>
      </c>
      <c r="C245">
        <v>8</v>
      </c>
      <c r="D245">
        <v>4</v>
      </c>
      <c r="E245">
        <v>13.8</v>
      </c>
      <c r="F245">
        <v>11.4</v>
      </c>
      <c r="G245">
        <v>5.6</v>
      </c>
      <c r="H245">
        <v>73</v>
      </c>
      <c r="I245">
        <v>59.8</v>
      </c>
      <c r="J245">
        <v>0</v>
      </c>
      <c r="K245">
        <v>50</v>
      </c>
      <c r="L245">
        <v>28.7</v>
      </c>
      <c r="M245">
        <v>6.8</v>
      </c>
      <c r="N245">
        <v>79</v>
      </c>
      <c r="O245">
        <v>50</v>
      </c>
      <c r="P245">
        <v>17</v>
      </c>
      <c r="Q245">
        <v>14.4</v>
      </c>
      <c r="R245">
        <v>5.7</v>
      </c>
      <c r="S245">
        <v>22.9</v>
      </c>
      <c r="T245">
        <v>88</v>
      </c>
      <c r="U245">
        <v>4239</v>
      </c>
      <c r="V245">
        <v>728000</v>
      </c>
      <c r="W245">
        <v>63</v>
      </c>
      <c r="X245">
        <v>65.099999999999994</v>
      </c>
      <c r="Y245">
        <v>67.900000000000006</v>
      </c>
      <c r="Z245">
        <v>62.9</v>
      </c>
      <c r="AA245">
        <v>63</v>
      </c>
      <c r="AB245">
        <v>70</v>
      </c>
      <c r="AC245">
        <v>65.599999999999994</v>
      </c>
      <c r="AD245">
        <v>100</v>
      </c>
      <c r="AE245">
        <v>100</v>
      </c>
      <c r="AF245" t="s">
        <v>47</v>
      </c>
    </row>
    <row r="246" spans="1:32">
      <c r="A246" t="s">
        <v>1141</v>
      </c>
      <c r="B246">
        <v>5.9</v>
      </c>
      <c r="C246">
        <v>13</v>
      </c>
      <c r="D246">
        <v>7</v>
      </c>
      <c r="E246">
        <v>10.9</v>
      </c>
      <c r="F246">
        <v>19.2</v>
      </c>
      <c r="G246">
        <v>5</v>
      </c>
      <c r="H246">
        <v>65.900000000000006</v>
      </c>
      <c r="I246">
        <v>65.8</v>
      </c>
      <c r="J246">
        <v>0</v>
      </c>
      <c r="K246">
        <v>48</v>
      </c>
      <c r="L246">
        <v>36.6</v>
      </c>
      <c r="M246">
        <v>6.1</v>
      </c>
      <c r="N246">
        <v>69</v>
      </c>
      <c r="O246">
        <v>70</v>
      </c>
      <c r="P246">
        <v>19.2</v>
      </c>
      <c r="Q246">
        <v>11.2</v>
      </c>
      <c r="R246">
        <v>8.1</v>
      </c>
      <c r="S246">
        <v>16.600000000000001</v>
      </c>
      <c r="T246">
        <v>85</v>
      </c>
      <c r="U246">
        <v>3525</v>
      </c>
      <c r="V246">
        <v>715000</v>
      </c>
      <c r="W246">
        <v>45</v>
      </c>
      <c r="X246">
        <v>56.7</v>
      </c>
      <c r="Y246">
        <v>69.900000000000006</v>
      </c>
      <c r="Z246">
        <v>49.4</v>
      </c>
      <c r="AA246">
        <v>45</v>
      </c>
      <c r="AB246">
        <v>76.900000000000006</v>
      </c>
      <c r="AC246">
        <v>59.4</v>
      </c>
      <c r="AD246">
        <v>100</v>
      </c>
      <c r="AE246">
        <v>100</v>
      </c>
      <c r="AF246" t="s">
        <v>47</v>
      </c>
    </row>
    <row r="247" spans="1:32">
      <c r="A247" t="s">
        <v>1144</v>
      </c>
      <c r="B247">
        <v>3.4</v>
      </c>
      <c r="C247">
        <v>8</v>
      </c>
      <c r="D247">
        <v>6</v>
      </c>
      <c r="E247">
        <v>15.3</v>
      </c>
      <c r="F247">
        <v>9.5</v>
      </c>
      <c r="G247">
        <v>4.3</v>
      </c>
      <c r="H247">
        <v>64</v>
      </c>
      <c r="I247">
        <v>54.9</v>
      </c>
      <c r="J247">
        <v>0</v>
      </c>
      <c r="K247">
        <v>51</v>
      </c>
      <c r="L247">
        <v>18.5</v>
      </c>
      <c r="M247">
        <v>7.8</v>
      </c>
      <c r="N247">
        <v>68</v>
      </c>
      <c r="O247">
        <v>53</v>
      </c>
      <c r="P247">
        <v>14.1</v>
      </c>
      <c r="Q247">
        <v>15</v>
      </c>
      <c r="R247">
        <v>9.1</v>
      </c>
      <c r="S247">
        <v>22.2</v>
      </c>
      <c r="T247">
        <v>79</v>
      </c>
      <c r="U247">
        <v>4585</v>
      </c>
      <c r="V247">
        <v>2409000</v>
      </c>
      <c r="W247">
        <v>55</v>
      </c>
      <c r="X247">
        <v>72.7</v>
      </c>
      <c r="Y247">
        <v>64.8</v>
      </c>
      <c r="Z247">
        <v>67.900000000000006</v>
      </c>
      <c r="AA247">
        <v>55</v>
      </c>
      <c r="AB247">
        <v>66.599999999999994</v>
      </c>
      <c r="AC247">
        <v>67.400000000000006</v>
      </c>
      <c r="AD247">
        <v>100</v>
      </c>
      <c r="AE247">
        <v>100</v>
      </c>
      <c r="AF247" t="s">
        <v>47</v>
      </c>
    </row>
    <row r="248" spans="1:32">
      <c r="A248" t="s">
        <v>1146</v>
      </c>
      <c r="B248">
        <v>2.2000000000000002</v>
      </c>
      <c r="C248">
        <v>3</v>
      </c>
      <c r="D248">
        <v>3</v>
      </c>
      <c r="E248">
        <v>4.9000000000000004</v>
      </c>
      <c r="F248">
        <v>13.2</v>
      </c>
      <c r="H248">
        <v>55.3</v>
      </c>
      <c r="I248">
        <v>59.6</v>
      </c>
      <c r="J248">
        <v>2</v>
      </c>
      <c r="K248">
        <v>21</v>
      </c>
      <c r="L248">
        <v>30.7</v>
      </c>
      <c r="M248">
        <v>5.3</v>
      </c>
      <c r="N248">
        <v>76</v>
      </c>
      <c r="O248">
        <v>74</v>
      </c>
      <c r="P248">
        <v>19</v>
      </c>
      <c r="T248">
        <v>79</v>
      </c>
      <c r="U248">
        <v>3286</v>
      </c>
      <c r="V248">
        <v>1222000</v>
      </c>
      <c r="W248">
        <v>54</v>
      </c>
      <c r="X248">
        <v>48.6</v>
      </c>
      <c r="Y248">
        <v>65.2</v>
      </c>
      <c r="Z248">
        <v>60</v>
      </c>
      <c r="AA248">
        <v>54</v>
      </c>
      <c r="AB248">
        <v>79.2</v>
      </c>
      <c r="AC248">
        <v>58.6</v>
      </c>
      <c r="AD248">
        <v>100</v>
      </c>
      <c r="AE248">
        <v>81</v>
      </c>
      <c r="AF248" t="s">
        <v>1971</v>
      </c>
    </row>
    <row r="249" spans="1:32">
      <c r="A249" t="s">
        <v>1148</v>
      </c>
      <c r="B249">
        <v>2.1</v>
      </c>
      <c r="C249">
        <v>7</v>
      </c>
      <c r="D249">
        <v>3</v>
      </c>
      <c r="E249">
        <v>15.2</v>
      </c>
      <c r="G249">
        <v>5.3</v>
      </c>
      <c r="H249">
        <v>49.9</v>
      </c>
      <c r="I249">
        <v>60.5</v>
      </c>
      <c r="J249">
        <v>0</v>
      </c>
      <c r="K249">
        <v>56</v>
      </c>
      <c r="L249">
        <v>41.7</v>
      </c>
      <c r="M249">
        <v>7.9</v>
      </c>
      <c r="N249">
        <v>83</v>
      </c>
      <c r="O249">
        <v>47</v>
      </c>
      <c r="P249">
        <v>21.2</v>
      </c>
      <c r="Q249">
        <v>9.5</v>
      </c>
      <c r="R249">
        <v>7.9</v>
      </c>
      <c r="S249">
        <v>18.3</v>
      </c>
      <c r="T249">
        <v>80</v>
      </c>
      <c r="U249">
        <v>3235</v>
      </c>
      <c r="V249">
        <v>731000</v>
      </c>
      <c r="W249">
        <v>41</v>
      </c>
      <c r="X249">
        <v>61.7</v>
      </c>
      <c r="Y249">
        <v>66.7</v>
      </c>
      <c r="Z249">
        <v>66</v>
      </c>
      <c r="AA249">
        <v>41</v>
      </c>
      <c r="AB249">
        <v>79.7</v>
      </c>
      <c r="AC249">
        <v>63.5</v>
      </c>
      <c r="AD249">
        <v>100</v>
      </c>
      <c r="AE249">
        <v>95.2</v>
      </c>
      <c r="AF249" t="s">
        <v>47</v>
      </c>
    </row>
    <row r="250" spans="1:32">
      <c r="A250" t="s">
        <v>1150</v>
      </c>
      <c r="B250">
        <v>4.8</v>
      </c>
      <c r="C250">
        <v>12</v>
      </c>
      <c r="D250">
        <v>9</v>
      </c>
      <c r="E250">
        <v>13.8</v>
      </c>
      <c r="F250">
        <v>12.7</v>
      </c>
      <c r="G250">
        <v>4.8</v>
      </c>
      <c r="H250">
        <v>54.2</v>
      </c>
      <c r="I250">
        <v>57.2</v>
      </c>
      <c r="J250">
        <v>0</v>
      </c>
      <c r="K250">
        <v>50</v>
      </c>
      <c r="L250">
        <v>33</v>
      </c>
      <c r="M250">
        <v>5.8</v>
      </c>
      <c r="N250">
        <v>87</v>
      </c>
      <c r="O250">
        <v>72</v>
      </c>
      <c r="P250">
        <v>19</v>
      </c>
      <c r="Q250">
        <v>12</v>
      </c>
      <c r="R250">
        <v>12.9</v>
      </c>
      <c r="S250">
        <v>18</v>
      </c>
      <c r="T250">
        <v>86</v>
      </c>
      <c r="U250">
        <v>3050</v>
      </c>
      <c r="V250">
        <v>341000</v>
      </c>
      <c r="W250">
        <v>58</v>
      </c>
      <c r="X250">
        <v>60.8</v>
      </c>
      <c r="Y250">
        <v>64.8</v>
      </c>
      <c r="Z250">
        <v>63.5</v>
      </c>
      <c r="AA250">
        <v>58</v>
      </c>
      <c r="AB250">
        <v>81.5</v>
      </c>
      <c r="AC250">
        <v>64.099999999999994</v>
      </c>
      <c r="AD250">
        <v>100</v>
      </c>
      <c r="AE250">
        <v>100</v>
      </c>
      <c r="AF250" t="s">
        <v>47</v>
      </c>
    </row>
    <row r="251" spans="1:32">
      <c r="A251" t="s">
        <v>1152</v>
      </c>
      <c r="B251">
        <v>7.5</v>
      </c>
      <c r="C251">
        <v>19</v>
      </c>
      <c r="D251">
        <v>12</v>
      </c>
      <c r="E251">
        <v>17.8</v>
      </c>
      <c r="F251">
        <v>8.6</v>
      </c>
      <c r="G251">
        <v>4.9000000000000004</v>
      </c>
      <c r="H251">
        <v>72.7</v>
      </c>
      <c r="J251">
        <v>0</v>
      </c>
      <c r="K251">
        <v>56</v>
      </c>
      <c r="L251">
        <v>13.1</v>
      </c>
      <c r="N251">
        <v>56</v>
      </c>
      <c r="O251">
        <v>70</v>
      </c>
      <c r="Q251">
        <v>13.2</v>
      </c>
      <c r="R251">
        <v>6.4</v>
      </c>
      <c r="S251">
        <v>19.3</v>
      </c>
      <c r="U251">
        <v>4873</v>
      </c>
      <c r="V251">
        <v>3110000</v>
      </c>
      <c r="W251">
        <v>68</v>
      </c>
      <c r="X251">
        <v>79</v>
      </c>
      <c r="Y251">
        <v>75.8</v>
      </c>
      <c r="Z251">
        <v>72.099999999999994</v>
      </c>
      <c r="AA251">
        <v>68</v>
      </c>
      <c r="AB251">
        <v>63.8</v>
      </c>
      <c r="AC251">
        <v>74.2</v>
      </c>
      <c r="AD251">
        <v>100</v>
      </c>
      <c r="AE251">
        <v>81</v>
      </c>
      <c r="AF251" t="s">
        <v>1971</v>
      </c>
    </row>
    <row r="252" spans="1:32">
      <c r="A252" t="s">
        <v>1154</v>
      </c>
      <c r="B252">
        <v>3.1</v>
      </c>
      <c r="C252">
        <v>7</v>
      </c>
      <c r="D252">
        <v>3</v>
      </c>
      <c r="E252">
        <v>10.1</v>
      </c>
      <c r="F252">
        <v>6.8</v>
      </c>
      <c r="G252">
        <v>4.0999999999999996</v>
      </c>
      <c r="H252">
        <v>55.3</v>
      </c>
      <c r="I252">
        <v>56.9</v>
      </c>
      <c r="J252">
        <v>0</v>
      </c>
      <c r="K252">
        <v>47</v>
      </c>
      <c r="L252">
        <v>17.399999999999999</v>
      </c>
      <c r="M252">
        <v>6.6</v>
      </c>
      <c r="N252">
        <v>83</v>
      </c>
      <c r="O252">
        <v>56</v>
      </c>
      <c r="P252">
        <v>21.8</v>
      </c>
      <c r="Q252">
        <v>13</v>
      </c>
      <c r="R252">
        <v>12.1</v>
      </c>
      <c r="S252">
        <v>18</v>
      </c>
      <c r="T252">
        <v>88</v>
      </c>
      <c r="U252">
        <v>3769</v>
      </c>
      <c r="V252">
        <v>1164000</v>
      </c>
      <c r="W252">
        <v>46</v>
      </c>
      <c r="X252">
        <v>63</v>
      </c>
      <c r="Y252">
        <v>63</v>
      </c>
      <c r="Z252">
        <v>77.2</v>
      </c>
      <c r="AA252">
        <v>46</v>
      </c>
      <c r="AB252">
        <v>74.5</v>
      </c>
      <c r="AC252">
        <v>65.3</v>
      </c>
      <c r="AD252">
        <v>100</v>
      </c>
      <c r="AE252">
        <v>100</v>
      </c>
      <c r="AF252" t="s">
        <v>47</v>
      </c>
    </row>
    <row r="253" spans="1:32">
      <c r="A253" t="s">
        <v>1156</v>
      </c>
      <c r="B253">
        <v>0.5</v>
      </c>
      <c r="C253">
        <v>1</v>
      </c>
      <c r="D253">
        <v>0</v>
      </c>
      <c r="E253">
        <v>14.4</v>
      </c>
      <c r="F253">
        <v>12.7</v>
      </c>
      <c r="G253">
        <v>4.5</v>
      </c>
      <c r="H253">
        <v>57.1</v>
      </c>
      <c r="J253">
        <v>0</v>
      </c>
      <c r="K253">
        <v>33</v>
      </c>
      <c r="L253">
        <v>24.1</v>
      </c>
      <c r="N253">
        <v>93</v>
      </c>
      <c r="O253">
        <v>94</v>
      </c>
      <c r="Q253">
        <v>12</v>
      </c>
      <c r="R253">
        <v>5.3</v>
      </c>
      <c r="S253">
        <v>17.600000000000001</v>
      </c>
      <c r="U253">
        <v>1829</v>
      </c>
      <c r="V253">
        <v>1738000</v>
      </c>
      <c r="W253">
        <v>50</v>
      </c>
      <c r="X253">
        <v>63.2</v>
      </c>
      <c r="Y253">
        <v>78.900000000000006</v>
      </c>
      <c r="Z253">
        <v>63.8</v>
      </c>
      <c r="AA253">
        <v>50</v>
      </c>
      <c r="AB253">
        <v>93.3</v>
      </c>
      <c r="AC253">
        <v>68.900000000000006</v>
      </c>
      <c r="AD253">
        <v>100</v>
      </c>
      <c r="AE253">
        <v>81</v>
      </c>
      <c r="AF253" t="s">
        <v>1971</v>
      </c>
    </row>
    <row r="254" spans="1:32">
      <c r="A254" t="s">
        <v>1159</v>
      </c>
      <c r="B254">
        <v>1.5</v>
      </c>
      <c r="C254">
        <v>9</v>
      </c>
      <c r="D254">
        <v>1</v>
      </c>
      <c r="E254">
        <v>5.9</v>
      </c>
      <c r="F254">
        <v>8.6999999999999993</v>
      </c>
      <c r="G254">
        <v>7.6</v>
      </c>
      <c r="H254">
        <v>58.7</v>
      </c>
      <c r="I254">
        <v>37.200000000000003</v>
      </c>
      <c r="J254">
        <v>0</v>
      </c>
      <c r="K254">
        <v>42</v>
      </c>
      <c r="L254">
        <v>31.1</v>
      </c>
      <c r="M254">
        <v>9.9</v>
      </c>
      <c r="N254">
        <v>88</v>
      </c>
      <c r="O254">
        <v>94</v>
      </c>
      <c r="P254">
        <v>23.2</v>
      </c>
      <c r="Q254">
        <v>11.4</v>
      </c>
      <c r="R254">
        <v>9.4</v>
      </c>
      <c r="S254">
        <v>12.9</v>
      </c>
      <c r="T254">
        <v>66</v>
      </c>
      <c r="U254">
        <v>1913</v>
      </c>
      <c r="V254">
        <v>1531000</v>
      </c>
      <c r="W254">
        <v>55</v>
      </c>
      <c r="X254">
        <v>47.2</v>
      </c>
      <c r="Y254">
        <v>54.8</v>
      </c>
      <c r="Z254">
        <v>76.5</v>
      </c>
      <c r="AA254">
        <v>55</v>
      </c>
      <c r="AB254">
        <v>92.5</v>
      </c>
      <c r="AC254">
        <v>60.3</v>
      </c>
      <c r="AD254">
        <v>100</v>
      </c>
      <c r="AE254">
        <v>100</v>
      </c>
      <c r="AF254" t="s">
        <v>47</v>
      </c>
    </row>
    <row r="255" spans="1:32">
      <c r="A255" t="s">
        <v>1162</v>
      </c>
      <c r="B255">
        <v>6.1</v>
      </c>
      <c r="C255">
        <v>21</v>
      </c>
      <c r="D255">
        <v>9</v>
      </c>
      <c r="E255">
        <v>8.8000000000000007</v>
      </c>
      <c r="F255">
        <v>42.6</v>
      </c>
      <c r="G255">
        <v>3.2</v>
      </c>
      <c r="H255">
        <v>50.5</v>
      </c>
      <c r="J255">
        <v>0</v>
      </c>
      <c r="K255">
        <v>32</v>
      </c>
      <c r="L255">
        <v>16.7</v>
      </c>
      <c r="N255">
        <v>105</v>
      </c>
      <c r="O255">
        <v>115</v>
      </c>
      <c r="Q255">
        <v>19.8</v>
      </c>
      <c r="R255">
        <v>11.4</v>
      </c>
      <c r="S255">
        <v>24.4</v>
      </c>
      <c r="U255">
        <v>2381</v>
      </c>
      <c r="V255">
        <v>1573000</v>
      </c>
      <c r="W255">
        <v>44</v>
      </c>
      <c r="X255">
        <v>54.4</v>
      </c>
      <c r="Y255">
        <v>60.1</v>
      </c>
      <c r="Z255">
        <v>18.7</v>
      </c>
      <c r="AA255">
        <v>44</v>
      </c>
      <c r="AB255">
        <v>87.9</v>
      </c>
      <c r="AC255">
        <v>51</v>
      </c>
      <c r="AD255">
        <v>100</v>
      </c>
      <c r="AE255">
        <v>81</v>
      </c>
      <c r="AF255" t="s">
        <v>1971</v>
      </c>
    </row>
    <row r="256" spans="1:32">
      <c r="A256" t="s">
        <v>1164</v>
      </c>
      <c r="B256">
        <v>3.8</v>
      </c>
      <c r="C256">
        <v>9</v>
      </c>
      <c r="D256">
        <v>6</v>
      </c>
      <c r="E256">
        <v>8.9</v>
      </c>
      <c r="F256">
        <v>5.7</v>
      </c>
      <c r="G256">
        <v>9.1999999999999993</v>
      </c>
      <c r="H256">
        <v>53</v>
      </c>
      <c r="I256">
        <v>68.900000000000006</v>
      </c>
      <c r="J256">
        <v>0</v>
      </c>
      <c r="K256">
        <v>58</v>
      </c>
      <c r="L256">
        <v>17</v>
      </c>
      <c r="M256">
        <v>5.9</v>
      </c>
      <c r="N256">
        <v>97</v>
      </c>
      <c r="O256">
        <v>72</v>
      </c>
      <c r="P256">
        <v>13.5</v>
      </c>
      <c r="Q256">
        <v>8.6</v>
      </c>
      <c r="R256">
        <v>6.7</v>
      </c>
      <c r="S256">
        <v>8.9</v>
      </c>
      <c r="T256">
        <v>98</v>
      </c>
      <c r="U256">
        <v>1977</v>
      </c>
      <c r="V256">
        <v>1489000</v>
      </c>
      <c r="W256">
        <v>40</v>
      </c>
      <c r="X256">
        <v>58.6</v>
      </c>
      <c r="Y256">
        <v>74.900000000000006</v>
      </c>
      <c r="Z256">
        <v>86.4</v>
      </c>
      <c r="AA256">
        <v>40</v>
      </c>
      <c r="AB256">
        <v>91.8</v>
      </c>
      <c r="AC256">
        <v>69.7</v>
      </c>
      <c r="AD256">
        <v>100</v>
      </c>
      <c r="AE256">
        <v>100</v>
      </c>
      <c r="AF256" t="s">
        <v>47</v>
      </c>
    </row>
    <row r="257" spans="1:32">
      <c r="A257" t="s">
        <v>1167</v>
      </c>
      <c r="B257">
        <v>1.4</v>
      </c>
      <c r="C257">
        <v>7</v>
      </c>
      <c r="D257">
        <v>4</v>
      </c>
      <c r="E257">
        <v>7.5</v>
      </c>
      <c r="F257">
        <v>9.6999999999999993</v>
      </c>
      <c r="G257">
        <v>5.2</v>
      </c>
      <c r="H257">
        <v>60.2</v>
      </c>
      <c r="I257">
        <v>48.1</v>
      </c>
      <c r="J257">
        <v>0</v>
      </c>
      <c r="K257">
        <v>41</v>
      </c>
      <c r="L257">
        <v>26.8</v>
      </c>
      <c r="M257">
        <v>6.4</v>
      </c>
      <c r="N257">
        <v>95</v>
      </c>
      <c r="O257">
        <v>98</v>
      </c>
      <c r="P257">
        <v>16.600000000000001</v>
      </c>
      <c r="Q257">
        <v>11</v>
      </c>
      <c r="R257">
        <v>8.6999999999999993</v>
      </c>
      <c r="S257">
        <v>20.3</v>
      </c>
      <c r="T257">
        <v>77</v>
      </c>
      <c r="U257">
        <v>1759</v>
      </c>
      <c r="V257">
        <v>934000</v>
      </c>
      <c r="W257">
        <v>42</v>
      </c>
      <c r="X257">
        <v>50.5</v>
      </c>
      <c r="Y257">
        <v>64.3</v>
      </c>
      <c r="Z257">
        <v>68.8</v>
      </c>
      <c r="AA257">
        <v>42</v>
      </c>
      <c r="AB257">
        <v>94</v>
      </c>
      <c r="AC257">
        <v>61.1</v>
      </c>
      <c r="AD257">
        <v>100</v>
      </c>
      <c r="AE257">
        <v>100</v>
      </c>
      <c r="AF257" t="s">
        <v>47</v>
      </c>
    </row>
    <row r="258" spans="1:32">
      <c r="A258" t="s">
        <v>1169</v>
      </c>
      <c r="B258">
        <v>2</v>
      </c>
      <c r="C258">
        <v>5</v>
      </c>
      <c r="D258">
        <v>1</v>
      </c>
      <c r="E258">
        <v>11</v>
      </c>
      <c r="F258">
        <v>14.2</v>
      </c>
      <c r="G258">
        <v>6.2</v>
      </c>
      <c r="H258">
        <v>48.9</v>
      </c>
      <c r="I258">
        <v>67.599999999999994</v>
      </c>
      <c r="J258">
        <v>0</v>
      </c>
      <c r="K258">
        <v>44</v>
      </c>
      <c r="L258">
        <v>28.5</v>
      </c>
      <c r="M258">
        <v>3.8</v>
      </c>
      <c r="N258">
        <v>110</v>
      </c>
      <c r="O258">
        <v>95</v>
      </c>
      <c r="P258">
        <v>11.7</v>
      </c>
      <c r="Q258">
        <v>10.4</v>
      </c>
      <c r="R258">
        <v>3.1</v>
      </c>
      <c r="S258">
        <v>15.9</v>
      </c>
      <c r="T258">
        <v>90</v>
      </c>
      <c r="U258">
        <v>1868</v>
      </c>
      <c r="V258">
        <v>1426000</v>
      </c>
      <c r="W258">
        <v>54</v>
      </c>
      <c r="X258">
        <v>54</v>
      </c>
      <c r="Y258">
        <v>77.599999999999994</v>
      </c>
      <c r="Z258">
        <v>61.5</v>
      </c>
      <c r="AA258">
        <v>54</v>
      </c>
      <c r="AB258">
        <v>92.9</v>
      </c>
      <c r="AC258">
        <v>65.3</v>
      </c>
      <c r="AD258">
        <v>100</v>
      </c>
      <c r="AE258">
        <v>100</v>
      </c>
      <c r="AF258" t="s">
        <v>47</v>
      </c>
    </row>
    <row r="259" spans="1:32">
      <c r="A259" t="s">
        <v>1171</v>
      </c>
      <c r="B259">
        <v>0.5</v>
      </c>
      <c r="C259">
        <v>5</v>
      </c>
      <c r="D259">
        <v>0</v>
      </c>
      <c r="E259">
        <v>10.9</v>
      </c>
      <c r="F259">
        <v>11.6</v>
      </c>
      <c r="G259">
        <v>8</v>
      </c>
      <c r="H259">
        <v>78.7</v>
      </c>
      <c r="I259">
        <v>51.3</v>
      </c>
      <c r="J259">
        <v>0</v>
      </c>
      <c r="K259">
        <v>48</v>
      </c>
      <c r="L259">
        <v>33.1</v>
      </c>
      <c r="M259">
        <v>7.1</v>
      </c>
      <c r="N259">
        <v>96</v>
      </c>
      <c r="O259">
        <v>78</v>
      </c>
      <c r="P259">
        <v>18.7</v>
      </c>
      <c r="Q259">
        <v>10.7</v>
      </c>
      <c r="R259">
        <v>7.5</v>
      </c>
      <c r="S259">
        <v>15.8</v>
      </c>
      <c r="T259">
        <v>88</v>
      </c>
      <c r="U259">
        <v>2790</v>
      </c>
      <c r="V259">
        <v>3529000</v>
      </c>
      <c r="W259">
        <v>62</v>
      </c>
      <c r="X259">
        <v>54.7</v>
      </c>
      <c r="Y259">
        <v>64.7</v>
      </c>
      <c r="Z259">
        <v>67.7</v>
      </c>
      <c r="AA259">
        <v>62</v>
      </c>
      <c r="AB259">
        <v>84</v>
      </c>
      <c r="AC259">
        <v>63.4</v>
      </c>
      <c r="AD259">
        <v>100</v>
      </c>
      <c r="AE259">
        <v>100</v>
      </c>
      <c r="AF259" t="s">
        <v>47</v>
      </c>
    </row>
    <row r="260" spans="1:32">
      <c r="A260" t="s">
        <v>1173</v>
      </c>
      <c r="B260">
        <v>1.1000000000000001</v>
      </c>
      <c r="C260">
        <v>4</v>
      </c>
      <c r="D260">
        <v>3</v>
      </c>
      <c r="E260">
        <v>10</v>
      </c>
      <c r="F260">
        <v>16.100000000000001</v>
      </c>
      <c r="G260">
        <v>5.7</v>
      </c>
      <c r="H260">
        <v>63.6</v>
      </c>
      <c r="I260">
        <v>38.6</v>
      </c>
      <c r="J260">
        <v>0</v>
      </c>
      <c r="K260">
        <v>37</v>
      </c>
      <c r="L260">
        <v>39.200000000000003</v>
      </c>
      <c r="M260">
        <v>6</v>
      </c>
      <c r="N260">
        <v>83</v>
      </c>
      <c r="O260">
        <v>80</v>
      </c>
      <c r="P260">
        <v>27.4</v>
      </c>
      <c r="Q260">
        <v>15</v>
      </c>
      <c r="R260">
        <v>11.3</v>
      </c>
      <c r="S260">
        <v>19.899999999999999</v>
      </c>
      <c r="T260">
        <v>67</v>
      </c>
      <c r="U260">
        <v>1781</v>
      </c>
      <c r="V260">
        <v>741000</v>
      </c>
      <c r="W260">
        <v>60</v>
      </c>
      <c r="X260">
        <v>52</v>
      </c>
      <c r="Y260">
        <v>54.5</v>
      </c>
      <c r="Z260">
        <v>54.2</v>
      </c>
      <c r="AA260">
        <v>60</v>
      </c>
      <c r="AB260">
        <v>93.7</v>
      </c>
      <c r="AC260">
        <v>58</v>
      </c>
      <c r="AD260">
        <v>100</v>
      </c>
      <c r="AE260">
        <v>100</v>
      </c>
      <c r="AF260" t="s">
        <v>47</v>
      </c>
    </row>
    <row r="261" spans="1:32">
      <c r="A261" t="s">
        <v>1175</v>
      </c>
      <c r="B261">
        <v>1.8</v>
      </c>
      <c r="C261">
        <v>6</v>
      </c>
      <c r="D261">
        <v>2</v>
      </c>
      <c r="E261">
        <v>12.5</v>
      </c>
      <c r="F261">
        <v>17.600000000000001</v>
      </c>
      <c r="G261">
        <v>6.3</v>
      </c>
      <c r="H261">
        <v>51.1</v>
      </c>
      <c r="I261">
        <v>68.3</v>
      </c>
      <c r="J261">
        <v>0</v>
      </c>
      <c r="K261">
        <v>43</v>
      </c>
      <c r="L261">
        <v>33</v>
      </c>
      <c r="M261">
        <v>8.8000000000000007</v>
      </c>
      <c r="N261">
        <v>91</v>
      </c>
      <c r="O261">
        <v>103</v>
      </c>
      <c r="P261">
        <v>22.9</v>
      </c>
      <c r="Q261">
        <v>10</v>
      </c>
      <c r="R261">
        <v>8.9</v>
      </c>
      <c r="S261">
        <v>14.9</v>
      </c>
      <c r="T261">
        <v>90</v>
      </c>
      <c r="U261">
        <v>2224</v>
      </c>
      <c r="V261">
        <v>1758000</v>
      </c>
      <c r="W261">
        <v>55</v>
      </c>
      <c r="X261">
        <v>56</v>
      </c>
      <c r="Y261">
        <v>67.400000000000006</v>
      </c>
      <c r="Z261">
        <v>54.4</v>
      </c>
      <c r="AA261">
        <v>55</v>
      </c>
      <c r="AB261">
        <v>89.5</v>
      </c>
      <c r="AC261">
        <v>61.8</v>
      </c>
      <c r="AD261">
        <v>100</v>
      </c>
      <c r="AE261">
        <v>100</v>
      </c>
      <c r="AF261" t="s">
        <v>47</v>
      </c>
    </row>
    <row r="262" spans="1:32">
      <c r="A262" t="s">
        <v>1177</v>
      </c>
      <c r="B262">
        <v>6.2</v>
      </c>
      <c r="C262">
        <v>13</v>
      </c>
      <c r="D262">
        <v>8</v>
      </c>
      <c r="E262">
        <v>16.899999999999999</v>
      </c>
      <c r="F262">
        <v>4.0999999999999996</v>
      </c>
      <c r="G262">
        <v>7.6</v>
      </c>
      <c r="H262">
        <v>62.7</v>
      </c>
      <c r="I262">
        <v>77.099999999999994</v>
      </c>
      <c r="J262">
        <v>0</v>
      </c>
      <c r="K262">
        <v>70</v>
      </c>
      <c r="L262">
        <v>17.7</v>
      </c>
      <c r="M262">
        <v>4.8</v>
      </c>
      <c r="N262">
        <v>70</v>
      </c>
      <c r="O262">
        <v>89</v>
      </c>
      <c r="P262">
        <v>12.3</v>
      </c>
      <c r="Q262">
        <v>8.5</v>
      </c>
      <c r="R262">
        <v>6.3</v>
      </c>
      <c r="S262">
        <v>11.3</v>
      </c>
      <c r="T262">
        <v>94</v>
      </c>
      <c r="U262">
        <v>2333</v>
      </c>
      <c r="V262">
        <v>3837000</v>
      </c>
      <c r="W262">
        <v>70</v>
      </c>
      <c r="X262">
        <v>72.7</v>
      </c>
      <c r="Y262">
        <v>79.3</v>
      </c>
      <c r="Z262">
        <v>88.3</v>
      </c>
      <c r="AA262">
        <v>70</v>
      </c>
      <c r="AB262">
        <v>88.4</v>
      </c>
      <c r="AC262">
        <v>78.8</v>
      </c>
      <c r="AD262">
        <v>100</v>
      </c>
      <c r="AE262">
        <v>100</v>
      </c>
      <c r="AF262" t="s">
        <v>47</v>
      </c>
    </row>
    <row r="263" spans="1:32">
      <c r="A263" t="s">
        <v>1179</v>
      </c>
      <c r="B263">
        <v>3.7</v>
      </c>
      <c r="C263">
        <v>13</v>
      </c>
      <c r="D263">
        <v>5</v>
      </c>
      <c r="E263">
        <v>11.2</v>
      </c>
      <c r="G263">
        <v>5.7</v>
      </c>
      <c r="H263">
        <v>53.6</v>
      </c>
      <c r="I263">
        <v>61.5</v>
      </c>
      <c r="J263">
        <v>0</v>
      </c>
      <c r="K263">
        <v>57</v>
      </c>
      <c r="L263">
        <v>17.3</v>
      </c>
      <c r="M263">
        <v>6.8</v>
      </c>
      <c r="N263">
        <v>88</v>
      </c>
      <c r="O263">
        <v>94</v>
      </c>
      <c r="P263">
        <v>22.2</v>
      </c>
      <c r="Q263">
        <v>11.8</v>
      </c>
      <c r="R263">
        <v>11.7</v>
      </c>
      <c r="S263">
        <v>15.5</v>
      </c>
      <c r="T263">
        <v>84</v>
      </c>
      <c r="U263">
        <v>1983</v>
      </c>
      <c r="V263">
        <v>926000</v>
      </c>
      <c r="W263">
        <v>57</v>
      </c>
      <c r="X263">
        <v>61.4</v>
      </c>
      <c r="Y263">
        <v>64.900000000000006</v>
      </c>
      <c r="Z263">
        <v>71.900000000000006</v>
      </c>
      <c r="AA263">
        <v>57</v>
      </c>
      <c r="AB263">
        <v>91.8</v>
      </c>
      <c r="AC263">
        <v>67</v>
      </c>
      <c r="AD263">
        <v>100</v>
      </c>
      <c r="AE263">
        <v>95.2</v>
      </c>
      <c r="AF263" t="s">
        <v>47</v>
      </c>
    </row>
    <row r="264" spans="1:32">
      <c r="A264" t="s">
        <v>1181</v>
      </c>
      <c r="B264">
        <v>1</v>
      </c>
      <c r="C264">
        <v>5</v>
      </c>
      <c r="D264">
        <v>0</v>
      </c>
      <c r="F264">
        <v>11.5</v>
      </c>
      <c r="G264">
        <v>4.3</v>
      </c>
      <c r="H264">
        <v>60.5</v>
      </c>
      <c r="I264">
        <v>52.3</v>
      </c>
      <c r="J264">
        <v>0</v>
      </c>
      <c r="K264">
        <v>32</v>
      </c>
      <c r="L264">
        <v>22.1</v>
      </c>
      <c r="M264">
        <v>8.4</v>
      </c>
      <c r="O264">
        <v>79</v>
      </c>
      <c r="P264">
        <v>18.100000000000001</v>
      </c>
      <c r="Q264">
        <v>13</v>
      </c>
      <c r="R264">
        <v>11.5</v>
      </c>
      <c r="S264">
        <v>13.3</v>
      </c>
      <c r="T264">
        <v>77</v>
      </c>
      <c r="U264">
        <v>1725</v>
      </c>
      <c r="V264">
        <v>1601000</v>
      </c>
      <c r="W264">
        <v>43</v>
      </c>
      <c r="X264">
        <v>76.5</v>
      </c>
      <c r="Y264">
        <v>61.7</v>
      </c>
      <c r="Z264">
        <v>69.7</v>
      </c>
      <c r="AA264">
        <v>43</v>
      </c>
      <c r="AB264">
        <v>94.3</v>
      </c>
      <c r="AC264">
        <v>69.8</v>
      </c>
      <c r="AD264">
        <v>100</v>
      </c>
      <c r="AE264">
        <v>90.5</v>
      </c>
      <c r="AF264" t="s">
        <v>47</v>
      </c>
    </row>
    <row r="265" spans="1:32">
      <c r="A265" t="s">
        <v>1183</v>
      </c>
      <c r="B265">
        <v>0.9</v>
      </c>
      <c r="C265">
        <v>4</v>
      </c>
      <c r="D265">
        <v>3</v>
      </c>
      <c r="E265">
        <v>8.6</v>
      </c>
      <c r="F265">
        <v>17</v>
      </c>
      <c r="G265">
        <v>5.2</v>
      </c>
      <c r="I265">
        <v>36.9</v>
      </c>
      <c r="J265">
        <v>0</v>
      </c>
      <c r="K265">
        <v>24</v>
      </c>
      <c r="L265">
        <v>28.6</v>
      </c>
      <c r="M265">
        <v>7.3</v>
      </c>
      <c r="N265">
        <v>96</v>
      </c>
      <c r="P265">
        <v>28.6</v>
      </c>
      <c r="Q265">
        <v>12.7</v>
      </c>
      <c r="R265">
        <v>14.4</v>
      </c>
      <c r="S265">
        <v>10.199999999999999</v>
      </c>
      <c r="T265">
        <v>78</v>
      </c>
      <c r="U265">
        <v>1798</v>
      </c>
      <c r="V265">
        <v>2178000</v>
      </c>
      <c r="W265">
        <v>52</v>
      </c>
      <c r="X265">
        <v>49.6</v>
      </c>
      <c r="Y265">
        <v>52</v>
      </c>
      <c r="Z265">
        <v>59.2</v>
      </c>
      <c r="AA265">
        <v>52</v>
      </c>
      <c r="AB265">
        <v>93.6</v>
      </c>
      <c r="AC265">
        <v>56.8</v>
      </c>
      <c r="AD265">
        <v>100</v>
      </c>
      <c r="AE265">
        <v>90.5</v>
      </c>
      <c r="AF265" t="s">
        <v>47</v>
      </c>
    </row>
    <row r="266" spans="1:32">
      <c r="A266" t="s">
        <v>1185</v>
      </c>
      <c r="B266">
        <v>1.9</v>
      </c>
      <c r="C266">
        <v>5</v>
      </c>
      <c r="D266">
        <v>4</v>
      </c>
      <c r="E266">
        <v>3.9</v>
      </c>
      <c r="F266">
        <v>11.8</v>
      </c>
      <c r="H266">
        <v>63.3</v>
      </c>
      <c r="I266">
        <v>51.8</v>
      </c>
      <c r="J266">
        <v>0</v>
      </c>
      <c r="K266">
        <v>30</v>
      </c>
      <c r="L266">
        <v>20.6</v>
      </c>
      <c r="M266">
        <v>7.2</v>
      </c>
      <c r="N266">
        <v>117</v>
      </c>
      <c r="O266">
        <v>93</v>
      </c>
      <c r="P266">
        <v>23.3</v>
      </c>
      <c r="T266">
        <v>86</v>
      </c>
      <c r="U266">
        <v>2083</v>
      </c>
      <c r="V266">
        <v>1343000</v>
      </c>
      <c r="W266">
        <v>41</v>
      </c>
      <c r="X266">
        <v>45.3</v>
      </c>
      <c r="Y266">
        <v>56.9</v>
      </c>
      <c r="Z266">
        <v>65</v>
      </c>
      <c r="AA266">
        <v>41</v>
      </c>
      <c r="AB266">
        <v>90.8</v>
      </c>
      <c r="AC266">
        <v>56.3</v>
      </c>
      <c r="AD266">
        <v>100</v>
      </c>
      <c r="AE266">
        <v>81</v>
      </c>
      <c r="AF266" t="s">
        <v>1971</v>
      </c>
    </row>
    <row r="267" spans="1:32">
      <c r="A267" t="s">
        <v>1187</v>
      </c>
      <c r="B267">
        <v>2.5</v>
      </c>
      <c r="C267">
        <v>5</v>
      </c>
      <c r="D267">
        <v>5</v>
      </c>
      <c r="E267">
        <v>12.1</v>
      </c>
      <c r="F267">
        <v>17.399999999999999</v>
      </c>
      <c r="G267">
        <v>3</v>
      </c>
      <c r="H267">
        <v>50.8</v>
      </c>
      <c r="I267">
        <v>36.5</v>
      </c>
      <c r="J267">
        <v>0</v>
      </c>
      <c r="K267">
        <v>34</v>
      </c>
      <c r="L267">
        <v>36.4</v>
      </c>
      <c r="M267">
        <v>9.3000000000000007</v>
      </c>
      <c r="N267">
        <v>108</v>
      </c>
      <c r="O267">
        <v>121</v>
      </c>
      <c r="P267">
        <v>23.4</v>
      </c>
      <c r="Q267">
        <v>11.7</v>
      </c>
      <c r="R267">
        <v>14.2</v>
      </c>
      <c r="S267">
        <v>28.2</v>
      </c>
      <c r="T267">
        <v>76</v>
      </c>
      <c r="U267">
        <v>1544</v>
      </c>
      <c r="V267">
        <v>1032000</v>
      </c>
      <c r="W267">
        <v>56</v>
      </c>
      <c r="X267">
        <v>50.7</v>
      </c>
      <c r="Y267">
        <v>52.8</v>
      </c>
      <c r="Z267">
        <v>45.1</v>
      </c>
      <c r="AA267">
        <v>56</v>
      </c>
      <c r="AB267">
        <v>96</v>
      </c>
      <c r="AC267">
        <v>55.2</v>
      </c>
      <c r="AD267">
        <v>100</v>
      </c>
      <c r="AE267">
        <v>100</v>
      </c>
      <c r="AF267" t="s">
        <v>47</v>
      </c>
    </row>
    <row r="268" spans="1:32">
      <c r="A268" t="s">
        <v>1189</v>
      </c>
      <c r="B268">
        <v>1.6</v>
      </c>
      <c r="C268">
        <v>6</v>
      </c>
      <c r="D268">
        <v>0</v>
      </c>
      <c r="E268">
        <v>10.199999999999999</v>
      </c>
      <c r="F268">
        <v>9</v>
      </c>
      <c r="G268">
        <v>5.7</v>
      </c>
      <c r="I268">
        <v>67</v>
      </c>
      <c r="J268">
        <v>0</v>
      </c>
      <c r="K268">
        <v>38</v>
      </c>
      <c r="L268">
        <v>31.6</v>
      </c>
      <c r="M268">
        <v>7.1</v>
      </c>
      <c r="N268">
        <v>109</v>
      </c>
      <c r="P268">
        <v>16</v>
      </c>
      <c r="Q268">
        <v>13.4</v>
      </c>
      <c r="R268">
        <v>11.8</v>
      </c>
      <c r="S268">
        <v>16.3</v>
      </c>
      <c r="T268">
        <v>84</v>
      </c>
      <c r="U268">
        <v>1910</v>
      </c>
      <c r="V268">
        <v>1412000</v>
      </c>
      <c r="W268">
        <v>56</v>
      </c>
      <c r="X268">
        <v>49.5</v>
      </c>
      <c r="Y268">
        <v>68.3</v>
      </c>
      <c r="Z268">
        <v>73.3</v>
      </c>
      <c r="AA268">
        <v>56</v>
      </c>
      <c r="AB268">
        <v>92.5</v>
      </c>
      <c r="AC268">
        <v>63.9</v>
      </c>
      <c r="AD268">
        <v>100</v>
      </c>
      <c r="AE268">
        <v>90.5</v>
      </c>
      <c r="AF268" t="s">
        <v>47</v>
      </c>
    </row>
    <row r="269" spans="1:32">
      <c r="A269" t="s">
        <v>1191</v>
      </c>
      <c r="B269">
        <v>2.2000000000000002</v>
      </c>
      <c r="C269">
        <v>11</v>
      </c>
      <c r="D269">
        <v>3</v>
      </c>
      <c r="E269">
        <v>13</v>
      </c>
      <c r="F269">
        <v>16.399999999999999</v>
      </c>
      <c r="G269">
        <v>5.5</v>
      </c>
      <c r="H269">
        <v>62.7</v>
      </c>
      <c r="I269">
        <v>67.7</v>
      </c>
      <c r="J269">
        <v>0</v>
      </c>
      <c r="K269">
        <v>45</v>
      </c>
      <c r="L269">
        <v>31</v>
      </c>
      <c r="M269">
        <v>4.0999999999999996</v>
      </c>
      <c r="N269">
        <v>129</v>
      </c>
      <c r="O269">
        <v>92</v>
      </c>
      <c r="P269">
        <v>26</v>
      </c>
      <c r="Q269">
        <v>13.2</v>
      </c>
      <c r="R269">
        <v>9.6999999999999993</v>
      </c>
      <c r="S269">
        <v>18.5</v>
      </c>
      <c r="T269">
        <v>95</v>
      </c>
      <c r="U269">
        <v>2084</v>
      </c>
      <c r="V269">
        <v>1586000</v>
      </c>
      <c r="W269">
        <v>41</v>
      </c>
      <c r="X269">
        <v>54.3</v>
      </c>
      <c r="Y269">
        <v>68.099999999999994</v>
      </c>
      <c r="Z269">
        <v>54.5</v>
      </c>
      <c r="AA269">
        <v>41</v>
      </c>
      <c r="AB269">
        <v>90.8</v>
      </c>
      <c r="AC269">
        <v>60.1</v>
      </c>
      <c r="AD269">
        <v>100</v>
      </c>
      <c r="AE269">
        <v>100</v>
      </c>
      <c r="AF269" t="s">
        <v>47</v>
      </c>
    </row>
    <row r="270" spans="1:32">
      <c r="A270" t="s">
        <v>1192</v>
      </c>
      <c r="B270">
        <v>2.7</v>
      </c>
      <c r="C270">
        <v>5</v>
      </c>
      <c r="D270">
        <v>4</v>
      </c>
      <c r="F270">
        <v>13.9</v>
      </c>
      <c r="G270">
        <v>4.7</v>
      </c>
      <c r="H270">
        <v>51.2</v>
      </c>
      <c r="I270">
        <v>61.4</v>
      </c>
      <c r="J270">
        <v>0</v>
      </c>
      <c r="K270">
        <v>34</v>
      </c>
      <c r="L270">
        <v>36.200000000000003</v>
      </c>
      <c r="M270">
        <v>5.9</v>
      </c>
      <c r="O270">
        <v>97</v>
      </c>
      <c r="P270">
        <v>16.8</v>
      </c>
      <c r="Q270">
        <v>11.1</v>
      </c>
      <c r="R270">
        <v>8.1999999999999993</v>
      </c>
      <c r="S270">
        <v>21.2</v>
      </c>
      <c r="T270">
        <v>91</v>
      </c>
      <c r="U270">
        <v>1531</v>
      </c>
      <c r="V270">
        <v>868000</v>
      </c>
      <c r="W270">
        <v>59</v>
      </c>
      <c r="X270">
        <v>58.4</v>
      </c>
      <c r="Y270">
        <v>69.400000000000006</v>
      </c>
      <c r="Z270">
        <v>58.4</v>
      </c>
      <c r="AA270">
        <v>59</v>
      </c>
      <c r="AB270">
        <v>96.2</v>
      </c>
      <c r="AC270">
        <v>65</v>
      </c>
      <c r="AD270">
        <v>100</v>
      </c>
      <c r="AE270">
        <v>90.5</v>
      </c>
      <c r="AF270" t="s">
        <v>47</v>
      </c>
    </row>
    <row r="271" spans="1:32">
      <c r="A271" t="s">
        <v>1194</v>
      </c>
      <c r="B271">
        <v>0.5</v>
      </c>
      <c r="C271">
        <v>1</v>
      </c>
      <c r="D271">
        <v>0</v>
      </c>
      <c r="E271">
        <v>15.4</v>
      </c>
      <c r="F271">
        <v>7</v>
      </c>
      <c r="G271">
        <v>6.1</v>
      </c>
      <c r="H271">
        <v>81.900000000000006</v>
      </c>
      <c r="I271">
        <v>48.9</v>
      </c>
      <c r="J271">
        <v>0</v>
      </c>
      <c r="K271">
        <v>52</v>
      </c>
      <c r="L271">
        <v>26</v>
      </c>
      <c r="M271">
        <v>9.8000000000000007</v>
      </c>
      <c r="N271">
        <v>86</v>
      </c>
      <c r="O271">
        <v>82</v>
      </c>
      <c r="P271">
        <v>20</v>
      </c>
      <c r="Q271">
        <v>16.600000000000001</v>
      </c>
      <c r="R271">
        <v>8.9</v>
      </c>
      <c r="S271">
        <v>17.2</v>
      </c>
      <c r="T271">
        <v>83</v>
      </c>
      <c r="U271">
        <v>2590</v>
      </c>
      <c r="V271">
        <v>3090000</v>
      </c>
      <c r="W271">
        <v>67</v>
      </c>
      <c r="X271">
        <v>65.599999999999994</v>
      </c>
      <c r="Y271">
        <v>58.4</v>
      </c>
      <c r="Z271">
        <v>77.3</v>
      </c>
      <c r="AA271">
        <v>67</v>
      </c>
      <c r="AB271">
        <v>85.9</v>
      </c>
      <c r="AC271">
        <v>68.3</v>
      </c>
      <c r="AD271">
        <v>100</v>
      </c>
      <c r="AE271">
        <v>100</v>
      </c>
      <c r="AF271" t="s">
        <v>47</v>
      </c>
    </row>
    <row r="272" spans="1:32">
      <c r="A272" t="s">
        <v>1196</v>
      </c>
      <c r="B272">
        <v>2.7</v>
      </c>
      <c r="C272">
        <v>8</v>
      </c>
      <c r="D272">
        <v>5</v>
      </c>
      <c r="E272">
        <v>10</v>
      </c>
      <c r="F272">
        <v>9.5</v>
      </c>
      <c r="G272">
        <v>4.9000000000000004</v>
      </c>
      <c r="H272">
        <v>42</v>
      </c>
      <c r="I272">
        <v>57.7</v>
      </c>
      <c r="J272">
        <v>0</v>
      </c>
      <c r="K272">
        <v>44</v>
      </c>
      <c r="L272">
        <v>28.4</v>
      </c>
      <c r="M272">
        <v>6.9</v>
      </c>
      <c r="N272">
        <v>103</v>
      </c>
      <c r="O272">
        <v>94</v>
      </c>
      <c r="P272">
        <v>23.2</v>
      </c>
      <c r="Q272">
        <v>8.9</v>
      </c>
      <c r="R272">
        <v>13.7</v>
      </c>
      <c r="S272">
        <v>20.9</v>
      </c>
      <c r="T272">
        <v>87</v>
      </c>
      <c r="U272">
        <v>1619</v>
      </c>
      <c r="V272">
        <v>1565000</v>
      </c>
      <c r="W272">
        <v>63</v>
      </c>
      <c r="X272">
        <v>53.3</v>
      </c>
      <c r="Y272">
        <v>63.4</v>
      </c>
      <c r="Z272">
        <v>68.8</v>
      </c>
      <c r="AA272">
        <v>63</v>
      </c>
      <c r="AB272">
        <v>95.3</v>
      </c>
      <c r="AC272">
        <v>64.099999999999994</v>
      </c>
      <c r="AD272">
        <v>100</v>
      </c>
      <c r="AE272">
        <v>100</v>
      </c>
      <c r="AF272" t="s">
        <v>47</v>
      </c>
    </row>
    <row r="273" spans="1:32">
      <c r="A273" t="s">
        <v>1198</v>
      </c>
      <c r="B273">
        <v>4.0999999999999996</v>
      </c>
      <c r="C273">
        <v>11</v>
      </c>
      <c r="D273">
        <v>4</v>
      </c>
      <c r="E273">
        <v>9.1999999999999993</v>
      </c>
      <c r="F273">
        <v>20</v>
      </c>
      <c r="G273">
        <v>4.7</v>
      </c>
      <c r="H273">
        <v>64.900000000000006</v>
      </c>
      <c r="I273">
        <v>61.2</v>
      </c>
      <c r="J273">
        <v>0</v>
      </c>
      <c r="K273">
        <v>42</v>
      </c>
      <c r="L273">
        <v>36.4</v>
      </c>
      <c r="M273">
        <v>7.9</v>
      </c>
      <c r="N273">
        <v>96</v>
      </c>
      <c r="O273">
        <v>88</v>
      </c>
      <c r="P273">
        <v>20.9</v>
      </c>
      <c r="Q273">
        <v>17.600000000000001</v>
      </c>
      <c r="R273">
        <v>7.8</v>
      </c>
      <c r="S273">
        <v>14.2</v>
      </c>
      <c r="T273">
        <v>91</v>
      </c>
      <c r="U273">
        <v>1826</v>
      </c>
      <c r="V273">
        <v>2126000</v>
      </c>
      <c r="W273">
        <v>40</v>
      </c>
      <c r="X273">
        <v>49.9</v>
      </c>
      <c r="Y273">
        <v>63.9</v>
      </c>
      <c r="Z273">
        <v>49.3</v>
      </c>
      <c r="AA273">
        <v>40</v>
      </c>
      <c r="AB273">
        <v>93.3</v>
      </c>
      <c r="AC273">
        <v>56.6</v>
      </c>
      <c r="AD273">
        <v>100</v>
      </c>
      <c r="AE273">
        <v>100</v>
      </c>
      <c r="AF273" t="s">
        <v>47</v>
      </c>
    </row>
    <row r="274" spans="1:32">
      <c r="A274" t="s">
        <v>1199</v>
      </c>
      <c r="B274">
        <v>6.9</v>
      </c>
      <c r="C274">
        <v>21</v>
      </c>
      <c r="D274">
        <v>5</v>
      </c>
      <c r="E274">
        <v>12.9</v>
      </c>
      <c r="F274">
        <v>19.8</v>
      </c>
      <c r="G274">
        <v>4.3</v>
      </c>
      <c r="I274">
        <v>71</v>
      </c>
      <c r="J274">
        <v>0</v>
      </c>
      <c r="K274">
        <v>41</v>
      </c>
      <c r="L274">
        <v>30.3</v>
      </c>
      <c r="M274">
        <v>3.2</v>
      </c>
      <c r="N274">
        <v>89</v>
      </c>
      <c r="P274">
        <v>19</v>
      </c>
      <c r="Q274">
        <v>12.6</v>
      </c>
      <c r="R274">
        <v>11.9</v>
      </c>
      <c r="S274">
        <v>20.5</v>
      </c>
      <c r="T274">
        <v>88</v>
      </c>
      <c r="U274">
        <v>1720</v>
      </c>
      <c r="V274">
        <v>771000</v>
      </c>
      <c r="W274">
        <v>36</v>
      </c>
      <c r="X274">
        <v>57.8</v>
      </c>
      <c r="Y274">
        <v>71.8</v>
      </c>
      <c r="Z274">
        <v>45.2</v>
      </c>
      <c r="AA274">
        <v>36</v>
      </c>
      <c r="AB274">
        <v>94.3</v>
      </c>
      <c r="AC274">
        <v>60.2</v>
      </c>
      <c r="AD274">
        <v>100</v>
      </c>
      <c r="AE274">
        <v>90.5</v>
      </c>
      <c r="AF274" t="s">
        <v>47</v>
      </c>
    </row>
    <row r="275" spans="1:32">
      <c r="A275" t="s">
        <v>1201</v>
      </c>
      <c r="B275">
        <v>4.3</v>
      </c>
      <c r="C275">
        <v>11</v>
      </c>
      <c r="D275">
        <v>5</v>
      </c>
      <c r="E275">
        <v>11.4</v>
      </c>
      <c r="F275">
        <v>9</v>
      </c>
      <c r="G275">
        <v>5.4</v>
      </c>
      <c r="H275">
        <v>57.2</v>
      </c>
      <c r="I275">
        <v>77.400000000000006</v>
      </c>
      <c r="J275">
        <v>0</v>
      </c>
      <c r="K275">
        <v>54</v>
      </c>
      <c r="L275">
        <v>12.7</v>
      </c>
      <c r="M275">
        <v>7.1</v>
      </c>
      <c r="N275">
        <v>94</v>
      </c>
      <c r="O275">
        <v>83</v>
      </c>
      <c r="P275">
        <v>13.1</v>
      </c>
      <c r="Q275">
        <v>11.1</v>
      </c>
      <c r="R275">
        <v>6.9</v>
      </c>
      <c r="S275">
        <v>17.899999999999999</v>
      </c>
      <c r="T275">
        <v>99</v>
      </c>
      <c r="U275">
        <v>1809</v>
      </c>
      <c r="V275">
        <v>1724000</v>
      </c>
      <c r="W275">
        <v>41</v>
      </c>
      <c r="X275">
        <v>63.8</v>
      </c>
      <c r="Y275">
        <v>76.099999999999994</v>
      </c>
      <c r="Z275">
        <v>72.2</v>
      </c>
      <c r="AA275">
        <v>41</v>
      </c>
      <c r="AB275">
        <v>93.5</v>
      </c>
      <c r="AC275">
        <v>69.2</v>
      </c>
      <c r="AD275">
        <v>100</v>
      </c>
      <c r="AE275">
        <v>100</v>
      </c>
      <c r="AF275" t="s">
        <v>47</v>
      </c>
    </row>
    <row r="276" spans="1:32">
      <c r="A276" t="s">
        <v>1203</v>
      </c>
      <c r="B276">
        <v>1.9</v>
      </c>
      <c r="C276">
        <v>4</v>
      </c>
      <c r="D276">
        <v>2</v>
      </c>
      <c r="E276">
        <v>14.1</v>
      </c>
      <c r="F276">
        <v>4.7</v>
      </c>
      <c r="G276">
        <v>5.8</v>
      </c>
      <c r="H276">
        <v>66.5</v>
      </c>
      <c r="I276">
        <v>54.4</v>
      </c>
      <c r="J276">
        <v>0</v>
      </c>
      <c r="K276">
        <v>53</v>
      </c>
      <c r="L276">
        <v>29.7</v>
      </c>
      <c r="M276">
        <v>6.4</v>
      </c>
      <c r="N276">
        <v>90</v>
      </c>
      <c r="O276">
        <v>73</v>
      </c>
      <c r="P276">
        <v>17.100000000000001</v>
      </c>
      <c r="Q276">
        <v>12.7</v>
      </c>
      <c r="R276">
        <v>9.3000000000000007</v>
      </c>
      <c r="S276">
        <v>15.8</v>
      </c>
      <c r="T276">
        <v>83</v>
      </c>
      <c r="U276">
        <v>2171</v>
      </c>
      <c r="V276">
        <v>2320000</v>
      </c>
      <c r="W276">
        <v>52</v>
      </c>
      <c r="X276">
        <v>62.3</v>
      </c>
      <c r="Y276">
        <v>65.400000000000006</v>
      </c>
      <c r="Z276">
        <v>83.7</v>
      </c>
      <c r="AA276">
        <v>52</v>
      </c>
      <c r="AB276">
        <v>90</v>
      </c>
      <c r="AC276">
        <v>69.099999999999994</v>
      </c>
      <c r="AD276">
        <v>100</v>
      </c>
      <c r="AE276">
        <v>100</v>
      </c>
      <c r="AF276" t="s">
        <v>47</v>
      </c>
    </row>
    <row r="277" spans="1:32">
      <c r="A277" t="s">
        <v>1205</v>
      </c>
      <c r="B277">
        <v>0.5</v>
      </c>
      <c r="C277">
        <v>3</v>
      </c>
      <c r="D277">
        <v>1</v>
      </c>
      <c r="E277">
        <v>11.6</v>
      </c>
      <c r="F277">
        <v>12.3</v>
      </c>
      <c r="G277">
        <v>4.8</v>
      </c>
      <c r="H277">
        <v>58.1</v>
      </c>
      <c r="I277">
        <v>56</v>
      </c>
      <c r="J277">
        <v>0</v>
      </c>
      <c r="K277">
        <v>40</v>
      </c>
      <c r="L277">
        <v>27.2</v>
      </c>
      <c r="M277">
        <v>7.5</v>
      </c>
      <c r="N277">
        <v>88</v>
      </c>
      <c r="O277">
        <v>92</v>
      </c>
      <c r="P277">
        <v>19.3</v>
      </c>
      <c r="Q277">
        <v>10.199999999999999</v>
      </c>
      <c r="R277">
        <v>9.1</v>
      </c>
      <c r="S277">
        <v>18</v>
      </c>
      <c r="T277">
        <v>89</v>
      </c>
      <c r="U277">
        <v>1915</v>
      </c>
      <c r="V277">
        <v>1351000</v>
      </c>
      <c r="W277">
        <v>51</v>
      </c>
      <c r="X277">
        <v>58.1</v>
      </c>
      <c r="Y277">
        <v>65.3</v>
      </c>
      <c r="Z277">
        <v>64.400000000000006</v>
      </c>
      <c r="AA277">
        <v>51</v>
      </c>
      <c r="AB277">
        <v>92.4</v>
      </c>
      <c r="AC277">
        <v>63.9</v>
      </c>
      <c r="AD277">
        <v>100</v>
      </c>
      <c r="AE277">
        <v>100</v>
      </c>
      <c r="AF277" t="s">
        <v>47</v>
      </c>
    </row>
    <row r="278" spans="1:32">
      <c r="A278" t="s">
        <v>1208</v>
      </c>
      <c r="B278">
        <v>4</v>
      </c>
      <c r="C278">
        <v>10</v>
      </c>
      <c r="D278">
        <v>4</v>
      </c>
      <c r="E278">
        <v>8.3000000000000007</v>
      </c>
      <c r="F278">
        <v>13.5</v>
      </c>
      <c r="G278">
        <v>5</v>
      </c>
      <c r="H278">
        <v>78.099999999999994</v>
      </c>
      <c r="I278">
        <v>77.900000000000006</v>
      </c>
      <c r="J278">
        <v>0</v>
      </c>
      <c r="K278">
        <v>50</v>
      </c>
      <c r="L278">
        <v>29.6</v>
      </c>
      <c r="M278">
        <v>4.5999999999999996</v>
      </c>
      <c r="N278">
        <v>105</v>
      </c>
      <c r="O278">
        <v>107</v>
      </c>
      <c r="P278">
        <v>11.9</v>
      </c>
      <c r="Q278">
        <v>9.4</v>
      </c>
      <c r="R278">
        <v>6.1</v>
      </c>
      <c r="S278">
        <v>20.399999999999999</v>
      </c>
      <c r="T278">
        <v>91</v>
      </c>
      <c r="U278">
        <v>2389</v>
      </c>
      <c r="V278">
        <v>3497000</v>
      </c>
      <c r="W278">
        <v>69</v>
      </c>
      <c r="X278">
        <v>48.8</v>
      </c>
      <c r="Y278">
        <v>79.599999999999994</v>
      </c>
      <c r="Z278">
        <v>59.9</v>
      </c>
      <c r="AA278">
        <v>69</v>
      </c>
      <c r="AB278">
        <v>87.9</v>
      </c>
      <c r="AC278">
        <v>64.7</v>
      </c>
      <c r="AD278">
        <v>100</v>
      </c>
      <c r="AE278">
        <v>100</v>
      </c>
      <c r="AF278" t="s">
        <v>47</v>
      </c>
    </row>
    <row r="279" spans="1:32">
      <c r="A279" t="s">
        <v>1211</v>
      </c>
      <c r="B279">
        <v>2.6</v>
      </c>
      <c r="C279">
        <v>7</v>
      </c>
      <c r="D279">
        <v>4</v>
      </c>
      <c r="E279">
        <v>9.1999999999999993</v>
      </c>
      <c r="F279">
        <v>1.8</v>
      </c>
      <c r="G279">
        <v>5.8</v>
      </c>
      <c r="H279">
        <v>64</v>
      </c>
      <c r="I279">
        <v>65.099999999999994</v>
      </c>
      <c r="J279">
        <v>0</v>
      </c>
      <c r="K279">
        <v>54</v>
      </c>
      <c r="L279">
        <v>24.9</v>
      </c>
      <c r="M279">
        <v>5.7</v>
      </c>
      <c r="N279">
        <v>92</v>
      </c>
      <c r="O279">
        <v>92</v>
      </c>
      <c r="P279">
        <v>17.2</v>
      </c>
      <c r="Q279">
        <v>13.8</v>
      </c>
      <c r="R279">
        <v>6.4</v>
      </c>
      <c r="S279">
        <v>13.6</v>
      </c>
      <c r="T279">
        <v>89</v>
      </c>
      <c r="U279">
        <v>2621</v>
      </c>
      <c r="V279">
        <v>2703000</v>
      </c>
      <c r="W279">
        <v>71</v>
      </c>
      <c r="X279">
        <v>54.8</v>
      </c>
      <c r="Y279">
        <v>70.400000000000006</v>
      </c>
      <c r="Z279">
        <v>91.5</v>
      </c>
      <c r="AA279">
        <v>71</v>
      </c>
      <c r="AB279">
        <v>85.6</v>
      </c>
      <c r="AC279">
        <v>70.8</v>
      </c>
      <c r="AD279">
        <v>100</v>
      </c>
      <c r="AE279">
        <v>100</v>
      </c>
      <c r="AF279" t="s">
        <v>47</v>
      </c>
    </row>
    <row r="280" spans="1:32">
      <c r="A280" t="s">
        <v>1213</v>
      </c>
      <c r="B280">
        <v>4.5999999999999996</v>
      </c>
      <c r="C280">
        <v>13</v>
      </c>
      <c r="D280">
        <v>9</v>
      </c>
      <c r="E280">
        <v>14.9</v>
      </c>
      <c r="F280">
        <v>16.399999999999999</v>
      </c>
      <c r="G280">
        <v>4.5</v>
      </c>
      <c r="H280">
        <v>52.6</v>
      </c>
      <c r="I280">
        <v>65.400000000000006</v>
      </c>
      <c r="J280">
        <v>0</v>
      </c>
      <c r="K280">
        <v>48</v>
      </c>
      <c r="L280">
        <v>39.4</v>
      </c>
      <c r="M280">
        <v>5.5</v>
      </c>
      <c r="N280">
        <v>66</v>
      </c>
      <c r="O280">
        <v>87</v>
      </c>
      <c r="P280">
        <v>21.1</v>
      </c>
      <c r="Q280">
        <v>15.7</v>
      </c>
      <c r="R280">
        <v>7.4</v>
      </c>
      <c r="S280">
        <v>20.7</v>
      </c>
      <c r="T280">
        <v>97</v>
      </c>
      <c r="U280">
        <v>2077</v>
      </c>
      <c r="V280">
        <v>1852000</v>
      </c>
      <c r="W280">
        <v>48</v>
      </c>
      <c r="X280">
        <v>61</v>
      </c>
      <c r="Y280">
        <v>68.099999999999994</v>
      </c>
      <c r="Z280">
        <v>52.9</v>
      </c>
      <c r="AA280">
        <v>48</v>
      </c>
      <c r="AB280">
        <v>90.9</v>
      </c>
      <c r="AC280">
        <v>62.9</v>
      </c>
      <c r="AD280">
        <v>100</v>
      </c>
      <c r="AE280">
        <v>100</v>
      </c>
      <c r="AF280" t="s">
        <v>47</v>
      </c>
    </row>
    <row r="281" spans="1:32">
      <c r="A281" t="s">
        <v>1215</v>
      </c>
      <c r="B281">
        <v>0.7</v>
      </c>
      <c r="C281">
        <v>5</v>
      </c>
      <c r="D281">
        <v>0</v>
      </c>
      <c r="E281">
        <v>14</v>
      </c>
      <c r="F281">
        <v>1</v>
      </c>
      <c r="G281">
        <v>3.7</v>
      </c>
      <c r="H281">
        <v>68.400000000000006</v>
      </c>
      <c r="I281">
        <v>46.4</v>
      </c>
      <c r="J281">
        <v>2</v>
      </c>
      <c r="K281">
        <v>40</v>
      </c>
      <c r="L281">
        <v>31.5</v>
      </c>
      <c r="M281">
        <v>9.8000000000000007</v>
      </c>
      <c r="N281">
        <v>84</v>
      </c>
      <c r="O281">
        <v>98</v>
      </c>
      <c r="P281">
        <v>20.7</v>
      </c>
      <c r="Q281">
        <v>15.8</v>
      </c>
      <c r="R281">
        <v>9</v>
      </c>
      <c r="S281">
        <v>18.5</v>
      </c>
      <c r="T281">
        <v>92</v>
      </c>
      <c r="U281">
        <v>2542</v>
      </c>
      <c r="V281">
        <v>2078000</v>
      </c>
      <c r="W281">
        <v>74</v>
      </c>
      <c r="X281">
        <v>60.1</v>
      </c>
      <c r="Y281">
        <v>57.6</v>
      </c>
      <c r="Z281">
        <v>88</v>
      </c>
      <c r="AA281">
        <v>74</v>
      </c>
      <c r="AB281">
        <v>86.4</v>
      </c>
      <c r="AC281">
        <v>69.099999999999994</v>
      </c>
      <c r="AD281">
        <v>100</v>
      </c>
      <c r="AE281">
        <v>100</v>
      </c>
      <c r="AF281" t="s">
        <v>47</v>
      </c>
    </row>
    <row r="282" spans="1:32">
      <c r="A282" t="s">
        <v>1218</v>
      </c>
      <c r="B282">
        <v>1.1000000000000001</v>
      </c>
      <c r="C282">
        <v>5</v>
      </c>
      <c r="D282">
        <v>3</v>
      </c>
      <c r="E282">
        <v>13.3</v>
      </c>
      <c r="F282">
        <v>8.1</v>
      </c>
      <c r="G282">
        <v>4.8</v>
      </c>
      <c r="H282">
        <v>63.1</v>
      </c>
      <c r="I282">
        <v>62.1</v>
      </c>
      <c r="J282">
        <v>0</v>
      </c>
      <c r="K282">
        <v>48</v>
      </c>
      <c r="L282">
        <v>22.6</v>
      </c>
      <c r="M282">
        <v>5.8</v>
      </c>
      <c r="N282">
        <v>110</v>
      </c>
      <c r="O282">
        <v>84</v>
      </c>
      <c r="P282">
        <v>10.4</v>
      </c>
      <c r="Q282">
        <v>15.8</v>
      </c>
      <c r="R282">
        <v>9.4</v>
      </c>
      <c r="S282">
        <v>19.899999999999999</v>
      </c>
      <c r="T282">
        <v>86</v>
      </c>
      <c r="U282">
        <v>1711</v>
      </c>
      <c r="V282">
        <v>138000</v>
      </c>
      <c r="W282">
        <v>52</v>
      </c>
      <c r="X282">
        <v>61</v>
      </c>
      <c r="Y282">
        <v>69.8</v>
      </c>
      <c r="Z282">
        <v>72.8</v>
      </c>
      <c r="AA282">
        <v>52</v>
      </c>
      <c r="AB282">
        <v>94.4</v>
      </c>
      <c r="AC282">
        <v>68</v>
      </c>
      <c r="AD282">
        <v>100</v>
      </c>
      <c r="AE282">
        <v>100</v>
      </c>
      <c r="AF282" t="s">
        <v>47</v>
      </c>
    </row>
    <row r="283" spans="1:32">
      <c r="A283" t="s">
        <v>1220</v>
      </c>
      <c r="B283">
        <v>2.6</v>
      </c>
      <c r="C283">
        <v>3</v>
      </c>
      <c r="D283">
        <v>5</v>
      </c>
      <c r="E283">
        <v>13.4</v>
      </c>
      <c r="F283">
        <v>15.7</v>
      </c>
      <c r="G283">
        <v>6.1</v>
      </c>
      <c r="H283">
        <v>42.5</v>
      </c>
      <c r="I283">
        <v>56.1</v>
      </c>
      <c r="J283">
        <v>0</v>
      </c>
      <c r="K283">
        <v>43</v>
      </c>
      <c r="L283">
        <v>23.4</v>
      </c>
      <c r="M283">
        <v>6.4</v>
      </c>
      <c r="N283">
        <v>93</v>
      </c>
      <c r="O283">
        <v>95</v>
      </c>
      <c r="P283">
        <v>15.4</v>
      </c>
      <c r="Q283">
        <v>13.1</v>
      </c>
      <c r="R283">
        <v>10.8</v>
      </c>
      <c r="S283">
        <v>19</v>
      </c>
      <c r="T283">
        <v>88</v>
      </c>
      <c r="U283">
        <v>1845</v>
      </c>
      <c r="V283">
        <v>841000</v>
      </c>
      <c r="W283">
        <v>55</v>
      </c>
      <c r="X283">
        <v>61.8</v>
      </c>
      <c r="Y283">
        <v>65.8</v>
      </c>
      <c r="Z283">
        <v>55.8</v>
      </c>
      <c r="AA283">
        <v>55</v>
      </c>
      <c r="AB283">
        <v>93.1</v>
      </c>
      <c r="AC283">
        <v>64</v>
      </c>
      <c r="AD283">
        <v>100</v>
      </c>
      <c r="AE283">
        <v>100</v>
      </c>
      <c r="AF283" t="s">
        <v>47</v>
      </c>
    </row>
    <row r="284" spans="1:32">
      <c r="A284" t="s">
        <v>1222</v>
      </c>
      <c r="B284">
        <v>6.4</v>
      </c>
      <c r="C284">
        <v>22</v>
      </c>
      <c r="D284">
        <v>9</v>
      </c>
      <c r="E284">
        <v>14.7</v>
      </c>
      <c r="F284">
        <v>16.899999999999999</v>
      </c>
      <c r="G284">
        <v>6.4</v>
      </c>
      <c r="H284">
        <v>63.4</v>
      </c>
      <c r="I284">
        <v>63.4</v>
      </c>
      <c r="J284">
        <v>0</v>
      </c>
      <c r="K284">
        <v>56</v>
      </c>
      <c r="L284">
        <v>33.200000000000003</v>
      </c>
      <c r="M284">
        <v>5.3</v>
      </c>
      <c r="N284">
        <v>88</v>
      </c>
      <c r="O284">
        <v>101</v>
      </c>
      <c r="P284">
        <v>18.899999999999999</v>
      </c>
      <c r="Q284">
        <v>12</v>
      </c>
      <c r="R284">
        <v>8.5</v>
      </c>
      <c r="S284">
        <v>19</v>
      </c>
      <c r="T284">
        <v>84</v>
      </c>
      <c r="U284">
        <v>1623</v>
      </c>
      <c r="V284">
        <v>1964000</v>
      </c>
      <c r="W284">
        <v>43</v>
      </c>
      <c r="X284">
        <v>59.9</v>
      </c>
      <c r="Y284">
        <v>69.3</v>
      </c>
      <c r="Z284">
        <v>53</v>
      </c>
      <c r="AA284">
        <v>43</v>
      </c>
      <c r="AB284">
        <v>95.3</v>
      </c>
      <c r="AC284">
        <v>62.7</v>
      </c>
      <c r="AD284">
        <v>100</v>
      </c>
      <c r="AE284">
        <v>100</v>
      </c>
      <c r="AF284" t="s">
        <v>47</v>
      </c>
    </row>
    <row r="285" spans="1:32">
      <c r="A285" t="s">
        <v>1224</v>
      </c>
      <c r="B285">
        <v>2</v>
      </c>
      <c r="C285">
        <v>5</v>
      </c>
      <c r="D285">
        <v>2</v>
      </c>
      <c r="E285">
        <v>4.2</v>
      </c>
      <c r="F285">
        <v>14.3</v>
      </c>
      <c r="G285">
        <v>6.7</v>
      </c>
      <c r="H285">
        <v>45</v>
      </c>
      <c r="I285">
        <v>43.5</v>
      </c>
      <c r="J285">
        <v>0</v>
      </c>
      <c r="K285">
        <v>35</v>
      </c>
      <c r="L285">
        <v>42.1</v>
      </c>
      <c r="M285">
        <v>10.6</v>
      </c>
      <c r="N285">
        <v>115</v>
      </c>
      <c r="O285">
        <v>71</v>
      </c>
      <c r="P285">
        <v>28.5</v>
      </c>
      <c r="Q285">
        <v>5.2</v>
      </c>
      <c r="R285">
        <v>5</v>
      </c>
      <c r="S285">
        <v>18.5</v>
      </c>
      <c r="T285">
        <v>61</v>
      </c>
      <c r="U285">
        <v>1657</v>
      </c>
      <c r="V285">
        <v>1398000</v>
      </c>
      <c r="W285">
        <v>41</v>
      </c>
      <c r="X285">
        <v>38.700000000000003</v>
      </c>
      <c r="Y285">
        <v>58.8</v>
      </c>
      <c r="Z285">
        <v>59.4</v>
      </c>
      <c r="AA285">
        <v>41</v>
      </c>
      <c r="AB285">
        <v>94.9</v>
      </c>
      <c r="AC285">
        <v>53.7</v>
      </c>
      <c r="AD285">
        <v>100</v>
      </c>
      <c r="AE285">
        <v>100</v>
      </c>
      <c r="AF285" t="s">
        <v>47</v>
      </c>
    </row>
    <row r="286" spans="1:32">
      <c r="A286" t="s">
        <v>1226</v>
      </c>
      <c r="B286">
        <v>1.9</v>
      </c>
      <c r="C286">
        <v>3</v>
      </c>
      <c r="D286">
        <v>1</v>
      </c>
      <c r="E286">
        <v>6.9</v>
      </c>
      <c r="F286">
        <v>17.600000000000001</v>
      </c>
      <c r="H286">
        <v>52.3</v>
      </c>
      <c r="I286">
        <v>62.9</v>
      </c>
      <c r="J286">
        <v>0</v>
      </c>
      <c r="K286">
        <v>28</v>
      </c>
      <c r="L286">
        <v>34.200000000000003</v>
      </c>
      <c r="M286">
        <v>5.0999999999999996</v>
      </c>
      <c r="N286">
        <v>116</v>
      </c>
      <c r="O286">
        <v>99</v>
      </c>
      <c r="P286">
        <v>21.1</v>
      </c>
      <c r="T286">
        <v>93</v>
      </c>
      <c r="U286">
        <v>1944</v>
      </c>
      <c r="V286">
        <v>1192000</v>
      </c>
      <c r="W286">
        <v>29</v>
      </c>
      <c r="X286">
        <v>44.1</v>
      </c>
      <c r="Y286">
        <v>65.900000000000006</v>
      </c>
      <c r="Z286">
        <v>44.3</v>
      </c>
      <c r="AA286">
        <v>29</v>
      </c>
      <c r="AB286">
        <v>92.2</v>
      </c>
      <c r="AC286">
        <v>52.9</v>
      </c>
      <c r="AD286">
        <v>100</v>
      </c>
      <c r="AE286">
        <v>81</v>
      </c>
      <c r="AF286" t="s">
        <v>1971</v>
      </c>
    </row>
    <row r="287" spans="1:32">
      <c r="A287" t="s">
        <v>1228</v>
      </c>
      <c r="B287">
        <v>3.8</v>
      </c>
      <c r="C287">
        <v>16</v>
      </c>
      <c r="D287">
        <v>5</v>
      </c>
      <c r="E287">
        <v>9.9</v>
      </c>
      <c r="F287">
        <v>12.2</v>
      </c>
      <c r="G287">
        <v>8.3000000000000007</v>
      </c>
      <c r="H287">
        <v>68.2</v>
      </c>
      <c r="I287">
        <v>34.299999999999997</v>
      </c>
      <c r="J287">
        <v>0</v>
      </c>
      <c r="K287">
        <v>49</v>
      </c>
      <c r="L287">
        <v>26</v>
      </c>
      <c r="M287">
        <v>9.6</v>
      </c>
      <c r="N287">
        <v>102</v>
      </c>
      <c r="O287">
        <v>82</v>
      </c>
      <c r="P287">
        <v>28.7</v>
      </c>
      <c r="Q287">
        <v>6.9</v>
      </c>
      <c r="R287">
        <v>8</v>
      </c>
      <c r="S287">
        <v>11.1</v>
      </c>
      <c r="T287">
        <v>69</v>
      </c>
      <c r="U287">
        <v>1846</v>
      </c>
      <c r="V287">
        <v>2142000</v>
      </c>
      <c r="W287">
        <v>47</v>
      </c>
      <c r="X287">
        <v>55.1</v>
      </c>
      <c r="Y287">
        <v>54.3</v>
      </c>
      <c r="Z287">
        <v>69.7</v>
      </c>
      <c r="AA287">
        <v>47</v>
      </c>
      <c r="AB287">
        <v>93.1</v>
      </c>
      <c r="AC287">
        <v>60.8</v>
      </c>
      <c r="AD287">
        <v>100</v>
      </c>
      <c r="AE287">
        <v>100</v>
      </c>
      <c r="AF287" t="s">
        <v>47</v>
      </c>
    </row>
    <row r="288" spans="1:32">
      <c r="A288" t="s">
        <v>1230</v>
      </c>
      <c r="B288">
        <v>1.3</v>
      </c>
      <c r="D288">
        <v>1</v>
      </c>
      <c r="E288">
        <v>8.6999999999999993</v>
      </c>
      <c r="F288">
        <v>13.1</v>
      </c>
      <c r="G288">
        <v>6.7</v>
      </c>
      <c r="H288">
        <v>57</v>
      </c>
      <c r="I288">
        <v>63.8</v>
      </c>
      <c r="J288">
        <v>0</v>
      </c>
      <c r="K288">
        <v>43</v>
      </c>
      <c r="L288">
        <v>39.200000000000003</v>
      </c>
      <c r="M288">
        <v>8.5</v>
      </c>
      <c r="N288">
        <v>113</v>
      </c>
      <c r="O288">
        <v>92</v>
      </c>
      <c r="P288">
        <v>16.600000000000001</v>
      </c>
      <c r="Q288">
        <v>4.8</v>
      </c>
      <c r="R288">
        <v>4.9000000000000004</v>
      </c>
      <c r="S288">
        <v>15.8</v>
      </c>
      <c r="T288">
        <v>85</v>
      </c>
      <c r="U288">
        <v>1772</v>
      </c>
      <c r="V288">
        <v>1359000</v>
      </c>
      <c r="W288">
        <v>64</v>
      </c>
      <c r="X288">
        <v>45.8</v>
      </c>
      <c r="Y288">
        <v>72.2</v>
      </c>
      <c r="Z288">
        <v>64.2</v>
      </c>
      <c r="AA288">
        <v>64</v>
      </c>
      <c r="AB288">
        <v>93.8</v>
      </c>
      <c r="AC288">
        <v>62.7</v>
      </c>
      <c r="AD288">
        <v>100</v>
      </c>
      <c r="AE288">
        <v>95.2</v>
      </c>
      <c r="AF288" t="s">
        <v>47</v>
      </c>
    </row>
    <row r="289" spans="1:32">
      <c r="A289" t="s">
        <v>1232</v>
      </c>
      <c r="B289">
        <v>0.5</v>
      </c>
      <c r="C289">
        <v>2</v>
      </c>
      <c r="D289">
        <v>0</v>
      </c>
      <c r="E289">
        <v>1.8</v>
      </c>
      <c r="F289">
        <v>11.1</v>
      </c>
      <c r="G289">
        <v>7.3</v>
      </c>
      <c r="H289">
        <v>81</v>
      </c>
      <c r="I289">
        <v>42.6</v>
      </c>
      <c r="J289">
        <v>0</v>
      </c>
      <c r="K289">
        <v>39</v>
      </c>
      <c r="L289">
        <v>39.6</v>
      </c>
      <c r="M289">
        <v>7</v>
      </c>
      <c r="N289">
        <v>108</v>
      </c>
      <c r="O289">
        <v>82</v>
      </c>
      <c r="P289">
        <v>25.6</v>
      </c>
      <c r="Q289">
        <v>13.6</v>
      </c>
      <c r="R289">
        <v>8.5</v>
      </c>
      <c r="S289">
        <v>8</v>
      </c>
      <c r="T289">
        <v>86</v>
      </c>
      <c r="U289">
        <v>2254</v>
      </c>
      <c r="V289">
        <v>3633000</v>
      </c>
      <c r="W289">
        <v>58</v>
      </c>
      <c r="X289">
        <v>35.799999999999997</v>
      </c>
      <c r="Y289">
        <v>57.6</v>
      </c>
      <c r="Z289">
        <v>74.5</v>
      </c>
      <c r="AA289">
        <v>58</v>
      </c>
      <c r="AB289">
        <v>89.2</v>
      </c>
      <c r="AC289">
        <v>56.6</v>
      </c>
      <c r="AD289">
        <v>100</v>
      </c>
      <c r="AE289">
        <v>100</v>
      </c>
      <c r="AF289" t="s">
        <v>47</v>
      </c>
    </row>
    <row r="290" spans="1:32">
      <c r="A290" t="s">
        <v>1234</v>
      </c>
      <c r="B290">
        <v>1.2</v>
      </c>
      <c r="C290">
        <v>5</v>
      </c>
      <c r="D290">
        <v>2</v>
      </c>
      <c r="E290">
        <v>12.5</v>
      </c>
      <c r="F290">
        <v>14.5</v>
      </c>
      <c r="G290">
        <v>6.5</v>
      </c>
      <c r="H290">
        <v>63.3</v>
      </c>
      <c r="I290">
        <v>62.9</v>
      </c>
      <c r="J290">
        <v>0</v>
      </c>
      <c r="K290">
        <v>45</v>
      </c>
      <c r="L290">
        <v>20.100000000000001</v>
      </c>
      <c r="M290">
        <v>6.8</v>
      </c>
      <c r="N290">
        <v>105</v>
      </c>
      <c r="O290">
        <v>91</v>
      </c>
      <c r="P290">
        <v>13.4</v>
      </c>
      <c r="Q290">
        <v>13.9</v>
      </c>
      <c r="R290">
        <v>7.8</v>
      </c>
      <c r="S290">
        <v>13.4</v>
      </c>
      <c r="T290">
        <v>86</v>
      </c>
      <c r="U290">
        <v>2368</v>
      </c>
      <c r="V290">
        <v>2172000</v>
      </c>
      <c r="W290">
        <v>57</v>
      </c>
      <c r="X290">
        <v>60.7</v>
      </c>
      <c r="Y290">
        <v>69.599999999999994</v>
      </c>
      <c r="Z290">
        <v>62.7</v>
      </c>
      <c r="AA290">
        <v>57</v>
      </c>
      <c r="AB290">
        <v>88.1</v>
      </c>
      <c r="AC290">
        <v>65.7</v>
      </c>
      <c r="AD290">
        <v>100</v>
      </c>
      <c r="AE290">
        <v>100</v>
      </c>
      <c r="AF290" t="s">
        <v>47</v>
      </c>
    </row>
    <row r="291" spans="1:32">
      <c r="A291" t="s">
        <v>1236</v>
      </c>
      <c r="B291">
        <v>2.9</v>
      </c>
      <c r="C291">
        <v>6</v>
      </c>
      <c r="D291">
        <v>3</v>
      </c>
      <c r="E291">
        <v>12.6</v>
      </c>
      <c r="F291">
        <v>17.899999999999999</v>
      </c>
      <c r="H291">
        <v>71.3</v>
      </c>
      <c r="I291">
        <v>70.099999999999994</v>
      </c>
      <c r="J291">
        <v>0</v>
      </c>
      <c r="K291">
        <v>39</v>
      </c>
      <c r="L291">
        <v>14.7</v>
      </c>
      <c r="M291">
        <v>5.0999999999999996</v>
      </c>
      <c r="N291">
        <v>99</v>
      </c>
      <c r="O291">
        <v>85</v>
      </c>
      <c r="P291">
        <v>15</v>
      </c>
      <c r="T291">
        <v>89</v>
      </c>
      <c r="U291">
        <v>1579</v>
      </c>
      <c r="V291">
        <v>1222000</v>
      </c>
      <c r="W291">
        <v>51</v>
      </c>
      <c r="X291">
        <v>64.2</v>
      </c>
      <c r="Y291">
        <v>72.8</v>
      </c>
      <c r="Z291">
        <v>43.2</v>
      </c>
      <c r="AA291">
        <v>51</v>
      </c>
      <c r="AB291">
        <v>95.7</v>
      </c>
      <c r="AC291">
        <v>64</v>
      </c>
      <c r="AD291">
        <v>100</v>
      </c>
      <c r="AE291">
        <v>81</v>
      </c>
      <c r="AF291" t="s">
        <v>1971</v>
      </c>
    </row>
    <row r="292" spans="1:32">
      <c r="A292" t="s">
        <v>1238</v>
      </c>
      <c r="B292">
        <v>3.6</v>
      </c>
      <c r="C292">
        <v>10</v>
      </c>
      <c r="D292">
        <v>5</v>
      </c>
      <c r="E292">
        <v>13.3</v>
      </c>
      <c r="F292">
        <v>13.6</v>
      </c>
      <c r="G292">
        <v>7.2</v>
      </c>
      <c r="H292">
        <v>77.099999999999994</v>
      </c>
      <c r="I292">
        <v>65.2</v>
      </c>
      <c r="J292">
        <v>0</v>
      </c>
      <c r="K292">
        <v>55</v>
      </c>
      <c r="L292">
        <v>37.299999999999997</v>
      </c>
      <c r="M292">
        <v>7.6</v>
      </c>
      <c r="N292">
        <v>86</v>
      </c>
      <c r="O292">
        <v>80</v>
      </c>
      <c r="P292">
        <v>18.2</v>
      </c>
      <c r="Q292">
        <v>7.2</v>
      </c>
      <c r="R292">
        <v>10.4</v>
      </c>
      <c r="S292">
        <v>12.8</v>
      </c>
      <c r="T292">
        <v>89</v>
      </c>
      <c r="U292">
        <v>2791</v>
      </c>
      <c r="V292">
        <v>3296000</v>
      </c>
      <c r="W292">
        <v>66</v>
      </c>
      <c r="X292">
        <v>57.7</v>
      </c>
      <c r="Y292">
        <v>69.5</v>
      </c>
      <c r="Z292">
        <v>65.2</v>
      </c>
      <c r="AA292">
        <v>66</v>
      </c>
      <c r="AB292">
        <v>84</v>
      </c>
      <c r="AC292">
        <v>65.599999999999994</v>
      </c>
      <c r="AD292">
        <v>100</v>
      </c>
      <c r="AE292">
        <v>100</v>
      </c>
      <c r="AF292" t="s">
        <v>47</v>
      </c>
    </row>
    <row r="293" spans="1:32">
      <c r="A293" t="s">
        <v>1239</v>
      </c>
      <c r="B293">
        <v>3</v>
      </c>
      <c r="C293">
        <v>7</v>
      </c>
      <c r="D293">
        <v>6</v>
      </c>
      <c r="E293">
        <v>11.1</v>
      </c>
      <c r="G293">
        <v>6.5</v>
      </c>
      <c r="H293">
        <v>63.2</v>
      </c>
      <c r="I293">
        <v>14.2</v>
      </c>
      <c r="J293">
        <v>0</v>
      </c>
      <c r="K293">
        <v>51</v>
      </c>
      <c r="L293">
        <v>26.4</v>
      </c>
      <c r="M293">
        <v>12.2</v>
      </c>
      <c r="N293">
        <v>99</v>
      </c>
      <c r="O293">
        <v>77</v>
      </c>
      <c r="P293">
        <v>25.8</v>
      </c>
      <c r="Q293">
        <v>9.8000000000000007</v>
      </c>
      <c r="R293">
        <v>17.8</v>
      </c>
      <c r="S293">
        <v>17.8</v>
      </c>
      <c r="T293">
        <v>74</v>
      </c>
      <c r="U293">
        <v>1552</v>
      </c>
      <c r="V293">
        <v>1382000</v>
      </c>
      <c r="W293">
        <v>58</v>
      </c>
      <c r="X293">
        <v>57.6</v>
      </c>
      <c r="Y293">
        <v>41</v>
      </c>
      <c r="Z293">
        <v>67.099999999999994</v>
      </c>
      <c r="AA293">
        <v>58</v>
      </c>
      <c r="AB293">
        <v>96</v>
      </c>
      <c r="AC293">
        <v>59.2</v>
      </c>
      <c r="AD293">
        <v>100</v>
      </c>
      <c r="AE293">
        <v>95.2</v>
      </c>
      <c r="AF293" t="s">
        <v>47</v>
      </c>
    </row>
    <row r="294" spans="1:32">
      <c r="A294" t="s">
        <v>1241</v>
      </c>
      <c r="B294">
        <v>3.8</v>
      </c>
      <c r="C294">
        <v>9</v>
      </c>
      <c r="D294">
        <v>7</v>
      </c>
      <c r="E294">
        <v>11.3</v>
      </c>
      <c r="F294">
        <v>9.1999999999999993</v>
      </c>
      <c r="G294">
        <v>3.6</v>
      </c>
      <c r="H294">
        <v>50.7</v>
      </c>
      <c r="I294">
        <v>68.7</v>
      </c>
      <c r="J294">
        <v>0</v>
      </c>
      <c r="K294">
        <v>48</v>
      </c>
      <c r="L294">
        <v>30.1</v>
      </c>
      <c r="M294">
        <v>7.2</v>
      </c>
      <c r="N294">
        <v>101</v>
      </c>
      <c r="O294">
        <v>96</v>
      </c>
      <c r="P294">
        <v>14.6</v>
      </c>
      <c r="Q294">
        <v>13.1</v>
      </c>
      <c r="R294">
        <v>10.3</v>
      </c>
      <c r="S294">
        <v>22.1</v>
      </c>
      <c r="T294">
        <v>89</v>
      </c>
      <c r="U294">
        <v>1540</v>
      </c>
      <c r="V294">
        <v>1038000</v>
      </c>
      <c r="W294">
        <v>34</v>
      </c>
      <c r="X294">
        <v>54.7</v>
      </c>
      <c r="Y294">
        <v>70.099999999999994</v>
      </c>
      <c r="Z294">
        <v>68.599999999999994</v>
      </c>
      <c r="AA294">
        <v>34</v>
      </c>
      <c r="AB294">
        <v>96.1</v>
      </c>
      <c r="AC294">
        <v>63.4</v>
      </c>
      <c r="AD294">
        <v>100</v>
      </c>
      <c r="AE294">
        <v>100</v>
      </c>
      <c r="AF294" t="s">
        <v>47</v>
      </c>
    </row>
    <row r="295" spans="1:32">
      <c r="A295" t="s">
        <v>1243</v>
      </c>
      <c r="B295">
        <v>2.4</v>
      </c>
      <c r="C295">
        <v>7</v>
      </c>
      <c r="D295">
        <v>7</v>
      </c>
      <c r="E295">
        <v>13.9</v>
      </c>
      <c r="F295">
        <v>12.2</v>
      </c>
      <c r="G295">
        <v>5.7</v>
      </c>
      <c r="H295">
        <v>67.099999999999994</v>
      </c>
      <c r="I295">
        <v>61.6</v>
      </c>
      <c r="J295">
        <v>0</v>
      </c>
      <c r="K295">
        <v>50</v>
      </c>
      <c r="L295">
        <v>29.2</v>
      </c>
      <c r="M295">
        <v>5.5</v>
      </c>
      <c r="N295">
        <v>95</v>
      </c>
      <c r="O295">
        <v>85</v>
      </c>
      <c r="P295">
        <v>16.2</v>
      </c>
      <c r="Q295">
        <v>12.7</v>
      </c>
      <c r="R295">
        <v>10</v>
      </c>
      <c r="S295">
        <v>15.3</v>
      </c>
      <c r="T295">
        <v>89</v>
      </c>
      <c r="U295">
        <v>2576</v>
      </c>
      <c r="V295">
        <v>3502000</v>
      </c>
      <c r="W295">
        <v>74</v>
      </c>
      <c r="X295">
        <v>60.7</v>
      </c>
      <c r="Y295">
        <v>68.599999999999994</v>
      </c>
      <c r="Z295">
        <v>66.599999999999994</v>
      </c>
      <c r="AA295">
        <v>74</v>
      </c>
      <c r="AB295">
        <v>86.1</v>
      </c>
      <c r="AC295">
        <v>67.7</v>
      </c>
      <c r="AD295">
        <v>100</v>
      </c>
      <c r="AE295">
        <v>100</v>
      </c>
      <c r="AF295" t="s">
        <v>47</v>
      </c>
    </row>
    <row r="296" spans="1:32">
      <c r="A296" t="s">
        <v>1245</v>
      </c>
      <c r="B296">
        <v>4.4000000000000004</v>
      </c>
      <c r="C296">
        <v>9</v>
      </c>
      <c r="D296">
        <v>6</v>
      </c>
      <c r="E296">
        <v>8</v>
      </c>
      <c r="F296">
        <v>3.4</v>
      </c>
      <c r="G296">
        <v>8</v>
      </c>
      <c r="H296">
        <v>75.3</v>
      </c>
      <c r="I296">
        <v>68.599999999999994</v>
      </c>
      <c r="J296">
        <v>0</v>
      </c>
      <c r="K296">
        <v>61</v>
      </c>
      <c r="L296">
        <v>14.9</v>
      </c>
      <c r="M296">
        <v>5.4</v>
      </c>
      <c r="N296">
        <v>84</v>
      </c>
      <c r="O296">
        <v>26</v>
      </c>
      <c r="P296">
        <v>17.899999999999999</v>
      </c>
      <c r="Q296">
        <v>10.3</v>
      </c>
      <c r="R296">
        <v>6.7</v>
      </c>
      <c r="S296">
        <v>13.3</v>
      </c>
      <c r="T296">
        <v>78</v>
      </c>
      <c r="U296">
        <v>6223</v>
      </c>
      <c r="V296">
        <v>1865000</v>
      </c>
      <c r="W296">
        <v>50</v>
      </c>
      <c r="X296">
        <v>62.9</v>
      </c>
      <c r="Y296">
        <v>72.900000000000006</v>
      </c>
      <c r="Z296">
        <v>88.5</v>
      </c>
      <c r="AA296">
        <v>50</v>
      </c>
      <c r="AB296">
        <v>50.8</v>
      </c>
      <c r="AC296">
        <v>68</v>
      </c>
      <c r="AD296">
        <v>100</v>
      </c>
      <c r="AE296">
        <v>100</v>
      </c>
      <c r="AF296" t="s">
        <v>47</v>
      </c>
    </row>
    <row r="297" spans="1:32">
      <c r="A297" t="s">
        <v>1248</v>
      </c>
      <c r="B297">
        <v>4.0999999999999996</v>
      </c>
      <c r="C297">
        <v>10</v>
      </c>
      <c r="D297">
        <v>6</v>
      </c>
      <c r="E297">
        <v>12.6</v>
      </c>
      <c r="F297">
        <v>3.5</v>
      </c>
      <c r="G297">
        <v>6.1</v>
      </c>
      <c r="H297">
        <v>84.2</v>
      </c>
      <c r="I297">
        <v>75.8</v>
      </c>
      <c r="J297">
        <v>0</v>
      </c>
      <c r="K297">
        <v>64</v>
      </c>
      <c r="L297">
        <v>22</v>
      </c>
      <c r="M297">
        <v>3.6</v>
      </c>
      <c r="N297">
        <v>71</v>
      </c>
      <c r="O297">
        <v>38</v>
      </c>
      <c r="P297">
        <v>11.8</v>
      </c>
      <c r="Q297">
        <v>10.3</v>
      </c>
      <c r="R297">
        <v>8.6999999999999993</v>
      </c>
      <c r="S297">
        <v>17.7</v>
      </c>
      <c r="T297">
        <v>90</v>
      </c>
      <c r="U297">
        <v>8081</v>
      </c>
      <c r="V297">
        <v>2231000</v>
      </c>
      <c r="W297">
        <v>54</v>
      </c>
      <c r="X297">
        <v>67.7</v>
      </c>
      <c r="Y297">
        <v>78.2</v>
      </c>
      <c r="Z297">
        <v>85.1</v>
      </c>
      <c r="AA297">
        <v>54</v>
      </c>
      <c r="AB297">
        <v>32.799999999999997</v>
      </c>
      <c r="AC297">
        <v>68.900000000000006</v>
      </c>
      <c r="AD297">
        <v>100</v>
      </c>
      <c r="AE297">
        <v>100</v>
      </c>
      <c r="AF297" t="s">
        <v>47</v>
      </c>
    </row>
    <row r="298" spans="1:32">
      <c r="A298" t="s">
        <v>1251</v>
      </c>
      <c r="B298">
        <v>3.5</v>
      </c>
      <c r="C298">
        <v>9</v>
      </c>
      <c r="D298">
        <v>6</v>
      </c>
      <c r="E298">
        <v>13.3</v>
      </c>
      <c r="F298">
        <v>6.1</v>
      </c>
      <c r="G298">
        <v>7.6</v>
      </c>
      <c r="H298">
        <v>91</v>
      </c>
      <c r="I298">
        <v>60.2</v>
      </c>
      <c r="J298">
        <v>0</v>
      </c>
      <c r="K298">
        <v>62</v>
      </c>
      <c r="L298">
        <v>23.1</v>
      </c>
      <c r="M298">
        <v>6.1</v>
      </c>
      <c r="N298">
        <v>47</v>
      </c>
      <c r="O298">
        <v>21</v>
      </c>
      <c r="P298">
        <v>14.5</v>
      </c>
      <c r="Q298">
        <v>7.6</v>
      </c>
      <c r="R298">
        <v>5.2</v>
      </c>
      <c r="S298">
        <v>13.7</v>
      </c>
      <c r="T298">
        <v>90</v>
      </c>
      <c r="U298">
        <v>7398</v>
      </c>
      <c r="V298">
        <v>380000</v>
      </c>
      <c r="W298">
        <v>38</v>
      </c>
      <c r="X298">
        <v>72.3</v>
      </c>
      <c r="Y298">
        <v>72.400000000000006</v>
      </c>
      <c r="Z298">
        <v>82</v>
      </c>
      <c r="AA298">
        <v>38</v>
      </c>
      <c r="AB298">
        <v>39.4</v>
      </c>
      <c r="AC298">
        <v>67.5</v>
      </c>
      <c r="AD298">
        <v>100</v>
      </c>
      <c r="AE298">
        <v>100</v>
      </c>
      <c r="AF298" t="s">
        <v>47</v>
      </c>
    </row>
    <row r="299" spans="1:32">
      <c r="A299" t="s">
        <v>1254</v>
      </c>
      <c r="B299">
        <v>1</v>
      </c>
      <c r="C299">
        <v>5</v>
      </c>
      <c r="D299">
        <v>0</v>
      </c>
      <c r="E299">
        <v>5.5</v>
      </c>
      <c r="F299">
        <v>1</v>
      </c>
      <c r="G299">
        <v>5.4</v>
      </c>
      <c r="H299">
        <v>81.2</v>
      </c>
      <c r="I299">
        <v>53.2</v>
      </c>
      <c r="J299">
        <v>0</v>
      </c>
      <c r="K299">
        <v>49</v>
      </c>
      <c r="L299">
        <v>28.2</v>
      </c>
      <c r="M299">
        <v>7.8</v>
      </c>
      <c r="N299">
        <v>79</v>
      </c>
      <c r="O299">
        <v>31</v>
      </c>
      <c r="P299">
        <v>19.399999999999999</v>
      </c>
      <c r="Q299">
        <v>16.399999999999999</v>
      </c>
      <c r="R299">
        <v>6.8</v>
      </c>
      <c r="S299">
        <v>17.3</v>
      </c>
      <c r="T299">
        <v>85</v>
      </c>
      <c r="U299">
        <v>6538</v>
      </c>
      <c r="V299">
        <v>535000</v>
      </c>
      <c r="W299">
        <v>27</v>
      </c>
      <c r="X299">
        <v>53.5</v>
      </c>
      <c r="Y299">
        <v>62.7</v>
      </c>
      <c r="Z299">
        <v>88.8</v>
      </c>
      <c r="AA299">
        <v>27</v>
      </c>
      <c r="AB299">
        <v>47.7</v>
      </c>
      <c r="AC299">
        <v>59.6</v>
      </c>
      <c r="AD299">
        <v>100</v>
      </c>
      <c r="AE299">
        <v>100</v>
      </c>
      <c r="AF299" t="s">
        <v>47</v>
      </c>
    </row>
    <row r="300" spans="1:32">
      <c r="A300" t="s">
        <v>1256</v>
      </c>
      <c r="B300">
        <v>1.3</v>
      </c>
      <c r="C300">
        <v>4</v>
      </c>
      <c r="D300">
        <v>0</v>
      </c>
      <c r="E300">
        <v>9.6</v>
      </c>
      <c r="F300">
        <v>8.1</v>
      </c>
      <c r="G300">
        <v>7</v>
      </c>
      <c r="H300">
        <v>74.5</v>
      </c>
      <c r="I300">
        <v>43.7</v>
      </c>
      <c r="J300">
        <v>0</v>
      </c>
      <c r="K300">
        <v>47</v>
      </c>
      <c r="L300">
        <v>27.8</v>
      </c>
      <c r="M300">
        <v>9.3000000000000007</v>
      </c>
      <c r="N300">
        <v>68</v>
      </c>
      <c r="O300">
        <v>47</v>
      </c>
      <c r="P300">
        <v>21.9</v>
      </c>
      <c r="Q300">
        <v>13.7</v>
      </c>
      <c r="R300">
        <v>7.9</v>
      </c>
      <c r="S300">
        <v>12.4</v>
      </c>
      <c r="T300">
        <v>83</v>
      </c>
      <c r="U300">
        <v>7917</v>
      </c>
      <c r="V300">
        <v>1712000</v>
      </c>
      <c r="W300">
        <v>46</v>
      </c>
      <c r="X300">
        <v>60.2</v>
      </c>
      <c r="Y300">
        <v>57.8</v>
      </c>
      <c r="Z300">
        <v>78.3</v>
      </c>
      <c r="AA300">
        <v>46</v>
      </c>
      <c r="AB300">
        <v>34.4</v>
      </c>
      <c r="AC300">
        <v>59.2</v>
      </c>
      <c r="AD300">
        <v>100</v>
      </c>
      <c r="AE300">
        <v>100</v>
      </c>
      <c r="AF300" t="s">
        <v>47</v>
      </c>
    </row>
    <row r="301" spans="1:32">
      <c r="A301" t="s">
        <v>1258</v>
      </c>
      <c r="B301">
        <v>1.1000000000000001</v>
      </c>
      <c r="C301">
        <v>3</v>
      </c>
      <c r="D301">
        <v>3</v>
      </c>
      <c r="E301">
        <v>13.8</v>
      </c>
      <c r="F301">
        <v>9.9</v>
      </c>
      <c r="G301">
        <v>6</v>
      </c>
      <c r="H301">
        <v>72.8</v>
      </c>
      <c r="I301">
        <v>43.7</v>
      </c>
      <c r="J301">
        <v>0</v>
      </c>
      <c r="K301">
        <v>47</v>
      </c>
      <c r="L301">
        <v>37.1</v>
      </c>
      <c r="M301">
        <v>9.1999999999999993</v>
      </c>
      <c r="N301">
        <v>64</v>
      </c>
      <c r="O301">
        <v>41</v>
      </c>
      <c r="P301">
        <v>24.6</v>
      </c>
      <c r="Q301">
        <v>13.2</v>
      </c>
      <c r="R301">
        <v>11.7</v>
      </c>
      <c r="S301">
        <v>16.899999999999999</v>
      </c>
      <c r="T301">
        <v>79</v>
      </c>
      <c r="U301">
        <v>8004</v>
      </c>
      <c r="V301">
        <v>1430000</v>
      </c>
      <c r="W301">
        <v>61</v>
      </c>
      <c r="X301">
        <v>63.9</v>
      </c>
      <c r="Y301">
        <v>55.4</v>
      </c>
      <c r="Z301">
        <v>70.8</v>
      </c>
      <c r="AA301">
        <v>61</v>
      </c>
      <c r="AB301">
        <v>33.5</v>
      </c>
      <c r="AC301">
        <v>59.8</v>
      </c>
      <c r="AD301">
        <v>100</v>
      </c>
      <c r="AE301">
        <v>100</v>
      </c>
      <c r="AF301" t="s">
        <v>47</v>
      </c>
    </row>
    <row r="302" spans="1:32">
      <c r="A302" t="s">
        <v>1261</v>
      </c>
      <c r="B302">
        <v>3.9</v>
      </c>
      <c r="C302">
        <v>12</v>
      </c>
      <c r="D302">
        <v>5</v>
      </c>
      <c r="E302">
        <v>13.2</v>
      </c>
      <c r="F302">
        <v>8.1</v>
      </c>
      <c r="G302">
        <v>6.4</v>
      </c>
      <c r="H302">
        <v>81.900000000000006</v>
      </c>
      <c r="I302">
        <v>57.6</v>
      </c>
      <c r="J302">
        <v>0</v>
      </c>
      <c r="K302">
        <v>58</v>
      </c>
      <c r="L302">
        <v>20.100000000000001</v>
      </c>
      <c r="M302">
        <v>6</v>
      </c>
      <c r="N302">
        <v>69</v>
      </c>
      <c r="O302">
        <v>41</v>
      </c>
      <c r="P302">
        <v>19.2</v>
      </c>
      <c r="Q302">
        <v>9.1</v>
      </c>
      <c r="R302">
        <v>9.8000000000000007</v>
      </c>
      <c r="S302">
        <v>22.4</v>
      </c>
      <c r="T302">
        <v>85</v>
      </c>
      <c r="U302">
        <v>6386</v>
      </c>
      <c r="V302">
        <v>1492000</v>
      </c>
      <c r="W302">
        <v>49</v>
      </c>
      <c r="X302">
        <v>69.5</v>
      </c>
      <c r="Y302">
        <v>67.2</v>
      </c>
      <c r="Z302">
        <v>71</v>
      </c>
      <c r="AA302">
        <v>49</v>
      </c>
      <c r="AB302">
        <v>49.2</v>
      </c>
      <c r="AC302">
        <v>65.099999999999994</v>
      </c>
      <c r="AD302">
        <v>100</v>
      </c>
      <c r="AE302">
        <v>100</v>
      </c>
      <c r="AF302" t="s">
        <v>47</v>
      </c>
    </row>
    <row r="303" spans="1:32">
      <c r="A303" t="s">
        <v>1263</v>
      </c>
      <c r="B303">
        <v>5.2</v>
      </c>
      <c r="C303">
        <v>12</v>
      </c>
      <c r="D303">
        <v>5</v>
      </c>
      <c r="E303">
        <v>14.6</v>
      </c>
      <c r="F303">
        <v>2.5</v>
      </c>
      <c r="G303">
        <v>6.3</v>
      </c>
      <c r="H303">
        <v>73.900000000000006</v>
      </c>
      <c r="I303">
        <v>81.400000000000006</v>
      </c>
      <c r="J303">
        <v>0</v>
      </c>
      <c r="K303">
        <v>68</v>
      </c>
      <c r="L303">
        <v>22</v>
      </c>
      <c r="M303">
        <v>2.2999999999999998</v>
      </c>
      <c r="N303">
        <v>63</v>
      </c>
      <c r="O303">
        <v>49</v>
      </c>
      <c r="P303">
        <v>10.5</v>
      </c>
      <c r="Q303">
        <v>11.3</v>
      </c>
      <c r="R303">
        <v>9.4</v>
      </c>
      <c r="S303">
        <v>15.9</v>
      </c>
      <c r="T303">
        <v>90</v>
      </c>
      <c r="U303">
        <v>8219</v>
      </c>
      <c r="V303">
        <v>1269000</v>
      </c>
      <c r="W303">
        <v>55</v>
      </c>
      <c r="X303">
        <v>71</v>
      </c>
      <c r="Y303">
        <v>80.900000000000006</v>
      </c>
      <c r="Z303">
        <v>88.7</v>
      </c>
      <c r="AA303">
        <v>55</v>
      </c>
      <c r="AB303">
        <v>31.4</v>
      </c>
      <c r="AC303">
        <v>71.5</v>
      </c>
      <c r="AD303">
        <v>100</v>
      </c>
      <c r="AE303">
        <v>100</v>
      </c>
      <c r="AF303" t="s">
        <v>47</v>
      </c>
    </row>
    <row r="304" spans="1:32">
      <c r="A304" t="s">
        <v>1265</v>
      </c>
      <c r="B304">
        <v>3.7</v>
      </c>
      <c r="D304">
        <v>6</v>
      </c>
      <c r="E304">
        <v>13.1</v>
      </c>
      <c r="F304">
        <v>9.8000000000000007</v>
      </c>
      <c r="G304">
        <v>6.5</v>
      </c>
      <c r="H304">
        <v>77.099999999999994</v>
      </c>
      <c r="I304">
        <v>63.5</v>
      </c>
      <c r="J304">
        <v>0</v>
      </c>
      <c r="K304">
        <v>56</v>
      </c>
      <c r="L304">
        <v>36.700000000000003</v>
      </c>
      <c r="M304">
        <v>6.8</v>
      </c>
      <c r="N304">
        <v>88</v>
      </c>
      <c r="O304">
        <v>34</v>
      </c>
      <c r="P304">
        <v>23.2</v>
      </c>
      <c r="Q304">
        <v>12</v>
      </c>
      <c r="R304">
        <v>8.1999999999999993</v>
      </c>
      <c r="S304">
        <v>19.100000000000001</v>
      </c>
      <c r="T304">
        <v>93</v>
      </c>
      <c r="U304">
        <v>7579</v>
      </c>
      <c r="V304">
        <v>930000</v>
      </c>
      <c r="W304">
        <v>44</v>
      </c>
      <c r="X304">
        <v>60.9</v>
      </c>
      <c r="Y304">
        <v>66.7</v>
      </c>
      <c r="Z304">
        <v>69.400000000000006</v>
      </c>
      <c r="AA304">
        <v>44</v>
      </c>
      <c r="AB304">
        <v>37.6</v>
      </c>
      <c r="AC304">
        <v>60</v>
      </c>
      <c r="AD304">
        <v>100</v>
      </c>
      <c r="AE304">
        <v>95.2</v>
      </c>
      <c r="AF304" t="s">
        <v>47</v>
      </c>
    </row>
    <row r="305" spans="1:32">
      <c r="A305" t="s">
        <v>1267</v>
      </c>
      <c r="B305">
        <v>3.8</v>
      </c>
      <c r="C305">
        <v>9</v>
      </c>
      <c r="D305">
        <v>4</v>
      </c>
      <c r="E305">
        <v>14.8</v>
      </c>
      <c r="F305">
        <v>16.899999999999999</v>
      </c>
      <c r="G305">
        <v>7.5</v>
      </c>
      <c r="H305">
        <v>72.2</v>
      </c>
      <c r="I305">
        <v>78.099999999999994</v>
      </c>
      <c r="J305">
        <v>0</v>
      </c>
      <c r="K305">
        <v>56</v>
      </c>
      <c r="L305">
        <v>35.299999999999997</v>
      </c>
      <c r="M305">
        <v>5.7</v>
      </c>
      <c r="N305">
        <v>67</v>
      </c>
      <c r="O305">
        <v>39</v>
      </c>
      <c r="P305">
        <v>18.8</v>
      </c>
      <c r="Q305">
        <v>8.6999999999999993</v>
      </c>
      <c r="R305">
        <v>8.8000000000000007</v>
      </c>
      <c r="S305">
        <v>13.6</v>
      </c>
      <c r="T305">
        <v>100</v>
      </c>
      <c r="U305">
        <v>5237</v>
      </c>
      <c r="V305">
        <v>1317000</v>
      </c>
      <c r="W305">
        <v>36</v>
      </c>
      <c r="X305">
        <v>66.099999999999994</v>
      </c>
      <c r="Y305">
        <v>75.3</v>
      </c>
      <c r="Z305">
        <v>57</v>
      </c>
      <c r="AA305">
        <v>36</v>
      </c>
      <c r="AB305">
        <v>60.3</v>
      </c>
      <c r="AC305">
        <v>63</v>
      </c>
      <c r="AD305">
        <v>100</v>
      </c>
      <c r="AE305">
        <v>100</v>
      </c>
      <c r="AF305" t="s">
        <v>47</v>
      </c>
    </row>
    <row r="306" spans="1:32">
      <c r="A306" t="s">
        <v>1270</v>
      </c>
      <c r="B306">
        <v>1.9</v>
      </c>
      <c r="C306">
        <v>7</v>
      </c>
      <c r="D306">
        <v>4</v>
      </c>
      <c r="E306">
        <v>12.5</v>
      </c>
      <c r="F306">
        <v>10.199999999999999</v>
      </c>
      <c r="G306">
        <v>7.4</v>
      </c>
      <c r="H306">
        <v>68.900000000000006</v>
      </c>
      <c r="I306">
        <v>62.3</v>
      </c>
      <c r="J306">
        <v>0</v>
      </c>
      <c r="K306">
        <v>52</v>
      </c>
      <c r="L306">
        <v>19.899999999999999</v>
      </c>
      <c r="M306">
        <v>6.6</v>
      </c>
      <c r="N306">
        <v>75</v>
      </c>
      <c r="O306">
        <v>48</v>
      </c>
      <c r="P306">
        <v>12.4</v>
      </c>
      <c r="Q306">
        <v>8.6999999999999993</v>
      </c>
      <c r="R306">
        <v>9.1999999999999993</v>
      </c>
      <c r="S306">
        <v>9.1999999999999993</v>
      </c>
      <c r="T306">
        <v>86</v>
      </c>
      <c r="U306">
        <v>4920</v>
      </c>
      <c r="V306">
        <v>2102000</v>
      </c>
      <c r="W306">
        <v>58</v>
      </c>
      <c r="X306">
        <v>67.3</v>
      </c>
      <c r="Y306">
        <v>71.3</v>
      </c>
      <c r="Z306">
        <v>75.7</v>
      </c>
      <c r="AA306">
        <v>58</v>
      </c>
      <c r="AB306">
        <v>63.4</v>
      </c>
      <c r="AC306">
        <v>68.7</v>
      </c>
      <c r="AD306">
        <v>100</v>
      </c>
      <c r="AE306">
        <v>100</v>
      </c>
      <c r="AF306" t="s">
        <v>47</v>
      </c>
    </row>
    <row r="307" spans="1:32">
      <c r="A307" t="s">
        <v>1272</v>
      </c>
      <c r="B307">
        <v>1.5</v>
      </c>
      <c r="C307">
        <v>3</v>
      </c>
      <c r="D307">
        <v>3</v>
      </c>
      <c r="E307">
        <v>10.199999999999999</v>
      </c>
      <c r="F307">
        <v>5.0999999999999996</v>
      </c>
      <c r="G307">
        <v>7.6</v>
      </c>
      <c r="H307">
        <v>62.8</v>
      </c>
      <c r="I307">
        <v>56</v>
      </c>
      <c r="J307">
        <v>1</v>
      </c>
      <c r="K307">
        <v>47</v>
      </c>
      <c r="L307">
        <v>22.9</v>
      </c>
      <c r="M307">
        <v>7.3</v>
      </c>
      <c r="N307">
        <v>46</v>
      </c>
      <c r="O307">
        <v>40</v>
      </c>
      <c r="P307">
        <v>17.2</v>
      </c>
      <c r="Q307">
        <v>9.9</v>
      </c>
      <c r="R307">
        <v>8</v>
      </c>
      <c r="S307">
        <v>10.7</v>
      </c>
      <c r="T307">
        <v>80</v>
      </c>
      <c r="U307">
        <v>5693</v>
      </c>
      <c r="V307">
        <v>1122000</v>
      </c>
      <c r="W307">
        <v>49</v>
      </c>
      <c r="X307">
        <v>66.099999999999994</v>
      </c>
      <c r="Y307">
        <v>66.900000000000006</v>
      </c>
      <c r="Z307">
        <v>86.5</v>
      </c>
      <c r="AA307">
        <v>49</v>
      </c>
      <c r="AB307">
        <v>55.9</v>
      </c>
      <c r="AC307">
        <v>67.599999999999994</v>
      </c>
      <c r="AD307">
        <v>100</v>
      </c>
      <c r="AE307">
        <v>100</v>
      </c>
      <c r="AF307" t="s">
        <v>47</v>
      </c>
    </row>
    <row r="308" spans="1:32">
      <c r="A308" t="s">
        <v>1275</v>
      </c>
      <c r="B308">
        <v>2.8</v>
      </c>
      <c r="C308">
        <v>4</v>
      </c>
      <c r="D308">
        <v>3</v>
      </c>
      <c r="E308">
        <v>14.2</v>
      </c>
      <c r="F308">
        <v>14.1</v>
      </c>
      <c r="G308">
        <v>6.7</v>
      </c>
      <c r="H308">
        <v>87.1</v>
      </c>
      <c r="I308">
        <v>69.3</v>
      </c>
      <c r="J308">
        <v>0</v>
      </c>
      <c r="K308">
        <v>55</v>
      </c>
      <c r="L308">
        <v>36.200000000000003</v>
      </c>
      <c r="M308">
        <v>9.6</v>
      </c>
      <c r="N308">
        <v>62</v>
      </c>
      <c r="O308">
        <v>36</v>
      </c>
      <c r="P308">
        <v>23.7</v>
      </c>
      <c r="Q308">
        <v>12.6</v>
      </c>
      <c r="R308">
        <v>10.4</v>
      </c>
      <c r="S308">
        <v>17.5</v>
      </c>
      <c r="T308">
        <v>89</v>
      </c>
      <c r="U308">
        <v>7508</v>
      </c>
      <c r="V308">
        <v>2653000</v>
      </c>
      <c r="W308">
        <v>97</v>
      </c>
      <c r="X308">
        <v>65.5</v>
      </c>
      <c r="Y308">
        <v>65.2</v>
      </c>
      <c r="Z308">
        <v>60.6</v>
      </c>
      <c r="AA308">
        <v>97</v>
      </c>
      <c r="AB308">
        <v>38.299999999999997</v>
      </c>
      <c r="AC308">
        <v>64.900000000000006</v>
      </c>
      <c r="AD308">
        <v>100</v>
      </c>
      <c r="AE308">
        <v>100</v>
      </c>
      <c r="AF308" t="s">
        <v>47</v>
      </c>
    </row>
    <row r="309" spans="1:32">
      <c r="A309" t="s">
        <v>1278</v>
      </c>
      <c r="B309">
        <v>0.5</v>
      </c>
      <c r="C309">
        <v>6</v>
      </c>
      <c r="D309">
        <v>0</v>
      </c>
      <c r="E309">
        <v>11.2</v>
      </c>
      <c r="F309">
        <v>9.4</v>
      </c>
      <c r="G309">
        <v>6</v>
      </c>
      <c r="H309">
        <v>74.8</v>
      </c>
      <c r="I309">
        <v>36.1</v>
      </c>
      <c r="J309">
        <v>1</v>
      </c>
      <c r="K309">
        <v>39</v>
      </c>
      <c r="L309">
        <v>28.2</v>
      </c>
      <c r="M309">
        <v>10.9</v>
      </c>
      <c r="N309">
        <v>73</v>
      </c>
      <c r="O309">
        <v>27</v>
      </c>
      <c r="P309">
        <v>26.6</v>
      </c>
      <c r="Q309">
        <v>14.2</v>
      </c>
      <c r="R309">
        <v>12.4</v>
      </c>
      <c r="S309">
        <v>16.8</v>
      </c>
      <c r="T309">
        <v>81</v>
      </c>
      <c r="U309">
        <v>6574</v>
      </c>
      <c r="V309">
        <v>430000</v>
      </c>
      <c r="W309">
        <v>49</v>
      </c>
      <c r="X309">
        <v>63.5</v>
      </c>
      <c r="Y309">
        <v>50</v>
      </c>
      <c r="Z309">
        <v>72</v>
      </c>
      <c r="AA309">
        <v>49</v>
      </c>
      <c r="AB309">
        <v>47.4</v>
      </c>
      <c r="AC309">
        <v>58.8</v>
      </c>
      <c r="AD309">
        <v>100</v>
      </c>
      <c r="AE309">
        <v>100</v>
      </c>
      <c r="AF309" t="s">
        <v>47</v>
      </c>
    </row>
    <row r="310" spans="1:32">
      <c r="A310" t="s">
        <v>1280</v>
      </c>
      <c r="B310">
        <v>3.8</v>
      </c>
      <c r="C310">
        <v>10</v>
      </c>
      <c r="D310">
        <v>3</v>
      </c>
      <c r="E310">
        <v>14.3</v>
      </c>
      <c r="F310">
        <v>5.6</v>
      </c>
      <c r="G310">
        <v>6.7</v>
      </c>
      <c r="H310">
        <v>68.5</v>
      </c>
      <c r="I310">
        <v>49.3</v>
      </c>
      <c r="J310">
        <v>1</v>
      </c>
      <c r="K310">
        <v>53</v>
      </c>
      <c r="L310">
        <v>25.1</v>
      </c>
      <c r="M310">
        <v>9.9</v>
      </c>
      <c r="N310">
        <v>58</v>
      </c>
      <c r="O310">
        <v>35</v>
      </c>
      <c r="P310">
        <v>20.8</v>
      </c>
      <c r="Q310">
        <v>11.6</v>
      </c>
      <c r="R310">
        <v>5.5</v>
      </c>
      <c r="S310">
        <v>8.4</v>
      </c>
      <c r="T310">
        <v>85</v>
      </c>
      <c r="U310">
        <v>5971</v>
      </c>
      <c r="V310">
        <v>1793000</v>
      </c>
      <c r="W310">
        <v>40</v>
      </c>
      <c r="X310">
        <v>70.8</v>
      </c>
      <c r="Y310">
        <v>61.6</v>
      </c>
      <c r="Z310">
        <v>87</v>
      </c>
      <c r="AA310">
        <v>40</v>
      </c>
      <c r="AB310">
        <v>53.2</v>
      </c>
      <c r="AC310">
        <v>66.900000000000006</v>
      </c>
      <c r="AD310">
        <v>100</v>
      </c>
      <c r="AE310">
        <v>100</v>
      </c>
      <c r="AF310" t="s">
        <v>47</v>
      </c>
    </row>
    <row r="311" spans="1:32">
      <c r="A311" t="s">
        <v>1282</v>
      </c>
      <c r="B311">
        <v>2.2999999999999998</v>
      </c>
      <c r="C311">
        <v>6</v>
      </c>
      <c r="D311">
        <v>4</v>
      </c>
      <c r="E311">
        <v>21.6</v>
      </c>
      <c r="F311">
        <v>13.1</v>
      </c>
      <c r="G311">
        <v>6.8</v>
      </c>
      <c r="H311">
        <v>75.7</v>
      </c>
      <c r="I311">
        <v>50.2</v>
      </c>
      <c r="J311">
        <v>1</v>
      </c>
      <c r="K311">
        <v>51</v>
      </c>
      <c r="L311">
        <v>41.4</v>
      </c>
      <c r="M311">
        <v>7.7</v>
      </c>
      <c r="N311">
        <v>55</v>
      </c>
      <c r="O311">
        <v>30</v>
      </c>
      <c r="P311">
        <v>20.9</v>
      </c>
      <c r="Q311">
        <v>13.2</v>
      </c>
      <c r="R311">
        <v>10.8</v>
      </c>
      <c r="S311">
        <v>10.7</v>
      </c>
      <c r="T311">
        <v>81</v>
      </c>
      <c r="U311">
        <v>5402</v>
      </c>
      <c r="V311">
        <v>735000</v>
      </c>
      <c r="W311">
        <v>46</v>
      </c>
      <c r="X311">
        <v>76.400000000000006</v>
      </c>
      <c r="Y311">
        <v>60.6</v>
      </c>
      <c r="Z311">
        <v>67.900000000000006</v>
      </c>
      <c r="AA311">
        <v>46</v>
      </c>
      <c r="AB311">
        <v>58.7</v>
      </c>
      <c r="AC311">
        <v>65.900000000000006</v>
      </c>
      <c r="AD311">
        <v>100</v>
      </c>
      <c r="AE311">
        <v>100</v>
      </c>
      <c r="AF311" t="s">
        <v>47</v>
      </c>
    </row>
    <row r="312" spans="1:32">
      <c r="A312" t="s">
        <v>1284</v>
      </c>
      <c r="B312">
        <v>3.7</v>
      </c>
      <c r="C312">
        <v>12</v>
      </c>
      <c r="D312">
        <v>7</v>
      </c>
      <c r="E312">
        <v>10.7</v>
      </c>
      <c r="F312">
        <v>17.7</v>
      </c>
      <c r="G312">
        <v>5.7</v>
      </c>
      <c r="H312">
        <v>77.8</v>
      </c>
      <c r="I312">
        <v>56.5</v>
      </c>
      <c r="J312">
        <v>0</v>
      </c>
      <c r="K312">
        <v>46</v>
      </c>
      <c r="L312">
        <v>32</v>
      </c>
      <c r="M312">
        <v>6.4</v>
      </c>
      <c r="N312">
        <v>108</v>
      </c>
      <c r="O312">
        <v>84</v>
      </c>
      <c r="P312">
        <v>19.5</v>
      </c>
      <c r="Q312">
        <v>10.4</v>
      </c>
      <c r="R312">
        <v>3.7</v>
      </c>
      <c r="S312">
        <v>16.8</v>
      </c>
      <c r="T312">
        <v>85</v>
      </c>
      <c r="U312">
        <v>2650</v>
      </c>
      <c r="V312">
        <v>2485000</v>
      </c>
      <c r="W312">
        <v>75</v>
      </c>
      <c r="X312">
        <v>53.1</v>
      </c>
      <c r="Y312">
        <v>68.5</v>
      </c>
      <c r="Z312">
        <v>52.8</v>
      </c>
      <c r="AA312">
        <v>75</v>
      </c>
      <c r="AB312">
        <v>85.3</v>
      </c>
      <c r="AC312">
        <v>62.3</v>
      </c>
      <c r="AD312">
        <v>100</v>
      </c>
      <c r="AE312">
        <v>100</v>
      </c>
      <c r="AF312" t="s">
        <v>47</v>
      </c>
    </row>
    <row r="313" spans="1:32">
      <c r="A313" t="s">
        <v>1287</v>
      </c>
      <c r="B313">
        <v>7.3</v>
      </c>
      <c r="C313">
        <v>18</v>
      </c>
      <c r="D313">
        <v>10</v>
      </c>
      <c r="E313">
        <v>12.7</v>
      </c>
      <c r="F313">
        <v>5.9</v>
      </c>
      <c r="G313">
        <v>8.8000000000000007</v>
      </c>
      <c r="H313">
        <v>64.5</v>
      </c>
      <c r="J313">
        <v>0</v>
      </c>
      <c r="K313">
        <v>58</v>
      </c>
      <c r="L313">
        <v>16.5</v>
      </c>
      <c r="N313">
        <v>84</v>
      </c>
      <c r="O313">
        <v>67</v>
      </c>
      <c r="Q313">
        <v>9.6</v>
      </c>
      <c r="R313">
        <v>5.6</v>
      </c>
      <c r="S313">
        <v>13.1</v>
      </c>
      <c r="U313">
        <v>2498</v>
      </c>
      <c r="V313">
        <v>2166000</v>
      </c>
      <c r="W313">
        <v>68</v>
      </c>
      <c r="X313">
        <v>66.599999999999994</v>
      </c>
      <c r="Y313">
        <v>81.599999999999994</v>
      </c>
      <c r="Z313">
        <v>82.9</v>
      </c>
      <c r="AA313">
        <v>68</v>
      </c>
      <c r="AB313">
        <v>86.8</v>
      </c>
      <c r="AC313">
        <v>75.8</v>
      </c>
      <c r="AD313">
        <v>100</v>
      </c>
      <c r="AE313">
        <v>81</v>
      </c>
      <c r="AF313" t="s">
        <v>1971</v>
      </c>
    </row>
    <row r="314" spans="1:32">
      <c r="A314" t="s">
        <v>1290</v>
      </c>
      <c r="B314">
        <v>3.4</v>
      </c>
      <c r="C314">
        <v>14</v>
      </c>
      <c r="D314">
        <v>6</v>
      </c>
      <c r="E314">
        <v>11.4</v>
      </c>
      <c r="F314">
        <v>43</v>
      </c>
      <c r="G314">
        <v>6.4</v>
      </c>
      <c r="H314">
        <v>70.3</v>
      </c>
      <c r="I314">
        <v>64.3</v>
      </c>
      <c r="J314">
        <v>1</v>
      </c>
      <c r="K314">
        <v>41</v>
      </c>
      <c r="L314">
        <v>20.7</v>
      </c>
      <c r="M314">
        <v>6.1</v>
      </c>
      <c r="N314">
        <v>96</v>
      </c>
      <c r="O314">
        <v>83</v>
      </c>
      <c r="P314">
        <v>17.8</v>
      </c>
      <c r="Q314">
        <v>10.3</v>
      </c>
      <c r="R314">
        <v>5.6</v>
      </c>
      <c r="S314">
        <v>13.1</v>
      </c>
      <c r="T314">
        <v>92</v>
      </c>
      <c r="U314">
        <v>2592</v>
      </c>
      <c r="V314">
        <v>1705000</v>
      </c>
      <c r="W314">
        <v>82</v>
      </c>
      <c r="X314">
        <v>60.3</v>
      </c>
      <c r="Y314">
        <v>71.3</v>
      </c>
      <c r="Z314">
        <v>26.9</v>
      </c>
      <c r="AA314">
        <v>82</v>
      </c>
      <c r="AB314">
        <v>85.9</v>
      </c>
      <c r="AC314">
        <v>61.1</v>
      </c>
      <c r="AD314">
        <v>100</v>
      </c>
      <c r="AE314">
        <v>100</v>
      </c>
      <c r="AF314" t="s">
        <v>47</v>
      </c>
    </row>
    <row r="315" spans="1:32">
      <c r="A315" t="s">
        <v>1292</v>
      </c>
      <c r="B315">
        <v>2.8</v>
      </c>
      <c r="C315">
        <v>9</v>
      </c>
      <c r="D315">
        <v>5</v>
      </c>
      <c r="E315">
        <v>6.3</v>
      </c>
      <c r="F315">
        <v>13.4</v>
      </c>
      <c r="G315">
        <v>7.9</v>
      </c>
      <c r="H315">
        <v>71.900000000000006</v>
      </c>
      <c r="I315">
        <v>68</v>
      </c>
      <c r="J315">
        <v>0</v>
      </c>
      <c r="K315">
        <v>48</v>
      </c>
      <c r="L315">
        <v>34.799999999999997</v>
      </c>
      <c r="M315">
        <v>4.5</v>
      </c>
      <c r="N315">
        <v>109</v>
      </c>
      <c r="O315">
        <v>86</v>
      </c>
      <c r="P315">
        <v>16.8</v>
      </c>
      <c r="Q315">
        <v>11.1</v>
      </c>
      <c r="R315">
        <v>5.4</v>
      </c>
      <c r="S315">
        <v>12</v>
      </c>
      <c r="T315">
        <v>87</v>
      </c>
      <c r="U315">
        <v>2983</v>
      </c>
      <c r="V315">
        <v>2649000</v>
      </c>
      <c r="W315">
        <v>58</v>
      </c>
      <c r="X315">
        <v>44.6</v>
      </c>
      <c r="Y315">
        <v>74</v>
      </c>
      <c r="Z315">
        <v>66.2</v>
      </c>
      <c r="AA315">
        <v>58</v>
      </c>
      <c r="AB315">
        <v>82.1</v>
      </c>
      <c r="AC315">
        <v>61.4</v>
      </c>
      <c r="AD315">
        <v>100</v>
      </c>
      <c r="AE315">
        <v>100</v>
      </c>
      <c r="AF315" t="s">
        <v>47</v>
      </c>
    </row>
    <row r="316" spans="1:32">
      <c r="A316" t="s">
        <v>1295</v>
      </c>
      <c r="B316">
        <v>1.8</v>
      </c>
      <c r="C316">
        <v>9</v>
      </c>
      <c r="D316">
        <v>2</v>
      </c>
      <c r="E316">
        <v>6.2</v>
      </c>
      <c r="F316">
        <v>10.5</v>
      </c>
      <c r="G316">
        <v>5.5</v>
      </c>
      <c r="H316">
        <v>72.2</v>
      </c>
      <c r="J316">
        <v>0</v>
      </c>
      <c r="K316">
        <v>35</v>
      </c>
      <c r="L316">
        <v>30.9</v>
      </c>
      <c r="N316">
        <v>103</v>
      </c>
      <c r="O316">
        <v>91</v>
      </c>
      <c r="Q316">
        <v>15.2</v>
      </c>
      <c r="R316">
        <v>8.6999999999999993</v>
      </c>
      <c r="S316">
        <v>17.399999999999999</v>
      </c>
      <c r="U316">
        <v>1914</v>
      </c>
      <c r="V316">
        <v>771000</v>
      </c>
      <c r="W316">
        <v>47</v>
      </c>
      <c r="X316">
        <v>46.4</v>
      </c>
      <c r="Y316">
        <v>69.900000000000006</v>
      </c>
      <c r="Z316">
        <v>69</v>
      </c>
      <c r="AA316">
        <v>47</v>
      </c>
      <c r="AB316">
        <v>92.5</v>
      </c>
      <c r="AC316">
        <v>61.5</v>
      </c>
      <c r="AD316">
        <v>100</v>
      </c>
      <c r="AE316">
        <v>81</v>
      </c>
      <c r="AF316" t="s">
        <v>1971</v>
      </c>
    </row>
    <row r="317" spans="1:32">
      <c r="A317" t="s">
        <v>1297</v>
      </c>
      <c r="B317">
        <v>0.5</v>
      </c>
      <c r="C317">
        <v>3</v>
      </c>
      <c r="D317">
        <v>0</v>
      </c>
      <c r="E317">
        <v>9.5</v>
      </c>
      <c r="F317">
        <v>6.7</v>
      </c>
      <c r="G317">
        <v>5.8</v>
      </c>
      <c r="H317">
        <v>49.6</v>
      </c>
      <c r="J317">
        <v>0</v>
      </c>
      <c r="K317">
        <v>35</v>
      </c>
      <c r="L317">
        <v>44.4</v>
      </c>
      <c r="N317">
        <v>97</v>
      </c>
      <c r="O317">
        <v>82</v>
      </c>
      <c r="Q317">
        <v>10.3</v>
      </c>
      <c r="R317">
        <v>5.4</v>
      </c>
      <c r="S317">
        <v>17.7</v>
      </c>
      <c r="U317">
        <v>1632</v>
      </c>
      <c r="V317">
        <v>889000</v>
      </c>
      <c r="W317">
        <v>53</v>
      </c>
      <c r="X317">
        <v>47.3</v>
      </c>
      <c r="Y317">
        <v>81</v>
      </c>
      <c r="Z317">
        <v>77.599999999999994</v>
      </c>
      <c r="AA317">
        <v>53</v>
      </c>
      <c r="AB317">
        <v>95.2</v>
      </c>
      <c r="AC317">
        <v>67.2</v>
      </c>
      <c r="AD317">
        <v>100</v>
      </c>
      <c r="AE317">
        <v>81</v>
      </c>
      <c r="AF317" t="s">
        <v>1971</v>
      </c>
    </row>
    <row r="318" spans="1:32">
      <c r="A318" t="s">
        <v>1299</v>
      </c>
      <c r="B318">
        <v>1</v>
      </c>
      <c r="C318">
        <v>3</v>
      </c>
      <c r="D318">
        <v>2</v>
      </c>
      <c r="E318">
        <v>10.8</v>
      </c>
      <c r="F318">
        <v>13.2</v>
      </c>
      <c r="G318">
        <v>4.0999999999999996</v>
      </c>
      <c r="H318">
        <v>67.599999999999994</v>
      </c>
      <c r="I318">
        <v>43.5</v>
      </c>
      <c r="J318">
        <v>1</v>
      </c>
      <c r="K318">
        <v>34</v>
      </c>
      <c r="L318">
        <v>42.1</v>
      </c>
      <c r="M318">
        <v>9.6999999999999993</v>
      </c>
      <c r="N318">
        <v>90</v>
      </c>
      <c r="O318">
        <v>90</v>
      </c>
      <c r="P318">
        <v>21.9</v>
      </c>
      <c r="Q318">
        <v>10.7</v>
      </c>
      <c r="R318">
        <v>10.1</v>
      </c>
      <c r="S318">
        <v>21.4</v>
      </c>
      <c r="T318">
        <v>84</v>
      </c>
      <c r="U318">
        <v>2316</v>
      </c>
      <c r="V318">
        <v>2083000</v>
      </c>
      <c r="W318">
        <v>37</v>
      </c>
      <c r="X318">
        <v>50.5</v>
      </c>
      <c r="Y318">
        <v>57.7</v>
      </c>
      <c r="Z318">
        <v>59.9</v>
      </c>
      <c r="AA318">
        <v>37</v>
      </c>
      <c r="AB318">
        <v>88.6</v>
      </c>
      <c r="AC318">
        <v>56.6</v>
      </c>
      <c r="AD318">
        <v>100</v>
      </c>
      <c r="AE318">
        <v>100</v>
      </c>
      <c r="AF318" t="s">
        <v>47</v>
      </c>
    </row>
    <row r="319" spans="1:32">
      <c r="A319" t="s">
        <v>1301</v>
      </c>
      <c r="B319">
        <v>3.4</v>
      </c>
      <c r="C319">
        <v>9</v>
      </c>
      <c r="D319">
        <v>4</v>
      </c>
      <c r="E319">
        <v>16.2</v>
      </c>
      <c r="F319">
        <v>17.8</v>
      </c>
      <c r="G319">
        <v>4.8</v>
      </c>
      <c r="H319">
        <v>59.4</v>
      </c>
      <c r="I319">
        <v>60.3</v>
      </c>
      <c r="J319">
        <v>0</v>
      </c>
      <c r="K319">
        <v>47</v>
      </c>
      <c r="L319">
        <v>40.9</v>
      </c>
      <c r="M319">
        <v>8.8000000000000007</v>
      </c>
      <c r="N319">
        <v>95</v>
      </c>
      <c r="O319">
        <v>96</v>
      </c>
      <c r="P319">
        <v>18.7</v>
      </c>
      <c r="Q319">
        <v>10.1</v>
      </c>
      <c r="R319">
        <v>9.8000000000000007</v>
      </c>
      <c r="S319">
        <v>19.8</v>
      </c>
      <c r="T319">
        <v>85</v>
      </c>
      <c r="U319">
        <v>2106</v>
      </c>
      <c r="V319">
        <v>1417000</v>
      </c>
      <c r="W319">
        <v>45</v>
      </c>
      <c r="X319">
        <v>58.7</v>
      </c>
      <c r="Y319">
        <v>65.8</v>
      </c>
      <c r="Z319">
        <v>50.3</v>
      </c>
      <c r="AA319">
        <v>45</v>
      </c>
      <c r="AB319">
        <v>90.6</v>
      </c>
      <c r="AC319">
        <v>60.6</v>
      </c>
      <c r="AD319">
        <v>100</v>
      </c>
      <c r="AE319">
        <v>100</v>
      </c>
      <c r="AF319" t="s">
        <v>47</v>
      </c>
    </row>
    <row r="320" spans="1:32">
      <c r="A320" t="s">
        <v>1303</v>
      </c>
      <c r="B320">
        <v>5</v>
      </c>
      <c r="C320">
        <v>10</v>
      </c>
      <c r="D320">
        <v>6</v>
      </c>
      <c r="E320">
        <v>6</v>
      </c>
      <c r="F320">
        <v>16.399999999999999</v>
      </c>
      <c r="G320">
        <v>7.3</v>
      </c>
      <c r="H320">
        <v>60.6</v>
      </c>
      <c r="I320">
        <v>71.5</v>
      </c>
      <c r="J320">
        <v>0</v>
      </c>
      <c r="K320">
        <v>48</v>
      </c>
      <c r="L320">
        <v>38.1</v>
      </c>
      <c r="M320">
        <v>7.5</v>
      </c>
      <c r="N320">
        <v>109</v>
      </c>
      <c r="O320">
        <v>93</v>
      </c>
      <c r="P320">
        <v>21</v>
      </c>
      <c r="Q320">
        <v>5.8</v>
      </c>
      <c r="R320">
        <v>5.2</v>
      </c>
      <c r="S320">
        <v>17.5</v>
      </c>
      <c r="T320">
        <v>98</v>
      </c>
      <c r="U320">
        <v>2148</v>
      </c>
      <c r="V320">
        <v>1579000</v>
      </c>
      <c r="W320">
        <v>30</v>
      </c>
      <c r="X320">
        <v>42.2</v>
      </c>
      <c r="Y320">
        <v>73.5</v>
      </c>
      <c r="Z320">
        <v>55.3</v>
      </c>
      <c r="AA320">
        <v>30</v>
      </c>
      <c r="AB320">
        <v>90.2</v>
      </c>
      <c r="AC320">
        <v>56.2</v>
      </c>
      <c r="AD320">
        <v>100</v>
      </c>
      <c r="AE320">
        <v>100</v>
      </c>
      <c r="AF320" t="s">
        <v>47</v>
      </c>
    </row>
    <row r="321" spans="1:32">
      <c r="A321" t="s">
        <v>1305</v>
      </c>
      <c r="B321">
        <v>3.7</v>
      </c>
      <c r="C321">
        <v>7</v>
      </c>
      <c r="D321">
        <v>4</v>
      </c>
      <c r="E321">
        <v>9.5</v>
      </c>
      <c r="G321">
        <v>2.2000000000000002</v>
      </c>
      <c r="H321">
        <v>54.2</v>
      </c>
      <c r="I321">
        <v>47.3</v>
      </c>
      <c r="J321">
        <v>0</v>
      </c>
      <c r="K321">
        <v>49</v>
      </c>
      <c r="L321">
        <v>22.7</v>
      </c>
      <c r="M321">
        <v>8.5</v>
      </c>
      <c r="N321">
        <v>104</v>
      </c>
      <c r="O321">
        <v>102</v>
      </c>
      <c r="P321">
        <v>16.7</v>
      </c>
      <c r="Q321">
        <v>18.3</v>
      </c>
      <c r="R321">
        <v>14.4</v>
      </c>
      <c r="S321">
        <v>29.8</v>
      </c>
      <c r="T321">
        <v>72</v>
      </c>
      <c r="U321">
        <v>1886</v>
      </c>
      <c r="V321">
        <v>1670000</v>
      </c>
      <c r="W321">
        <v>21</v>
      </c>
      <c r="X321">
        <v>54.1</v>
      </c>
      <c r="Y321">
        <v>57.1</v>
      </c>
      <c r="Z321">
        <v>42.1</v>
      </c>
      <c r="AA321">
        <v>21</v>
      </c>
      <c r="AB321">
        <v>92.7</v>
      </c>
      <c r="AC321">
        <v>53</v>
      </c>
      <c r="AD321">
        <v>100</v>
      </c>
      <c r="AE321">
        <v>95.2</v>
      </c>
      <c r="AF321" t="s">
        <v>47</v>
      </c>
    </row>
    <row r="322" spans="1:32">
      <c r="A322" t="s">
        <v>1307</v>
      </c>
      <c r="B322">
        <v>4.7</v>
      </c>
      <c r="C322">
        <v>13</v>
      </c>
      <c r="D322">
        <v>6</v>
      </c>
      <c r="E322">
        <v>11.4</v>
      </c>
      <c r="F322">
        <v>13.7</v>
      </c>
      <c r="G322">
        <v>6</v>
      </c>
      <c r="I322">
        <v>71</v>
      </c>
      <c r="J322">
        <v>1</v>
      </c>
      <c r="K322">
        <v>38</v>
      </c>
      <c r="L322">
        <v>27.2</v>
      </c>
      <c r="M322">
        <v>3.9</v>
      </c>
      <c r="N322">
        <v>88</v>
      </c>
      <c r="P322">
        <v>15.8</v>
      </c>
      <c r="Q322">
        <v>13.5</v>
      </c>
      <c r="R322">
        <v>7.1</v>
      </c>
      <c r="S322">
        <v>17.2</v>
      </c>
      <c r="T322">
        <v>89</v>
      </c>
      <c r="U322">
        <v>2836</v>
      </c>
      <c r="V322">
        <v>4463000</v>
      </c>
      <c r="W322">
        <v>76</v>
      </c>
      <c r="X322">
        <v>56.6</v>
      </c>
      <c r="Y322">
        <v>74.2</v>
      </c>
      <c r="Z322">
        <v>61.8</v>
      </c>
      <c r="AA322">
        <v>76</v>
      </c>
      <c r="AB322">
        <v>83.5</v>
      </c>
      <c r="AC322">
        <v>66.7</v>
      </c>
      <c r="AD322">
        <v>100</v>
      </c>
      <c r="AE322">
        <v>90.5</v>
      </c>
      <c r="AF322" t="s">
        <v>47</v>
      </c>
    </row>
    <row r="323" spans="1:32">
      <c r="A323" t="s">
        <v>1309</v>
      </c>
      <c r="B323">
        <v>1</v>
      </c>
      <c r="C323">
        <v>6</v>
      </c>
      <c r="D323">
        <v>2</v>
      </c>
      <c r="E323">
        <v>8.3000000000000007</v>
      </c>
      <c r="F323">
        <v>9.9</v>
      </c>
      <c r="G323">
        <v>4.8</v>
      </c>
      <c r="H323">
        <v>57.1</v>
      </c>
      <c r="I323">
        <v>49.5</v>
      </c>
      <c r="J323">
        <v>0</v>
      </c>
      <c r="K323">
        <v>39</v>
      </c>
      <c r="L323">
        <v>22.8</v>
      </c>
      <c r="M323">
        <v>10.1</v>
      </c>
      <c r="N323">
        <v>102</v>
      </c>
      <c r="O323">
        <v>115</v>
      </c>
      <c r="P323">
        <v>20.5</v>
      </c>
      <c r="Q323">
        <v>12.8</v>
      </c>
      <c r="R323">
        <v>11.3</v>
      </c>
      <c r="S323">
        <v>18</v>
      </c>
      <c r="T323">
        <v>83</v>
      </c>
      <c r="U323">
        <v>2214</v>
      </c>
      <c r="V323">
        <v>2270000</v>
      </c>
      <c r="W323">
        <v>55</v>
      </c>
      <c r="X323">
        <v>51.4</v>
      </c>
      <c r="Y323">
        <v>58.6</v>
      </c>
      <c r="Z323">
        <v>70</v>
      </c>
      <c r="AA323">
        <v>55</v>
      </c>
      <c r="AB323">
        <v>89.6</v>
      </c>
      <c r="AC323">
        <v>61.1</v>
      </c>
      <c r="AD323">
        <v>100</v>
      </c>
      <c r="AE323">
        <v>100</v>
      </c>
      <c r="AF323" t="s">
        <v>47</v>
      </c>
    </row>
    <row r="324" spans="1:32">
      <c r="A324" t="s">
        <v>1311</v>
      </c>
      <c r="B324">
        <v>7.6</v>
      </c>
      <c r="C324">
        <v>24</v>
      </c>
      <c r="D324">
        <v>10</v>
      </c>
      <c r="E324">
        <v>15.3</v>
      </c>
      <c r="F324">
        <v>12.4</v>
      </c>
      <c r="G324">
        <v>4.9000000000000004</v>
      </c>
      <c r="H324">
        <v>58.7</v>
      </c>
      <c r="I324">
        <v>68.599999999999994</v>
      </c>
      <c r="J324">
        <v>0</v>
      </c>
      <c r="K324">
        <v>60</v>
      </c>
      <c r="L324">
        <v>17.100000000000001</v>
      </c>
      <c r="M324">
        <v>5.4</v>
      </c>
      <c r="N324">
        <v>94</v>
      </c>
      <c r="O324">
        <v>77</v>
      </c>
      <c r="P324">
        <v>18.899999999999999</v>
      </c>
      <c r="Q324">
        <v>8.1999999999999993</v>
      </c>
      <c r="R324">
        <v>9.8000000000000007</v>
      </c>
      <c r="S324">
        <v>17.8</v>
      </c>
      <c r="T324">
        <v>80</v>
      </c>
      <c r="U324">
        <v>2365</v>
      </c>
      <c r="V324">
        <v>1849000</v>
      </c>
      <c r="W324">
        <v>46</v>
      </c>
      <c r="X324">
        <v>68.7</v>
      </c>
      <c r="Y324">
        <v>71.900000000000006</v>
      </c>
      <c r="Z324">
        <v>64.3</v>
      </c>
      <c r="AA324">
        <v>46</v>
      </c>
      <c r="AB324">
        <v>88.1</v>
      </c>
      <c r="AC324">
        <v>68.3</v>
      </c>
      <c r="AD324">
        <v>100</v>
      </c>
      <c r="AE324">
        <v>100</v>
      </c>
      <c r="AF324" t="s">
        <v>47</v>
      </c>
    </row>
    <row r="325" spans="1:32">
      <c r="A325" t="s">
        <v>1313</v>
      </c>
      <c r="B325">
        <v>3.9</v>
      </c>
      <c r="C325">
        <v>11</v>
      </c>
      <c r="D325">
        <v>7</v>
      </c>
      <c r="E325">
        <v>8</v>
      </c>
      <c r="F325">
        <v>8.6999999999999993</v>
      </c>
      <c r="G325">
        <v>5.9</v>
      </c>
      <c r="H325">
        <v>61.4</v>
      </c>
      <c r="I325">
        <v>54.1</v>
      </c>
      <c r="J325">
        <v>0</v>
      </c>
      <c r="K325">
        <v>49</v>
      </c>
      <c r="L325">
        <v>21.7</v>
      </c>
      <c r="M325">
        <v>6.7</v>
      </c>
      <c r="N325">
        <v>113</v>
      </c>
      <c r="O325">
        <v>80</v>
      </c>
      <c r="P325">
        <v>18</v>
      </c>
      <c r="Q325">
        <v>7.4</v>
      </c>
      <c r="R325">
        <v>6.8</v>
      </c>
      <c r="S325">
        <v>15.7</v>
      </c>
      <c r="T325">
        <v>84</v>
      </c>
      <c r="U325">
        <v>2655</v>
      </c>
      <c r="V325">
        <v>1458000</v>
      </c>
      <c r="W325">
        <v>59</v>
      </c>
      <c r="X325">
        <v>52.8</v>
      </c>
      <c r="Y325">
        <v>67.8</v>
      </c>
      <c r="Z325">
        <v>74.5</v>
      </c>
      <c r="AA325">
        <v>59</v>
      </c>
      <c r="AB325">
        <v>85.3</v>
      </c>
      <c r="AC325">
        <v>64.8</v>
      </c>
      <c r="AD325">
        <v>100</v>
      </c>
      <c r="AE325">
        <v>100</v>
      </c>
      <c r="AF325" t="s">
        <v>47</v>
      </c>
    </row>
    <row r="326" spans="1:32">
      <c r="A326" t="s">
        <v>1315</v>
      </c>
      <c r="B326">
        <v>0.8</v>
      </c>
      <c r="C326">
        <v>1</v>
      </c>
      <c r="D326">
        <v>0</v>
      </c>
      <c r="E326">
        <v>4.9000000000000004</v>
      </c>
      <c r="F326">
        <v>6.7</v>
      </c>
      <c r="G326">
        <v>5.5</v>
      </c>
      <c r="H326">
        <v>62.4</v>
      </c>
      <c r="I326">
        <v>49</v>
      </c>
      <c r="J326">
        <v>1</v>
      </c>
      <c r="K326">
        <v>35</v>
      </c>
      <c r="L326">
        <v>26.4</v>
      </c>
      <c r="M326">
        <v>5.9</v>
      </c>
      <c r="N326">
        <v>98</v>
      </c>
      <c r="O326">
        <v>88</v>
      </c>
      <c r="P326">
        <v>20.6</v>
      </c>
      <c r="Q326">
        <v>11.4</v>
      </c>
      <c r="R326">
        <v>11.1</v>
      </c>
      <c r="S326">
        <v>23.8</v>
      </c>
      <c r="T326">
        <v>84</v>
      </c>
      <c r="U326">
        <v>2510</v>
      </c>
      <c r="V326">
        <v>1428000</v>
      </c>
      <c r="W326">
        <v>39</v>
      </c>
      <c r="X326">
        <v>46.9</v>
      </c>
      <c r="Y326">
        <v>62.3</v>
      </c>
      <c r="Z326">
        <v>73.2</v>
      </c>
      <c r="AA326">
        <v>39</v>
      </c>
      <c r="AB326">
        <v>86.7</v>
      </c>
      <c r="AC326">
        <v>59.2</v>
      </c>
      <c r="AD326">
        <v>100</v>
      </c>
      <c r="AE326">
        <v>100</v>
      </c>
      <c r="AF326" t="s">
        <v>47</v>
      </c>
    </row>
    <row r="327" spans="1:32">
      <c r="A327" t="s">
        <v>1318</v>
      </c>
      <c r="B327">
        <v>2.2000000000000002</v>
      </c>
      <c r="C327">
        <v>3</v>
      </c>
      <c r="D327">
        <v>2</v>
      </c>
      <c r="E327">
        <v>4.5</v>
      </c>
      <c r="F327">
        <v>17.7</v>
      </c>
      <c r="G327">
        <v>5.3</v>
      </c>
      <c r="H327">
        <v>55.2</v>
      </c>
      <c r="I327">
        <v>77.099999999999994</v>
      </c>
      <c r="J327">
        <v>0</v>
      </c>
      <c r="K327">
        <v>38</v>
      </c>
      <c r="L327">
        <v>41.7</v>
      </c>
      <c r="M327">
        <v>7</v>
      </c>
      <c r="N327">
        <v>133</v>
      </c>
      <c r="O327">
        <v>85</v>
      </c>
      <c r="P327">
        <v>16.2</v>
      </c>
      <c r="Q327">
        <v>11.7</v>
      </c>
      <c r="R327">
        <v>7.4</v>
      </c>
      <c r="S327">
        <v>17</v>
      </c>
      <c r="T327">
        <v>87</v>
      </c>
      <c r="U327">
        <v>1965</v>
      </c>
      <c r="V327">
        <v>1766000</v>
      </c>
      <c r="W327">
        <v>52</v>
      </c>
      <c r="X327">
        <v>36.4</v>
      </c>
      <c r="Y327">
        <v>74.400000000000006</v>
      </c>
      <c r="Z327">
        <v>52.6</v>
      </c>
      <c r="AA327">
        <v>52</v>
      </c>
      <c r="AB327">
        <v>92</v>
      </c>
      <c r="AC327">
        <v>56.3</v>
      </c>
      <c r="AD327">
        <v>100</v>
      </c>
      <c r="AE327">
        <v>100</v>
      </c>
      <c r="AF327" t="s">
        <v>47</v>
      </c>
    </row>
    <row r="328" spans="1:32">
      <c r="A328" t="s">
        <v>1320</v>
      </c>
      <c r="B328">
        <v>2.7</v>
      </c>
      <c r="C328">
        <v>9</v>
      </c>
      <c r="D328">
        <v>5</v>
      </c>
      <c r="E328">
        <v>14.1</v>
      </c>
      <c r="F328">
        <v>44.2</v>
      </c>
      <c r="G328">
        <v>5.9</v>
      </c>
      <c r="H328">
        <v>51.2</v>
      </c>
      <c r="I328">
        <v>64</v>
      </c>
      <c r="J328">
        <v>0</v>
      </c>
      <c r="K328">
        <v>43</v>
      </c>
      <c r="L328">
        <v>22.7</v>
      </c>
      <c r="M328">
        <v>7.7</v>
      </c>
      <c r="N328">
        <v>90</v>
      </c>
      <c r="O328">
        <v>93</v>
      </c>
      <c r="P328">
        <v>11.2</v>
      </c>
      <c r="Q328">
        <v>7</v>
      </c>
      <c r="R328">
        <v>8</v>
      </c>
      <c r="S328">
        <v>15.4</v>
      </c>
      <c r="T328">
        <v>81</v>
      </c>
      <c r="U328">
        <v>1972</v>
      </c>
      <c r="V328">
        <v>1841000</v>
      </c>
      <c r="W328">
        <v>57</v>
      </c>
      <c r="X328">
        <v>63.7</v>
      </c>
      <c r="Y328">
        <v>72.7</v>
      </c>
      <c r="Z328">
        <v>25.2</v>
      </c>
      <c r="AA328">
        <v>57</v>
      </c>
      <c r="AB328">
        <v>91.9</v>
      </c>
      <c r="AC328">
        <v>60.4</v>
      </c>
      <c r="AD328">
        <v>100</v>
      </c>
      <c r="AE328">
        <v>100</v>
      </c>
      <c r="AF328" t="s">
        <v>47</v>
      </c>
    </row>
    <row r="329" spans="1:32">
      <c r="A329" t="s">
        <v>1322</v>
      </c>
      <c r="B329">
        <v>1.3</v>
      </c>
      <c r="C329">
        <v>4</v>
      </c>
      <c r="D329">
        <v>0</v>
      </c>
      <c r="E329">
        <v>7.5</v>
      </c>
      <c r="F329">
        <v>10.4</v>
      </c>
      <c r="G329">
        <v>4.5</v>
      </c>
      <c r="H329">
        <v>62.5</v>
      </c>
      <c r="I329">
        <v>25.5</v>
      </c>
      <c r="J329">
        <v>0</v>
      </c>
      <c r="K329">
        <v>36</v>
      </c>
      <c r="L329">
        <v>31.7</v>
      </c>
      <c r="M329">
        <v>8.5</v>
      </c>
      <c r="N329">
        <v>95</v>
      </c>
      <c r="O329">
        <v>101</v>
      </c>
      <c r="P329">
        <v>26.9</v>
      </c>
      <c r="Q329">
        <v>15.7</v>
      </c>
      <c r="R329">
        <v>9.4</v>
      </c>
      <c r="S329">
        <v>15.2</v>
      </c>
      <c r="T329">
        <v>66</v>
      </c>
      <c r="U329">
        <v>2083</v>
      </c>
      <c r="V329">
        <v>1201000</v>
      </c>
      <c r="W329">
        <v>57</v>
      </c>
      <c r="X329">
        <v>48.2</v>
      </c>
      <c r="Y329">
        <v>48.8</v>
      </c>
      <c r="Z329">
        <v>70.900000000000006</v>
      </c>
      <c r="AA329">
        <v>57</v>
      </c>
      <c r="AB329">
        <v>90.8</v>
      </c>
      <c r="AC329">
        <v>58</v>
      </c>
      <c r="AD329">
        <v>100</v>
      </c>
      <c r="AE329">
        <v>100</v>
      </c>
      <c r="AF329" t="s">
        <v>47</v>
      </c>
    </row>
    <row r="330" spans="1:32">
      <c r="A330" t="s">
        <v>1324</v>
      </c>
      <c r="B330">
        <v>3.6</v>
      </c>
      <c r="C330">
        <v>7</v>
      </c>
      <c r="D330">
        <v>6</v>
      </c>
      <c r="E330">
        <v>8.3000000000000007</v>
      </c>
      <c r="F330">
        <v>14.2</v>
      </c>
      <c r="G330">
        <v>7.3</v>
      </c>
      <c r="H330">
        <v>62</v>
      </c>
      <c r="I330">
        <v>56.6</v>
      </c>
      <c r="J330">
        <v>0</v>
      </c>
      <c r="K330">
        <v>47</v>
      </c>
      <c r="L330">
        <v>35.200000000000003</v>
      </c>
      <c r="M330">
        <v>6.1</v>
      </c>
      <c r="N330">
        <v>101</v>
      </c>
      <c r="O330">
        <v>69</v>
      </c>
      <c r="P330">
        <v>21.3</v>
      </c>
      <c r="Q330">
        <v>10.6</v>
      </c>
      <c r="R330">
        <v>6.1</v>
      </c>
      <c r="S330">
        <v>17.3</v>
      </c>
      <c r="T330">
        <v>76</v>
      </c>
      <c r="U330">
        <v>2221</v>
      </c>
      <c r="V330">
        <v>1843000</v>
      </c>
      <c r="W330">
        <v>37</v>
      </c>
      <c r="X330">
        <v>49.8</v>
      </c>
      <c r="Y330">
        <v>67</v>
      </c>
      <c r="Z330">
        <v>60.5</v>
      </c>
      <c r="AA330">
        <v>37</v>
      </c>
      <c r="AB330">
        <v>89.5</v>
      </c>
      <c r="AC330">
        <v>58.9</v>
      </c>
      <c r="AD330">
        <v>100</v>
      </c>
      <c r="AE330">
        <v>100</v>
      </c>
      <c r="AF330" t="s">
        <v>47</v>
      </c>
    </row>
    <row r="331" spans="1:32">
      <c r="A331" t="s">
        <v>1326</v>
      </c>
      <c r="B331">
        <v>2.9</v>
      </c>
      <c r="C331">
        <v>6</v>
      </c>
      <c r="D331">
        <v>2</v>
      </c>
      <c r="E331">
        <v>8.4</v>
      </c>
      <c r="F331">
        <v>12.9</v>
      </c>
      <c r="G331">
        <v>6.7</v>
      </c>
      <c r="H331">
        <v>84.5</v>
      </c>
      <c r="I331">
        <v>58.1</v>
      </c>
      <c r="J331">
        <v>0</v>
      </c>
      <c r="K331">
        <v>49</v>
      </c>
      <c r="L331">
        <v>31</v>
      </c>
      <c r="M331">
        <v>8.3000000000000007</v>
      </c>
      <c r="N331">
        <v>101</v>
      </c>
      <c r="O331">
        <v>83</v>
      </c>
      <c r="P331">
        <v>16.7</v>
      </c>
      <c r="Q331">
        <v>7.7</v>
      </c>
      <c r="R331">
        <v>3.1</v>
      </c>
      <c r="S331">
        <v>16</v>
      </c>
      <c r="T331">
        <v>93</v>
      </c>
      <c r="U331">
        <v>2929</v>
      </c>
      <c r="V331">
        <v>3009000</v>
      </c>
      <c r="W331">
        <v>75</v>
      </c>
      <c r="X331">
        <v>50.7</v>
      </c>
      <c r="Y331">
        <v>70</v>
      </c>
      <c r="Z331">
        <v>64.5</v>
      </c>
      <c r="AA331">
        <v>75</v>
      </c>
      <c r="AB331">
        <v>82.6</v>
      </c>
      <c r="AC331">
        <v>63.9</v>
      </c>
      <c r="AD331">
        <v>100</v>
      </c>
      <c r="AE331">
        <v>100</v>
      </c>
      <c r="AF331" t="s">
        <v>47</v>
      </c>
    </row>
    <row r="332" spans="1:32">
      <c r="A332" t="s">
        <v>1329</v>
      </c>
      <c r="B332">
        <v>1.7</v>
      </c>
      <c r="C332">
        <v>6</v>
      </c>
      <c r="D332">
        <v>3</v>
      </c>
      <c r="E332">
        <v>6.6</v>
      </c>
      <c r="F332">
        <v>9.9</v>
      </c>
      <c r="G332">
        <v>4.7</v>
      </c>
      <c r="H332">
        <v>56</v>
      </c>
      <c r="I332">
        <v>60.5</v>
      </c>
      <c r="J332">
        <v>2</v>
      </c>
      <c r="K332">
        <v>31</v>
      </c>
      <c r="L332">
        <v>30.3</v>
      </c>
      <c r="M332">
        <v>6.1</v>
      </c>
      <c r="N332">
        <v>119</v>
      </c>
      <c r="O332">
        <v>78</v>
      </c>
      <c r="P332">
        <v>16.5</v>
      </c>
      <c r="Q332">
        <v>9.5</v>
      </c>
      <c r="R332">
        <v>9</v>
      </c>
      <c r="S332">
        <v>16.7</v>
      </c>
      <c r="T332">
        <v>78</v>
      </c>
      <c r="U332">
        <v>2246</v>
      </c>
      <c r="V332">
        <v>1801000</v>
      </c>
      <c r="W332">
        <v>53</v>
      </c>
      <c r="X332">
        <v>46.5</v>
      </c>
      <c r="Y332">
        <v>69.3</v>
      </c>
      <c r="Z332">
        <v>70.900000000000006</v>
      </c>
      <c r="AA332">
        <v>53</v>
      </c>
      <c r="AB332">
        <v>89.2</v>
      </c>
      <c r="AC332">
        <v>62</v>
      </c>
      <c r="AD332">
        <v>100</v>
      </c>
      <c r="AE332">
        <v>100</v>
      </c>
      <c r="AF332" t="s">
        <v>47</v>
      </c>
    </row>
    <row r="333" spans="1:32">
      <c r="A333" t="s">
        <v>1331</v>
      </c>
      <c r="B333">
        <v>2.2999999999999998</v>
      </c>
      <c r="C333">
        <v>2</v>
      </c>
      <c r="D333">
        <v>2</v>
      </c>
      <c r="E333">
        <v>7.5</v>
      </c>
      <c r="F333">
        <v>13.1</v>
      </c>
      <c r="G333">
        <v>5</v>
      </c>
      <c r="H333">
        <v>68.099999999999994</v>
      </c>
      <c r="I333">
        <v>67.599999999999994</v>
      </c>
      <c r="J333">
        <v>0</v>
      </c>
      <c r="K333">
        <v>44</v>
      </c>
      <c r="L333">
        <v>20.5</v>
      </c>
      <c r="M333">
        <v>6.5</v>
      </c>
      <c r="N333">
        <v>104</v>
      </c>
      <c r="O333">
        <v>78</v>
      </c>
      <c r="P333">
        <v>14.9</v>
      </c>
      <c r="Q333">
        <v>12.1</v>
      </c>
      <c r="R333">
        <v>8.1999999999999993</v>
      </c>
      <c r="S333">
        <v>20</v>
      </c>
      <c r="T333">
        <v>94</v>
      </c>
      <c r="U333">
        <v>3102</v>
      </c>
      <c r="V333">
        <v>1987000</v>
      </c>
      <c r="W333">
        <v>69</v>
      </c>
      <c r="X333">
        <v>53.7</v>
      </c>
      <c r="Y333">
        <v>71.5</v>
      </c>
      <c r="Z333">
        <v>61.1</v>
      </c>
      <c r="AA333">
        <v>69</v>
      </c>
      <c r="AB333">
        <v>81</v>
      </c>
      <c r="AC333">
        <v>63.9</v>
      </c>
      <c r="AD333">
        <v>100</v>
      </c>
      <c r="AE333">
        <v>100</v>
      </c>
      <c r="AF333" t="s">
        <v>47</v>
      </c>
    </row>
    <row r="334" spans="1:32">
      <c r="A334" t="s">
        <v>1332</v>
      </c>
      <c r="B334">
        <v>4</v>
      </c>
      <c r="C334">
        <v>13</v>
      </c>
      <c r="D334">
        <v>6</v>
      </c>
      <c r="E334">
        <v>11.9</v>
      </c>
      <c r="F334">
        <v>11.3</v>
      </c>
      <c r="G334">
        <v>5.4</v>
      </c>
      <c r="H334">
        <v>49.1</v>
      </c>
      <c r="I334">
        <v>63.4</v>
      </c>
      <c r="J334">
        <v>0</v>
      </c>
      <c r="K334">
        <v>49</v>
      </c>
      <c r="L334">
        <v>17</v>
      </c>
      <c r="M334">
        <v>6.8</v>
      </c>
      <c r="N334">
        <v>112</v>
      </c>
      <c r="O334">
        <v>93</v>
      </c>
      <c r="P334">
        <v>13.4</v>
      </c>
      <c r="Q334">
        <v>12.3</v>
      </c>
      <c r="R334">
        <v>9.6999999999999993</v>
      </c>
      <c r="S334">
        <v>16.600000000000001</v>
      </c>
      <c r="T334">
        <v>80</v>
      </c>
      <c r="U334">
        <v>1673</v>
      </c>
      <c r="V334">
        <v>909000</v>
      </c>
      <c r="W334">
        <v>55</v>
      </c>
      <c r="X334">
        <v>60.2</v>
      </c>
      <c r="Y334">
        <v>69.599999999999994</v>
      </c>
      <c r="Z334">
        <v>67.8</v>
      </c>
      <c r="AA334">
        <v>55</v>
      </c>
      <c r="AB334">
        <v>94.8</v>
      </c>
      <c r="AC334">
        <v>67</v>
      </c>
      <c r="AD334">
        <v>100</v>
      </c>
      <c r="AE334">
        <v>100</v>
      </c>
      <c r="AF334" t="s">
        <v>47</v>
      </c>
    </row>
    <row r="335" spans="1:32">
      <c r="A335" t="s">
        <v>1334</v>
      </c>
      <c r="B335">
        <v>4.0999999999999996</v>
      </c>
      <c r="C335">
        <v>13</v>
      </c>
      <c r="D335">
        <v>4</v>
      </c>
      <c r="E335">
        <v>14.4</v>
      </c>
      <c r="F335">
        <v>10.1</v>
      </c>
      <c r="G335">
        <v>4.4000000000000004</v>
      </c>
      <c r="H335">
        <v>55.4</v>
      </c>
      <c r="I335">
        <v>55.9</v>
      </c>
      <c r="J335">
        <v>0</v>
      </c>
      <c r="K335">
        <v>50</v>
      </c>
      <c r="L335">
        <v>38</v>
      </c>
      <c r="M335">
        <v>7.5</v>
      </c>
      <c r="N335">
        <v>105</v>
      </c>
      <c r="O335">
        <v>99</v>
      </c>
      <c r="P335">
        <v>21.8</v>
      </c>
      <c r="Q335">
        <v>16.2</v>
      </c>
      <c r="R335">
        <v>10.4</v>
      </c>
      <c r="S335">
        <v>19.2</v>
      </c>
      <c r="T335">
        <v>88</v>
      </c>
      <c r="U335">
        <v>2006</v>
      </c>
      <c r="V335">
        <v>1107000</v>
      </c>
      <c r="W335">
        <v>50</v>
      </c>
      <c r="X335">
        <v>55.7</v>
      </c>
      <c r="Y335">
        <v>61.5</v>
      </c>
      <c r="Z335">
        <v>68.7</v>
      </c>
      <c r="AA335">
        <v>50</v>
      </c>
      <c r="AB335">
        <v>91.6</v>
      </c>
      <c r="AC335">
        <v>62.8</v>
      </c>
      <c r="AD335">
        <v>100</v>
      </c>
      <c r="AE335">
        <v>100</v>
      </c>
      <c r="AF335" t="s">
        <v>47</v>
      </c>
    </row>
    <row r="336" spans="1:32">
      <c r="A336" t="s">
        <v>1336</v>
      </c>
      <c r="B336">
        <v>8.1</v>
      </c>
      <c r="C336">
        <v>25</v>
      </c>
      <c r="D336">
        <v>12</v>
      </c>
      <c r="E336">
        <v>18.3</v>
      </c>
      <c r="F336">
        <v>9.3000000000000007</v>
      </c>
      <c r="G336">
        <v>5.6</v>
      </c>
      <c r="H336">
        <v>42.4</v>
      </c>
      <c r="I336">
        <v>90.8</v>
      </c>
      <c r="J336">
        <v>0</v>
      </c>
      <c r="K336">
        <v>67</v>
      </c>
      <c r="L336">
        <v>5.0999999999999996</v>
      </c>
      <c r="M336">
        <v>0.3</v>
      </c>
      <c r="N336">
        <v>94</v>
      </c>
      <c r="O336">
        <v>77</v>
      </c>
      <c r="P336">
        <v>5.0999999999999996</v>
      </c>
      <c r="Q336">
        <v>12.7</v>
      </c>
      <c r="R336">
        <v>7.2</v>
      </c>
      <c r="S336">
        <v>21.2</v>
      </c>
      <c r="T336">
        <v>100</v>
      </c>
      <c r="U336">
        <v>2362</v>
      </c>
      <c r="V336">
        <v>1124000</v>
      </c>
      <c r="W336">
        <v>47</v>
      </c>
      <c r="X336">
        <v>76.5</v>
      </c>
      <c r="Y336">
        <v>88.2</v>
      </c>
      <c r="Z336">
        <v>69.099999999999994</v>
      </c>
      <c r="AA336">
        <v>47</v>
      </c>
      <c r="AB336">
        <v>88.1</v>
      </c>
      <c r="AC336">
        <v>76.099999999999994</v>
      </c>
      <c r="AD336">
        <v>100</v>
      </c>
      <c r="AE336">
        <v>100</v>
      </c>
      <c r="AF336" t="s">
        <v>47</v>
      </c>
    </row>
    <row r="337" spans="1:32">
      <c r="A337" t="s">
        <v>1338</v>
      </c>
      <c r="B337">
        <v>6.7</v>
      </c>
      <c r="C337">
        <v>16</v>
      </c>
      <c r="D337">
        <v>7</v>
      </c>
      <c r="F337">
        <v>11.4</v>
      </c>
      <c r="G337">
        <v>5.8</v>
      </c>
      <c r="H337">
        <v>56.5</v>
      </c>
      <c r="J337">
        <v>0</v>
      </c>
      <c r="K337">
        <v>37</v>
      </c>
      <c r="L337">
        <v>32.6</v>
      </c>
      <c r="O337">
        <v>90</v>
      </c>
      <c r="Q337">
        <v>8.1999999999999993</v>
      </c>
      <c r="R337">
        <v>8.5</v>
      </c>
      <c r="S337">
        <v>18.2</v>
      </c>
      <c r="U337">
        <v>2623</v>
      </c>
      <c r="V337">
        <v>2554000</v>
      </c>
      <c r="W337">
        <v>56</v>
      </c>
      <c r="X337">
        <v>63.5</v>
      </c>
      <c r="Y337">
        <v>79.2</v>
      </c>
      <c r="Z337">
        <v>66.400000000000006</v>
      </c>
      <c r="AA337">
        <v>56</v>
      </c>
      <c r="AB337">
        <v>85.6</v>
      </c>
      <c r="AC337">
        <v>69.400000000000006</v>
      </c>
      <c r="AD337">
        <v>100</v>
      </c>
      <c r="AE337">
        <v>71.400000000000006</v>
      </c>
      <c r="AF337" t="s">
        <v>1971</v>
      </c>
    </row>
    <row r="338" spans="1:32">
      <c r="A338" t="s">
        <v>1341</v>
      </c>
      <c r="B338">
        <v>7</v>
      </c>
      <c r="C338">
        <v>19</v>
      </c>
      <c r="D338">
        <v>10</v>
      </c>
      <c r="E338">
        <v>9.1999999999999993</v>
      </c>
      <c r="F338">
        <v>12.3</v>
      </c>
      <c r="G338">
        <v>8.1</v>
      </c>
      <c r="H338">
        <v>51.2</v>
      </c>
      <c r="I338">
        <v>56.1</v>
      </c>
      <c r="J338">
        <v>0</v>
      </c>
      <c r="K338">
        <v>55</v>
      </c>
      <c r="L338">
        <v>14.8</v>
      </c>
      <c r="M338">
        <v>6.5</v>
      </c>
      <c r="N338">
        <v>102</v>
      </c>
      <c r="O338">
        <v>76</v>
      </c>
      <c r="P338">
        <v>17.399999999999999</v>
      </c>
      <c r="Q338">
        <v>8.8000000000000007</v>
      </c>
      <c r="R338">
        <v>7.4</v>
      </c>
      <c r="S338">
        <v>11.8</v>
      </c>
      <c r="T338">
        <v>83</v>
      </c>
      <c r="U338">
        <v>2324</v>
      </c>
      <c r="V338">
        <v>1872000</v>
      </c>
      <c r="W338">
        <v>51</v>
      </c>
      <c r="X338">
        <v>59.1</v>
      </c>
      <c r="Y338">
        <v>68.099999999999994</v>
      </c>
      <c r="Z338">
        <v>68.900000000000006</v>
      </c>
      <c r="AA338">
        <v>51</v>
      </c>
      <c r="AB338">
        <v>88.5</v>
      </c>
      <c r="AC338">
        <v>65.5</v>
      </c>
      <c r="AD338">
        <v>100</v>
      </c>
      <c r="AE338">
        <v>100</v>
      </c>
      <c r="AF338" t="s">
        <v>47</v>
      </c>
    </row>
    <row r="339" spans="1:32">
      <c r="A339" t="s">
        <v>1342</v>
      </c>
      <c r="B339">
        <v>7.8</v>
      </c>
      <c r="C339">
        <v>18</v>
      </c>
      <c r="D339">
        <v>10</v>
      </c>
      <c r="E339">
        <v>14.7</v>
      </c>
      <c r="F339">
        <v>14.7</v>
      </c>
      <c r="G339">
        <v>6.5</v>
      </c>
      <c r="H339">
        <v>73.400000000000006</v>
      </c>
      <c r="I339">
        <v>71.5</v>
      </c>
      <c r="J339">
        <v>0</v>
      </c>
      <c r="K339">
        <v>63</v>
      </c>
      <c r="L339">
        <v>28.2</v>
      </c>
      <c r="M339">
        <v>0.7</v>
      </c>
      <c r="N339">
        <v>76</v>
      </c>
      <c r="O339">
        <v>75</v>
      </c>
      <c r="P339">
        <v>16.8</v>
      </c>
      <c r="Q339">
        <v>9.8000000000000007</v>
      </c>
      <c r="R339">
        <v>9.6</v>
      </c>
      <c r="S339">
        <v>9.9</v>
      </c>
      <c r="T339">
        <v>98</v>
      </c>
      <c r="U339">
        <v>3399</v>
      </c>
      <c r="V339">
        <v>3391000</v>
      </c>
      <c r="W339">
        <v>46</v>
      </c>
      <c r="X339">
        <v>65.2</v>
      </c>
      <c r="Y339">
        <v>76.8</v>
      </c>
      <c r="Z339">
        <v>64.8</v>
      </c>
      <c r="AA339">
        <v>46</v>
      </c>
      <c r="AB339">
        <v>78.099999999999994</v>
      </c>
      <c r="AC339">
        <v>67.400000000000006</v>
      </c>
      <c r="AD339">
        <v>100</v>
      </c>
      <c r="AE339">
        <v>100</v>
      </c>
      <c r="AF339" t="s">
        <v>47</v>
      </c>
    </row>
    <row r="340" spans="1:32">
      <c r="A340" t="s">
        <v>1344</v>
      </c>
      <c r="B340">
        <v>3.7</v>
      </c>
      <c r="C340">
        <v>4</v>
      </c>
      <c r="D340">
        <v>5</v>
      </c>
      <c r="E340">
        <v>7.3</v>
      </c>
      <c r="F340">
        <v>12.1</v>
      </c>
      <c r="G340">
        <v>3.8</v>
      </c>
      <c r="H340">
        <v>56.5</v>
      </c>
      <c r="I340">
        <v>51.1</v>
      </c>
      <c r="J340">
        <v>0</v>
      </c>
      <c r="K340">
        <v>41</v>
      </c>
      <c r="L340">
        <v>25.9</v>
      </c>
      <c r="M340">
        <v>6.9</v>
      </c>
      <c r="N340">
        <v>95</v>
      </c>
      <c r="O340">
        <v>92</v>
      </c>
      <c r="P340">
        <v>26.4</v>
      </c>
      <c r="Q340">
        <v>18</v>
      </c>
      <c r="R340">
        <v>11.7</v>
      </c>
      <c r="S340">
        <v>20.9</v>
      </c>
      <c r="T340">
        <v>72</v>
      </c>
      <c r="U340">
        <v>1995</v>
      </c>
      <c r="V340">
        <v>1196000</v>
      </c>
      <c r="W340">
        <v>48</v>
      </c>
      <c r="X340">
        <v>51</v>
      </c>
      <c r="Y340">
        <v>57.2</v>
      </c>
      <c r="Z340">
        <v>62.8</v>
      </c>
      <c r="AA340">
        <v>48</v>
      </c>
      <c r="AB340">
        <v>91.7</v>
      </c>
      <c r="AC340">
        <v>58.7</v>
      </c>
      <c r="AD340">
        <v>100</v>
      </c>
      <c r="AE340">
        <v>100</v>
      </c>
      <c r="AF340" t="s">
        <v>47</v>
      </c>
    </row>
    <row r="341" spans="1:32">
      <c r="A341" t="s">
        <v>1346</v>
      </c>
      <c r="B341">
        <v>6.2</v>
      </c>
      <c r="C341">
        <v>11</v>
      </c>
      <c r="D341">
        <v>8</v>
      </c>
      <c r="E341">
        <v>14.9</v>
      </c>
      <c r="F341">
        <v>16.2</v>
      </c>
      <c r="G341">
        <v>5.5</v>
      </c>
      <c r="H341">
        <v>52.6</v>
      </c>
      <c r="I341">
        <v>79.3</v>
      </c>
      <c r="J341">
        <v>0</v>
      </c>
      <c r="K341">
        <v>55</v>
      </c>
      <c r="L341">
        <v>24.7</v>
      </c>
      <c r="M341">
        <v>4.5999999999999996</v>
      </c>
      <c r="N341">
        <v>100</v>
      </c>
      <c r="O341">
        <v>80</v>
      </c>
      <c r="P341">
        <v>18.100000000000001</v>
      </c>
      <c r="Q341">
        <v>8.8000000000000007</v>
      </c>
      <c r="R341">
        <v>10.7</v>
      </c>
      <c r="S341">
        <v>15.1</v>
      </c>
      <c r="T341">
        <v>93</v>
      </c>
      <c r="U341">
        <v>2012</v>
      </c>
      <c r="V341">
        <v>1629000</v>
      </c>
      <c r="W341">
        <v>52</v>
      </c>
      <c r="X341">
        <v>64</v>
      </c>
      <c r="Y341">
        <v>76</v>
      </c>
      <c r="Z341">
        <v>57.5</v>
      </c>
      <c r="AA341">
        <v>52</v>
      </c>
      <c r="AB341">
        <v>91.5</v>
      </c>
      <c r="AC341">
        <v>67.2</v>
      </c>
      <c r="AD341">
        <v>100</v>
      </c>
      <c r="AE341">
        <v>100</v>
      </c>
      <c r="AF341" t="s">
        <v>47</v>
      </c>
    </row>
    <row r="342" spans="1:32">
      <c r="A342" t="s">
        <v>1348</v>
      </c>
      <c r="B342">
        <v>1.1000000000000001</v>
      </c>
      <c r="C342">
        <v>5</v>
      </c>
      <c r="D342">
        <v>2</v>
      </c>
      <c r="E342">
        <v>12.5</v>
      </c>
      <c r="F342">
        <v>14.6</v>
      </c>
      <c r="G342">
        <v>6.9</v>
      </c>
      <c r="H342">
        <v>50</v>
      </c>
      <c r="J342">
        <v>0</v>
      </c>
      <c r="K342">
        <v>34</v>
      </c>
      <c r="L342">
        <v>39.299999999999997</v>
      </c>
      <c r="N342">
        <v>103</v>
      </c>
      <c r="O342">
        <v>90</v>
      </c>
      <c r="Q342">
        <v>12.1</v>
      </c>
      <c r="R342">
        <v>8</v>
      </c>
      <c r="S342">
        <v>16.399999999999999</v>
      </c>
      <c r="U342">
        <v>2378</v>
      </c>
      <c r="V342">
        <v>1582000</v>
      </c>
      <c r="W342">
        <v>47</v>
      </c>
      <c r="X342">
        <v>53</v>
      </c>
      <c r="Y342">
        <v>74.900000000000006</v>
      </c>
      <c r="Z342">
        <v>60.3</v>
      </c>
      <c r="AA342">
        <v>47</v>
      </c>
      <c r="AB342">
        <v>88</v>
      </c>
      <c r="AC342">
        <v>62.8</v>
      </c>
      <c r="AD342">
        <v>100</v>
      </c>
      <c r="AE342">
        <v>81</v>
      </c>
      <c r="AF342" t="s">
        <v>1971</v>
      </c>
    </row>
    <row r="343" spans="1:32">
      <c r="A343" t="s">
        <v>1350</v>
      </c>
      <c r="B343">
        <v>4.4000000000000004</v>
      </c>
      <c r="C343">
        <v>8</v>
      </c>
      <c r="D343">
        <v>6</v>
      </c>
      <c r="E343">
        <v>12.3</v>
      </c>
      <c r="F343">
        <v>14.4</v>
      </c>
      <c r="G343">
        <v>5</v>
      </c>
      <c r="H343">
        <v>27.5</v>
      </c>
      <c r="I343">
        <v>73.8</v>
      </c>
      <c r="J343">
        <v>0</v>
      </c>
      <c r="K343">
        <v>46</v>
      </c>
      <c r="L343">
        <v>32.4</v>
      </c>
      <c r="M343">
        <v>4.0999999999999996</v>
      </c>
      <c r="N343">
        <v>102</v>
      </c>
      <c r="O343">
        <v>88</v>
      </c>
      <c r="P343">
        <v>15.7</v>
      </c>
      <c r="Q343">
        <v>16.100000000000001</v>
      </c>
      <c r="R343">
        <v>3.3</v>
      </c>
      <c r="S343">
        <v>19.7</v>
      </c>
      <c r="T343">
        <v>89</v>
      </c>
      <c r="U343">
        <v>2262</v>
      </c>
      <c r="V343">
        <v>1756000</v>
      </c>
      <c r="W343">
        <v>55</v>
      </c>
      <c r="X343">
        <v>55.8</v>
      </c>
      <c r="Y343">
        <v>75.7</v>
      </c>
      <c r="Z343">
        <v>58.3</v>
      </c>
      <c r="AA343">
        <v>55</v>
      </c>
      <c r="AB343">
        <v>89.1</v>
      </c>
      <c r="AC343">
        <v>64.5</v>
      </c>
      <c r="AD343">
        <v>100</v>
      </c>
      <c r="AE343">
        <v>100</v>
      </c>
      <c r="AF343" t="s">
        <v>47</v>
      </c>
    </row>
    <row r="344" spans="1:32">
      <c r="A344" t="s">
        <v>1352</v>
      </c>
      <c r="B344">
        <v>8.3000000000000007</v>
      </c>
      <c r="C344">
        <v>18</v>
      </c>
      <c r="D344">
        <v>11</v>
      </c>
      <c r="E344">
        <v>18.7</v>
      </c>
      <c r="F344">
        <v>11.2</v>
      </c>
      <c r="G344">
        <v>7.5</v>
      </c>
      <c r="H344">
        <v>87.3</v>
      </c>
      <c r="I344">
        <v>85.2</v>
      </c>
      <c r="J344">
        <v>1</v>
      </c>
      <c r="K344">
        <v>70</v>
      </c>
      <c r="L344">
        <v>30.7</v>
      </c>
      <c r="M344">
        <v>0.9</v>
      </c>
      <c r="N344">
        <v>76</v>
      </c>
      <c r="O344">
        <v>82</v>
      </c>
      <c r="P344">
        <v>17.3</v>
      </c>
      <c r="Q344">
        <v>7.4</v>
      </c>
      <c r="R344">
        <v>9.9</v>
      </c>
      <c r="S344">
        <v>16.2</v>
      </c>
      <c r="T344">
        <v>95</v>
      </c>
      <c r="U344">
        <v>2329</v>
      </c>
      <c r="V344">
        <v>4747000</v>
      </c>
      <c r="W344">
        <v>68</v>
      </c>
      <c r="X344">
        <v>70</v>
      </c>
      <c r="Y344">
        <v>82</v>
      </c>
      <c r="Z344">
        <v>68.3</v>
      </c>
      <c r="AA344">
        <v>68</v>
      </c>
      <c r="AB344">
        <v>88.4</v>
      </c>
      <c r="AC344">
        <v>74.3</v>
      </c>
      <c r="AD344">
        <v>100</v>
      </c>
      <c r="AE344">
        <v>100</v>
      </c>
      <c r="AF344" t="s">
        <v>47</v>
      </c>
    </row>
    <row r="345" spans="1:32">
      <c r="A345" t="s">
        <v>1354</v>
      </c>
      <c r="B345">
        <v>2.6</v>
      </c>
      <c r="C345">
        <v>8</v>
      </c>
      <c r="D345">
        <v>2</v>
      </c>
      <c r="E345">
        <v>12.9</v>
      </c>
      <c r="F345">
        <v>46.2</v>
      </c>
      <c r="G345">
        <v>4.7</v>
      </c>
      <c r="H345">
        <v>56</v>
      </c>
      <c r="I345">
        <v>65.3</v>
      </c>
      <c r="J345">
        <v>1</v>
      </c>
      <c r="K345">
        <v>36</v>
      </c>
      <c r="L345">
        <v>17.600000000000001</v>
      </c>
      <c r="M345">
        <v>5.5</v>
      </c>
      <c r="N345">
        <v>102</v>
      </c>
      <c r="O345">
        <v>86</v>
      </c>
      <c r="P345">
        <v>12.7</v>
      </c>
      <c r="Q345">
        <v>10.4</v>
      </c>
      <c r="R345">
        <v>6.7</v>
      </c>
      <c r="S345">
        <v>14.6</v>
      </c>
      <c r="T345">
        <v>89</v>
      </c>
      <c r="U345">
        <v>1893</v>
      </c>
      <c r="V345">
        <v>1578000</v>
      </c>
      <c r="W345">
        <v>48</v>
      </c>
      <c r="X345">
        <v>63.1</v>
      </c>
      <c r="Y345">
        <v>73.5</v>
      </c>
      <c r="Z345">
        <v>25.8</v>
      </c>
      <c r="AA345">
        <v>48</v>
      </c>
      <c r="AB345">
        <v>92.7</v>
      </c>
      <c r="AC345">
        <v>59.7</v>
      </c>
      <c r="AD345">
        <v>100</v>
      </c>
      <c r="AE345">
        <v>100</v>
      </c>
      <c r="AF345" t="s">
        <v>47</v>
      </c>
    </row>
    <row r="346" spans="1:32">
      <c r="A346" t="s">
        <v>1356</v>
      </c>
      <c r="B346">
        <v>2</v>
      </c>
      <c r="C346">
        <v>3</v>
      </c>
      <c r="D346">
        <v>2</v>
      </c>
      <c r="F346">
        <v>7</v>
      </c>
      <c r="G346">
        <v>5.2</v>
      </c>
      <c r="H346">
        <v>57.3</v>
      </c>
      <c r="I346">
        <v>73.8</v>
      </c>
      <c r="J346">
        <v>0</v>
      </c>
      <c r="K346">
        <v>41</v>
      </c>
      <c r="L346">
        <v>21.9</v>
      </c>
      <c r="M346">
        <v>3.7</v>
      </c>
      <c r="O346">
        <v>91</v>
      </c>
      <c r="P346">
        <v>15.2</v>
      </c>
      <c r="Q346">
        <v>11.5</v>
      </c>
      <c r="R346">
        <v>9.8000000000000007</v>
      </c>
      <c r="S346">
        <v>16.8</v>
      </c>
      <c r="T346">
        <v>86</v>
      </c>
      <c r="U346">
        <v>1808</v>
      </c>
      <c r="V346">
        <v>617000</v>
      </c>
      <c r="W346">
        <v>46</v>
      </c>
      <c r="X346">
        <v>74.400000000000006</v>
      </c>
      <c r="Y346">
        <v>75.2</v>
      </c>
      <c r="Z346">
        <v>77.599999999999994</v>
      </c>
      <c r="AA346">
        <v>46</v>
      </c>
      <c r="AB346">
        <v>93.5</v>
      </c>
      <c r="AC346">
        <v>74.3</v>
      </c>
      <c r="AD346">
        <v>100</v>
      </c>
      <c r="AE346">
        <v>90.5</v>
      </c>
      <c r="AF346" t="s">
        <v>47</v>
      </c>
    </row>
    <row r="347" spans="1:32">
      <c r="A347" t="s">
        <v>1358</v>
      </c>
      <c r="B347">
        <v>2.4</v>
      </c>
      <c r="C347">
        <v>8</v>
      </c>
      <c r="D347">
        <v>4</v>
      </c>
      <c r="E347">
        <v>11.5</v>
      </c>
      <c r="F347">
        <v>9.1999999999999993</v>
      </c>
      <c r="G347">
        <v>4.5</v>
      </c>
      <c r="H347">
        <v>70.7</v>
      </c>
      <c r="I347">
        <v>58.3</v>
      </c>
      <c r="J347">
        <v>0</v>
      </c>
      <c r="K347">
        <v>48</v>
      </c>
      <c r="L347">
        <v>29.2</v>
      </c>
      <c r="M347">
        <v>7.1</v>
      </c>
      <c r="N347">
        <v>87</v>
      </c>
      <c r="O347">
        <v>97</v>
      </c>
      <c r="P347">
        <v>16.7</v>
      </c>
      <c r="Q347">
        <v>12.9</v>
      </c>
      <c r="R347">
        <v>12.1</v>
      </c>
      <c r="S347">
        <v>23.6</v>
      </c>
      <c r="T347">
        <v>81</v>
      </c>
      <c r="U347">
        <v>2106</v>
      </c>
      <c r="V347">
        <v>1334000</v>
      </c>
      <c r="W347">
        <v>40</v>
      </c>
      <c r="X347">
        <v>56.8</v>
      </c>
      <c r="Y347">
        <v>65.099999999999994</v>
      </c>
      <c r="Z347">
        <v>67.5</v>
      </c>
      <c r="AA347">
        <v>40</v>
      </c>
      <c r="AB347">
        <v>90.6</v>
      </c>
      <c r="AC347">
        <v>62.7</v>
      </c>
      <c r="AD347">
        <v>100</v>
      </c>
      <c r="AE347">
        <v>100</v>
      </c>
      <c r="AF347" t="s">
        <v>47</v>
      </c>
    </row>
    <row r="348" spans="1:32">
      <c r="A348" t="s">
        <v>1360</v>
      </c>
      <c r="B348">
        <v>0.6</v>
      </c>
      <c r="C348">
        <v>7</v>
      </c>
      <c r="D348">
        <v>4</v>
      </c>
      <c r="E348">
        <v>12.1</v>
      </c>
      <c r="F348">
        <v>8.6</v>
      </c>
      <c r="G348">
        <v>6.1</v>
      </c>
      <c r="H348">
        <v>63.6</v>
      </c>
      <c r="I348">
        <v>63.5</v>
      </c>
      <c r="J348">
        <v>0</v>
      </c>
      <c r="K348">
        <v>48</v>
      </c>
      <c r="L348">
        <v>27.2</v>
      </c>
      <c r="M348">
        <v>5.2</v>
      </c>
      <c r="N348">
        <v>92</v>
      </c>
      <c r="O348">
        <v>78</v>
      </c>
      <c r="P348">
        <v>11.3</v>
      </c>
      <c r="Q348">
        <v>15.1</v>
      </c>
      <c r="R348">
        <v>7.3</v>
      </c>
      <c r="S348">
        <v>9.1999999999999993</v>
      </c>
      <c r="T348">
        <v>95</v>
      </c>
      <c r="U348">
        <v>2065</v>
      </c>
      <c r="V348">
        <v>1278000</v>
      </c>
      <c r="W348">
        <v>41</v>
      </c>
      <c r="X348">
        <v>59.5</v>
      </c>
      <c r="Y348">
        <v>71.599999999999994</v>
      </c>
      <c r="Z348">
        <v>79.400000000000006</v>
      </c>
      <c r="AA348">
        <v>41</v>
      </c>
      <c r="AB348">
        <v>91</v>
      </c>
      <c r="AC348">
        <v>67.8</v>
      </c>
      <c r="AD348">
        <v>100</v>
      </c>
      <c r="AE348">
        <v>100</v>
      </c>
      <c r="AF348" t="s">
        <v>47</v>
      </c>
    </row>
    <row r="349" spans="1:32">
      <c r="A349" t="s">
        <v>1362</v>
      </c>
      <c r="B349">
        <v>1.6</v>
      </c>
      <c r="C349">
        <v>4</v>
      </c>
      <c r="D349">
        <v>4</v>
      </c>
      <c r="E349">
        <v>7.3</v>
      </c>
      <c r="F349">
        <v>10.9</v>
      </c>
      <c r="G349">
        <v>5.5</v>
      </c>
      <c r="H349">
        <v>61.1</v>
      </c>
      <c r="I349">
        <v>60</v>
      </c>
      <c r="J349">
        <v>0</v>
      </c>
      <c r="K349">
        <v>42</v>
      </c>
      <c r="L349">
        <v>32.9</v>
      </c>
      <c r="M349">
        <v>5.6</v>
      </c>
      <c r="N349">
        <v>109</v>
      </c>
      <c r="O349">
        <v>82</v>
      </c>
      <c r="P349">
        <v>19.399999999999999</v>
      </c>
      <c r="Q349">
        <v>11.5</v>
      </c>
      <c r="R349">
        <v>10.9</v>
      </c>
      <c r="S349">
        <v>18.3</v>
      </c>
      <c r="T349">
        <v>100</v>
      </c>
      <c r="U349">
        <v>2518</v>
      </c>
      <c r="V349">
        <v>1681000</v>
      </c>
      <c r="W349">
        <v>65</v>
      </c>
      <c r="X349">
        <v>47.3</v>
      </c>
      <c r="Y349">
        <v>66.8</v>
      </c>
      <c r="Z349">
        <v>67.5</v>
      </c>
      <c r="AA349">
        <v>65</v>
      </c>
      <c r="AB349">
        <v>86.6</v>
      </c>
      <c r="AC349">
        <v>61.9</v>
      </c>
      <c r="AD349">
        <v>100</v>
      </c>
      <c r="AE349">
        <v>100</v>
      </c>
      <c r="AF349" t="s">
        <v>47</v>
      </c>
    </row>
    <row r="350" spans="1:32">
      <c r="A350" t="s">
        <v>1364</v>
      </c>
      <c r="B350">
        <v>3</v>
      </c>
      <c r="C350">
        <v>6</v>
      </c>
      <c r="D350">
        <v>3</v>
      </c>
      <c r="E350">
        <v>10.4</v>
      </c>
      <c r="F350">
        <v>11.5</v>
      </c>
      <c r="G350">
        <v>6.5</v>
      </c>
      <c r="H350">
        <v>56</v>
      </c>
      <c r="I350">
        <v>63.7</v>
      </c>
      <c r="J350">
        <v>0</v>
      </c>
      <c r="K350">
        <v>48</v>
      </c>
      <c r="L350">
        <v>28.2</v>
      </c>
      <c r="M350">
        <v>5.5</v>
      </c>
      <c r="N350">
        <v>105</v>
      </c>
      <c r="O350">
        <v>86</v>
      </c>
      <c r="P350">
        <v>14.3</v>
      </c>
      <c r="Q350">
        <v>8.6</v>
      </c>
      <c r="R350">
        <v>6.4</v>
      </c>
      <c r="S350">
        <v>18.2</v>
      </c>
      <c r="T350">
        <v>71</v>
      </c>
      <c r="U350">
        <v>2204</v>
      </c>
      <c r="V350">
        <v>1272000</v>
      </c>
      <c r="W350">
        <v>46</v>
      </c>
      <c r="X350">
        <v>54.4</v>
      </c>
      <c r="Y350">
        <v>73.2</v>
      </c>
      <c r="Z350">
        <v>66.099999999999994</v>
      </c>
      <c r="AA350">
        <v>46</v>
      </c>
      <c r="AB350">
        <v>89.7</v>
      </c>
      <c r="AC350">
        <v>64.099999999999994</v>
      </c>
      <c r="AD350">
        <v>100</v>
      </c>
      <c r="AE350">
        <v>100</v>
      </c>
      <c r="AF350" t="s">
        <v>47</v>
      </c>
    </row>
    <row r="351" spans="1:32">
      <c r="A351" t="s">
        <v>1366</v>
      </c>
      <c r="B351">
        <v>5.2</v>
      </c>
      <c r="C351">
        <v>13</v>
      </c>
      <c r="D351">
        <v>6</v>
      </c>
      <c r="E351">
        <v>8.6</v>
      </c>
      <c r="F351">
        <v>8.1</v>
      </c>
      <c r="G351">
        <v>5.4</v>
      </c>
      <c r="H351">
        <v>51.2</v>
      </c>
      <c r="I351">
        <v>82.8</v>
      </c>
      <c r="J351">
        <v>0</v>
      </c>
      <c r="K351">
        <v>54</v>
      </c>
      <c r="L351">
        <v>15.5</v>
      </c>
      <c r="M351">
        <v>2.8</v>
      </c>
      <c r="N351">
        <v>118</v>
      </c>
      <c r="O351">
        <v>82</v>
      </c>
      <c r="P351">
        <v>14.4</v>
      </c>
      <c r="Q351">
        <v>12.9</v>
      </c>
      <c r="R351">
        <v>7.8</v>
      </c>
      <c r="S351">
        <v>19.399999999999999</v>
      </c>
      <c r="T351">
        <v>96</v>
      </c>
      <c r="U351">
        <v>2294</v>
      </c>
      <c r="V351">
        <v>1104000</v>
      </c>
      <c r="W351">
        <v>59</v>
      </c>
      <c r="X351">
        <v>55.7</v>
      </c>
      <c r="Y351">
        <v>79.599999999999994</v>
      </c>
      <c r="Z351">
        <v>73.2</v>
      </c>
      <c r="AA351">
        <v>59</v>
      </c>
      <c r="AB351">
        <v>88.8</v>
      </c>
      <c r="AC351">
        <v>68.8</v>
      </c>
      <c r="AD351">
        <v>100</v>
      </c>
      <c r="AE351">
        <v>100</v>
      </c>
      <c r="AF351" t="s">
        <v>47</v>
      </c>
    </row>
    <row r="352" spans="1:32">
      <c r="A352" t="s">
        <v>1368</v>
      </c>
      <c r="B352">
        <v>2.4</v>
      </c>
      <c r="C352">
        <v>10</v>
      </c>
      <c r="D352">
        <v>2</v>
      </c>
      <c r="E352">
        <v>14.4</v>
      </c>
      <c r="F352">
        <v>16.600000000000001</v>
      </c>
      <c r="G352">
        <v>5.9</v>
      </c>
      <c r="H352">
        <v>54.8</v>
      </c>
      <c r="I352">
        <v>38.700000000000003</v>
      </c>
      <c r="J352">
        <v>0</v>
      </c>
      <c r="K352">
        <v>42</v>
      </c>
      <c r="L352">
        <v>37.799999999999997</v>
      </c>
      <c r="M352">
        <v>10.6</v>
      </c>
      <c r="N352">
        <v>92</v>
      </c>
      <c r="O352">
        <v>99</v>
      </c>
      <c r="P352">
        <v>21.2</v>
      </c>
      <c r="Q352">
        <v>10.199999999999999</v>
      </c>
      <c r="R352">
        <v>8.9</v>
      </c>
      <c r="S352">
        <v>16.3</v>
      </c>
      <c r="T352">
        <v>65</v>
      </c>
      <c r="U352">
        <v>1870</v>
      </c>
      <c r="V352">
        <v>2143000</v>
      </c>
      <c r="W352">
        <v>52</v>
      </c>
      <c r="X352">
        <v>57.2</v>
      </c>
      <c r="Y352">
        <v>56.3</v>
      </c>
      <c r="Z352">
        <v>55.7</v>
      </c>
      <c r="AA352">
        <v>52</v>
      </c>
      <c r="AB352">
        <v>92.9</v>
      </c>
      <c r="AC352">
        <v>59.7</v>
      </c>
      <c r="AD352">
        <v>100</v>
      </c>
      <c r="AE352">
        <v>100</v>
      </c>
      <c r="AF352" t="s">
        <v>47</v>
      </c>
    </row>
    <row r="353" spans="1:32">
      <c r="A353" t="s">
        <v>1370</v>
      </c>
      <c r="B353">
        <v>1.5</v>
      </c>
      <c r="C353">
        <v>5</v>
      </c>
      <c r="D353">
        <v>3</v>
      </c>
      <c r="E353">
        <v>9</v>
      </c>
      <c r="F353">
        <v>15.3</v>
      </c>
      <c r="G353">
        <v>4.9000000000000004</v>
      </c>
      <c r="H353">
        <v>47.8</v>
      </c>
      <c r="I353">
        <v>38.200000000000003</v>
      </c>
      <c r="J353">
        <v>0</v>
      </c>
      <c r="K353">
        <v>34</v>
      </c>
      <c r="L353">
        <v>26.9</v>
      </c>
      <c r="M353">
        <v>11.2</v>
      </c>
      <c r="N353">
        <v>94</v>
      </c>
      <c r="O353">
        <v>102</v>
      </c>
      <c r="P353">
        <v>19.8</v>
      </c>
      <c r="Q353">
        <v>9.6999999999999993</v>
      </c>
      <c r="R353">
        <v>6.3</v>
      </c>
      <c r="S353">
        <v>21.5</v>
      </c>
      <c r="T353">
        <v>84</v>
      </c>
      <c r="U353">
        <v>2276</v>
      </c>
      <c r="V353">
        <v>1590000</v>
      </c>
      <c r="W353">
        <v>46</v>
      </c>
      <c r="X353">
        <v>52.7</v>
      </c>
      <c r="Y353">
        <v>57.5</v>
      </c>
      <c r="Z353">
        <v>54.9</v>
      </c>
      <c r="AA353">
        <v>46</v>
      </c>
      <c r="AB353">
        <v>89</v>
      </c>
      <c r="AC353">
        <v>57.3</v>
      </c>
      <c r="AD353">
        <v>100</v>
      </c>
      <c r="AE353">
        <v>100</v>
      </c>
      <c r="AF353" t="s">
        <v>47</v>
      </c>
    </row>
    <row r="354" spans="1:32">
      <c r="A354" t="s">
        <v>1372</v>
      </c>
      <c r="B354">
        <v>2.4</v>
      </c>
      <c r="C354">
        <v>3</v>
      </c>
      <c r="D354">
        <v>5</v>
      </c>
      <c r="E354">
        <v>8.6</v>
      </c>
      <c r="F354">
        <v>3.3</v>
      </c>
      <c r="G354">
        <v>7.2</v>
      </c>
      <c r="H354">
        <v>85.9</v>
      </c>
      <c r="I354">
        <v>57.1</v>
      </c>
      <c r="J354">
        <v>0</v>
      </c>
      <c r="K354">
        <v>56</v>
      </c>
      <c r="L354">
        <v>24.7</v>
      </c>
      <c r="M354">
        <v>7.4</v>
      </c>
      <c r="N354">
        <v>75</v>
      </c>
      <c r="O354">
        <v>60</v>
      </c>
      <c r="P354">
        <v>17</v>
      </c>
      <c r="Q354">
        <v>5.5</v>
      </c>
      <c r="R354">
        <v>6.8</v>
      </c>
      <c r="S354">
        <v>15.8</v>
      </c>
      <c r="T354">
        <v>89</v>
      </c>
      <c r="U354">
        <v>7089</v>
      </c>
      <c r="V354">
        <v>1135000</v>
      </c>
      <c r="W354">
        <v>38</v>
      </c>
      <c r="X354">
        <v>58.1</v>
      </c>
      <c r="Y354">
        <v>69.400000000000006</v>
      </c>
      <c r="Z354">
        <v>86.9</v>
      </c>
      <c r="AA354">
        <v>38</v>
      </c>
      <c r="AB354">
        <v>42.4</v>
      </c>
      <c r="AC354">
        <v>63.1</v>
      </c>
      <c r="AD354">
        <v>100</v>
      </c>
      <c r="AE354">
        <v>100</v>
      </c>
      <c r="AF354" t="s">
        <v>47</v>
      </c>
    </row>
    <row r="355" spans="1:32">
      <c r="A355" t="s">
        <v>1375</v>
      </c>
      <c r="B355">
        <v>2.5</v>
      </c>
      <c r="C355">
        <v>9</v>
      </c>
      <c r="D355">
        <v>4</v>
      </c>
      <c r="E355">
        <v>10.5</v>
      </c>
      <c r="F355">
        <v>14.3</v>
      </c>
      <c r="G355">
        <v>6.8</v>
      </c>
      <c r="H355">
        <v>57.8</v>
      </c>
      <c r="I355">
        <v>46.3</v>
      </c>
      <c r="J355">
        <v>1</v>
      </c>
      <c r="K355">
        <v>38</v>
      </c>
      <c r="L355">
        <v>31</v>
      </c>
      <c r="M355">
        <v>9.1999999999999993</v>
      </c>
      <c r="N355">
        <v>83</v>
      </c>
      <c r="O355">
        <v>51</v>
      </c>
      <c r="P355">
        <v>20</v>
      </c>
      <c r="Q355">
        <v>8.6</v>
      </c>
      <c r="R355">
        <v>7.8</v>
      </c>
      <c r="S355">
        <v>11.6</v>
      </c>
      <c r="T355">
        <v>85</v>
      </c>
      <c r="U355">
        <v>5493</v>
      </c>
      <c r="V355">
        <v>860000</v>
      </c>
      <c r="W355">
        <v>53</v>
      </c>
      <c r="X355">
        <v>58.4</v>
      </c>
      <c r="Y355">
        <v>61.5</v>
      </c>
      <c r="Z355">
        <v>64.400000000000006</v>
      </c>
      <c r="AA355">
        <v>53</v>
      </c>
      <c r="AB355">
        <v>57.8</v>
      </c>
      <c r="AC355">
        <v>59.8</v>
      </c>
      <c r="AD355">
        <v>100</v>
      </c>
      <c r="AE355">
        <v>100</v>
      </c>
      <c r="AF355" t="s">
        <v>47</v>
      </c>
    </row>
    <row r="356" spans="1:32">
      <c r="A356" t="s">
        <v>1378</v>
      </c>
      <c r="B356">
        <v>6</v>
      </c>
      <c r="C356">
        <v>14</v>
      </c>
      <c r="D356">
        <v>12</v>
      </c>
      <c r="E356">
        <v>15.9</v>
      </c>
      <c r="F356">
        <v>11.2</v>
      </c>
      <c r="G356">
        <v>6</v>
      </c>
      <c r="H356">
        <v>59.6</v>
      </c>
      <c r="I356">
        <v>73.8</v>
      </c>
      <c r="J356">
        <v>1</v>
      </c>
      <c r="K356">
        <v>55</v>
      </c>
      <c r="L356">
        <v>16.3</v>
      </c>
      <c r="M356">
        <v>1.9</v>
      </c>
      <c r="N356">
        <v>69</v>
      </c>
      <c r="O356">
        <v>49</v>
      </c>
      <c r="P356">
        <v>8.9</v>
      </c>
      <c r="Q356">
        <v>9.1999999999999993</v>
      </c>
      <c r="R356">
        <v>12.2</v>
      </c>
      <c r="S356">
        <v>19.100000000000001</v>
      </c>
      <c r="T356">
        <v>88</v>
      </c>
      <c r="U356">
        <v>6881</v>
      </c>
      <c r="V356">
        <v>1002000</v>
      </c>
      <c r="W356">
        <v>46</v>
      </c>
      <c r="X356">
        <v>74.8</v>
      </c>
      <c r="Y356">
        <v>78.8</v>
      </c>
      <c r="Z356">
        <v>66.2</v>
      </c>
      <c r="AA356">
        <v>46</v>
      </c>
      <c r="AB356">
        <v>44.4</v>
      </c>
      <c r="AC356">
        <v>68.099999999999994</v>
      </c>
      <c r="AD356">
        <v>100</v>
      </c>
      <c r="AE356">
        <v>100</v>
      </c>
      <c r="AF356" t="s">
        <v>47</v>
      </c>
    </row>
    <row r="357" spans="1:32">
      <c r="A357" t="s">
        <v>1381</v>
      </c>
      <c r="B357">
        <v>1.5</v>
      </c>
      <c r="C357">
        <v>6</v>
      </c>
      <c r="D357">
        <v>4</v>
      </c>
      <c r="E357">
        <v>9.4</v>
      </c>
      <c r="F357">
        <v>1</v>
      </c>
      <c r="G357">
        <v>7.8</v>
      </c>
      <c r="H357">
        <v>82.9</v>
      </c>
      <c r="I357">
        <v>52.5</v>
      </c>
      <c r="J357">
        <v>0</v>
      </c>
      <c r="K357">
        <v>57</v>
      </c>
      <c r="L357">
        <v>30.1</v>
      </c>
      <c r="M357">
        <v>7.4</v>
      </c>
      <c r="N357">
        <v>71</v>
      </c>
      <c r="O357">
        <v>38</v>
      </c>
      <c r="P357">
        <v>16.100000000000001</v>
      </c>
      <c r="Q357">
        <v>5.0999999999999996</v>
      </c>
      <c r="R357">
        <v>8.5</v>
      </c>
      <c r="S357">
        <v>9.1999999999999993</v>
      </c>
      <c r="T357">
        <v>85</v>
      </c>
      <c r="U357">
        <v>7226</v>
      </c>
      <c r="V357">
        <v>1566000</v>
      </c>
      <c r="W357">
        <v>41</v>
      </c>
      <c r="X357">
        <v>59.3</v>
      </c>
      <c r="Y357">
        <v>67.599999999999994</v>
      </c>
      <c r="Z357">
        <v>94.8</v>
      </c>
      <c r="AA357">
        <v>41</v>
      </c>
      <c r="AB357">
        <v>41</v>
      </c>
      <c r="AC357">
        <v>64.8</v>
      </c>
      <c r="AD357">
        <v>100</v>
      </c>
      <c r="AE357">
        <v>100</v>
      </c>
      <c r="AF357" t="s">
        <v>47</v>
      </c>
    </row>
    <row r="358" spans="1:32">
      <c r="A358" t="s">
        <v>1383</v>
      </c>
      <c r="B358">
        <v>3.3</v>
      </c>
      <c r="C358">
        <v>10</v>
      </c>
      <c r="D358">
        <v>4</v>
      </c>
      <c r="E358">
        <v>8.4</v>
      </c>
      <c r="F358">
        <v>11.3</v>
      </c>
      <c r="G358">
        <v>6.8</v>
      </c>
      <c r="H358">
        <v>89</v>
      </c>
      <c r="I358">
        <v>62.3</v>
      </c>
      <c r="J358">
        <v>0</v>
      </c>
      <c r="K358">
        <v>53</v>
      </c>
      <c r="L358">
        <v>36</v>
      </c>
      <c r="M358">
        <v>6.3</v>
      </c>
      <c r="N358">
        <v>62</v>
      </c>
      <c r="O358">
        <v>27</v>
      </c>
      <c r="P358">
        <v>20.9</v>
      </c>
      <c r="Q358">
        <v>10.6</v>
      </c>
      <c r="R358">
        <v>6.5</v>
      </c>
      <c r="S358">
        <v>21.8</v>
      </c>
      <c r="T358">
        <v>96</v>
      </c>
      <c r="U358">
        <v>9472</v>
      </c>
      <c r="V358">
        <v>4115000</v>
      </c>
      <c r="W358">
        <v>66</v>
      </c>
      <c r="X358">
        <v>57</v>
      </c>
      <c r="Y358">
        <v>68.8</v>
      </c>
      <c r="Z358">
        <v>64</v>
      </c>
      <c r="AA358">
        <v>66</v>
      </c>
      <c r="AB358">
        <v>19.3</v>
      </c>
      <c r="AC358">
        <v>58.5</v>
      </c>
      <c r="AD358">
        <v>100</v>
      </c>
      <c r="AE358">
        <v>100</v>
      </c>
      <c r="AF358" t="s">
        <v>47</v>
      </c>
    </row>
    <row r="359" spans="1:32">
      <c r="A359" t="s">
        <v>1386</v>
      </c>
      <c r="B359">
        <v>0.8</v>
      </c>
      <c r="C359">
        <v>4</v>
      </c>
      <c r="D359">
        <v>1</v>
      </c>
      <c r="E359">
        <v>10.7</v>
      </c>
      <c r="F359">
        <v>10.199999999999999</v>
      </c>
      <c r="H359">
        <v>73.7</v>
      </c>
      <c r="J359">
        <v>0</v>
      </c>
      <c r="K359">
        <v>29</v>
      </c>
      <c r="L359">
        <v>40.200000000000003</v>
      </c>
      <c r="N359">
        <v>85</v>
      </c>
      <c r="O359">
        <v>40</v>
      </c>
      <c r="U359">
        <v>7868</v>
      </c>
      <c r="V359">
        <v>1530000</v>
      </c>
      <c r="W359">
        <v>58</v>
      </c>
      <c r="X359">
        <v>55.5</v>
      </c>
      <c r="Z359">
        <v>70.7</v>
      </c>
      <c r="AA359">
        <v>58</v>
      </c>
      <c r="AB359">
        <v>34.799999999999997</v>
      </c>
      <c r="AC359">
        <v>57.1</v>
      </c>
      <c r="AD359">
        <v>75</v>
      </c>
      <c r="AE359">
        <v>61.9</v>
      </c>
      <c r="AF359" t="s">
        <v>57</v>
      </c>
    </row>
    <row r="360" spans="1:32">
      <c r="A360" t="s">
        <v>1388</v>
      </c>
      <c r="B360">
        <v>0.5</v>
      </c>
      <c r="C360">
        <v>4</v>
      </c>
      <c r="D360">
        <v>2</v>
      </c>
      <c r="E360">
        <v>21.7</v>
      </c>
      <c r="F360">
        <v>11.6</v>
      </c>
      <c r="G360">
        <v>8.6</v>
      </c>
      <c r="I360">
        <v>59.1</v>
      </c>
      <c r="J360">
        <v>0</v>
      </c>
      <c r="K360">
        <v>46</v>
      </c>
      <c r="L360">
        <v>42.3</v>
      </c>
      <c r="M360">
        <v>7.5</v>
      </c>
      <c r="N360">
        <v>56</v>
      </c>
      <c r="P360">
        <v>24.2</v>
      </c>
      <c r="Q360">
        <v>10.6</v>
      </c>
      <c r="R360">
        <v>6.7</v>
      </c>
      <c r="S360">
        <v>14.8</v>
      </c>
      <c r="T360">
        <v>88</v>
      </c>
      <c r="U360">
        <v>6062</v>
      </c>
      <c r="V360">
        <v>1482000</v>
      </c>
      <c r="W360">
        <v>41</v>
      </c>
      <c r="X360">
        <v>72.599999999999994</v>
      </c>
      <c r="Y360">
        <v>65.400000000000006</v>
      </c>
      <c r="Z360">
        <v>68.400000000000006</v>
      </c>
      <c r="AA360">
        <v>41</v>
      </c>
      <c r="AB360">
        <v>52.3</v>
      </c>
      <c r="AC360">
        <v>64.8</v>
      </c>
      <c r="AD360">
        <v>100</v>
      </c>
      <c r="AE360">
        <v>90.5</v>
      </c>
      <c r="AF360" t="s">
        <v>47</v>
      </c>
    </row>
    <row r="361" spans="1:32">
      <c r="A361" t="s">
        <v>1391</v>
      </c>
      <c r="B361">
        <v>3.6</v>
      </c>
      <c r="C361">
        <v>4</v>
      </c>
      <c r="D361">
        <v>5</v>
      </c>
      <c r="E361">
        <v>16.399999999999999</v>
      </c>
      <c r="F361">
        <v>8.3000000000000007</v>
      </c>
      <c r="G361">
        <v>7.4</v>
      </c>
      <c r="H361">
        <v>94.6</v>
      </c>
      <c r="I361">
        <v>40.200000000000003</v>
      </c>
      <c r="J361">
        <v>1</v>
      </c>
      <c r="K361">
        <v>55</v>
      </c>
      <c r="L361">
        <v>21.6</v>
      </c>
      <c r="M361">
        <v>8.9</v>
      </c>
      <c r="N361">
        <v>54</v>
      </c>
      <c r="O361">
        <v>21</v>
      </c>
      <c r="P361">
        <v>19.8</v>
      </c>
      <c r="Q361">
        <v>11.3</v>
      </c>
      <c r="R361">
        <v>9.4</v>
      </c>
      <c r="S361">
        <v>16.7</v>
      </c>
      <c r="T361">
        <v>71</v>
      </c>
      <c r="U361">
        <v>8497</v>
      </c>
      <c r="V361">
        <v>2712000</v>
      </c>
      <c r="W361">
        <v>64</v>
      </c>
      <c r="X361">
        <v>77.099999999999994</v>
      </c>
      <c r="Y361">
        <v>58</v>
      </c>
      <c r="Z361">
        <v>74.7</v>
      </c>
      <c r="AA361">
        <v>64</v>
      </c>
      <c r="AB361">
        <v>28.7</v>
      </c>
      <c r="AC361">
        <v>65.7</v>
      </c>
      <c r="AD361">
        <v>100</v>
      </c>
      <c r="AE361">
        <v>100</v>
      </c>
      <c r="AF361" t="s">
        <v>47</v>
      </c>
    </row>
    <row r="362" spans="1:32">
      <c r="A362" t="s">
        <v>1393</v>
      </c>
      <c r="B362">
        <v>3.2</v>
      </c>
      <c r="C362">
        <v>11</v>
      </c>
      <c r="D362">
        <v>6</v>
      </c>
      <c r="E362">
        <v>16.3</v>
      </c>
      <c r="F362">
        <v>12.6</v>
      </c>
      <c r="G362">
        <v>3.5</v>
      </c>
      <c r="H362">
        <v>66.900000000000006</v>
      </c>
      <c r="I362">
        <v>60.1</v>
      </c>
      <c r="J362">
        <v>0</v>
      </c>
      <c r="K362">
        <v>49</v>
      </c>
      <c r="L362">
        <v>34.4</v>
      </c>
      <c r="M362">
        <v>6.6</v>
      </c>
      <c r="N362">
        <v>59</v>
      </c>
      <c r="O362">
        <v>44</v>
      </c>
      <c r="P362">
        <v>25.6</v>
      </c>
      <c r="Q362">
        <v>11.3</v>
      </c>
      <c r="R362">
        <v>10.1</v>
      </c>
      <c r="S362">
        <v>23.9</v>
      </c>
      <c r="T362">
        <v>87</v>
      </c>
      <c r="U362">
        <v>5611</v>
      </c>
      <c r="V362">
        <v>796000</v>
      </c>
      <c r="W362">
        <v>39</v>
      </c>
      <c r="X362">
        <v>69.3</v>
      </c>
      <c r="Y362">
        <v>64.2</v>
      </c>
      <c r="Z362">
        <v>59.4</v>
      </c>
      <c r="AA362">
        <v>39</v>
      </c>
      <c r="AB362">
        <v>56.7</v>
      </c>
      <c r="AC362">
        <v>61.8</v>
      </c>
      <c r="AD362">
        <v>100</v>
      </c>
      <c r="AE362">
        <v>100</v>
      </c>
      <c r="AF362" t="s">
        <v>47</v>
      </c>
    </row>
    <row r="363" spans="1:32">
      <c r="A363" t="s">
        <v>1395</v>
      </c>
      <c r="B363">
        <v>1.3</v>
      </c>
      <c r="C363">
        <v>4</v>
      </c>
      <c r="D363">
        <v>2</v>
      </c>
      <c r="F363">
        <v>5.0999999999999996</v>
      </c>
      <c r="G363">
        <v>7</v>
      </c>
      <c r="H363">
        <v>77.8</v>
      </c>
      <c r="I363">
        <v>47.9</v>
      </c>
      <c r="J363">
        <v>2</v>
      </c>
      <c r="K363">
        <v>33</v>
      </c>
      <c r="L363">
        <v>26.9</v>
      </c>
      <c r="M363">
        <v>8</v>
      </c>
      <c r="O363">
        <v>26</v>
      </c>
      <c r="P363">
        <v>16.899999999999999</v>
      </c>
      <c r="Q363">
        <v>10.5</v>
      </c>
      <c r="R363">
        <v>10.6</v>
      </c>
      <c r="S363">
        <v>10.199999999999999</v>
      </c>
      <c r="T363">
        <v>84</v>
      </c>
      <c r="U363">
        <v>6866</v>
      </c>
      <c r="V363">
        <v>1600000</v>
      </c>
      <c r="W363">
        <v>41</v>
      </c>
      <c r="X363">
        <v>81.5</v>
      </c>
      <c r="Y363">
        <v>62.2</v>
      </c>
      <c r="Z363">
        <v>86.8</v>
      </c>
      <c r="AA363">
        <v>41</v>
      </c>
      <c r="AB363">
        <v>44.5</v>
      </c>
      <c r="AC363">
        <v>70</v>
      </c>
      <c r="AD363">
        <v>100</v>
      </c>
      <c r="AE363">
        <v>90.5</v>
      </c>
      <c r="AF363" t="s">
        <v>47</v>
      </c>
    </row>
    <row r="364" spans="1:32">
      <c r="A364" t="s">
        <v>1397</v>
      </c>
      <c r="B364">
        <v>3.5</v>
      </c>
      <c r="C364">
        <v>7</v>
      </c>
      <c r="D364">
        <v>4</v>
      </c>
      <c r="E364">
        <v>11.4</v>
      </c>
      <c r="F364">
        <v>8.9</v>
      </c>
      <c r="G364">
        <v>5.2</v>
      </c>
      <c r="H364">
        <v>78.8</v>
      </c>
      <c r="I364">
        <v>67.8</v>
      </c>
      <c r="J364">
        <v>2</v>
      </c>
      <c r="K364">
        <v>44</v>
      </c>
      <c r="L364">
        <v>19.2</v>
      </c>
      <c r="M364">
        <v>5.8</v>
      </c>
      <c r="N364">
        <v>74</v>
      </c>
      <c r="O364">
        <v>57</v>
      </c>
      <c r="P364">
        <v>16.399999999999999</v>
      </c>
      <c r="Q364">
        <v>10.6</v>
      </c>
      <c r="R364">
        <v>9.5</v>
      </c>
      <c r="S364">
        <v>19</v>
      </c>
      <c r="T364">
        <v>95</v>
      </c>
      <c r="U364">
        <v>7046</v>
      </c>
      <c r="V364">
        <v>2151000</v>
      </c>
      <c r="W364">
        <v>45</v>
      </c>
      <c r="X364">
        <v>65.2</v>
      </c>
      <c r="Y364">
        <v>71.5</v>
      </c>
      <c r="Z364">
        <v>71.599999999999994</v>
      </c>
      <c r="AA364">
        <v>45</v>
      </c>
      <c r="AB364">
        <v>42.8</v>
      </c>
      <c r="AC364">
        <v>63.8</v>
      </c>
      <c r="AD364">
        <v>100</v>
      </c>
      <c r="AE364">
        <v>100</v>
      </c>
      <c r="AF364" t="s">
        <v>47</v>
      </c>
    </row>
    <row r="365" spans="1:32">
      <c r="A365" t="s">
        <v>1399</v>
      </c>
      <c r="B365">
        <v>6.5</v>
      </c>
      <c r="C365">
        <v>16</v>
      </c>
      <c r="D365">
        <v>8</v>
      </c>
      <c r="E365">
        <v>11.8</v>
      </c>
      <c r="F365">
        <v>12.4</v>
      </c>
      <c r="G365">
        <v>4.0999999999999996</v>
      </c>
      <c r="H365">
        <v>78.5</v>
      </c>
      <c r="I365">
        <v>59.7</v>
      </c>
      <c r="J365">
        <v>1</v>
      </c>
      <c r="K365">
        <v>50</v>
      </c>
      <c r="L365">
        <v>28.3</v>
      </c>
      <c r="M365">
        <v>7.1</v>
      </c>
      <c r="N365">
        <v>72</v>
      </c>
      <c r="O365">
        <v>43</v>
      </c>
      <c r="P365">
        <v>21.5</v>
      </c>
      <c r="Q365">
        <v>14.9</v>
      </c>
      <c r="R365">
        <v>9.9</v>
      </c>
      <c r="S365">
        <v>25.9</v>
      </c>
      <c r="T365">
        <v>80</v>
      </c>
      <c r="U365">
        <v>6359</v>
      </c>
      <c r="V365">
        <v>961000</v>
      </c>
      <c r="W365">
        <v>64</v>
      </c>
      <c r="X365">
        <v>63.4</v>
      </c>
      <c r="Y365">
        <v>63.9</v>
      </c>
      <c r="Z365">
        <v>58.4</v>
      </c>
      <c r="AA365">
        <v>64</v>
      </c>
      <c r="AB365">
        <v>49.4</v>
      </c>
      <c r="AC365">
        <v>61.2</v>
      </c>
      <c r="AD365">
        <v>100</v>
      </c>
      <c r="AE365">
        <v>100</v>
      </c>
      <c r="AF365" t="s">
        <v>47</v>
      </c>
    </row>
    <row r="366" spans="1:32">
      <c r="A366" t="s">
        <v>1401</v>
      </c>
      <c r="B366">
        <v>4.4000000000000004</v>
      </c>
      <c r="C366">
        <v>8</v>
      </c>
      <c r="D366">
        <v>7</v>
      </c>
      <c r="E366">
        <v>11.8</v>
      </c>
      <c r="F366">
        <v>10.1</v>
      </c>
      <c r="G366">
        <v>7.1</v>
      </c>
      <c r="H366">
        <v>78.3</v>
      </c>
      <c r="I366">
        <v>78.400000000000006</v>
      </c>
      <c r="J366">
        <v>0</v>
      </c>
      <c r="K366">
        <v>60</v>
      </c>
      <c r="L366">
        <v>32.6</v>
      </c>
      <c r="M366">
        <v>0.3</v>
      </c>
      <c r="N366">
        <v>65</v>
      </c>
      <c r="O366">
        <v>50</v>
      </c>
      <c r="P366">
        <v>19</v>
      </c>
      <c r="Q366">
        <v>11.5</v>
      </c>
      <c r="R366">
        <v>2.2000000000000002</v>
      </c>
      <c r="S366">
        <v>15.9</v>
      </c>
      <c r="T366">
        <v>96</v>
      </c>
      <c r="U366">
        <v>6287</v>
      </c>
      <c r="V366">
        <v>1284000</v>
      </c>
      <c r="W366">
        <v>41</v>
      </c>
      <c r="X366">
        <v>61.8</v>
      </c>
      <c r="Y366">
        <v>81.2</v>
      </c>
      <c r="Z366">
        <v>71.099999999999994</v>
      </c>
      <c r="AA366">
        <v>41</v>
      </c>
      <c r="AB366">
        <v>50.1</v>
      </c>
      <c r="AC366">
        <v>65.3</v>
      </c>
      <c r="AD366">
        <v>100</v>
      </c>
      <c r="AE366">
        <v>100</v>
      </c>
      <c r="AF366" t="s">
        <v>47</v>
      </c>
    </row>
    <row r="367" spans="1:32">
      <c r="A367" t="s">
        <v>1404</v>
      </c>
      <c r="B367">
        <v>3.4</v>
      </c>
      <c r="C367">
        <v>7</v>
      </c>
      <c r="D367">
        <v>5</v>
      </c>
      <c r="E367">
        <v>12.4</v>
      </c>
      <c r="F367">
        <v>10.5</v>
      </c>
      <c r="G367">
        <v>9.8000000000000007</v>
      </c>
      <c r="H367">
        <v>70</v>
      </c>
      <c r="I367">
        <v>60.9</v>
      </c>
      <c r="J367">
        <v>0</v>
      </c>
      <c r="K367">
        <v>58</v>
      </c>
      <c r="L367">
        <v>22.5</v>
      </c>
      <c r="M367">
        <v>7.7</v>
      </c>
      <c r="N367">
        <v>63</v>
      </c>
      <c r="O367">
        <v>31</v>
      </c>
      <c r="P367">
        <v>13</v>
      </c>
      <c r="Q367">
        <v>4.4000000000000004</v>
      </c>
      <c r="R367">
        <v>5.2</v>
      </c>
      <c r="S367">
        <v>9.8000000000000007</v>
      </c>
      <c r="T367">
        <v>98</v>
      </c>
      <c r="U367">
        <v>5733</v>
      </c>
      <c r="V367">
        <v>1819000</v>
      </c>
      <c r="W367">
        <v>58</v>
      </c>
      <c r="X367">
        <v>68.599999999999994</v>
      </c>
      <c r="Y367">
        <v>73.2</v>
      </c>
      <c r="Z367">
        <v>74.599999999999994</v>
      </c>
      <c r="AA367">
        <v>58</v>
      </c>
      <c r="AB367">
        <v>55.5</v>
      </c>
      <c r="AC367">
        <v>68.599999999999994</v>
      </c>
      <c r="AD367">
        <v>100</v>
      </c>
      <c r="AE367">
        <v>100</v>
      </c>
      <c r="AF367" t="s">
        <v>47</v>
      </c>
    </row>
    <row r="368" spans="1:32">
      <c r="A368" t="s">
        <v>1407</v>
      </c>
      <c r="B368">
        <v>1.9</v>
      </c>
      <c r="C368">
        <v>9</v>
      </c>
      <c r="D368">
        <v>3</v>
      </c>
      <c r="E368">
        <v>6.3</v>
      </c>
      <c r="F368">
        <v>6</v>
      </c>
      <c r="G368">
        <v>8.4</v>
      </c>
      <c r="H368">
        <v>76.8</v>
      </c>
      <c r="I368">
        <v>67.2</v>
      </c>
      <c r="J368">
        <v>1</v>
      </c>
      <c r="K368">
        <v>49</v>
      </c>
      <c r="L368">
        <v>21.2</v>
      </c>
      <c r="M368">
        <v>6.6</v>
      </c>
      <c r="N368">
        <v>92</v>
      </c>
      <c r="O368">
        <v>29</v>
      </c>
      <c r="P368">
        <v>16.7</v>
      </c>
      <c r="Q368">
        <v>7.9</v>
      </c>
      <c r="R368">
        <v>6</v>
      </c>
      <c r="S368">
        <v>15.2</v>
      </c>
      <c r="T368">
        <v>100</v>
      </c>
      <c r="U368">
        <v>5782</v>
      </c>
      <c r="V368">
        <v>942000</v>
      </c>
      <c r="W368">
        <v>55</v>
      </c>
      <c r="X368">
        <v>56.4</v>
      </c>
      <c r="Y368">
        <v>73.099999999999994</v>
      </c>
      <c r="Z368">
        <v>81.099999999999994</v>
      </c>
      <c r="AA368">
        <v>55</v>
      </c>
      <c r="AB368">
        <v>55</v>
      </c>
      <c r="AC368">
        <v>65.3</v>
      </c>
      <c r="AD368">
        <v>100</v>
      </c>
      <c r="AE368">
        <v>100</v>
      </c>
      <c r="AF368" t="s">
        <v>47</v>
      </c>
    </row>
    <row r="369" spans="1:32">
      <c r="A369" t="s">
        <v>1410</v>
      </c>
      <c r="B369">
        <v>2.8</v>
      </c>
      <c r="C369">
        <v>6</v>
      </c>
      <c r="D369">
        <v>4</v>
      </c>
      <c r="E369">
        <v>0.3</v>
      </c>
      <c r="F369">
        <v>1</v>
      </c>
      <c r="G369">
        <v>7.2</v>
      </c>
      <c r="H369">
        <v>63.6</v>
      </c>
      <c r="I369">
        <v>59.6</v>
      </c>
      <c r="J369">
        <v>0</v>
      </c>
      <c r="K369">
        <v>49</v>
      </c>
      <c r="L369">
        <v>32.799999999999997</v>
      </c>
      <c r="M369">
        <v>7.1</v>
      </c>
      <c r="N369">
        <v>100</v>
      </c>
      <c r="O369">
        <v>31</v>
      </c>
      <c r="P369">
        <v>22.3</v>
      </c>
      <c r="Q369">
        <v>13.4</v>
      </c>
      <c r="R369">
        <v>9.4</v>
      </c>
      <c r="S369">
        <v>13.6</v>
      </c>
      <c r="T369">
        <v>81</v>
      </c>
      <c r="U369">
        <v>5988</v>
      </c>
      <c r="V369">
        <v>2182000</v>
      </c>
      <c r="W369">
        <v>63</v>
      </c>
      <c r="X369">
        <v>41</v>
      </c>
      <c r="Y369">
        <v>64.400000000000006</v>
      </c>
      <c r="Z369">
        <v>91.5</v>
      </c>
      <c r="AA369">
        <v>63</v>
      </c>
      <c r="AB369">
        <v>53</v>
      </c>
      <c r="AC369">
        <v>60.3</v>
      </c>
      <c r="AD369">
        <v>100</v>
      </c>
      <c r="AE369">
        <v>100</v>
      </c>
      <c r="AF369" t="s">
        <v>47</v>
      </c>
    </row>
    <row r="370" spans="1:32">
      <c r="A370" t="s">
        <v>1412</v>
      </c>
      <c r="B370">
        <v>0.9</v>
      </c>
      <c r="C370">
        <v>3</v>
      </c>
      <c r="D370">
        <v>5</v>
      </c>
      <c r="E370">
        <v>11.8</v>
      </c>
      <c r="F370">
        <v>12.2</v>
      </c>
      <c r="G370">
        <v>10</v>
      </c>
      <c r="H370">
        <v>87.4</v>
      </c>
      <c r="I370">
        <v>49.2</v>
      </c>
      <c r="J370">
        <v>1</v>
      </c>
      <c r="K370">
        <v>48</v>
      </c>
      <c r="L370">
        <v>43.6</v>
      </c>
      <c r="M370">
        <v>6.8</v>
      </c>
      <c r="N370">
        <v>78</v>
      </c>
      <c r="O370">
        <v>38</v>
      </c>
      <c r="P370">
        <v>19.100000000000001</v>
      </c>
      <c r="Q370">
        <v>4.5999999999999996</v>
      </c>
      <c r="R370">
        <v>5.9</v>
      </c>
      <c r="S370">
        <v>7</v>
      </c>
      <c r="T370">
        <v>77</v>
      </c>
      <c r="U370">
        <v>7949</v>
      </c>
      <c r="V370">
        <v>4100000</v>
      </c>
      <c r="W370">
        <v>70</v>
      </c>
      <c r="X370">
        <v>56.7</v>
      </c>
      <c r="Y370">
        <v>67.099999999999994</v>
      </c>
      <c r="Z370">
        <v>72.7</v>
      </c>
      <c r="AA370">
        <v>70</v>
      </c>
      <c r="AB370">
        <v>34</v>
      </c>
      <c r="AC370">
        <v>61.6</v>
      </c>
      <c r="AD370">
        <v>100</v>
      </c>
      <c r="AE370">
        <v>100</v>
      </c>
      <c r="AF370" t="s">
        <v>47</v>
      </c>
    </row>
    <row r="371" spans="1:32">
      <c r="A371" t="s">
        <v>1414</v>
      </c>
      <c r="B371">
        <v>1.7</v>
      </c>
      <c r="C371">
        <v>5</v>
      </c>
      <c r="D371">
        <v>0</v>
      </c>
      <c r="E371">
        <v>9.6</v>
      </c>
      <c r="F371">
        <v>9.1</v>
      </c>
      <c r="G371">
        <v>4.9000000000000004</v>
      </c>
      <c r="H371">
        <v>66.099999999999994</v>
      </c>
      <c r="I371">
        <v>53.7</v>
      </c>
      <c r="J371">
        <v>0</v>
      </c>
      <c r="K371">
        <v>45</v>
      </c>
      <c r="L371">
        <v>25.6</v>
      </c>
      <c r="M371">
        <v>7.2</v>
      </c>
      <c r="N371">
        <v>70</v>
      </c>
      <c r="O371">
        <v>47</v>
      </c>
      <c r="P371">
        <v>18.5</v>
      </c>
      <c r="Q371">
        <v>15.2</v>
      </c>
      <c r="R371">
        <v>9.9</v>
      </c>
      <c r="S371">
        <v>18.3</v>
      </c>
      <c r="T371">
        <v>93</v>
      </c>
      <c r="U371">
        <v>7686</v>
      </c>
      <c r="V371">
        <v>1230000</v>
      </c>
      <c r="W371">
        <v>68</v>
      </c>
      <c r="X371">
        <v>60.9</v>
      </c>
      <c r="Y371">
        <v>62.8</v>
      </c>
      <c r="Z371">
        <v>71.599999999999994</v>
      </c>
      <c r="AA371">
        <v>68</v>
      </c>
      <c r="AB371">
        <v>36.6</v>
      </c>
      <c r="AC371">
        <v>61.8</v>
      </c>
      <c r="AD371">
        <v>100</v>
      </c>
      <c r="AE371">
        <v>100</v>
      </c>
      <c r="AF371" t="s">
        <v>47</v>
      </c>
    </row>
    <row r="372" spans="1:32">
      <c r="A372" t="s">
        <v>1417</v>
      </c>
      <c r="B372">
        <v>1.2</v>
      </c>
      <c r="C372">
        <v>5</v>
      </c>
      <c r="D372">
        <v>0</v>
      </c>
      <c r="E372">
        <v>10.7</v>
      </c>
      <c r="F372">
        <v>7.2</v>
      </c>
      <c r="G372">
        <v>5.6</v>
      </c>
      <c r="H372">
        <v>71.599999999999994</v>
      </c>
      <c r="I372">
        <v>56.5</v>
      </c>
      <c r="J372">
        <v>0</v>
      </c>
      <c r="K372">
        <v>48</v>
      </c>
      <c r="L372">
        <v>24.8</v>
      </c>
      <c r="M372">
        <v>9</v>
      </c>
      <c r="N372">
        <v>76</v>
      </c>
      <c r="O372">
        <v>42</v>
      </c>
      <c r="P372">
        <v>18.600000000000001</v>
      </c>
      <c r="Q372">
        <v>16</v>
      </c>
      <c r="R372">
        <v>7.2</v>
      </c>
      <c r="S372">
        <v>16.3</v>
      </c>
      <c r="T372">
        <v>87</v>
      </c>
      <c r="U372">
        <v>6132</v>
      </c>
      <c r="V372">
        <v>1284000</v>
      </c>
      <c r="W372">
        <v>61</v>
      </c>
      <c r="X372">
        <v>62.7</v>
      </c>
      <c r="Y372">
        <v>63.2</v>
      </c>
      <c r="Z372">
        <v>77.5</v>
      </c>
      <c r="AA372">
        <v>61</v>
      </c>
      <c r="AB372">
        <v>51.6</v>
      </c>
      <c r="AC372">
        <v>64.5</v>
      </c>
      <c r="AD372">
        <v>100</v>
      </c>
      <c r="AE372">
        <v>100</v>
      </c>
      <c r="AF372" t="s">
        <v>47</v>
      </c>
    </row>
    <row r="373" spans="1:32">
      <c r="A373" t="s">
        <v>1419</v>
      </c>
      <c r="B373">
        <v>7.6</v>
      </c>
      <c r="C373">
        <v>22</v>
      </c>
      <c r="D373">
        <v>12</v>
      </c>
      <c r="E373">
        <v>15.5</v>
      </c>
      <c r="F373">
        <v>4.5</v>
      </c>
      <c r="G373">
        <v>6.4</v>
      </c>
      <c r="H373">
        <v>64.5</v>
      </c>
      <c r="J373">
        <v>1</v>
      </c>
      <c r="K373">
        <v>54</v>
      </c>
      <c r="L373">
        <v>14</v>
      </c>
      <c r="N373">
        <v>45</v>
      </c>
      <c r="O373">
        <v>35</v>
      </c>
      <c r="Q373">
        <v>12.6</v>
      </c>
      <c r="R373">
        <v>10.199999999999999</v>
      </c>
      <c r="S373">
        <v>20.5</v>
      </c>
      <c r="U373">
        <v>7840</v>
      </c>
      <c r="V373">
        <v>871000</v>
      </c>
      <c r="W373">
        <v>46</v>
      </c>
      <c r="X373">
        <v>78.7</v>
      </c>
      <c r="Y373">
        <v>71.099999999999994</v>
      </c>
      <c r="Z373">
        <v>80.7</v>
      </c>
      <c r="AA373">
        <v>46</v>
      </c>
      <c r="AB373">
        <v>35.1</v>
      </c>
      <c r="AC373">
        <v>69.599999999999994</v>
      </c>
      <c r="AD373">
        <v>100</v>
      </c>
      <c r="AE373">
        <v>81</v>
      </c>
      <c r="AF373" t="s">
        <v>1971</v>
      </c>
    </row>
    <row r="374" spans="1:32">
      <c r="A374" t="s">
        <v>1421</v>
      </c>
      <c r="B374">
        <v>2.4</v>
      </c>
      <c r="C374">
        <v>9</v>
      </c>
      <c r="D374">
        <v>4</v>
      </c>
      <c r="E374">
        <v>8</v>
      </c>
      <c r="F374">
        <v>4</v>
      </c>
      <c r="G374">
        <v>5.9</v>
      </c>
      <c r="H374">
        <v>76.400000000000006</v>
      </c>
      <c r="I374">
        <v>56</v>
      </c>
      <c r="J374">
        <v>0</v>
      </c>
      <c r="K374">
        <v>52</v>
      </c>
      <c r="L374">
        <v>33.799999999999997</v>
      </c>
      <c r="M374">
        <v>8.3000000000000007</v>
      </c>
      <c r="N374">
        <v>74</v>
      </c>
      <c r="O374">
        <v>43</v>
      </c>
      <c r="P374">
        <v>20.5</v>
      </c>
      <c r="Q374">
        <v>10.1</v>
      </c>
      <c r="R374">
        <v>9.1</v>
      </c>
      <c r="S374">
        <v>19.399999999999999</v>
      </c>
      <c r="T374">
        <v>93</v>
      </c>
      <c r="U374">
        <v>6338</v>
      </c>
      <c r="V374">
        <v>1791000</v>
      </c>
      <c r="W374">
        <v>38</v>
      </c>
      <c r="X374">
        <v>54.8</v>
      </c>
      <c r="Y374">
        <v>64.3</v>
      </c>
      <c r="Z374">
        <v>82.7</v>
      </c>
      <c r="AA374">
        <v>38</v>
      </c>
      <c r="AB374">
        <v>49.6</v>
      </c>
      <c r="AC374">
        <v>60.5</v>
      </c>
      <c r="AD374">
        <v>100</v>
      </c>
      <c r="AE374">
        <v>100</v>
      </c>
      <c r="AF374" t="s">
        <v>47</v>
      </c>
    </row>
    <row r="375" spans="1:32">
      <c r="A375" t="s">
        <v>1424</v>
      </c>
      <c r="B375">
        <v>4.0999999999999996</v>
      </c>
      <c r="C375">
        <v>15</v>
      </c>
      <c r="D375">
        <v>4</v>
      </c>
      <c r="E375">
        <v>12.1</v>
      </c>
      <c r="F375">
        <v>2.6</v>
      </c>
      <c r="G375">
        <v>9.3000000000000007</v>
      </c>
      <c r="H375">
        <v>75</v>
      </c>
      <c r="I375">
        <v>66</v>
      </c>
      <c r="J375">
        <v>1</v>
      </c>
      <c r="K375">
        <v>61</v>
      </c>
      <c r="L375">
        <v>25.2</v>
      </c>
      <c r="M375">
        <v>5.2</v>
      </c>
      <c r="N375">
        <v>74</v>
      </c>
      <c r="O375">
        <v>28</v>
      </c>
      <c r="P375">
        <v>17.100000000000001</v>
      </c>
      <c r="Q375">
        <v>6.1</v>
      </c>
      <c r="R375">
        <v>5.0999999999999996</v>
      </c>
      <c r="S375">
        <v>12.2</v>
      </c>
      <c r="T375">
        <v>95</v>
      </c>
      <c r="U375">
        <v>6276</v>
      </c>
      <c r="V375">
        <v>2001000</v>
      </c>
      <c r="W375">
        <v>60</v>
      </c>
      <c r="X375">
        <v>66</v>
      </c>
      <c r="Y375">
        <v>74.7</v>
      </c>
      <c r="Z375">
        <v>91.2</v>
      </c>
      <c r="AA375">
        <v>60</v>
      </c>
      <c r="AB375">
        <v>50.2</v>
      </c>
      <c r="AC375">
        <v>71.099999999999994</v>
      </c>
      <c r="AD375">
        <v>100</v>
      </c>
      <c r="AE375">
        <v>100</v>
      </c>
      <c r="AF375" t="s">
        <v>47</v>
      </c>
    </row>
    <row r="376" spans="1:32">
      <c r="A376" t="s">
        <v>1426</v>
      </c>
      <c r="B376">
        <v>1.9</v>
      </c>
      <c r="C376">
        <v>4</v>
      </c>
      <c r="D376">
        <v>1</v>
      </c>
      <c r="E376">
        <v>9.1</v>
      </c>
      <c r="F376">
        <v>8.3000000000000007</v>
      </c>
      <c r="G376">
        <v>5.7</v>
      </c>
      <c r="H376">
        <v>76.7</v>
      </c>
      <c r="I376">
        <v>54.8</v>
      </c>
      <c r="J376">
        <v>0</v>
      </c>
      <c r="K376">
        <v>48</v>
      </c>
      <c r="L376">
        <v>29</v>
      </c>
      <c r="M376">
        <v>4.4000000000000004</v>
      </c>
      <c r="N376">
        <v>81</v>
      </c>
      <c r="O376">
        <v>50</v>
      </c>
      <c r="P376">
        <v>16.399999999999999</v>
      </c>
      <c r="Q376">
        <v>11</v>
      </c>
      <c r="R376">
        <v>5.3</v>
      </c>
      <c r="S376">
        <v>17.100000000000001</v>
      </c>
      <c r="T376">
        <v>87</v>
      </c>
      <c r="U376">
        <v>5333</v>
      </c>
      <c r="V376">
        <v>781000</v>
      </c>
      <c r="W376">
        <v>40</v>
      </c>
      <c r="X376">
        <v>57.3</v>
      </c>
      <c r="Y376">
        <v>69.7</v>
      </c>
      <c r="Z376">
        <v>74.400000000000006</v>
      </c>
      <c r="AA376">
        <v>40</v>
      </c>
      <c r="AB376">
        <v>59.4</v>
      </c>
      <c r="AC376">
        <v>62.3</v>
      </c>
      <c r="AD376">
        <v>100</v>
      </c>
      <c r="AE376">
        <v>100</v>
      </c>
      <c r="AF376" t="s">
        <v>47</v>
      </c>
    </row>
    <row r="377" spans="1:32">
      <c r="A377" t="s">
        <v>1429</v>
      </c>
      <c r="B377">
        <v>3.7</v>
      </c>
      <c r="C377">
        <v>11</v>
      </c>
      <c r="D377">
        <v>4</v>
      </c>
      <c r="E377">
        <v>11.6</v>
      </c>
      <c r="F377">
        <v>8</v>
      </c>
      <c r="G377">
        <v>7.3</v>
      </c>
      <c r="H377">
        <v>78.7</v>
      </c>
      <c r="I377">
        <v>66.099999999999994</v>
      </c>
      <c r="J377">
        <v>0</v>
      </c>
      <c r="K377">
        <v>58</v>
      </c>
      <c r="L377">
        <v>37</v>
      </c>
      <c r="M377">
        <v>4.4000000000000004</v>
      </c>
      <c r="N377">
        <v>75</v>
      </c>
      <c r="O377">
        <v>37</v>
      </c>
      <c r="P377">
        <v>16.7</v>
      </c>
      <c r="Q377">
        <v>10.3</v>
      </c>
      <c r="R377">
        <v>6.7</v>
      </c>
      <c r="S377">
        <v>11.3</v>
      </c>
      <c r="T377">
        <v>84</v>
      </c>
      <c r="U377">
        <v>8047</v>
      </c>
      <c r="V377">
        <v>1941000</v>
      </c>
      <c r="W377">
        <v>56</v>
      </c>
      <c r="X377">
        <v>59.5</v>
      </c>
      <c r="Y377">
        <v>73.2</v>
      </c>
      <c r="Z377">
        <v>79.3</v>
      </c>
      <c r="AA377">
        <v>56</v>
      </c>
      <c r="AB377">
        <v>33.1</v>
      </c>
      <c r="AC377">
        <v>63.9</v>
      </c>
      <c r="AD377">
        <v>100</v>
      </c>
      <c r="AE377">
        <v>100</v>
      </c>
      <c r="AF377" t="s">
        <v>47</v>
      </c>
    </row>
    <row r="378" spans="1:32">
      <c r="A378" t="s">
        <v>1432</v>
      </c>
      <c r="B378">
        <v>0.5</v>
      </c>
      <c r="C378">
        <v>4</v>
      </c>
      <c r="D378">
        <v>2</v>
      </c>
      <c r="E378">
        <v>4.4000000000000004</v>
      </c>
      <c r="F378">
        <v>11</v>
      </c>
      <c r="G378">
        <v>5.6</v>
      </c>
      <c r="H378">
        <v>66</v>
      </c>
      <c r="I378">
        <v>49.2</v>
      </c>
      <c r="J378">
        <v>0</v>
      </c>
      <c r="K378">
        <v>37</v>
      </c>
      <c r="L378">
        <v>42.3</v>
      </c>
      <c r="M378">
        <v>7</v>
      </c>
      <c r="N378">
        <v>97</v>
      </c>
      <c r="O378">
        <v>54</v>
      </c>
      <c r="P378">
        <v>19.600000000000001</v>
      </c>
      <c r="Q378">
        <v>8.4</v>
      </c>
      <c r="R378">
        <v>7.7</v>
      </c>
      <c r="S378">
        <v>18.7</v>
      </c>
      <c r="T378">
        <v>77</v>
      </c>
      <c r="U378">
        <v>6460</v>
      </c>
      <c r="V378">
        <v>1998000</v>
      </c>
      <c r="W378">
        <v>48</v>
      </c>
      <c r="X378">
        <v>42.2</v>
      </c>
      <c r="Y378">
        <v>64.5</v>
      </c>
      <c r="Z378">
        <v>66.900000000000006</v>
      </c>
      <c r="AA378">
        <v>48</v>
      </c>
      <c r="AB378">
        <v>48.5</v>
      </c>
      <c r="AC378">
        <v>53.9</v>
      </c>
      <c r="AD378">
        <v>100</v>
      </c>
      <c r="AE378">
        <v>100</v>
      </c>
      <c r="AF378" t="s">
        <v>47</v>
      </c>
    </row>
    <row r="379" spans="1:32">
      <c r="A379" t="s">
        <v>1435</v>
      </c>
      <c r="B379">
        <v>2.9</v>
      </c>
      <c r="C379">
        <v>9</v>
      </c>
      <c r="D379">
        <v>5</v>
      </c>
      <c r="E379">
        <v>8.1</v>
      </c>
      <c r="F379">
        <v>9.6</v>
      </c>
      <c r="G379">
        <v>7</v>
      </c>
      <c r="H379">
        <v>77.400000000000006</v>
      </c>
      <c r="I379">
        <v>61.1</v>
      </c>
      <c r="J379">
        <v>1</v>
      </c>
      <c r="K379">
        <v>46</v>
      </c>
      <c r="L379">
        <v>21.6</v>
      </c>
      <c r="M379">
        <v>6.5</v>
      </c>
      <c r="N379">
        <v>89</v>
      </c>
      <c r="O379">
        <v>29</v>
      </c>
      <c r="P379">
        <v>19.899999999999999</v>
      </c>
      <c r="Q379">
        <v>9.5</v>
      </c>
      <c r="R379">
        <v>4.8</v>
      </c>
      <c r="S379">
        <v>12.3</v>
      </c>
      <c r="T379">
        <v>80</v>
      </c>
      <c r="U379">
        <v>7732</v>
      </c>
      <c r="V379">
        <v>1635000</v>
      </c>
      <c r="W379">
        <v>56</v>
      </c>
      <c r="X379">
        <v>59.5</v>
      </c>
      <c r="Y379">
        <v>69.8</v>
      </c>
      <c r="Z379">
        <v>74.8</v>
      </c>
      <c r="AA379">
        <v>56</v>
      </c>
      <c r="AB379">
        <v>36.1</v>
      </c>
      <c r="AC379">
        <v>62.4</v>
      </c>
      <c r="AD379">
        <v>100</v>
      </c>
      <c r="AE379">
        <v>100</v>
      </c>
      <c r="AF379" t="s">
        <v>47</v>
      </c>
    </row>
    <row r="380" spans="1:32">
      <c r="A380" t="s">
        <v>1437</v>
      </c>
      <c r="B380">
        <v>1.2</v>
      </c>
      <c r="C380">
        <v>2</v>
      </c>
      <c r="D380">
        <v>0</v>
      </c>
      <c r="E380">
        <v>11.4</v>
      </c>
      <c r="F380">
        <v>15.2</v>
      </c>
      <c r="G380">
        <v>7.6</v>
      </c>
      <c r="H380">
        <v>72.099999999999994</v>
      </c>
      <c r="I380">
        <v>60.1</v>
      </c>
      <c r="J380">
        <v>0</v>
      </c>
      <c r="K380">
        <v>46</v>
      </c>
      <c r="L380">
        <v>42.5</v>
      </c>
      <c r="M380">
        <v>6.3</v>
      </c>
      <c r="N380">
        <v>78</v>
      </c>
      <c r="O380">
        <v>32</v>
      </c>
      <c r="P380">
        <v>18.399999999999999</v>
      </c>
      <c r="Q380">
        <v>11.7</v>
      </c>
      <c r="R380">
        <v>6.3</v>
      </c>
      <c r="S380">
        <v>7.1</v>
      </c>
      <c r="T380">
        <v>84</v>
      </c>
      <c r="U380">
        <v>6760</v>
      </c>
      <c r="V380">
        <v>1290000</v>
      </c>
      <c r="W380">
        <v>74</v>
      </c>
      <c r="X380">
        <v>57</v>
      </c>
      <c r="Y380">
        <v>68.599999999999994</v>
      </c>
      <c r="Z380">
        <v>65.599999999999994</v>
      </c>
      <c r="AA380">
        <v>74</v>
      </c>
      <c r="AB380">
        <v>45.6</v>
      </c>
      <c r="AC380">
        <v>62.2</v>
      </c>
      <c r="AD380">
        <v>100</v>
      </c>
      <c r="AE380">
        <v>100</v>
      </c>
      <c r="AF380" t="s">
        <v>47</v>
      </c>
    </row>
    <row r="381" spans="1:32">
      <c r="A381" t="s">
        <v>1439</v>
      </c>
      <c r="B381">
        <v>4.5999999999999996</v>
      </c>
      <c r="C381">
        <v>11</v>
      </c>
      <c r="D381">
        <v>4</v>
      </c>
      <c r="E381">
        <v>17.399999999999999</v>
      </c>
      <c r="F381">
        <v>19</v>
      </c>
      <c r="G381">
        <v>7.9</v>
      </c>
      <c r="H381">
        <v>67.900000000000006</v>
      </c>
      <c r="I381">
        <v>67.5</v>
      </c>
      <c r="J381">
        <v>0</v>
      </c>
      <c r="K381">
        <v>56</v>
      </c>
      <c r="L381">
        <v>30.9</v>
      </c>
      <c r="M381">
        <v>6</v>
      </c>
      <c r="N381">
        <v>69</v>
      </c>
      <c r="O381">
        <v>48</v>
      </c>
      <c r="P381">
        <v>17.100000000000001</v>
      </c>
      <c r="Q381">
        <v>8.6</v>
      </c>
      <c r="R381">
        <v>9.5</v>
      </c>
      <c r="S381">
        <v>15.8</v>
      </c>
      <c r="T381">
        <v>93</v>
      </c>
      <c r="U381">
        <v>8502</v>
      </c>
      <c r="V381">
        <v>1510000</v>
      </c>
      <c r="W381">
        <v>51</v>
      </c>
      <c r="X381">
        <v>71.2</v>
      </c>
      <c r="Y381">
        <v>71.8</v>
      </c>
      <c r="Z381">
        <v>50.5</v>
      </c>
      <c r="AA381">
        <v>51</v>
      </c>
      <c r="AB381">
        <v>28.7</v>
      </c>
      <c r="AC381">
        <v>60.9</v>
      </c>
      <c r="AD381">
        <v>100</v>
      </c>
      <c r="AE381">
        <v>100</v>
      </c>
      <c r="AF381" t="s">
        <v>47</v>
      </c>
    </row>
    <row r="382" spans="1:32">
      <c r="A382" t="s">
        <v>1441</v>
      </c>
      <c r="B382">
        <v>2.2999999999999998</v>
      </c>
      <c r="C382">
        <v>5</v>
      </c>
      <c r="D382">
        <v>1</v>
      </c>
      <c r="E382">
        <v>5.2</v>
      </c>
      <c r="F382">
        <v>10.1</v>
      </c>
      <c r="G382">
        <v>9.6</v>
      </c>
      <c r="H382">
        <v>90.1</v>
      </c>
      <c r="I382">
        <v>52.7</v>
      </c>
      <c r="J382">
        <v>0</v>
      </c>
      <c r="K382">
        <v>52</v>
      </c>
      <c r="L382">
        <v>30.5</v>
      </c>
      <c r="M382">
        <v>8.5</v>
      </c>
      <c r="N382">
        <v>82</v>
      </c>
      <c r="O382">
        <v>27</v>
      </c>
      <c r="P382">
        <v>19.7</v>
      </c>
      <c r="Q382">
        <v>10.5</v>
      </c>
      <c r="R382">
        <v>6.9</v>
      </c>
      <c r="S382">
        <v>8.8000000000000007</v>
      </c>
      <c r="T382">
        <v>90</v>
      </c>
      <c r="U382">
        <v>7666</v>
      </c>
      <c r="V382">
        <v>4195000</v>
      </c>
      <c r="W382">
        <v>71</v>
      </c>
      <c r="X382">
        <v>52</v>
      </c>
      <c r="Y382">
        <v>64.099999999999994</v>
      </c>
      <c r="Z382">
        <v>76.2</v>
      </c>
      <c r="AA382">
        <v>71</v>
      </c>
      <c r="AB382">
        <v>36.799999999999997</v>
      </c>
      <c r="AC382">
        <v>60.3</v>
      </c>
      <c r="AD382">
        <v>100</v>
      </c>
      <c r="AE382">
        <v>100</v>
      </c>
      <c r="AF382" t="s">
        <v>47</v>
      </c>
    </row>
    <row r="383" spans="1:32">
      <c r="A383" t="s">
        <v>1443</v>
      </c>
      <c r="B383">
        <v>1.3</v>
      </c>
      <c r="C383">
        <v>8</v>
      </c>
      <c r="D383">
        <v>1</v>
      </c>
      <c r="E383">
        <v>13</v>
      </c>
      <c r="F383">
        <v>18.899999999999999</v>
      </c>
      <c r="G383">
        <v>4.9000000000000004</v>
      </c>
      <c r="H383">
        <v>62.6</v>
      </c>
      <c r="I383">
        <v>19.8</v>
      </c>
      <c r="J383">
        <v>0</v>
      </c>
      <c r="K383">
        <v>34</v>
      </c>
      <c r="L383">
        <v>34.200000000000003</v>
      </c>
      <c r="M383">
        <v>11.1</v>
      </c>
      <c r="N383">
        <v>75</v>
      </c>
      <c r="O383">
        <v>53</v>
      </c>
      <c r="P383">
        <v>27.1</v>
      </c>
      <c r="Q383">
        <v>16.8</v>
      </c>
      <c r="R383">
        <v>10.6</v>
      </c>
      <c r="S383">
        <v>19.399999999999999</v>
      </c>
      <c r="T383">
        <v>63</v>
      </c>
      <c r="U383">
        <v>6209</v>
      </c>
      <c r="V383">
        <v>976000</v>
      </c>
      <c r="W383">
        <v>28</v>
      </c>
      <c r="X383">
        <v>61.7</v>
      </c>
      <c r="Y383">
        <v>43.8</v>
      </c>
      <c r="Z383">
        <v>48.1</v>
      </c>
      <c r="AA383">
        <v>28</v>
      </c>
      <c r="AB383">
        <v>50.9</v>
      </c>
      <c r="AC383">
        <v>50.1</v>
      </c>
      <c r="AD383">
        <v>100</v>
      </c>
      <c r="AE383">
        <v>100</v>
      </c>
      <c r="AF383" t="s">
        <v>47</v>
      </c>
    </row>
    <row r="384" spans="1:32">
      <c r="A384" t="s">
        <v>1445</v>
      </c>
      <c r="B384">
        <v>2.6</v>
      </c>
      <c r="C384">
        <v>7</v>
      </c>
      <c r="D384">
        <v>4</v>
      </c>
      <c r="E384">
        <v>7.8</v>
      </c>
      <c r="F384">
        <v>8.6</v>
      </c>
      <c r="G384">
        <v>7.2</v>
      </c>
      <c r="H384">
        <v>92.4</v>
      </c>
      <c r="I384">
        <v>63.8</v>
      </c>
      <c r="J384">
        <v>0</v>
      </c>
      <c r="K384">
        <v>54</v>
      </c>
      <c r="L384">
        <v>25.3</v>
      </c>
      <c r="M384">
        <v>3.1</v>
      </c>
      <c r="N384">
        <v>86</v>
      </c>
      <c r="O384">
        <v>29</v>
      </c>
      <c r="P384">
        <v>19.899999999999999</v>
      </c>
      <c r="Q384">
        <v>8.4</v>
      </c>
      <c r="R384">
        <v>3.9</v>
      </c>
      <c r="S384">
        <v>13.3</v>
      </c>
      <c r="T384">
        <v>93</v>
      </c>
      <c r="U384">
        <v>6510</v>
      </c>
      <c r="V384">
        <v>1109000</v>
      </c>
      <c r="W384">
        <v>51</v>
      </c>
      <c r="X384">
        <v>57.8</v>
      </c>
      <c r="Y384">
        <v>74.099999999999994</v>
      </c>
      <c r="Z384">
        <v>76.400000000000006</v>
      </c>
      <c r="AA384">
        <v>51</v>
      </c>
      <c r="AB384">
        <v>48</v>
      </c>
      <c r="AC384">
        <v>63.9</v>
      </c>
      <c r="AD384">
        <v>100</v>
      </c>
      <c r="AE384">
        <v>100</v>
      </c>
      <c r="AF384" t="s">
        <v>47</v>
      </c>
    </row>
    <row r="385" spans="1:32">
      <c r="A385" t="s">
        <v>1447</v>
      </c>
      <c r="B385">
        <v>0.5</v>
      </c>
      <c r="C385">
        <v>5</v>
      </c>
      <c r="D385">
        <v>0</v>
      </c>
      <c r="E385">
        <v>11.6</v>
      </c>
      <c r="F385">
        <v>8.1</v>
      </c>
      <c r="G385">
        <v>6.9</v>
      </c>
      <c r="H385">
        <v>75</v>
      </c>
      <c r="I385">
        <v>57.6</v>
      </c>
      <c r="J385">
        <v>0</v>
      </c>
      <c r="K385">
        <v>49</v>
      </c>
      <c r="L385">
        <v>24.3</v>
      </c>
      <c r="M385">
        <v>9.1</v>
      </c>
      <c r="N385">
        <v>79</v>
      </c>
      <c r="O385">
        <v>30</v>
      </c>
      <c r="P385">
        <v>19.100000000000001</v>
      </c>
      <c r="Q385">
        <v>12.4</v>
      </c>
      <c r="R385">
        <v>6.7</v>
      </c>
      <c r="S385">
        <v>14.2</v>
      </c>
      <c r="T385">
        <v>78</v>
      </c>
      <c r="U385">
        <v>5480</v>
      </c>
      <c r="V385">
        <v>678000</v>
      </c>
      <c r="W385">
        <v>43</v>
      </c>
      <c r="X385">
        <v>64.900000000000006</v>
      </c>
      <c r="Y385">
        <v>64.900000000000006</v>
      </c>
      <c r="Z385">
        <v>76.900000000000006</v>
      </c>
      <c r="AA385">
        <v>43</v>
      </c>
      <c r="AB385">
        <v>57.9</v>
      </c>
      <c r="AC385">
        <v>64.400000000000006</v>
      </c>
      <c r="AD385">
        <v>100</v>
      </c>
      <c r="AE385">
        <v>100</v>
      </c>
      <c r="AF385" t="s">
        <v>47</v>
      </c>
    </row>
    <row r="386" spans="1:32">
      <c r="A386" t="s">
        <v>1450</v>
      </c>
      <c r="B386">
        <v>2.5</v>
      </c>
      <c r="C386">
        <v>6</v>
      </c>
      <c r="D386">
        <v>4</v>
      </c>
      <c r="E386">
        <v>9.3000000000000007</v>
      </c>
      <c r="F386">
        <v>8.4</v>
      </c>
      <c r="G386">
        <v>7.8</v>
      </c>
      <c r="H386">
        <v>86.5</v>
      </c>
      <c r="I386">
        <v>68.8</v>
      </c>
      <c r="J386">
        <v>1</v>
      </c>
      <c r="K386">
        <v>51</v>
      </c>
      <c r="L386">
        <v>24.4</v>
      </c>
      <c r="M386">
        <v>5.8</v>
      </c>
      <c r="N386">
        <v>89</v>
      </c>
      <c r="O386">
        <v>36</v>
      </c>
      <c r="P386">
        <v>12.5</v>
      </c>
      <c r="Q386">
        <v>4</v>
      </c>
      <c r="R386">
        <v>7.6</v>
      </c>
      <c r="S386">
        <v>9.5</v>
      </c>
      <c r="T386">
        <v>94</v>
      </c>
      <c r="U386">
        <v>10491</v>
      </c>
      <c r="V386">
        <v>3342000</v>
      </c>
      <c r="W386">
        <v>66</v>
      </c>
      <c r="X386">
        <v>59.7</v>
      </c>
      <c r="Y386">
        <v>76.7</v>
      </c>
      <c r="Z386">
        <v>79.7</v>
      </c>
      <c r="AA386">
        <v>66</v>
      </c>
      <c r="AB386">
        <v>9.4</v>
      </c>
      <c r="AC386">
        <v>63.5</v>
      </c>
      <c r="AD386">
        <v>100</v>
      </c>
      <c r="AE386">
        <v>100</v>
      </c>
      <c r="AF386" t="s">
        <v>47</v>
      </c>
    </row>
    <row r="387" spans="1:32">
      <c r="A387" t="s">
        <v>1453</v>
      </c>
      <c r="B387">
        <v>2.8</v>
      </c>
      <c r="C387">
        <v>8</v>
      </c>
      <c r="D387">
        <v>5</v>
      </c>
      <c r="E387">
        <v>11.8</v>
      </c>
      <c r="F387">
        <v>4.5999999999999996</v>
      </c>
      <c r="G387">
        <v>7.9</v>
      </c>
      <c r="H387">
        <v>65.3</v>
      </c>
      <c r="I387">
        <v>66.8</v>
      </c>
      <c r="J387">
        <v>1</v>
      </c>
      <c r="K387">
        <v>53</v>
      </c>
      <c r="L387">
        <v>20.8</v>
      </c>
      <c r="M387">
        <v>5.2</v>
      </c>
      <c r="N387">
        <v>63</v>
      </c>
      <c r="O387">
        <v>52</v>
      </c>
      <c r="P387">
        <v>15</v>
      </c>
      <c r="Q387">
        <v>8.1</v>
      </c>
      <c r="R387">
        <v>7.8</v>
      </c>
      <c r="S387">
        <v>14.8</v>
      </c>
      <c r="T387">
        <v>97</v>
      </c>
      <c r="U387">
        <v>8090</v>
      </c>
      <c r="V387">
        <v>693000</v>
      </c>
      <c r="W387">
        <v>39</v>
      </c>
      <c r="X387">
        <v>66.8</v>
      </c>
      <c r="Y387">
        <v>73.8</v>
      </c>
      <c r="Z387">
        <v>84.6</v>
      </c>
      <c r="AA387">
        <v>39</v>
      </c>
      <c r="AB387">
        <v>32.700000000000003</v>
      </c>
      <c r="AC387">
        <v>65.900000000000006</v>
      </c>
      <c r="AD387">
        <v>100</v>
      </c>
      <c r="AE387">
        <v>100</v>
      </c>
      <c r="AF387" t="s">
        <v>47</v>
      </c>
    </row>
    <row r="388" spans="1:32">
      <c r="A388" t="s">
        <v>1456</v>
      </c>
      <c r="B388">
        <v>5</v>
      </c>
      <c r="C388">
        <v>12</v>
      </c>
      <c r="D388">
        <v>8</v>
      </c>
      <c r="E388">
        <v>16.2</v>
      </c>
      <c r="F388">
        <v>8.9</v>
      </c>
      <c r="G388">
        <v>6.4</v>
      </c>
      <c r="H388">
        <v>88.6</v>
      </c>
      <c r="I388">
        <v>74.400000000000006</v>
      </c>
      <c r="J388">
        <v>0</v>
      </c>
      <c r="K388">
        <v>65</v>
      </c>
      <c r="L388">
        <v>37.700000000000003</v>
      </c>
      <c r="M388">
        <v>5.3</v>
      </c>
      <c r="N388">
        <v>71</v>
      </c>
      <c r="O388">
        <v>38</v>
      </c>
      <c r="P388">
        <v>21.6</v>
      </c>
      <c r="Q388">
        <v>10.7</v>
      </c>
      <c r="R388">
        <v>9.5</v>
      </c>
      <c r="S388">
        <v>15.6</v>
      </c>
      <c r="T388">
        <v>93</v>
      </c>
      <c r="U388">
        <v>8275</v>
      </c>
      <c r="V388">
        <v>1104000</v>
      </c>
      <c r="W388">
        <v>55</v>
      </c>
      <c r="X388">
        <v>67</v>
      </c>
      <c r="Y388">
        <v>72.2</v>
      </c>
      <c r="Z388">
        <v>74.099999999999994</v>
      </c>
      <c r="AA388">
        <v>55</v>
      </c>
      <c r="AB388">
        <v>30.9</v>
      </c>
      <c r="AC388">
        <v>64.900000000000006</v>
      </c>
      <c r="AD388">
        <v>100</v>
      </c>
      <c r="AE388">
        <v>100</v>
      </c>
      <c r="AF388" t="s">
        <v>47</v>
      </c>
    </row>
    <row r="389" spans="1:32">
      <c r="A389" t="s">
        <v>1459</v>
      </c>
      <c r="B389">
        <v>1.8</v>
      </c>
      <c r="C389">
        <v>6</v>
      </c>
      <c r="D389">
        <v>3</v>
      </c>
      <c r="E389">
        <v>9.1</v>
      </c>
      <c r="F389">
        <v>5.4</v>
      </c>
      <c r="G389">
        <v>5.9</v>
      </c>
      <c r="H389">
        <v>86.2</v>
      </c>
      <c r="I389">
        <v>66.400000000000006</v>
      </c>
      <c r="J389">
        <v>0</v>
      </c>
      <c r="K389">
        <v>54</v>
      </c>
      <c r="L389">
        <v>20.100000000000001</v>
      </c>
      <c r="M389">
        <v>7.1</v>
      </c>
      <c r="N389">
        <v>73</v>
      </c>
      <c r="O389">
        <v>34</v>
      </c>
      <c r="P389">
        <v>20.5</v>
      </c>
      <c r="Q389">
        <v>8.9</v>
      </c>
      <c r="R389">
        <v>8.4</v>
      </c>
      <c r="S389">
        <v>15</v>
      </c>
      <c r="T389">
        <v>88</v>
      </c>
      <c r="U389">
        <v>8439</v>
      </c>
      <c r="V389">
        <v>980000</v>
      </c>
      <c r="W389">
        <v>50</v>
      </c>
      <c r="X389">
        <v>63</v>
      </c>
      <c r="Y389">
        <v>69.599999999999994</v>
      </c>
      <c r="Z389">
        <v>82.6</v>
      </c>
      <c r="AA389">
        <v>50</v>
      </c>
      <c r="AB389">
        <v>29.3</v>
      </c>
      <c r="AC389">
        <v>63.9</v>
      </c>
      <c r="AD389">
        <v>100</v>
      </c>
      <c r="AE389">
        <v>100</v>
      </c>
      <c r="AF389" t="s">
        <v>47</v>
      </c>
    </row>
    <row r="390" spans="1:32">
      <c r="A390" t="s">
        <v>1462</v>
      </c>
      <c r="B390">
        <v>7.9</v>
      </c>
      <c r="C390">
        <v>18</v>
      </c>
      <c r="D390">
        <v>10</v>
      </c>
      <c r="E390">
        <v>13.8</v>
      </c>
      <c r="F390">
        <v>9.9</v>
      </c>
      <c r="G390">
        <v>6.7</v>
      </c>
      <c r="H390">
        <v>72.8</v>
      </c>
      <c r="I390">
        <v>93.3</v>
      </c>
      <c r="J390">
        <v>0</v>
      </c>
      <c r="K390">
        <v>69</v>
      </c>
      <c r="L390">
        <v>17.2</v>
      </c>
      <c r="M390">
        <v>3</v>
      </c>
      <c r="N390">
        <v>64</v>
      </c>
      <c r="O390">
        <v>34</v>
      </c>
      <c r="P390">
        <v>11.1</v>
      </c>
      <c r="Q390">
        <v>7.1</v>
      </c>
      <c r="R390">
        <v>6.8</v>
      </c>
      <c r="S390">
        <v>13.3</v>
      </c>
      <c r="T390">
        <v>99</v>
      </c>
      <c r="U390">
        <v>6680</v>
      </c>
      <c r="V390">
        <v>1025000</v>
      </c>
      <c r="W390">
        <v>50</v>
      </c>
      <c r="X390">
        <v>72.7</v>
      </c>
      <c r="Y390">
        <v>87.1</v>
      </c>
      <c r="Z390">
        <v>73.400000000000006</v>
      </c>
      <c r="AA390">
        <v>50</v>
      </c>
      <c r="AB390">
        <v>46.3</v>
      </c>
      <c r="AC390">
        <v>71.5</v>
      </c>
      <c r="AD390">
        <v>100</v>
      </c>
      <c r="AE390">
        <v>100</v>
      </c>
      <c r="AF390" t="s">
        <v>47</v>
      </c>
    </row>
    <row r="391" spans="1:32">
      <c r="A391" t="s">
        <v>1464</v>
      </c>
      <c r="B391">
        <v>6.7</v>
      </c>
      <c r="C391">
        <v>18</v>
      </c>
      <c r="D391">
        <v>8</v>
      </c>
      <c r="E391">
        <v>13</v>
      </c>
      <c r="F391">
        <v>7.1</v>
      </c>
      <c r="G391">
        <v>7.7</v>
      </c>
      <c r="H391">
        <v>65.8</v>
      </c>
      <c r="I391">
        <v>67.400000000000006</v>
      </c>
      <c r="J391">
        <v>0</v>
      </c>
      <c r="K391">
        <v>65</v>
      </c>
      <c r="L391">
        <v>18</v>
      </c>
      <c r="M391">
        <v>3.1</v>
      </c>
      <c r="N391">
        <v>74</v>
      </c>
      <c r="O391">
        <v>44</v>
      </c>
      <c r="P391">
        <v>17.8</v>
      </c>
      <c r="Q391">
        <v>11.2</v>
      </c>
      <c r="R391">
        <v>6.8</v>
      </c>
      <c r="S391">
        <v>10.3</v>
      </c>
      <c r="T391">
        <v>97</v>
      </c>
      <c r="U391">
        <v>7119</v>
      </c>
      <c r="V391">
        <v>1179000</v>
      </c>
      <c r="W391">
        <v>59</v>
      </c>
      <c r="X391">
        <v>69.3</v>
      </c>
      <c r="Y391">
        <v>73.8</v>
      </c>
      <c r="Z391">
        <v>82.1</v>
      </c>
      <c r="AA391">
        <v>59</v>
      </c>
      <c r="AB391">
        <v>42.1</v>
      </c>
      <c r="AC391">
        <v>69.2</v>
      </c>
      <c r="AD391">
        <v>100</v>
      </c>
      <c r="AE391">
        <v>100</v>
      </c>
      <c r="AF391" t="s">
        <v>47</v>
      </c>
    </row>
    <row r="392" spans="1:32">
      <c r="A392" t="s">
        <v>1466</v>
      </c>
      <c r="B392">
        <v>3.8</v>
      </c>
      <c r="C392">
        <v>13</v>
      </c>
      <c r="D392">
        <v>4</v>
      </c>
      <c r="E392">
        <v>14.4</v>
      </c>
      <c r="F392">
        <v>4.8</v>
      </c>
      <c r="G392">
        <v>6.4</v>
      </c>
      <c r="H392">
        <v>70.5</v>
      </c>
      <c r="I392">
        <v>68.900000000000006</v>
      </c>
      <c r="J392">
        <v>1</v>
      </c>
      <c r="K392">
        <v>56</v>
      </c>
      <c r="L392">
        <v>24.8</v>
      </c>
      <c r="M392">
        <v>3.3</v>
      </c>
      <c r="N392">
        <v>58</v>
      </c>
      <c r="O392">
        <v>36</v>
      </c>
      <c r="P392">
        <v>21.9</v>
      </c>
      <c r="Q392">
        <v>4.7</v>
      </c>
      <c r="R392">
        <v>6.7</v>
      </c>
      <c r="S392">
        <v>13.9</v>
      </c>
      <c r="T392">
        <v>92</v>
      </c>
      <c r="U392">
        <v>8208</v>
      </c>
      <c r="V392">
        <v>981000</v>
      </c>
      <c r="W392">
        <v>52</v>
      </c>
      <c r="X392">
        <v>71</v>
      </c>
      <c r="Y392">
        <v>75.2</v>
      </c>
      <c r="Z392">
        <v>84.8</v>
      </c>
      <c r="AA392">
        <v>52</v>
      </c>
      <c r="AB392">
        <v>31.5</v>
      </c>
      <c r="AC392">
        <v>69</v>
      </c>
      <c r="AD392">
        <v>100</v>
      </c>
      <c r="AE392">
        <v>100</v>
      </c>
      <c r="AF392" t="s">
        <v>47</v>
      </c>
    </row>
    <row r="393" spans="1:32">
      <c r="A393" t="s">
        <v>1468</v>
      </c>
      <c r="B393">
        <v>9.5</v>
      </c>
      <c r="C393">
        <v>25</v>
      </c>
      <c r="D393">
        <v>12</v>
      </c>
      <c r="E393">
        <v>22.6</v>
      </c>
      <c r="F393">
        <v>15.7</v>
      </c>
      <c r="G393">
        <v>6.3</v>
      </c>
      <c r="H393">
        <v>62.6</v>
      </c>
      <c r="I393">
        <v>73.900000000000006</v>
      </c>
      <c r="J393">
        <v>1</v>
      </c>
      <c r="K393">
        <v>65</v>
      </c>
      <c r="L393">
        <v>28.1</v>
      </c>
      <c r="M393">
        <v>3.6</v>
      </c>
      <c r="N393">
        <v>64</v>
      </c>
      <c r="O393">
        <v>42</v>
      </c>
      <c r="P393">
        <v>17.100000000000001</v>
      </c>
      <c r="Q393">
        <v>10</v>
      </c>
      <c r="R393">
        <v>8.9</v>
      </c>
      <c r="S393">
        <v>13.3</v>
      </c>
      <c r="T393">
        <v>88</v>
      </c>
      <c r="U393">
        <v>6841</v>
      </c>
      <c r="V393">
        <v>839000</v>
      </c>
      <c r="W393">
        <v>32</v>
      </c>
      <c r="X393">
        <v>81.7</v>
      </c>
      <c r="Y393">
        <v>75.5</v>
      </c>
      <c r="Z393">
        <v>60</v>
      </c>
      <c r="AA393">
        <v>32</v>
      </c>
      <c r="AB393">
        <v>44.8</v>
      </c>
      <c r="AC393">
        <v>67.099999999999994</v>
      </c>
      <c r="AD393">
        <v>100</v>
      </c>
      <c r="AE393">
        <v>100</v>
      </c>
      <c r="AF393" t="s">
        <v>47</v>
      </c>
    </row>
    <row r="394" spans="1:32">
      <c r="A394" t="s">
        <v>1470</v>
      </c>
      <c r="B394">
        <v>4.8</v>
      </c>
      <c r="C394">
        <v>12</v>
      </c>
      <c r="D394">
        <v>4</v>
      </c>
      <c r="E394">
        <v>6.9</v>
      </c>
      <c r="F394">
        <v>3.2</v>
      </c>
      <c r="G394">
        <v>9.1</v>
      </c>
      <c r="H394">
        <v>89.7</v>
      </c>
      <c r="I394">
        <v>86.4</v>
      </c>
      <c r="J394">
        <v>1</v>
      </c>
      <c r="K394">
        <v>63</v>
      </c>
      <c r="L394">
        <v>21.2</v>
      </c>
      <c r="M394">
        <v>4.4000000000000004</v>
      </c>
      <c r="N394">
        <v>60</v>
      </c>
      <c r="O394">
        <v>21</v>
      </c>
      <c r="P394">
        <v>9.6999999999999993</v>
      </c>
      <c r="Q394">
        <v>7.6</v>
      </c>
      <c r="R394">
        <v>2.8</v>
      </c>
      <c r="S394">
        <v>12.5</v>
      </c>
      <c r="T394">
        <v>100</v>
      </c>
      <c r="U394">
        <v>7386</v>
      </c>
      <c r="V394">
        <v>2108000</v>
      </c>
      <c r="W394">
        <v>81</v>
      </c>
      <c r="X394">
        <v>61.4</v>
      </c>
      <c r="Y394">
        <v>85.7</v>
      </c>
      <c r="Z394">
        <v>89.6</v>
      </c>
      <c r="AA394">
        <v>81</v>
      </c>
      <c r="AB394">
        <v>39.5</v>
      </c>
      <c r="AC394">
        <v>72.900000000000006</v>
      </c>
      <c r="AD394">
        <v>100</v>
      </c>
      <c r="AE394">
        <v>100</v>
      </c>
      <c r="AF394" t="s">
        <v>47</v>
      </c>
    </row>
    <row r="395" spans="1:32">
      <c r="A395" t="s">
        <v>1472</v>
      </c>
      <c r="B395">
        <v>1</v>
      </c>
      <c r="C395">
        <v>3</v>
      </c>
      <c r="D395">
        <v>1</v>
      </c>
      <c r="E395">
        <v>5.6</v>
      </c>
      <c r="F395">
        <v>11.7</v>
      </c>
      <c r="H395">
        <v>76.7</v>
      </c>
      <c r="I395">
        <v>45.6</v>
      </c>
      <c r="J395">
        <v>0</v>
      </c>
      <c r="K395">
        <v>31</v>
      </c>
      <c r="L395">
        <v>36.6</v>
      </c>
      <c r="M395">
        <v>9.6999999999999993</v>
      </c>
      <c r="N395">
        <v>69</v>
      </c>
      <c r="O395">
        <v>50</v>
      </c>
      <c r="P395">
        <v>22.7</v>
      </c>
      <c r="T395">
        <v>80</v>
      </c>
      <c r="U395">
        <v>8233</v>
      </c>
      <c r="V395">
        <v>1794000</v>
      </c>
      <c r="W395">
        <v>50</v>
      </c>
      <c r="X395">
        <v>49.8</v>
      </c>
      <c r="Y395">
        <v>51.4</v>
      </c>
      <c r="Z395">
        <v>65.400000000000006</v>
      </c>
      <c r="AA395">
        <v>50</v>
      </c>
      <c r="AB395">
        <v>31.3</v>
      </c>
      <c r="AC395">
        <v>51.5</v>
      </c>
      <c r="AD395">
        <v>100</v>
      </c>
      <c r="AE395">
        <v>81</v>
      </c>
      <c r="AF395" t="s">
        <v>1971</v>
      </c>
    </row>
    <row r="396" spans="1:32">
      <c r="A396" t="s">
        <v>1474</v>
      </c>
      <c r="B396">
        <v>0.9</v>
      </c>
      <c r="C396">
        <v>4</v>
      </c>
      <c r="D396">
        <v>3</v>
      </c>
      <c r="E396">
        <v>15</v>
      </c>
      <c r="F396">
        <v>14.2</v>
      </c>
      <c r="G396">
        <v>6.2</v>
      </c>
      <c r="H396">
        <v>84</v>
      </c>
      <c r="I396">
        <v>62.7</v>
      </c>
      <c r="J396">
        <v>0</v>
      </c>
      <c r="K396">
        <v>49</v>
      </c>
      <c r="L396">
        <v>39.4</v>
      </c>
      <c r="M396">
        <v>8</v>
      </c>
      <c r="N396">
        <v>67</v>
      </c>
      <c r="O396">
        <v>38</v>
      </c>
      <c r="P396">
        <v>20.2</v>
      </c>
      <c r="Q396">
        <v>10.4</v>
      </c>
      <c r="R396">
        <v>7.5</v>
      </c>
      <c r="S396">
        <v>19.3</v>
      </c>
      <c r="T396">
        <v>83</v>
      </c>
      <c r="U396">
        <v>7646</v>
      </c>
      <c r="V396">
        <v>1781000</v>
      </c>
      <c r="W396">
        <v>41</v>
      </c>
      <c r="X396">
        <v>64.8</v>
      </c>
      <c r="Y396">
        <v>67.599999999999994</v>
      </c>
      <c r="Z396">
        <v>59.1</v>
      </c>
      <c r="AA396">
        <v>41</v>
      </c>
      <c r="AB396">
        <v>37</v>
      </c>
      <c r="AC396">
        <v>59.2</v>
      </c>
      <c r="AD396">
        <v>100</v>
      </c>
      <c r="AE396">
        <v>100</v>
      </c>
      <c r="AF396" t="s">
        <v>47</v>
      </c>
    </row>
    <row r="397" spans="1:32">
      <c r="A397" t="s">
        <v>1476</v>
      </c>
      <c r="B397">
        <v>1.4</v>
      </c>
      <c r="C397">
        <v>6</v>
      </c>
      <c r="D397">
        <v>0</v>
      </c>
      <c r="E397">
        <v>13.2</v>
      </c>
      <c r="F397">
        <v>11.9</v>
      </c>
      <c r="G397">
        <v>8.3000000000000007</v>
      </c>
      <c r="H397">
        <v>81.5</v>
      </c>
      <c r="I397">
        <v>45.2</v>
      </c>
      <c r="J397">
        <v>0</v>
      </c>
      <c r="K397">
        <v>51</v>
      </c>
      <c r="L397">
        <v>39.6</v>
      </c>
      <c r="M397">
        <v>11.7</v>
      </c>
      <c r="N397">
        <v>59</v>
      </c>
      <c r="O397">
        <v>39</v>
      </c>
      <c r="P397">
        <v>23</v>
      </c>
      <c r="Q397">
        <v>10.199999999999999</v>
      </c>
      <c r="R397">
        <v>9</v>
      </c>
      <c r="S397">
        <v>21.7</v>
      </c>
      <c r="T397">
        <v>84</v>
      </c>
      <c r="U397">
        <v>7012</v>
      </c>
      <c r="V397">
        <v>1853000</v>
      </c>
      <c r="W397">
        <v>57</v>
      </c>
      <c r="X397">
        <v>62.6</v>
      </c>
      <c r="Y397">
        <v>57</v>
      </c>
      <c r="Z397">
        <v>62.7</v>
      </c>
      <c r="AA397">
        <v>57</v>
      </c>
      <c r="AB397">
        <v>43.1</v>
      </c>
      <c r="AC397">
        <v>58.7</v>
      </c>
      <c r="AD397">
        <v>100</v>
      </c>
      <c r="AE397">
        <v>100</v>
      </c>
      <c r="AF397" t="s">
        <v>47</v>
      </c>
    </row>
    <row r="398" spans="1:32">
      <c r="A398" t="s">
        <v>1479</v>
      </c>
      <c r="B398">
        <v>0.9</v>
      </c>
      <c r="C398">
        <v>4</v>
      </c>
      <c r="D398">
        <v>1</v>
      </c>
      <c r="E398">
        <v>1.4</v>
      </c>
      <c r="F398">
        <v>8.9</v>
      </c>
      <c r="G398">
        <v>9.3000000000000007</v>
      </c>
      <c r="H398">
        <v>91.9</v>
      </c>
      <c r="J398">
        <v>0</v>
      </c>
      <c r="K398">
        <v>39</v>
      </c>
      <c r="L398">
        <v>29.5</v>
      </c>
      <c r="N398">
        <v>87</v>
      </c>
      <c r="O398">
        <v>55</v>
      </c>
      <c r="Q398">
        <v>8.1999999999999993</v>
      </c>
      <c r="R398">
        <v>1.1000000000000001</v>
      </c>
      <c r="S398">
        <v>16</v>
      </c>
      <c r="U398">
        <v>8313</v>
      </c>
      <c r="V398">
        <v>3048000</v>
      </c>
      <c r="W398">
        <v>60</v>
      </c>
      <c r="X398">
        <v>43.7</v>
      </c>
      <c r="Y398">
        <v>89.9</v>
      </c>
      <c r="Z398">
        <v>73.8</v>
      </c>
      <c r="AA398">
        <v>60</v>
      </c>
      <c r="AB398">
        <v>30.5</v>
      </c>
      <c r="AC398">
        <v>61.6</v>
      </c>
      <c r="AD398">
        <v>100</v>
      </c>
      <c r="AE398">
        <v>81</v>
      </c>
      <c r="AF398" t="s">
        <v>1971</v>
      </c>
    </row>
    <row r="399" spans="1:32">
      <c r="A399" t="s">
        <v>1481</v>
      </c>
      <c r="B399">
        <v>3.5</v>
      </c>
      <c r="C399">
        <v>9</v>
      </c>
      <c r="D399">
        <v>7</v>
      </c>
      <c r="E399">
        <v>9.8000000000000007</v>
      </c>
      <c r="G399">
        <v>6.9</v>
      </c>
      <c r="H399">
        <v>69.2</v>
      </c>
      <c r="J399">
        <v>0</v>
      </c>
      <c r="K399">
        <v>51</v>
      </c>
      <c r="L399">
        <v>25.1</v>
      </c>
      <c r="N399">
        <v>67</v>
      </c>
      <c r="O399">
        <v>54</v>
      </c>
      <c r="Q399">
        <v>13.2</v>
      </c>
      <c r="R399">
        <v>6.6</v>
      </c>
      <c r="S399">
        <v>15.4</v>
      </c>
      <c r="U399">
        <v>5671</v>
      </c>
      <c r="V399">
        <v>926000</v>
      </c>
      <c r="W399">
        <v>44</v>
      </c>
      <c r="X399">
        <v>61.2</v>
      </c>
      <c r="Y399">
        <v>75.5</v>
      </c>
      <c r="Z399">
        <v>72.099999999999994</v>
      </c>
      <c r="AA399">
        <v>44</v>
      </c>
      <c r="AB399">
        <v>56.1</v>
      </c>
      <c r="AC399">
        <v>64.7</v>
      </c>
      <c r="AD399">
        <v>100</v>
      </c>
      <c r="AE399">
        <v>76.2</v>
      </c>
      <c r="AF399" t="s">
        <v>1971</v>
      </c>
    </row>
    <row r="400" spans="1:32">
      <c r="A400" t="s">
        <v>1484</v>
      </c>
      <c r="B400">
        <v>0.7</v>
      </c>
      <c r="C400">
        <v>4</v>
      </c>
      <c r="D400">
        <v>1</v>
      </c>
      <c r="E400">
        <v>4.2</v>
      </c>
      <c r="F400">
        <v>5.6</v>
      </c>
      <c r="G400">
        <v>6.4</v>
      </c>
      <c r="H400">
        <v>70.400000000000006</v>
      </c>
      <c r="I400">
        <v>49.2</v>
      </c>
      <c r="J400">
        <v>3</v>
      </c>
      <c r="K400">
        <v>28</v>
      </c>
      <c r="L400">
        <v>24.3</v>
      </c>
      <c r="M400">
        <v>9.8000000000000007</v>
      </c>
      <c r="N400">
        <v>85</v>
      </c>
      <c r="O400">
        <v>37</v>
      </c>
      <c r="P400">
        <v>21.7</v>
      </c>
      <c r="Q400">
        <v>12.6</v>
      </c>
      <c r="R400">
        <v>9.1999999999999993</v>
      </c>
      <c r="S400">
        <v>15.2</v>
      </c>
      <c r="T400">
        <v>79</v>
      </c>
      <c r="U400">
        <v>5749</v>
      </c>
      <c r="V400">
        <v>1260000</v>
      </c>
      <c r="W400">
        <v>59</v>
      </c>
      <c r="X400">
        <v>51.9</v>
      </c>
      <c r="Y400">
        <v>59.3</v>
      </c>
      <c r="Z400">
        <v>82</v>
      </c>
      <c r="AA400">
        <v>59</v>
      </c>
      <c r="AB400">
        <v>55.3</v>
      </c>
      <c r="AC400">
        <v>60.8</v>
      </c>
      <c r="AD400">
        <v>100</v>
      </c>
      <c r="AE400">
        <v>100</v>
      </c>
      <c r="AF400" t="s">
        <v>47</v>
      </c>
    </row>
    <row r="401" spans="1:32">
      <c r="A401" t="s">
        <v>1486</v>
      </c>
      <c r="B401">
        <v>1.3</v>
      </c>
      <c r="C401">
        <v>6</v>
      </c>
      <c r="D401">
        <v>1</v>
      </c>
      <c r="E401">
        <v>12.6</v>
      </c>
      <c r="F401">
        <v>12.2</v>
      </c>
      <c r="G401">
        <v>9.1</v>
      </c>
      <c r="H401">
        <v>83.8</v>
      </c>
      <c r="I401">
        <v>52.3</v>
      </c>
      <c r="J401">
        <v>0</v>
      </c>
      <c r="K401">
        <v>53</v>
      </c>
      <c r="L401">
        <v>26.2</v>
      </c>
      <c r="M401">
        <v>10.199999999999999</v>
      </c>
      <c r="N401">
        <v>57</v>
      </c>
      <c r="O401">
        <v>26</v>
      </c>
      <c r="P401">
        <v>17.7</v>
      </c>
      <c r="Q401">
        <v>7.9</v>
      </c>
      <c r="R401">
        <v>4.2</v>
      </c>
      <c r="S401">
        <v>10</v>
      </c>
      <c r="T401">
        <v>86</v>
      </c>
      <c r="U401">
        <v>7647</v>
      </c>
      <c r="V401">
        <v>1238000</v>
      </c>
      <c r="W401">
        <v>49</v>
      </c>
      <c r="X401">
        <v>68.400000000000006</v>
      </c>
      <c r="Y401">
        <v>65.599999999999994</v>
      </c>
      <c r="Z401">
        <v>70.5</v>
      </c>
      <c r="AA401">
        <v>49</v>
      </c>
      <c r="AB401">
        <v>37</v>
      </c>
      <c r="AC401">
        <v>63</v>
      </c>
      <c r="AD401">
        <v>100</v>
      </c>
      <c r="AE401">
        <v>100</v>
      </c>
      <c r="AF401" t="s">
        <v>47</v>
      </c>
    </row>
    <row r="402" spans="1:32">
      <c r="A402" t="s">
        <v>1489</v>
      </c>
      <c r="B402">
        <v>2.5</v>
      </c>
      <c r="C402">
        <v>7</v>
      </c>
      <c r="D402">
        <v>3</v>
      </c>
      <c r="E402">
        <v>9</v>
      </c>
      <c r="F402">
        <v>1.2</v>
      </c>
      <c r="G402">
        <v>9</v>
      </c>
      <c r="H402">
        <v>87.4</v>
      </c>
      <c r="I402">
        <v>55</v>
      </c>
      <c r="J402">
        <v>1</v>
      </c>
      <c r="K402">
        <v>56</v>
      </c>
      <c r="L402">
        <v>27.8</v>
      </c>
      <c r="M402">
        <v>8.4</v>
      </c>
      <c r="N402">
        <v>75</v>
      </c>
      <c r="O402">
        <v>35</v>
      </c>
      <c r="P402">
        <v>13</v>
      </c>
      <c r="Q402">
        <v>8.4</v>
      </c>
      <c r="R402">
        <v>8.6999999999999993</v>
      </c>
      <c r="S402">
        <v>17.100000000000001</v>
      </c>
      <c r="T402">
        <v>86</v>
      </c>
      <c r="U402">
        <v>9966</v>
      </c>
      <c r="V402">
        <v>3327000</v>
      </c>
      <c r="W402">
        <v>77</v>
      </c>
      <c r="X402">
        <v>59.4</v>
      </c>
      <c r="Y402">
        <v>67.5</v>
      </c>
      <c r="Z402">
        <v>89</v>
      </c>
      <c r="AA402">
        <v>77</v>
      </c>
      <c r="AB402">
        <v>14.5</v>
      </c>
      <c r="AC402">
        <v>64.599999999999994</v>
      </c>
      <c r="AD402">
        <v>100</v>
      </c>
      <c r="AE402">
        <v>100</v>
      </c>
      <c r="AF402" t="s">
        <v>47</v>
      </c>
    </row>
    <row r="403" spans="1:32">
      <c r="A403" t="s">
        <v>1491</v>
      </c>
      <c r="B403">
        <v>3.5</v>
      </c>
      <c r="C403">
        <v>6</v>
      </c>
      <c r="D403">
        <v>3</v>
      </c>
      <c r="E403">
        <v>8.9</v>
      </c>
      <c r="F403">
        <v>4.7</v>
      </c>
      <c r="G403">
        <v>8.1999999999999993</v>
      </c>
      <c r="I403">
        <v>74.8</v>
      </c>
      <c r="J403">
        <v>0</v>
      </c>
      <c r="K403">
        <v>49</v>
      </c>
      <c r="L403">
        <v>25.7</v>
      </c>
      <c r="M403">
        <v>5.7</v>
      </c>
      <c r="N403">
        <v>69</v>
      </c>
      <c r="P403">
        <v>18.100000000000001</v>
      </c>
      <c r="Q403">
        <v>8</v>
      </c>
      <c r="R403">
        <v>2.6</v>
      </c>
      <c r="S403">
        <v>12.7</v>
      </c>
      <c r="T403">
        <v>94</v>
      </c>
      <c r="U403">
        <v>6409</v>
      </c>
      <c r="V403">
        <v>1517000</v>
      </c>
      <c r="W403">
        <v>44</v>
      </c>
      <c r="X403">
        <v>55</v>
      </c>
      <c r="Y403">
        <v>77.400000000000006</v>
      </c>
      <c r="Z403">
        <v>85.9</v>
      </c>
      <c r="AA403">
        <v>44</v>
      </c>
      <c r="AB403">
        <v>48.9</v>
      </c>
      <c r="AC403">
        <v>65.099999999999994</v>
      </c>
      <c r="AD403">
        <v>100</v>
      </c>
      <c r="AE403">
        <v>90.5</v>
      </c>
      <c r="AF403" t="s">
        <v>47</v>
      </c>
    </row>
    <row r="404" spans="1:32">
      <c r="A404" t="s">
        <v>1494</v>
      </c>
      <c r="B404">
        <v>4.3</v>
      </c>
      <c r="C404">
        <v>12</v>
      </c>
      <c r="D404">
        <v>6</v>
      </c>
      <c r="E404">
        <v>9.6</v>
      </c>
      <c r="F404">
        <v>10.9</v>
      </c>
      <c r="G404">
        <v>6</v>
      </c>
      <c r="H404">
        <v>85.8</v>
      </c>
      <c r="I404">
        <v>74.8</v>
      </c>
      <c r="J404">
        <v>0</v>
      </c>
      <c r="K404">
        <v>56</v>
      </c>
      <c r="L404">
        <v>31.6</v>
      </c>
      <c r="M404">
        <v>7</v>
      </c>
      <c r="N404">
        <v>79</v>
      </c>
      <c r="O404">
        <v>43</v>
      </c>
      <c r="P404">
        <v>18</v>
      </c>
      <c r="Q404">
        <v>10.5</v>
      </c>
      <c r="R404">
        <v>7.1</v>
      </c>
      <c r="S404">
        <v>16.7</v>
      </c>
      <c r="T404">
        <v>96</v>
      </c>
      <c r="U404">
        <v>5567</v>
      </c>
      <c r="V404">
        <v>1915000</v>
      </c>
      <c r="W404">
        <v>58</v>
      </c>
      <c r="X404">
        <v>57.7</v>
      </c>
      <c r="Y404">
        <v>73.5</v>
      </c>
      <c r="Z404">
        <v>68.599999999999994</v>
      </c>
      <c r="AA404">
        <v>58</v>
      </c>
      <c r="AB404">
        <v>57.1</v>
      </c>
      <c r="AC404">
        <v>63.8</v>
      </c>
      <c r="AD404">
        <v>100</v>
      </c>
      <c r="AE404">
        <v>100</v>
      </c>
      <c r="AF404" t="s">
        <v>47</v>
      </c>
    </row>
    <row r="405" spans="1:32">
      <c r="A405" t="s">
        <v>1497</v>
      </c>
      <c r="B405">
        <v>1.6</v>
      </c>
      <c r="C405">
        <v>5</v>
      </c>
      <c r="D405">
        <v>2</v>
      </c>
      <c r="E405">
        <v>10</v>
      </c>
      <c r="F405">
        <v>5.6</v>
      </c>
      <c r="G405">
        <v>7.1</v>
      </c>
      <c r="H405">
        <v>76.5</v>
      </c>
      <c r="I405">
        <v>62.3</v>
      </c>
      <c r="J405">
        <v>0</v>
      </c>
      <c r="K405">
        <v>53</v>
      </c>
      <c r="L405">
        <v>24.9</v>
      </c>
      <c r="M405">
        <v>9.9</v>
      </c>
      <c r="N405">
        <v>61</v>
      </c>
      <c r="O405">
        <v>30</v>
      </c>
      <c r="P405">
        <v>13.7</v>
      </c>
      <c r="Q405">
        <v>14.5</v>
      </c>
      <c r="R405">
        <v>5.0999999999999996</v>
      </c>
      <c r="S405">
        <v>17.100000000000001</v>
      </c>
      <c r="T405">
        <v>87</v>
      </c>
      <c r="U405">
        <v>5934</v>
      </c>
      <c r="V405">
        <v>1134000</v>
      </c>
      <c r="W405">
        <v>49</v>
      </c>
      <c r="X405">
        <v>64.099999999999994</v>
      </c>
      <c r="Y405">
        <v>67.900000000000006</v>
      </c>
      <c r="Z405">
        <v>80.599999999999994</v>
      </c>
      <c r="AA405">
        <v>49</v>
      </c>
      <c r="AB405">
        <v>53.5</v>
      </c>
      <c r="AC405">
        <v>65.8</v>
      </c>
      <c r="AD405">
        <v>100</v>
      </c>
      <c r="AE405">
        <v>100</v>
      </c>
      <c r="AF405" t="s">
        <v>47</v>
      </c>
    </row>
    <row r="406" spans="1:32">
      <c r="A406" t="s">
        <v>1500</v>
      </c>
      <c r="B406">
        <v>7.3</v>
      </c>
      <c r="C406">
        <v>22</v>
      </c>
      <c r="D406">
        <v>11</v>
      </c>
      <c r="E406">
        <v>16.3</v>
      </c>
      <c r="G406">
        <v>6.2</v>
      </c>
      <c r="H406">
        <v>81.2</v>
      </c>
      <c r="I406">
        <v>76.400000000000006</v>
      </c>
      <c r="J406">
        <v>0</v>
      </c>
      <c r="K406">
        <v>76</v>
      </c>
      <c r="L406">
        <v>13.5</v>
      </c>
      <c r="M406">
        <v>6.6</v>
      </c>
      <c r="N406">
        <v>64</v>
      </c>
      <c r="O406">
        <v>45</v>
      </c>
      <c r="P406">
        <v>12.7</v>
      </c>
      <c r="Q406">
        <v>10.4</v>
      </c>
      <c r="R406">
        <v>8.9</v>
      </c>
      <c r="S406">
        <v>14.3</v>
      </c>
      <c r="T406">
        <v>91</v>
      </c>
      <c r="U406">
        <v>7199</v>
      </c>
      <c r="V406">
        <v>1241000</v>
      </c>
      <c r="W406">
        <v>49</v>
      </c>
      <c r="X406">
        <v>77.400000000000006</v>
      </c>
      <c r="Y406">
        <v>75.599999999999994</v>
      </c>
      <c r="Z406">
        <v>74.400000000000006</v>
      </c>
      <c r="AA406">
        <v>49</v>
      </c>
      <c r="AB406">
        <v>41.3</v>
      </c>
      <c r="AC406">
        <v>69.900000000000006</v>
      </c>
      <c r="AD406">
        <v>100</v>
      </c>
      <c r="AE406">
        <v>95.2</v>
      </c>
      <c r="AF406" t="s">
        <v>47</v>
      </c>
    </row>
    <row r="407" spans="1:32">
      <c r="A407" t="s">
        <v>1502</v>
      </c>
      <c r="B407">
        <v>0.5</v>
      </c>
      <c r="C407">
        <v>3</v>
      </c>
      <c r="D407">
        <v>0</v>
      </c>
      <c r="G407">
        <v>7.9</v>
      </c>
      <c r="I407">
        <v>46.7</v>
      </c>
      <c r="J407">
        <v>0</v>
      </c>
      <c r="K407">
        <v>35</v>
      </c>
      <c r="L407">
        <v>36.1</v>
      </c>
      <c r="M407">
        <v>11.4</v>
      </c>
      <c r="P407">
        <v>16.8</v>
      </c>
      <c r="Q407">
        <v>7.5</v>
      </c>
      <c r="R407">
        <v>10.4</v>
      </c>
      <c r="S407">
        <v>20.9</v>
      </c>
      <c r="T407">
        <v>79</v>
      </c>
      <c r="U407">
        <v>5624</v>
      </c>
      <c r="V407">
        <v>700000</v>
      </c>
      <c r="W407">
        <v>42</v>
      </c>
      <c r="X407">
        <v>56.5</v>
      </c>
      <c r="Y407">
        <v>60.5</v>
      </c>
      <c r="Z407">
        <v>60.6</v>
      </c>
      <c r="AA407">
        <v>42</v>
      </c>
      <c r="AB407">
        <v>56.5</v>
      </c>
      <c r="AC407">
        <v>56.9</v>
      </c>
      <c r="AD407">
        <v>100</v>
      </c>
      <c r="AE407">
        <v>76.2</v>
      </c>
      <c r="AF407" t="s">
        <v>1971</v>
      </c>
    </row>
    <row r="408" spans="1:32">
      <c r="A408" t="s">
        <v>1505</v>
      </c>
      <c r="B408">
        <v>8.6</v>
      </c>
      <c r="C408">
        <v>20</v>
      </c>
      <c r="D408">
        <v>12</v>
      </c>
      <c r="E408">
        <v>11.5</v>
      </c>
      <c r="F408">
        <v>9.1</v>
      </c>
      <c r="G408">
        <v>4.4000000000000004</v>
      </c>
      <c r="H408">
        <v>76</v>
      </c>
      <c r="I408">
        <v>90.6</v>
      </c>
      <c r="J408">
        <v>0</v>
      </c>
      <c r="K408">
        <v>66</v>
      </c>
      <c r="L408">
        <v>27.7</v>
      </c>
      <c r="M408">
        <v>3.3</v>
      </c>
      <c r="N408">
        <v>71</v>
      </c>
      <c r="O408">
        <v>50</v>
      </c>
      <c r="P408">
        <v>15.4</v>
      </c>
      <c r="Q408">
        <v>7.8</v>
      </c>
      <c r="R408">
        <v>8.1</v>
      </c>
      <c r="S408">
        <v>21.8</v>
      </c>
      <c r="T408">
        <v>95</v>
      </c>
      <c r="U408">
        <v>6047</v>
      </c>
      <c r="V408">
        <v>2099000</v>
      </c>
      <c r="W408">
        <v>69</v>
      </c>
      <c r="X408">
        <v>62.7</v>
      </c>
      <c r="Y408">
        <v>83.4</v>
      </c>
      <c r="Z408">
        <v>69.099999999999994</v>
      </c>
      <c r="AA408">
        <v>69</v>
      </c>
      <c r="AB408">
        <v>52.5</v>
      </c>
      <c r="AC408">
        <v>68.8</v>
      </c>
      <c r="AD408">
        <v>100</v>
      </c>
      <c r="AE408">
        <v>100</v>
      </c>
      <c r="AF408" t="s">
        <v>47</v>
      </c>
    </row>
    <row r="409" spans="1:32">
      <c r="A409" t="s">
        <v>1508</v>
      </c>
      <c r="B409">
        <v>3.3</v>
      </c>
      <c r="C409">
        <v>9</v>
      </c>
      <c r="D409">
        <v>4</v>
      </c>
      <c r="E409">
        <v>11.2</v>
      </c>
      <c r="F409">
        <v>9.3000000000000007</v>
      </c>
      <c r="G409">
        <v>7.4</v>
      </c>
      <c r="H409">
        <v>68.400000000000006</v>
      </c>
      <c r="I409">
        <v>42.9</v>
      </c>
      <c r="J409">
        <v>0</v>
      </c>
      <c r="K409">
        <v>51</v>
      </c>
      <c r="L409">
        <v>42.7</v>
      </c>
      <c r="M409">
        <v>10.5</v>
      </c>
      <c r="N409">
        <v>53</v>
      </c>
      <c r="O409">
        <v>49</v>
      </c>
      <c r="P409">
        <v>19.8</v>
      </c>
      <c r="Q409">
        <v>6.8</v>
      </c>
      <c r="R409">
        <v>10.5</v>
      </c>
      <c r="S409">
        <v>15</v>
      </c>
      <c r="T409">
        <v>69</v>
      </c>
      <c r="U409">
        <v>5788</v>
      </c>
      <c r="V409">
        <v>1049000</v>
      </c>
      <c r="W409">
        <v>51</v>
      </c>
      <c r="X409">
        <v>58</v>
      </c>
      <c r="Y409">
        <v>59</v>
      </c>
      <c r="Z409">
        <v>73.599999999999994</v>
      </c>
      <c r="AA409">
        <v>51</v>
      </c>
      <c r="AB409">
        <v>55</v>
      </c>
      <c r="AC409">
        <v>60.3</v>
      </c>
      <c r="AD409">
        <v>100</v>
      </c>
      <c r="AE409">
        <v>100</v>
      </c>
      <c r="AF409" t="s">
        <v>47</v>
      </c>
    </row>
    <row r="410" spans="1:32">
      <c r="A410" t="s">
        <v>1509</v>
      </c>
      <c r="B410">
        <v>2.5</v>
      </c>
      <c r="C410">
        <v>7</v>
      </c>
      <c r="D410">
        <v>5</v>
      </c>
      <c r="E410">
        <v>14.8</v>
      </c>
      <c r="F410">
        <v>5.7</v>
      </c>
      <c r="G410">
        <v>5.5</v>
      </c>
      <c r="H410">
        <v>59.2</v>
      </c>
      <c r="I410">
        <v>51.7</v>
      </c>
      <c r="J410">
        <v>0</v>
      </c>
      <c r="K410">
        <v>52</v>
      </c>
      <c r="L410">
        <v>33.799999999999997</v>
      </c>
      <c r="M410">
        <v>7</v>
      </c>
      <c r="N410">
        <v>65</v>
      </c>
      <c r="O410">
        <v>49</v>
      </c>
      <c r="P410">
        <v>20.9</v>
      </c>
      <c r="Q410">
        <v>10.8</v>
      </c>
      <c r="R410">
        <v>11.8</v>
      </c>
      <c r="S410">
        <v>18.7</v>
      </c>
      <c r="T410">
        <v>91</v>
      </c>
      <c r="U410">
        <v>4523</v>
      </c>
      <c r="V410">
        <v>541000</v>
      </c>
      <c r="W410">
        <v>51</v>
      </c>
      <c r="X410">
        <v>66.2</v>
      </c>
      <c r="Y410">
        <v>62.2</v>
      </c>
      <c r="Z410">
        <v>79.2</v>
      </c>
      <c r="AA410">
        <v>51</v>
      </c>
      <c r="AB410">
        <v>67.2</v>
      </c>
      <c r="AC410">
        <v>66.400000000000006</v>
      </c>
      <c r="AD410">
        <v>100</v>
      </c>
      <c r="AE410">
        <v>100</v>
      </c>
      <c r="AF410" t="s">
        <v>47</v>
      </c>
    </row>
    <row r="411" spans="1:32">
      <c r="A411" t="s">
        <v>1511</v>
      </c>
      <c r="B411">
        <v>2.8</v>
      </c>
      <c r="C411">
        <v>8</v>
      </c>
      <c r="D411">
        <v>5</v>
      </c>
      <c r="E411">
        <v>10.4</v>
      </c>
      <c r="F411">
        <v>17.100000000000001</v>
      </c>
      <c r="G411">
        <v>6.4</v>
      </c>
      <c r="H411">
        <v>89.7</v>
      </c>
      <c r="I411">
        <v>53.6</v>
      </c>
      <c r="J411">
        <v>0</v>
      </c>
      <c r="K411">
        <v>47</v>
      </c>
      <c r="L411">
        <v>33.799999999999997</v>
      </c>
      <c r="M411">
        <v>6.4</v>
      </c>
      <c r="N411">
        <v>58</v>
      </c>
      <c r="O411">
        <v>30</v>
      </c>
      <c r="P411">
        <v>17.899999999999999</v>
      </c>
      <c r="Q411">
        <v>15.2</v>
      </c>
      <c r="R411">
        <v>11.2</v>
      </c>
      <c r="S411">
        <v>19.2</v>
      </c>
      <c r="T411">
        <v>74</v>
      </c>
      <c r="U411">
        <v>7160</v>
      </c>
      <c r="V411">
        <v>2860000</v>
      </c>
      <c r="W411">
        <v>68</v>
      </c>
      <c r="X411">
        <v>61.3</v>
      </c>
      <c r="Y411">
        <v>63</v>
      </c>
      <c r="Z411">
        <v>52.4</v>
      </c>
      <c r="AA411">
        <v>68</v>
      </c>
      <c r="AB411">
        <v>41.7</v>
      </c>
      <c r="AC411">
        <v>58.7</v>
      </c>
      <c r="AD411">
        <v>100</v>
      </c>
      <c r="AE411">
        <v>100</v>
      </c>
      <c r="AF411" t="s">
        <v>47</v>
      </c>
    </row>
    <row r="412" spans="1:32">
      <c r="A412" t="s">
        <v>1513</v>
      </c>
      <c r="B412">
        <v>6.6</v>
      </c>
      <c r="C412">
        <v>17</v>
      </c>
      <c r="D412">
        <v>9</v>
      </c>
      <c r="E412">
        <v>17.3</v>
      </c>
      <c r="F412">
        <v>5.6</v>
      </c>
      <c r="G412">
        <v>5.2</v>
      </c>
      <c r="H412">
        <v>91.2</v>
      </c>
      <c r="I412">
        <v>78.2</v>
      </c>
      <c r="J412">
        <v>0</v>
      </c>
      <c r="K412">
        <v>71</v>
      </c>
      <c r="L412">
        <v>22.5</v>
      </c>
      <c r="M412">
        <v>3.3</v>
      </c>
      <c r="N412">
        <v>47</v>
      </c>
      <c r="O412">
        <v>21</v>
      </c>
      <c r="P412">
        <v>12.3</v>
      </c>
      <c r="Q412">
        <v>12.6</v>
      </c>
      <c r="R412">
        <v>4.8</v>
      </c>
      <c r="S412">
        <v>23.5</v>
      </c>
      <c r="T412">
        <v>93</v>
      </c>
      <c r="U412">
        <v>6623</v>
      </c>
      <c r="V412">
        <v>1734000</v>
      </c>
      <c r="W412">
        <v>61</v>
      </c>
      <c r="X412">
        <v>78.900000000000006</v>
      </c>
      <c r="Y412">
        <v>79.900000000000006</v>
      </c>
      <c r="Z412">
        <v>76</v>
      </c>
      <c r="AA412">
        <v>61</v>
      </c>
      <c r="AB412">
        <v>46.9</v>
      </c>
      <c r="AC412">
        <v>73.599999999999994</v>
      </c>
      <c r="AD412">
        <v>100</v>
      </c>
      <c r="AE412">
        <v>100</v>
      </c>
      <c r="AF412" t="s">
        <v>47</v>
      </c>
    </row>
    <row r="413" spans="1:32">
      <c r="A413" t="s">
        <v>1515</v>
      </c>
      <c r="B413">
        <v>1.6</v>
      </c>
      <c r="C413">
        <v>6</v>
      </c>
      <c r="D413">
        <v>2</v>
      </c>
      <c r="E413">
        <v>13.4</v>
      </c>
      <c r="F413">
        <v>6.9</v>
      </c>
      <c r="G413">
        <v>8.6</v>
      </c>
      <c r="H413">
        <v>72.8</v>
      </c>
      <c r="I413">
        <v>53.6</v>
      </c>
      <c r="J413">
        <v>0</v>
      </c>
      <c r="K413">
        <v>56</v>
      </c>
      <c r="L413">
        <v>38.299999999999997</v>
      </c>
      <c r="M413">
        <v>9.4</v>
      </c>
      <c r="N413">
        <v>61</v>
      </c>
      <c r="O413">
        <v>58</v>
      </c>
      <c r="P413">
        <v>16.600000000000001</v>
      </c>
      <c r="Q413">
        <v>8.5</v>
      </c>
      <c r="R413">
        <v>8.4</v>
      </c>
      <c r="S413">
        <v>7.7</v>
      </c>
      <c r="T413">
        <v>81</v>
      </c>
      <c r="U413">
        <v>6476</v>
      </c>
      <c r="V413">
        <v>1780000</v>
      </c>
      <c r="W413">
        <v>56</v>
      </c>
      <c r="X413">
        <v>61.8</v>
      </c>
      <c r="Y413">
        <v>65</v>
      </c>
      <c r="Z413">
        <v>84.5</v>
      </c>
      <c r="AA413">
        <v>56</v>
      </c>
      <c r="AB413">
        <v>48.3</v>
      </c>
      <c r="AC413">
        <v>65.2</v>
      </c>
      <c r="AD413">
        <v>100</v>
      </c>
      <c r="AE413">
        <v>100</v>
      </c>
      <c r="AF413" t="s">
        <v>47</v>
      </c>
    </row>
    <row r="414" spans="1:32">
      <c r="A414" t="s">
        <v>1517</v>
      </c>
      <c r="B414">
        <v>1.4</v>
      </c>
      <c r="C414">
        <v>4</v>
      </c>
      <c r="D414">
        <v>1</v>
      </c>
      <c r="E414">
        <v>15.7</v>
      </c>
      <c r="F414">
        <v>12.7</v>
      </c>
      <c r="G414">
        <v>4.8</v>
      </c>
      <c r="H414">
        <v>78.7</v>
      </c>
      <c r="I414">
        <v>55.4</v>
      </c>
      <c r="J414">
        <v>0</v>
      </c>
      <c r="K414">
        <v>48</v>
      </c>
      <c r="L414">
        <v>44</v>
      </c>
      <c r="M414">
        <v>9.1999999999999993</v>
      </c>
      <c r="N414">
        <v>81</v>
      </c>
      <c r="O414">
        <v>44</v>
      </c>
      <c r="P414">
        <v>21.3</v>
      </c>
      <c r="Q414">
        <v>7</v>
      </c>
      <c r="R414">
        <v>9.9</v>
      </c>
      <c r="S414">
        <v>15.9</v>
      </c>
      <c r="T414">
        <v>81</v>
      </c>
      <c r="U414">
        <v>5963</v>
      </c>
      <c r="V414">
        <v>1384000</v>
      </c>
      <c r="W414">
        <v>33</v>
      </c>
      <c r="X414">
        <v>62</v>
      </c>
      <c r="Y414">
        <v>63.9</v>
      </c>
      <c r="Z414">
        <v>65</v>
      </c>
      <c r="AA414">
        <v>33</v>
      </c>
      <c r="AB414">
        <v>53.3</v>
      </c>
      <c r="AC414">
        <v>59.3</v>
      </c>
      <c r="AD414">
        <v>100</v>
      </c>
      <c r="AE414">
        <v>100</v>
      </c>
      <c r="AF414" t="s">
        <v>47</v>
      </c>
    </row>
    <row r="415" spans="1:32">
      <c r="A415" t="s">
        <v>1520</v>
      </c>
      <c r="B415">
        <v>3.7</v>
      </c>
      <c r="C415">
        <v>10</v>
      </c>
      <c r="D415">
        <v>5</v>
      </c>
      <c r="E415">
        <v>7.4</v>
      </c>
      <c r="F415">
        <v>11.9</v>
      </c>
      <c r="G415">
        <v>6</v>
      </c>
      <c r="H415">
        <v>84</v>
      </c>
      <c r="I415">
        <v>69.5</v>
      </c>
      <c r="J415">
        <v>1</v>
      </c>
      <c r="K415">
        <v>46</v>
      </c>
      <c r="L415">
        <v>26.4</v>
      </c>
      <c r="M415">
        <v>3.8</v>
      </c>
      <c r="N415">
        <v>67</v>
      </c>
      <c r="O415">
        <v>36</v>
      </c>
      <c r="P415">
        <v>12</v>
      </c>
      <c r="Q415">
        <v>11.4</v>
      </c>
      <c r="R415">
        <v>6.8</v>
      </c>
      <c r="S415">
        <v>23.6</v>
      </c>
      <c r="T415">
        <v>90</v>
      </c>
      <c r="U415">
        <v>6198</v>
      </c>
      <c r="V415">
        <v>1103000</v>
      </c>
      <c r="W415">
        <v>56</v>
      </c>
      <c r="X415">
        <v>58.2</v>
      </c>
      <c r="Y415">
        <v>76.099999999999994</v>
      </c>
      <c r="Z415">
        <v>61.3</v>
      </c>
      <c r="AA415">
        <v>56</v>
      </c>
      <c r="AB415">
        <v>51</v>
      </c>
      <c r="AC415">
        <v>62.4</v>
      </c>
      <c r="AD415">
        <v>100</v>
      </c>
      <c r="AE415">
        <v>100</v>
      </c>
      <c r="AF415" t="s">
        <v>47</v>
      </c>
    </row>
    <row r="416" spans="1:32">
      <c r="A416" t="s">
        <v>1523</v>
      </c>
      <c r="B416">
        <v>2.7</v>
      </c>
      <c r="C416">
        <v>7</v>
      </c>
      <c r="D416">
        <v>5</v>
      </c>
      <c r="E416">
        <v>12.3</v>
      </c>
      <c r="F416">
        <v>12.6</v>
      </c>
      <c r="G416">
        <v>7.3</v>
      </c>
      <c r="H416">
        <v>58.6</v>
      </c>
      <c r="I416">
        <v>67.7</v>
      </c>
      <c r="J416">
        <v>0</v>
      </c>
      <c r="K416">
        <v>51</v>
      </c>
      <c r="L416">
        <v>39.9</v>
      </c>
      <c r="M416">
        <v>5.0999999999999996</v>
      </c>
      <c r="N416">
        <v>76</v>
      </c>
      <c r="O416">
        <v>62</v>
      </c>
      <c r="P416">
        <v>15</v>
      </c>
      <c r="Q416">
        <v>10.7</v>
      </c>
      <c r="R416">
        <v>7.5</v>
      </c>
      <c r="S416">
        <v>12.5</v>
      </c>
      <c r="T416">
        <v>82</v>
      </c>
      <c r="U416">
        <v>5464</v>
      </c>
      <c r="V416">
        <v>1627000</v>
      </c>
      <c r="W416">
        <v>56</v>
      </c>
      <c r="X416">
        <v>57.5</v>
      </c>
      <c r="Y416">
        <v>73.400000000000006</v>
      </c>
      <c r="Z416">
        <v>67.7</v>
      </c>
      <c r="AA416">
        <v>56</v>
      </c>
      <c r="AB416">
        <v>58.1</v>
      </c>
      <c r="AC416">
        <v>63.4</v>
      </c>
      <c r="AD416">
        <v>100</v>
      </c>
      <c r="AE416">
        <v>100</v>
      </c>
      <c r="AF416" t="s">
        <v>47</v>
      </c>
    </row>
    <row r="417" spans="1:32">
      <c r="A417" t="s">
        <v>1525</v>
      </c>
      <c r="B417">
        <v>2</v>
      </c>
      <c r="C417">
        <v>7</v>
      </c>
      <c r="D417">
        <v>1</v>
      </c>
      <c r="E417">
        <v>8.8000000000000007</v>
      </c>
      <c r="F417">
        <v>4.3</v>
      </c>
      <c r="G417">
        <v>6.9</v>
      </c>
      <c r="H417">
        <v>81.5</v>
      </c>
      <c r="I417">
        <v>48.2</v>
      </c>
      <c r="J417">
        <v>2</v>
      </c>
      <c r="K417">
        <v>43</v>
      </c>
      <c r="L417">
        <v>31.4</v>
      </c>
      <c r="M417">
        <v>5.8</v>
      </c>
      <c r="N417">
        <v>74</v>
      </c>
      <c r="O417">
        <v>27</v>
      </c>
      <c r="P417">
        <v>20.9</v>
      </c>
      <c r="Q417">
        <v>14.9</v>
      </c>
      <c r="R417">
        <v>10.8</v>
      </c>
      <c r="S417">
        <v>14.4</v>
      </c>
      <c r="T417">
        <v>73</v>
      </c>
      <c r="U417">
        <v>6454</v>
      </c>
      <c r="V417">
        <v>1140000</v>
      </c>
      <c r="W417">
        <v>52</v>
      </c>
      <c r="X417">
        <v>58.3</v>
      </c>
      <c r="Y417">
        <v>60.7</v>
      </c>
      <c r="Z417">
        <v>85.6</v>
      </c>
      <c r="AA417">
        <v>52</v>
      </c>
      <c r="AB417">
        <v>48.5</v>
      </c>
      <c r="AC417">
        <v>62.7</v>
      </c>
      <c r="AD417">
        <v>100</v>
      </c>
      <c r="AE417">
        <v>100</v>
      </c>
      <c r="AF417" t="s">
        <v>47</v>
      </c>
    </row>
    <row r="418" spans="1:32">
      <c r="A418" t="s">
        <v>1528</v>
      </c>
      <c r="B418">
        <v>1.5</v>
      </c>
      <c r="C418">
        <v>3</v>
      </c>
      <c r="D418">
        <v>0</v>
      </c>
      <c r="E418">
        <v>10.8</v>
      </c>
      <c r="F418">
        <v>7.7</v>
      </c>
      <c r="G418">
        <v>7.7</v>
      </c>
      <c r="H418">
        <v>76.2</v>
      </c>
      <c r="I418">
        <v>45.3</v>
      </c>
      <c r="J418">
        <v>0</v>
      </c>
      <c r="K418">
        <v>51</v>
      </c>
      <c r="L418">
        <v>25.5</v>
      </c>
      <c r="M418">
        <v>8.6999999999999993</v>
      </c>
      <c r="N418">
        <v>70</v>
      </c>
      <c r="O418">
        <v>46</v>
      </c>
      <c r="P418">
        <v>18.5</v>
      </c>
      <c r="Q418">
        <v>10.1</v>
      </c>
      <c r="R418">
        <v>11.3</v>
      </c>
      <c r="S418">
        <v>12</v>
      </c>
      <c r="T418">
        <v>74</v>
      </c>
      <c r="U418">
        <v>8590</v>
      </c>
      <c r="V418">
        <v>1207000</v>
      </c>
      <c r="W418">
        <v>44</v>
      </c>
      <c r="X418">
        <v>62.9</v>
      </c>
      <c r="Y418">
        <v>60</v>
      </c>
      <c r="Z418">
        <v>79.5</v>
      </c>
      <c r="AA418">
        <v>44</v>
      </c>
      <c r="AB418">
        <v>27.8</v>
      </c>
      <c r="AC418">
        <v>60.1</v>
      </c>
      <c r="AD418">
        <v>100</v>
      </c>
      <c r="AE418">
        <v>100</v>
      </c>
      <c r="AF418" t="s">
        <v>47</v>
      </c>
    </row>
    <row r="419" spans="1:32">
      <c r="A419" t="s">
        <v>1530</v>
      </c>
      <c r="B419">
        <v>2.9</v>
      </c>
      <c r="C419">
        <v>9</v>
      </c>
      <c r="D419">
        <v>2</v>
      </c>
      <c r="E419">
        <v>11.1</v>
      </c>
      <c r="F419">
        <v>8.3000000000000007</v>
      </c>
      <c r="G419">
        <v>7.1</v>
      </c>
      <c r="H419">
        <v>67.599999999999994</v>
      </c>
      <c r="I419">
        <v>66.599999999999994</v>
      </c>
      <c r="J419">
        <v>0</v>
      </c>
      <c r="K419">
        <v>54</v>
      </c>
      <c r="L419">
        <v>24.8</v>
      </c>
      <c r="M419">
        <v>6.4</v>
      </c>
      <c r="N419">
        <v>74</v>
      </c>
      <c r="O419">
        <v>24</v>
      </c>
      <c r="P419">
        <v>15.1</v>
      </c>
      <c r="Q419">
        <v>6.3</v>
      </c>
      <c r="R419">
        <v>8.5</v>
      </c>
      <c r="S419">
        <v>16.7</v>
      </c>
      <c r="T419">
        <v>87</v>
      </c>
      <c r="U419">
        <v>5386</v>
      </c>
      <c r="V419">
        <v>120000</v>
      </c>
      <c r="W419">
        <v>45</v>
      </c>
      <c r="X419">
        <v>64.900000000000006</v>
      </c>
      <c r="Y419">
        <v>73.2</v>
      </c>
      <c r="Z419">
        <v>74.7</v>
      </c>
      <c r="AA419">
        <v>45</v>
      </c>
      <c r="AB419">
        <v>58.9</v>
      </c>
      <c r="AC419">
        <v>66.3</v>
      </c>
      <c r="AD419">
        <v>100</v>
      </c>
      <c r="AE419">
        <v>100</v>
      </c>
      <c r="AF419" t="s">
        <v>47</v>
      </c>
    </row>
    <row r="420" spans="1:32">
      <c r="A420" t="s">
        <v>1533</v>
      </c>
      <c r="B420">
        <v>3.6</v>
      </c>
      <c r="C420">
        <v>7</v>
      </c>
      <c r="D420">
        <v>3</v>
      </c>
      <c r="E420">
        <v>8.9</v>
      </c>
      <c r="F420">
        <v>6.3</v>
      </c>
      <c r="G420">
        <v>8.9</v>
      </c>
      <c r="H420">
        <v>62.2</v>
      </c>
      <c r="I420">
        <v>63.1</v>
      </c>
      <c r="J420">
        <v>1</v>
      </c>
      <c r="K420">
        <v>52</v>
      </c>
      <c r="L420">
        <v>22.9</v>
      </c>
      <c r="M420">
        <v>5.6</v>
      </c>
      <c r="N420">
        <v>77</v>
      </c>
      <c r="O420">
        <v>48</v>
      </c>
      <c r="P420">
        <v>15.9</v>
      </c>
      <c r="Q420">
        <v>5.4</v>
      </c>
      <c r="R420">
        <v>9.4</v>
      </c>
      <c r="S420">
        <v>5.3</v>
      </c>
      <c r="T420">
        <v>86</v>
      </c>
      <c r="U420">
        <v>7904</v>
      </c>
      <c r="V420">
        <v>2381000</v>
      </c>
      <c r="W420">
        <v>62</v>
      </c>
      <c r="X420">
        <v>60.1</v>
      </c>
      <c r="Y420">
        <v>72.2</v>
      </c>
      <c r="Z420">
        <v>87.6</v>
      </c>
      <c r="AA420">
        <v>62</v>
      </c>
      <c r="AB420">
        <v>34.5</v>
      </c>
      <c r="AC420">
        <v>66.3</v>
      </c>
      <c r="AD420">
        <v>100</v>
      </c>
      <c r="AE420">
        <v>100</v>
      </c>
      <c r="AF420" t="s">
        <v>47</v>
      </c>
    </row>
    <row r="421" spans="1:32">
      <c r="A421" t="s">
        <v>1536</v>
      </c>
      <c r="B421">
        <v>3.1</v>
      </c>
      <c r="C421">
        <v>3</v>
      </c>
      <c r="D421">
        <v>5</v>
      </c>
      <c r="E421">
        <v>9.9</v>
      </c>
      <c r="F421">
        <v>11.3</v>
      </c>
      <c r="G421">
        <v>5.9</v>
      </c>
      <c r="H421">
        <v>73.5</v>
      </c>
      <c r="I421">
        <v>69.2</v>
      </c>
      <c r="J421">
        <v>1</v>
      </c>
      <c r="K421">
        <v>46</v>
      </c>
      <c r="L421">
        <v>27.1</v>
      </c>
      <c r="M421">
        <v>3.7</v>
      </c>
      <c r="N421">
        <v>70</v>
      </c>
      <c r="O421">
        <v>45</v>
      </c>
      <c r="P421">
        <v>16.100000000000001</v>
      </c>
      <c r="Q421">
        <v>17.8</v>
      </c>
      <c r="R421">
        <v>11.2</v>
      </c>
      <c r="S421">
        <v>16.7</v>
      </c>
      <c r="T421">
        <v>91</v>
      </c>
      <c r="U421">
        <v>7927</v>
      </c>
      <c r="V421">
        <v>1788000</v>
      </c>
      <c r="W421">
        <v>47</v>
      </c>
      <c r="X421">
        <v>60.9</v>
      </c>
      <c r="Y421">
        <v>70.2</v>
      </c>
      <c r="Z421">
        <v>67.7</v>
      </c>
      <c r="AA421">
        <v>47</v>
      </c>
      <c r="AB421">
        <v>34.299999999999997</v>
      </c>
      <c r="AC421">
        <v>60.5</v>
      </c>
      <c r="AD421">
        <v>100</v>
      </c>
      <c r="AE421">
        <v>100</v>
      </c>
      <c r="AF421" t="s">
        <v>47</v>
      </c>
    </row>
    <row r="422" spans="1:32">
      <c r="A422" t="s">
        <v>1538</v>
      </c>
      <c r="B422">
        <v>5.3</v>
      </c>
      <c r="C422">
        <v>16</v>
      </c>
      <c r="D422">
        <v>7</v>
      </c>
      <c r="E422">
        <v>19.7</v>
      </c>
      <c r="F422">
        <v>8.6999999999999993</v>
      </c>
      <c r="G422">
        <v>6.4</v>
      </c>
      <c r="H422">
        <v>88.6</v>
      </c>
      <c r="I422">
        <v>79.3</v>
      </c>
      <c r="J422">
        <v>0</v>
      </c>
      <c r="K422">
        <v>70</v>
      </c>
      <c r="L422">
        <v>15.7</v>
      </c>
      <c r="M422">
        <v>2.5</v>
      </c>
      <c r="N422">
        <v>66</v>
      </c>
      <c r="O422">
        <v>29</v>
      </c>
      <c r="P422">
        <v>11.6</v>
      </c>
      <c r="Q422">
        <v>10.199999999999999</v>
      </c>
      <c r="R422">
        <v>10.7</v>
      </c>
      <c r="S422">
        <v>13.4</v>
      </c>
      <c r="T422">
        <v>85</v>
      </c>
      <c r="U422">
        <v>6356</v>
      </c>
      <c r="V422">
        <v>1766000</v>
      </c>
      <c r="W422">
        <v>38</v>
      </c>
      <c r="X422">
        <v>83</v>
      </c>
      <c r="Y422">
        <v>79.5</v>
      </c>
      <c r="Z422">
        <v>76.099999999999994</v>
      </c>
      <c r="AA422">
        <v>38</v>
      </c>
      <c r="AB422">
        <v>49.5</v>
      </c>
      <c r="AC422">
        <v>72.900000000000006</v>
      </c>
      <c r="AD422">
        <v>100</v>
      </c>
      <c r="AE422">
        <v>100</v>
      </c>
      <c r="AF422" t="s">
        <v>47</v>
      </c>
    </row>
    <row r="423" spans="1:32">
      <c r="A423" t="s">
        <v>1540</v>
      </c>
      <c r="B423">
        <v>1.4</v>
      </c>
      <c r="C423">
        <v>8</v>
      </c>
      <c r="D423">
        <v>3</v>
      </c>
      <c r="E423">
        <v>8</v>
      </c>
      <c r="F423">
        <v>5</v>
      </c>
      <c r="G423">
        <v>5</v>
      </c>
      <c r="H423">
        <v>72.5</v>
      </c>
      <c r="I423">
        <v>52.3</v>
      </c>
      <c r="J423">
        <v>0</v>
      </c>
      <c r="K423">
        <v>47</v>
      </c>
      <c r="L423">
        <v>39.799999999999997</v>
      </c>
      <c r="M423">
        <v>9</v>
      </c>
      <c r="N423">
        <v>83</v>
      </c>
      <c r="O423">
        <v>61</v>
      </c>
      <c r="P423">
        <v>13</v>
      </c>
      <c r="Q423">
        <v>14.2</v>
      </c>
      <c r="R423">
        <v>9.8000000000000007</v>
      </c>
      <c r="S423">
        <v>18.7</v>
      </c>
      <c r="T423">
        <v>81</v>
      </c>
      <c r="U423">
        <v>7207</v>
      </c>
      <c r="V423">
        <v>1853000</v>
      </c>
      <c r="W423">
        <v>49</v>
      </c>
      <c r="X423">
        <v>49.9</v>
      </c>
      <c r="Y423">
        <v>63.4</v>
      </c>
      <c r="Z423">
        <v>80.900000000000006</v>
      </c>
      <c r="AA423">
        <v>49</v>
      </c>
      <c r="AB423">
        <v>41.2</v>
      </c>
      <c r="AC423">
        <v>58.5</v>
      </c>
      <c r="AD423">
        <v>100</v>
      </c>
      <c r="AE423">
        <v>100</v>
      </c>
      <c r="AF423" t="s">
        <v>47</v>
      </c>
    </row>
    <row r="424" spans="1:32">
      <c r="A424" t="s">
        <v>1543</v>
      </c>
      <c r="B424">
        <v>2.6</v>
      </c>
      <c r="C424">
        <v>9</v>
      </c>
      <c r="D424">
        <v>4</v>
      </c>
      <c r="E424">
        <v>11.7</v>
      </c>
      <c r="F424">
        <v>8.5</v>
      </c>
      <c r="G424">
        <v>4.5999999999999996</v>
      </c>
      <c r="H424">
        <v>62.9</v>
      </c>
      <c r="I424">
        <v>60.6</v>
      </c>
      <c r="J424">
        <v>0</v>
      </c>
      <c r="K424">
        <v>49</v>
      </c>
      <c r="L424">
        <v>21.8</v>
      </c>
      <c r="M424">
        <v>4.8</v>
      </c>
      <c r="N424">
        <v>89</v>
      </c>
      <c r="O424">
        <v>81</v>
      </c>
      <c r="P424">
        <v>16.899999999999999</v>
      </c>
      <c r="Q424">
        <v>16.2</v>
      </c>
      <c r="R424">
        <v>11.9</v>
      </c>
      <c r="S424">
        <v>17.399999999999999</v>
      </c>
      <c r="T424">
        <v>90</v>
      </c>
      <c r="U424">
        <v>3360</v>
      </c>
      <c r="V424">
        <v>989000</v>
      </c>
      <c r="W424">
        <v>40</v>
      </c>
      <c r="X424">
        <v>61.2</v>
      </c>
      <c r="Y424">
        <v>66.400000000000006</v>
      </c>
      <c r="Z424">
        <v>73.7</v>
      </c>
      <c r="AA424">
        <v>40</v>
      </c>
      <c r="AB424">
        <v>78.5</v>
      </c>
      <c r="AC424">
        <v>64.599999999999994</v>
      </c>
      <c r="AD424">
        <v>100</v>
      </c>
      <c r="AE424">
        <v>100</v>
      </c>
      <c r="AF424" t="s">
        <v>47</v>
      </c>
    </row>
    <row r="425" spans="1:32">
      <c r="A425" t="s">
        <v>1546</v>
      </c>
      <c r="B425">
        <v>8.6</v>
      </c>
      <c r="C425">
        <v>25</v>
      </c>
      <c r="D425">
        <v>11</v>
      </c>
      <c r="E425">
        <v>15.7</v>
      </c>
      <c r="F425">
        <v>5.0999999999999996</v>
      </c>
      <c r="G425">
        <v>7.3</v>
      </c>
      <c r="H425">
        <v>60.2</v>
      </c>
      <c r="I425">
        <v>79.5</v>
      </c>
      <c r="J425">
        <v>0</v>
      </c>
      <c r="K425">
        <v>73</v>
      </c>
      <c r="L425">
        <v>8.6</v>
      </c>
      <c r="M425">
        <v>3.5</v>
      </c>
      <c r="N425">
        <v>78</v>
      </c>
      <c r="O425">
        <v>74</v>
      </c>
      <c r="P425">
        <v>11.3</v>
      </c>
      <c r="Q425">
        <v>9.4</v>
      </c>
      <c r="R425">
        <v>9.3000000000000007</v>
      </c>
      <c r="S425">
        <v>13</v>
      </c>
      <c r="T425">
        <v>95</v>
      </c>
      <c r="U425">
        <v>3939</v>
      </c>
      <c r="V425">
        <v>1606000</v>
      </c>
      <c r="W425">
        <v>31</v>
      </c>
      <c r="X425">
        <v>74.2</v>
      </c>
      <c r="Y425">
        <v>79.8</v>
      </c>
      <c r="Z425">
        <v>84.8</v>
      </c>
      <c r="AA425">
        <v>31</v>
      </c>
      <c r="AB425">
        <v>72.900000000000006</v>
      </c>
      <c r="AC425">
        <v>73.3</v>
      </c>
      <c r="AD425">
        <v>100</v>
      </c>
      <c r="AE425">
        <v>100</v>
      </c>
      <c r="AF425" t="s">
        <v>47</v>
      </c>
    </row>
    <row r="426" spans="1:32">
      <c r="A426" t="s">
        <v>1549</v>
      </c>
      <c r="B426">
        <v>1.2</v>
      </c>
      <c r="C426">
        <v>2</v>
      </c>
      <c r="D426">
        <v>2</v>
      </c>
      <c r="E426">
        <v>8.6999999999999993</v>
      </c>
      <c r="F426">
        <v>8.4</v>
      </c>
      <c r="G426">
        <v>6.8</v>
      </c>
      <c r="H426">
        <v>79.2</v>
      </c>
      <c r="I426">
        <v>65.7</v>
      </c>
      <c r="J426">
        <v>0</v>
      </c>
      <c r="K426">
        <v>50</v>
      </c>
      <c r="L426">
        <v>33.700000000000003</v>
      </c>
      <c r="M426">
        <v>9.1999999999999993</v>
      </c>
      <c r="N426">
        <v>50</v>
      </c>
      <c r="O426">
        <v>61</v>
      </c>
      <c r="P426">
        <v>17.899999999999999</v>
      </c>
      <c r="Q426">
        <v>11.7</v>
      </c>
      <c r="R426">
        <v>5.9</v>
      </c>
      <c r="S426">
        <v>13.6</v>
      </c>
      <c r="T426">
        <v>82</v>
      </c>
      <c r="U426">
        <v>3959</v>
      </c>
      <c r="V426">
        <v>1335000</v>
      </c>
      <c r="W426">
        <v>42</v>
      </c>
      <c r="X426">
        <v>57.2</v>
      </c>
      <c r="Y426">
        <v>68.8</v>
      </c>
      <c r="Z426">
        <v>76.7</v>
      </c>
      <c r="AA426">
        <v>42</v>
      </c>
      <c r="AB426">
        <v>72.7</v>
      </c>
      <c r="AC426">
        <v>64</v>
      </c>
      <c r="AD426">
        <v>100</v>
      </c>
      <c r="AE426">
        <v>100</v>
      </c>
      <c r="AF426" t="s">
        <v>47</v>
      </c>
    </row>
    <row r="427" spans="1:32">
      <c r="A427" t="s">
        <v>1551</v>
      </c>
      <c r="B427">
        <v>2.5</v>
      </c>
      <c r="C427">
        <v>8</v>
      </c>
      <c r="D427">
        <v>4</v>
      </c>
      <c r="E427">
        <v>4.5999999999999996</v>
      </c>
      <c r="F427">
        <v>4.3</v>
      </c>
      <c r="G427">
        <v>7.9</v>
      </c>
      <c r="H427">
        <v>80.900000000000006</v>
      </c>
      <c r="I427">
        <v>57.7</v>
      </c>
      <c r="J427">
        <v>1</v>
      </c>
      <c r="K427">
        <v>48</v>
      </c>
      <c r="L427">
        <v>26.8</v>
      </c>
      <c r="M427">
        <v>9.3000000000000007</v>
      </c>
      <c r="N427">
        <v>91</v>
      </c>
      <c r="O427">
        <v>52</v>
      </c>
      <c r="P427">
        <v>18.600000000000001</v>
      </c>
      <c r="Q427">
        <v>7.7</v>
      </c>
      <c r="R427">
        <v>6.5</v>
      </c>
      <c r="S427">
        <v>9.6999999999999993</v>
      </c>
      <c r="T427">
        <v>86</v>
      </c>
      <c r="U427">
        <v>5031</v>
      </c>
      <c r="V427">
        <v>3983000</v>
      </c>
      <c r="W427">
        <v>66</v>
      </c>
      <c r="X427">
        <v>49.7</v>
      </c>
      <c r="Y427">
        <v>66.900000000000006</v>
      </c>
      <c r="Z427">
        <v>89</v>
      </c>
      <c r="AA427">
        <v>66</v>
      </c>
      <c r="AB427">
        <v>62.3</v>
      </c>
      <c r="AC427">
        <v>64.8</v>
      </c>
      <c r="AD427">
        <v>100</v>
      </c>
      <c r="AE427">
        <v>100</v>
      </c>
      <c r="AF427" t="s">
        <v>47</v>
      </c>
    </row>
    <row r="428" spans="1:32">
      <c r="A428" t="s">
        <v>1554</v>
      </c>
      <c r="B428">
        <v>1.8</v>
      </c>
      <c r="C428">
        <v>6</v>
      </c>
      <c r="D428">
        <v>3</v>
      </c>
      <c r="E428">
        <v>10</v>
      </c>
      <c r="F428">
        <v>15.7</v>
      </c>
      <c r="G428">
        <v>6.8</v>
      </c>
      <c r="H428">
        <v>72.5</v>
      </c>
      <c r="I428">
        <v>57.8</v>
      </c>
      <c r="J428">
        <v>0</v>
      </c>
      <c r="K428">
        <v>45</v>
      </c>
      <c r="L428">
        <v>32.200000000000003</v>
      </c>
      <c r="M428">
        <v>7.1</v>
      </c>
      <c r="N428">
        <v>77</v>
      </c>
      <c r="O428">
        <v>54</v>
      </c>
      <c r="P428">
        <v>20.8</v>
      </c>
      <c r="Q428">
        <v>15.6</v>
      </c>
      <c r="R428">
        <v>12.1</v>
      </c>
      <c r="S428">
        <v>10.5</v>
      </c>
      <c r="T428">
        <v>88</v>
      </c>
      <c r="U428">
        <v>4260</v>
      </c>
      <c r="V428">
        <v>2472000</v>
      </c>
      <c r="W428">
        <v>63</v>
      </c>
      <c r="X428">
        <v>57.5</v>
      </c>
      <c r="Y428">
        <v>62.3</v>
      </c>
      <c r="Z428">
        <v>62</v>
      </c>
      <c r="AA428">
        <v>63</v>
      </c>
      <c r="AB428">
        <v>69.8</v>
      </c>
      <c r="AC428">
        <v>61.4</v>
      </c>
      <c r="AD428">
        <v>100</v>
      </c>
      <c r="AE428">
        <v>100</v>
      </c>
      <c r="AF428" t="s">
        <v>47</v>
      </c>
    </row>
    <row r="429" spans="1:32">
      <c r="A429" t="s">
        <v>1556</v>
      </c>
      <c r="B429">
        <v>4.5999999999999996</v>
      </c>
      <c r="C429">
        <v>12</v>
      </c>
      <c r="D429">
        <v>6</v>
      </c>
      <c r="E429">
        <v>10.7</v>
      </c>
      <c r="F429">
        <v>7.2</v>
      </c>
      <c r="G429">
        <v>8.6</v>
      </c>
      <c r="H429">
        <v>78.400000000000006</v>
      </c>
      <c r="I429">
        <v>73.3</v>
      </c>
      <c r="J429">
        <v>0</v>
      </c>
      <c r="K429">
        <v>63</v>
      </c>
      <c r="L429">
        <v>24.2</v>
      </c>
      <c r="M429">
        <v>4.8</v>
      </c>
      <c r="N429">
        <v>92</v>
      </c>
      <c r="O429">
        <v>51</v>
      </c>
      <c r="P429">
        <v>15.8</v>
      </c>
      <c r="Q429">
        <v>10.199999999999999</v>
      </c>
      <c r="R429">
        <v>4.8</v>
      </c>
      <c r="S429">
        <v>12.1</v>
      </c>
      <c r="T429">
        <v>93</v>
      </c>
      <c r="U429">
        <v>4124</v>
      </c>
      <c r="V429">
        <v>4245000</v>
      </c>
      <c r="W429">
        <v>54</v>
      </c>
      <c r="X429">
        <v>60.6</v>
      </c>
      <c r="Y429">
        <v>76.599999999999994</v>
      </c>
      <c r="Z429">
        <v>80.599999999999994</v>
      </c>
      <c r="AA429">
        <v>54</v>
      </c>
      <c r="AB429">
        <v>71.099999999999994</v>
      </c>
      <c r="AC429">
        <v>69</v>
      </c>
      <c r="AD429">
        <v>100</v>
      </c>
      <c r="AE429">
        <v>100</v>
      </c>
      <c r="AF429" t="s">
        <v>47</v>
      </c>
    </row>
    <row r="430" spans="1:32">
      <c r="A430" t="s">
        <v>1558</v>
      </c>
      <c r="B430">
        <v>4.4000000000000004</v>
      </c>
      <c r="C430">
        <v>13</v>
      </c>
      <c r="D430">
        <v>3</v>
      </c>
      <c r="E430">
        <v>11.4</v>
      </c>
      <c r="F430">
        <v>4.5999999999999996</v>
      </c>
      <c r="G430">
        <v>6.2</v>
      </c>
      <c r="H430">
        <v>63.2</v>
      </c>
      <c r="I430">
        <v>66.7</v>
      </c>
      <c r="J430">
        <v>0</v>
      </c>
      <c r="K430">
        <v>58</v>
      </c>
      <c r="L430">
        <v>20.399999999999999</v>
      </c>
      <c r="M430">
        <v>7.5</v>
      </c>
      <c r="N430">
        <v>73</v>
      </c>
      <c r="O430">
        <v>55</v>
      </c>
      <c r="P430">
        <v>13.2</v>
      </c>
      <c r="Q430">
        <v>7</v>
      </c>
      <c r="R430">
        <v>6.6</v>
      </c>
      <c r="S430">
        <v>14.3</v>
      </c>
      <c r="T430">
        <v>86</v>
      </c>
      <c r="U430">
        <v>3818</v>
      </c>
      <c r="V430">
        <v>1658000</v>
      </c>
      <c r="W430">
        <v>52</v>
      </c>
      <c r="X430">
        <v>65</v>
      </c>
      <c r="Y430">
        <v>73.7</v>
      </c>
      <c r="Z430">
        <v>85</v>
      </c>
      <c r="AA430">
        <v>52</v>
      </c>
      <c r="AB430">
        <v>74</v>
      </c>
      <c r="AC430">
        <v>70.8</v>
      </c>
      <c r="AD430">
        <v>100</v>
      </c>
      <c r="AE430">
        <v>100</v>
      </c>
      <c r="AF430" t="s">
        <v>47</v>
      </c>
    </row>
    <row r="431" spans="1:32">
      <c r="A431" t="s">
        <v>1560</v>
      </c>
      <c r="B431">
        <v>0.7</v>
      </c>
      <c r="C431">
        <v>4</v>
      </c>
      <c r="D431">
        <v>2</v>
      </c>
      <c r="E431">
        <v>11.1</v>
      </c>
      <c r="F431">
        <v>11</v>
      </c>
      <c r="G431">
        <v>6.7</v>
      </c>
      <c r="H431">
        <v>80</v>
      </c>
      <c r="I431">
        <v>53</v>
      </c>
      <c r="J431">
        <v>0</v>
      </c>
      <c r="K431">
        <v>47</v>
      </c>
      <c r="L431">
        <v>39.200000000000003</v>
      </c>
      <c r="M431">
        <v>12.5</v>
      </c>
      <c r="N431">
        <v>79</v>
      </c>
      <c r="O431">
        <v>45</v>
      </c>
      <c r="P431">
        <v>20.3</v>
      </c>
      <c r="Q431">
        <v>6.4</v>
      </c>
      <c r="R431">
        <v>9.6</v>
      </c>
      <c r="S431">
        <v>16.8</v>
      </c>
      <c r="T431">
        <v>87</v>
      </c>
      <c r="U431">
        <v>4053</v>
      </c>
      <c r="V431">
        <v>3049000</v>
      </c>
      <c r="W431">
        <v>70</v>
      </c>
      <c r="X431">
        <v>56.8</v>
      </c>
      <c r="Y431">
        <v>61.3</v>
      </c>
      <c r="Z431">
        <v>68.3</v>
      </c>
      <c r="AA431">
        <v>70</v>
      </c>
      <c r="AB431">
        <v>71.8</v>
      </c>
      <c r="AC431">
        <v>63</v>
      </c>
      <c r="AD431">
        <v>100</v>
      </c>
      <c r="AE431">
        <v>100</v>
      </c>
      <c r="AF431" t="s">
        <v>47</v>
      </c>
    </row>
    <row r="432" spans="1:32">
      <c r="A432" t="s">
        <v>1562</v>
      </c>
      <c r="B432">
        <v>0.5</v>
      </c>
      <c r="C432">
        <v>3</v>
      </c>
      <c r="D432">
        <v>2</v>
      </c>
      <c r="F432">
        <v>17.3</v>
      </c>
      <c r="G432">
        <v>6.3</v>
      </c>
      <c r="I432">
        <v>45.3</v>
      </c>
      <c r="J432">
        <v>0</v>
      </c>
      <c r="K432">
        <v>19</v>
      </c>
      <c r="L432">
        <v>42.7</v>
      </c>
      <c r="M432">
        <v>7.1</v>
      </c>
      <c r="P432">
        <v>22.9</v>
      </c>
      <c r="Q432">
        <v>10.9</v>
      </c>
      <c r="R432">
        <v>10.9</v>
      </c>
      <c r="S432">
        <v>18.2</v>
      </c>
      <c r="T432">
        <v>82</v>
      </c>
      <c r="U432">
        <v>4449</v>
      </c>
      <c r="V432">
        <v>4297000</v>
      </c>
      <c r="W432">
        <v>86</v>
      </c>
      <c r="X432">
        <v>45.5</v>
      </c>
      <c r="Y432">
        <v>59.5</v>
      </c>
      <c r="Z432">
        <v>52.7</v>
      </c>
      <c r="AA432">
        <v>86</v>
      </c>
      <c r="AB432">
        <v>67.900000000000006</v>
      </c>
      <c r="AC432">
        <v>56.7</v>
      </c>
      <c r="AD432">
        <v>100</v>
      </c>
      <c r="AE432">
        <v>81</v>
      </c>
      <c r="AF432" t="s">
        <v>1971</v>
      </c>
    </row>
    <row r="433" spans="1:32">
      <c r="A433" t="s">
        <v>1564</v>
      </c>
      <c r="B433">
        <v>0.8</v>
      </c>
      <c r="C433">
        <v>8</v>
      </c>
      <c r="D433">
        <v>3</v>
      </c>
      <c r="E433">
        <v>9</v>
      </c>
      <c r="F433">
        <v>7.8</v>
      </c>
      <c r="H433">
        <v>65.5</v>
      </c>
      <c r="I433">
        <v>46.3</v>
      </c>
      <c r="J433">
        <v>1</v>
      </c>
      <c r="K433">
        <v>30</v>
      </c>
      <c r="L433">
        <v>20.2</v>
      </c>
      <c r="M433">
        <v>8.6</v>
      </c>
      <c r="N433">
        <v>86</v>
      </c>
      <c r="O433">
        <v>66</v>
      </c>
      <c r="P433">
        <v>18.899999999999999</v>
      </c>
      <c r="T433">
        <v>86</v>
      </c>
      <c r="U433">
        <v>5024</v>
      </c>
      <c r="V433">
        <v>2727000</v>
      </c>
      <c r="W433">
        <v>73</v>
      </c>
      <c r="X433">
        <v>59</v>
      </c>
      <c r="Y433">
        <v>55</v>
      </c>
      <c r="Z433">
        <v>79.3</v>
      </c>
      <c r="AA433">
        <v>73</v>
      </c>
      <c r="AB433">
        <v>62.4</v>
      </c>
      <c r="AC433">
        <v>63.8</v>
      </c>
      <c r="AD433">
        <v>100</v>
      </c>
      <c r="AE433">
        <v>81</v>
      </c>
      <c r="AF433" t="s">
        <v>1971</v>
      </c>
    </row>
    <row r="434" spans="1:32">
      <c r="A434" t="s">
        <v>1567</v>
      </c>
      <c r="B434">
        <v>5.6</v>
      </c>
      <c r="C434">
        <v>13</v>
      </c>
      <c r="D434">
        <v>7</v>
      </c>
      <c r="E434">
        <v>15.1</v>
      </c>
      <c r="F434">
        <v>7.1</v>
      </c>
      <c r="G434">
        <v>4.9000000000000004</v>
      </c>
      <c r="H434">
        <v>61.3</v>
      </c>
      <c r="I434">
        <v>88.8</v>
      </c>
      <c r="J434">
        <v>0</v>
      </c>
      <c r="K434">
        <v>63</v>
      </c>
      <c r="L434">
        <v>19</v>
      </c>
      <c r="M434">
        <v>5.7</v>
      </c>
      <c r="N434">
        <v>62</v>
      </c>
      <c r="O434">
        <v>63</v>
      </c>
      <c r="P434">
        <v>13.4</v>
      </c>
      <c r="Q434">
        <v>7</v>
      </c>
      <c r="R434">
        <v>5.8</v>
      </c>
      <c r="S434">
        <v>27.3</v>
      </c>
      <c r="T434">
        <v>95</v>
      </c>
      <c r="U434">
        <v>4031</v>
      </c>
      <c r="V434">
        <v>1496000</v>
      </c>
      <c r="W434">
        <v>56</v>
      </c>
      <c r="X434">
        <v>72.099999999999994</v>
      </c>
      <c r="Y434">
        <v>83.1</v>
      </c>
      <c r="Z434">
        <v>69.7</v>
      </c>
      <c r="AA434">
        <v>56</v>
      </c>
      <c r="AB434">
        <v>72</v>
      </c>
      <c r="AC434">
        <v>72.7</v>
      </c>
      <c r="AD434">
        <v>100</v>
      </c>
      <c r="AE434">
        <v>100</v>
      </c>
      <c r="AF434" t="s">
        <v>47</v>
      </c>
    </row>
    <row r="435" spans="1:32">
      <c r="A435" t="s">
        <v>1570</v>
      </c>
      <c r="B435">
        <v>4.0999999999999996</v>
      </c>
      <c r="C435">
        <v>11</v>
      </c>
      <c r="D435">
        <v>2</v>
      </c>
      <c r="E435">
        <v>12.2</v>
      </c>
      <c r="F435">
        <v>10.4</v>
      </c>
      <c r="G435">
        <v>3.2</v>
      </c>
      <c r="H435">
        <v>62.8</v>
      </c>
      <c r="I435">
        <v>71.8</v>
      </c>
      <c r="J435">
        <v>0</v>
      </c>
      <c r="K435">
        <v>50</v>
      </c>
      <c r="L435">
        <v>20.3</v>
      </c>
      <c r="M435">
        <v>3.2</v>
      </c>
      <c r="N435">
        <v>73</v>
      </c>
      <c r="O435">
        <v>87</v>
      </c>
      <c r="P435">
        <v>13.1</v>
      </c>
      <c r="Q435">
        <v>13.1</v>
      </c>
      <c r="R435">
        <v>9</v>
      </c>
      <c r="S435">
        <v>29.9</v>
      </c>
      <c r="T435">
        <v>89</v>
      </c>
      <c r="U435">
        <v>3658</v>
      </c>
      <c r="V435">
        <v>1089000</v>
      </c>
      <c r="W435">
        <v>51</v>
      </c>
      <c r="X435">
        <v>63.9</v>
      </c>
      <c r="Y435">
        <v>75.400000000000006</v>
      </c>
      <c r="Z435">
        <v>60.2</v>
      </c>
      <c r="AA435">
        <v>51</v>
      </c>
      <c r="AB435">
        <v>75.599999999999994</v>
      </c>
      <c r="AC435">
        <v>65.900000000000006</v>
      </c>
      <c r="AD435">
        <v>100</v>
      </c>
      <c r="AE435">
        <v>100</v>
      </c>
      <c r="AF435" t="s">
        <v>47</v>
      </c>
    </row>
    <row r="436" spans="1:32">
      <c r="A436" t="s">
        <v>1573</v>
      </c>
      <c r="B436">
        <v>3.6</v>
      </c>
      <c r="C436">
        <v>10</v>
      </c>
      <c r="D436">
        <v>5</v>
      </c>
      <c r="E436">
        <v>17.7</v>
      </c>
      <c r="F436">
        <v>13.5</v>
      </c>
      <c r="G436">
        <v>5.9</v>
      </c>
      <c r="H436">
        <v>52.1</v>
      </c>
      <c r="I436">
        <v>57.4</v>
      </c>
      <c r="J436">
        <v>0</v>
      </c>
      <c r="K436">
        <v>52</v>
      </c>
      <c r="L436">
        <v>22.1</v>
      </c>
      <c r="M436">
        <v>6</v>
      </c>
      <c r="N436">
        <v>73</v>
      </c>
      <c r="O436">
        <v>54</v>
      </c>
      <c r="P436">
        <v>14.3</v>
      </c>
      <c r="Q436">
        <v>11.7</v>
      </c>
      <c r="R436">
        <v>6.8</v>
      </c>
      <c r="S436">
        <v>13.2</v>
      </c>
      <c r="T436">
        <v>79</v>
      </c>
      <c r="U436">
        <v>3274</v>
      </c>
      <c r="V436">
        <v>1179000</v>
      </c>
      <c r="W436">
        <v>51</v>
      </c>
      <c r="X436">
        <v>74.400000000000006</v>
      </c>
      <c r="Y436">
        <v>69.3</v>
      </c>
      <c r="Z436">
        <v>65.099999999999994</v>
      </c>
      <c r="AA436">
        <v>51</v>
      </c>
      <c r="AB436">
        <v>79.3</v>
      </c>
      <c r="AC436">
        <v>69.400000000000006</v>
      </c>
      <c r="AD436">
        <v>100</v>
      </c>
      <c r="AE436">
        <v>100</v>
      </c>
      <c r="AF436" t="s">
        <v>47</v>
      </c>
    </row>
    <row r="437" spans="1:32">
      <c r="A437" t="s">
        <v>1574</v>
      </c>
      <c r="B437">
        <v>4.7</v>
      </c>
      <c r="C437">
        <v>14</v>
      </c>
      <c r="D437">
        <v>6</v>
      </c>
      <c r="E437">
        <v>9.6</v>
      </c>
      <c r="F437">
        <v>16.399999999999999</v>
      </c>
      <c r="G437">
        <v>8.6999999999999993</v>
      </c>
      <c r="H437">
        <v>77.599999999999994</v>
      </c>
      <c r="I437">
        <v>65.3</v>
      </c>
      <c r="J437">
        <v>0</v>
      </c>
      <c r="K437">
        <v>54</v>
      </c>
      <c r="L437">
        <v>37</v>
      </c>
      <c r="M437">
        <v>5</v>
      </c>
      <c r="N437">
        <v>80</v>
      </c>
      <c r="O437">
        <v>59</v>
      </c>
      <c r="P437">
        <v>18.100000000000001</v>
      </c>
      <c r="Q437">
        <v>5.8</v>
      </c>
      <c r="R437">
        <v>6.6</v>
      </c>
      <c r="S437">
        <v>6.2</v>
      </c>
      <c r="T437">
        <v>83</v>
      </c>
      <c r="U437">
        <v>5301</v>
      </c>
      <c r="V437">
        <v>2121000</v>
      </c>
      <c r="W437">
        <v>47</v>
      </c>
      <c r="X437">
        <v>54.1</v>
      </c>
      <c r="Y437">
        <v>73.7</v>
      </c>
      <c r="Z437">
        <v>63.5</v>
      </c>
      <c r="AA437">
        <v>47</v>
      </c>
      <c r="AB437">
        <v>59.7</v>
      </c>
      <c r="AC437">
        <v>60.7</v>
      </c>
      <c r="AD437">
        <v>100</v>
      </c>
      <c r="AE437">
        <v>100</v>
      </c>
      <c r="AF437" t="s">
        <v>47</v>
      </c>
    </row>
    <row r="438" spans="1:32">
      <c r="A438" t="s">
        <v>1576</v>
      </c>
      <c r="B438">
        <v>2.5</v>
      </c>
      <c r="C438">
        <v>3</v>
      </c>
      <c r="D438">
        <v>1</v>
      </c>
      <c r="E438">
        <v>11.5</v>
      </c>
      <c r="F438">
        <v>15.7</v>
      </c>
      <c r="G438">
        <v>5</v>
      </c>
      <c r="H438">
        <v>64.2</v>
      </c>
      <c r="I438">
        <v>26.6</v>
      </c>
      <c r="J438">
        <v>0</v>
      </c>
      <c r="K438">
        <v>39</v>
      </c>
      <c r="L438">
        <v>21.2</v>
      </c>
      <c r="M438">
        <v>8</v>
      </c>
      <c r="N438">
        <v>91</v>
      </c>
      <c r="O438">
        <v>70</v>
      </c>
      <c r="P438">
        <v>29.8</v>
      </c>
      <c r="Q438">
        <v>16.3</v>
      </c>
      <c r="R438">
        <v>9.1999999999999993</v>
      </c>
      <c r="S438">
        <v>16.2</v>
      </c>
      <c r="T438">
        <v>65</v>
      </c>
      <c r="U438">
        <v>3341</v>
      </c>
      <c r="V438">
        <v>975000</v>
      </c>
      <c r="W438">
        <v>37</v>
      </c>
      <c r="X438">
        <v>61.8</v>
      </c>
      <c r="Y438">
        <v>48.3</v>
      </c>
      <c r="Z438">
        <v>57.8</v>
      </c>
      <c r="AA438">
        <v>37</v>
      </c>
      <c r="AB438">
        <v>78.599999999999994</v>
      </c>
      <c r="AC438">
        <v>56.8</v>
      </c>
      <c r="AD438">
        <v>100</v>
      </c>
      <c r="AE438">
        <v>100</v>
      </c>
      <c r="AF438" t="s">
        <v>47</v>
      </c>
    </row>
    <row r="439" spans="1:32">
      <c r="A439" t="s">
        <v>1579</v>
      </c>
      <c r="B439">
        <v>7</v>
      </c>
      <c r="C439">
        <v>17</v>
      </c>
      <c r="D439">
        <v>7</v>
      </c>
      <c r="E439">
        <v>12.6</v>
      </c>
      <c r="F439">
        <v>7.7</v>
      </c>
      <c r="G439">
        <v>6.3</v>
      </c>
      <c r="I439">
        <v>73.400000000000006</v>
      </c>
      <c r="J439">
        <v>0</v>
      </c>
      <c r="K439">
        <v>54</v>
      </c>
      <c r="L439">
        <v>14</v>
      </c>
      <c r="M439">
        <v>4.5999999999999996</v>
      </c>
      <c r="N439">
        <v>89</v>
      </c>
      <c r="P439">
        <v>14.7</v>
      </c>
      <c r="Q439">
        <v>7.9</v>
      </c>
      <c r="R439">
        <v>7.3</v>
      </c>
      <c r="S439">
        <v>15.5</v>
      </c>
      <c r="T439">
        <v>95</v>
      </c>
      <c r="U439">
        <v>4110</v>
      </c>
      <c r="V439">
        <v>1710000</v>
      </c>
      <c r="W439">
        <v>54</v>
      </c>
      <c r="X439">
        <v>65.2</v>
      </c>
      <c r="Y439">
        <v>77</v>
      </c>
      <c r="Z439">
        <v>76.900000000000006</v>
      </c>
      <c r="AA439">
        <v>54</v>
      </c>
      <c r="AB439">
        <v>71.2</v>
      </c>
      <c r="AC439">
        <v>70</v>
      </c>
      <c r="AD439">
        <v>100</v>
      </c>
      <c r="AE439">
        <v>90.5</v>
      </c>
      <c r="AF439" t="s">
        <v>47</v>
      </c>
    </row>
    <row r="440" spans="1:32">
      <c r="A440" t="s">
        <v>1581</v>
      </c>
      <c r="B440">
        <v>2.9</v>
      </c>
      <c r="C440">
        <v>13</v>
      </c>
      <c r="D440">
        <v>4</v>
      </c>
      <c r="F440">
        <v>12.6</v>
      </c>
      <c r="G440">
        <v>6.1</v>
      </c>
      <c r="H440">
        <v>69.7</v>
      </c>
      <c r="I440">
        <v>47.2</v>
      </c>
      <c r="J440">
        <v>0</v>
      </c>
      <c r="K440">
        <v>38</v>
      </c>
      <c r="L440">
        <v>17.7</v>
      </c>
      <c r="M440">
        <v>9.6999999999999993</v>
      </c>
      <c r="O440">
        <v>64</v>
      </c>
      <c r="P440">
        <v>18.8</v>
      </c>
      <c r="Q440">
        <v>10.6</v>
      </c>
      <c r="R440">
        <v>8.8000000000000007</v>
      </c>
      <c r="S440">
        <v>16.7</v>
      </c>
      <c r="T440">
        <v>89</v>
      </c>
      <c r="U440">
        <v>4395</v>
      </c>
      <c r="V440">
        <v>1522000</v>
      </c>
      <c r="W440">
        <v>69</v>
      </c>
      <c r="X440">
        <v>83.9</v>
      </c>
      <c r="Y440">
        <v>60.7</v>
      </c>
      <c r="Z440">
        <v>64.7</v>
      </c>
      <c r="AA440">
        <v>69</v>
      </c>
      <c r="AB440">
        <v>68.400000000000006</v>
      </c>
      <c r="AC440">
        <v>71.2</v>
      </c>
      <c r="AD440">
        <v>100</v>
      </c>
      <c r="AE440">
        <v>90.5</v>
      </c>
      <c r="AF440" t="s">
        <v>47</v>
      </c>
    </row>
    <row r="441" spans="1:32">
      <c r="A441" t="s">
        <v>1584</v>
      </c>
      <c r="B441">
        <v>1.8</v>
      </c>
      <c r="C441">
        <v>5</v>
      </c>
      <c r="D441">
        <v>4</v>
      </c>
      <c r="E441">
        <v>32.799999999999997</v>
      </c>
      <c r="F441">
        <v>5.2</v>
      </c>
      <c r="G441">
        <v>4.0999999999999996</v>
      </c>
      <c r="H441">
        <v>62.2</v>
      </c>
      <c r="I441">
        <v>41.1</v>
      </c>
      <c r="J441">
        <v>1</v>
      </c>
      <c r="K441">
        <v>51</v>
      </c>
      <c r="L441">
        <v>31.3</v>
      </c>
      <c r="M441">
        <v>11.5</v>
      </c>
      <c r="N441">
        <v>48</v>
      </c>
      <c r="O441">
        <v>62</v>
      </c>
      <c r="P441">
        <v>16.399999999999999</v>
      </c>
      <c r="Q441">
        <v>14.3</v>
      </c>
      <c r="R441">
        <v>11</v>
      </c>
      <c r="S441">
        <v>14.9</v>
      </c>
      <c r="T441">
        <v>77</v>
      </c>
      <c r="U441">
        <v>3426</v>
      </c>
      <c r="V441">
        <v>983000</v>
      </c>
      <c r="W441">
        <v>42</v>
      </c>
      <c r="X441">
        <v>84.4</v>
      </c>
      <c r="Y441">
        <v>55.7</v>
      </c>
      <c r="Z441">
        <v>83.2</v>
      </c>
      <c r="AA441">
        <v>42</v>
      </c>
      <c r="AB441">
        <v>77.8</v>
      </c>
      <c r="AC441">
        <v>72.099999999999994</v>
      </c>
      <c r="AD441">
        <v>100</v>
      </c>
      <c r="AE441">
        <v>100</v>
      </c>
      <c r="AF441" t="s">
        <v>47</v>
      </c>
    </row>
    <row r="442" spans="1:32">
      <c r="A442" t="s">
        <v>1586</v>
      </c>
      <c r="B442">
        <v>7.3</v>
      </c>
      <c r="C442">
        <v>17</v>
      </c>
      <c r="D442">
        <v>9</v>
      </c>
      <c r="E442">
        <v>18.100000000000001</v>
      </c>
      <c r="F442">
        <v>10.6</v>
      </c>
      <c r="G442">
        <v>6.2</v>
      </c>
      <c r="H442">
        <v>75</v>
      </c>
      <c r="I442">
        <v>78.3</v>
      </c>
      <c r="J442">
        <v>1</v>
      </c>
      <c r="K442">
        <v>63</v>
      </c>
      <c r="L442">
        <v>15</v>
      </c>
      <c r="M442">
        <v>1.4</v>
      </c>
      <c r="N442">
        <v>75</v>
      </c>
      <c r="O442">
        <v>86</v>
      </c>
      <c r="P442">
        <v>5</v>
      </c>
      <c r="Q442">
        <v>6.8</v>
      </c>
      <c r="R442">
        <v>7.5</v>
      </c>
      <c r="S442">
        <v>21.8</v>
      </c>
      <c r="T442">
        <v>87</v>
      </c>
      <c r="U442">
        <v>4125</v>
      </c>
      <c r="V442">
        <v>1985000</v>
      </c>
      <c r="W442">
        <v>49</v>
      </c>
      <c r="X442">
        <v>75.400000000000006</v>
      </c>
      <c r="Y442">
        <v>85.2</v>
      </c>
      <c r="Z442">
        <v>65.599999999999994</v>
      </c>
      <c r="AA442">
        <v>49</v>
      </c>
      <c r="AB442">
        <v>71.099999999999994</v>
      </c>
      <c r="AC442">
        <v>72.8</v>
      </c>
      <c r="AD442">
        <v>100</v>
      </c>
      <c r="AE442">
        <v>100</v>
      </c>
      <c r="AF442" t="s">
        <v>47</v>
      </c>
    </row>
    <row r="443" spans="1:32">
      <c r="A443" t="s">
        <v>1589</v>
      </c>
      <c r="B443">
        <v>4</v>
      </c>
      <c r="C443">
        <v>10</v>
      </c>
      <c r="D443">
        <v>5</v>
      </c>
      <c r="E443">
        <v>10.199999999999999</v>
      </c>
      <c r="F443">
        <v>7.7</v>
      </c>
      <c r="G443">
        <v>6.5</v>
      </c>
      <c r="H443">
        <v>77.2</v>
      </c>
      <c r="I443">
        <v>67.099999999999994</v>
      </c>
      <c r="J443">
        <v>1</v>
      </c>
      <c r="K443">
        <v>52</v>
      </c>
      <c r="L443">
        <v>24.5</v>
      </c>
      <c r="M443">
        <v>3</v>
      </c>
      <c r="N443">
        <v>77</v>
      </c>
      <c r="O443">
        <v>64</v>
      </c>
      <c r="P443">
        <v>18.2</v>
      </c>
      <c r="Q443">
        <v>11.6</v>
      </c>
      <c r="R443">
        <v>3.9</v>
      </c>
      <c r="S443">
        <v>14.2</v>
      </c>
      <c r="T443">
        <v>96</v>
      </c>
      <c r="U443">
        <v>3693</v>
      </c>
      <c r="V443">
        <v>1717000</v>
      </c>
      <c r="W443">
        <v>49</v>
      </c>
      <c r="X443">
        <v>60.3</v>
      </c>
      <c r="Y443">
        <v>74.8</v>
      </c>
      <c r="Z443">
        <v>77.900000000000006</v>
      </c>
      <c r="AA443">
        <v>49</v>
      </c>
      <c r="AB443">
        <v>75.2</v>
      </c>
      <c r="AC443">
        <v>67.8</v>
      </c>
      <c r="AD443">
        <v>100</v>
      </c>
      <c r="AE443">
        <v>100</v>
      </c>
      <c r="AF443" t="s">
        <v>47</v>
      </c>
    </row>
    <row r="444" spans="1:32">
      <c r="A444" t="s">
        <v>1591</v>
      </c>
      <c r="B444">
        <v>1.8</v>
      </c>
      <c r="C444">
        <v>6</v>
      </c>
      <c r="D444">
        <v>2</v>
      </c>
      <c r="E444">
        <v>14.3</v>
      </c>
      <c r="F444">
        <v>10.9</v>
      </c>
      <c r="G444">
        <v>6.4</v>
      </c>
      <c r="H444">
        <v>59.5</v>
      </c>
      <c r="I444">
        <v>53</v>
      </c>
      <c r="J444">
        <v>1</v>
      </c>
      <c r="K444">
        <v>43</v>
      </c>
      <c r="L444">
        <v>35.9</v>
      </c>
      <c r="M444">
        <v>9</v>
      </c>
      <c r="N444">
        <v>84</v>
      </c>
      <c r="O444">
        <v>88</v>
      </c>
      <c r="P444">
        <v>22.1</v>
      </c>
      <c r="Q444">
        <v>12.7</v>
      </c>
      <c r="R444">
        <v>3.8</v>
      </c>
      <c r="S444">
        <v>17.7</v>
      </c>
      <c r="T444">
        <v>89</v>
      </c>
      <c r="U444">
        <v>3345</v>
      </c>
      <c r="V444">
        <v>684000</v>
      </c>
      <c r="W444">
        <v>53</v>
      </c>
      <c r="X444">
        <v>59.5</v>
      </c>
      <c r="Y444">
        <v>63.4</v>
      </c>
      <c r="Z444">
        <v>67.900000000000006</v>
      </c>
      <c r="AA444">
        <v>53</v>
      </c>
      <c r="AB444">
        <v>78.599999999999994</v>
      </c>
      <c r="AC444">
        <v>63.4</v>
      </c>
      <c r="AD444">
        <v>100</v>
      </c>
      <c r="AE444">
        <v>100</v>
      </c>
      <c r="AF444" t="s">
        <v>47</v>
      </c>
    </row>
    <row r="445" spans="1:32">
      <c r="A445" t="s">
        <v>1593</v>
      </c>
      <c r="B445">
        <v>5.2</v>
      </c>
      <c r="C445">
        <v>13</v>
      </c>
      <c r="D445">
        <v>8</v>
      </c>
      <c r="E445">
        <v>11.3</v>
      </c>
      <c r="G445">
        <v>6.3</v>
      </c>
      <c r="H445">
        <v>69.099999999999994</v>
      </c>
      <c r="I445">
        <v>62.6</v>
      </c>
      <c r="J445">
        <v>1</v>
      </c>
      <c r="K445">
        <v>59</v>
      </c>
      <c r="L445">
        <v>29.8</v>
      </c>
      <c r="M445">
        <v>5.8</v>
      </c>
      <c r="N445">
        <v>81</v>
      </c>
      <c r="O445">
        <v>80</v>
      </c>
      <c r="P445">
        <v>19.5</v>
      </c>
      <c r="Q445">
        <v>10</v>
      </c>
      <c r="R445">
        <v>8.8000000000000007</v>
      </c>
      <c r="S445">
        <v>18.3</v>
      </c>
      <c r="T445">
        <v>84</v>
      </c>
      <c r="U445">
        <v>3910</v>
      </c>
      <c r="V445">
        <v>2107000</v>
      </c>
      <c r="W445">
        <v>54</v>
      </c>
      <c r="X445">
        <v>58.2</v>
      </c>
      <c r="Y445">
        <v>69</v>
      </c>
      <c r="Z445">
        <v>66</v>
      </c>
      <c r="AA445">
        <v>54</v>
      </c>
      <c r="AB445">
        <v>73.099999999999994</v>
      </c>
      <c r="AC445">
        <v>63.5</v>
      </c>
      <c r="AD445">
        <v>100</v>
      </c>
      <c r="AE445">
        <v>95.2</v>
      </c>
      <c r="AF445" t="s">
        <v>47</v>
      </c>
    </row>
    <row r="446" spans="1:32">
      <c r="A446" t="s">
        <v>1596</v>
      </c>
      <c r="B446">
        <v>4.5</v>
      </c>
      <c r="C446">
        <v>16</v>
      </c>
      <c r="D446">
        <v>6</v>
      </c>
      <c r="E446">
        <v>13.8</v>
      </c>
      <c r="F446">
        <v>6.1</v>
      </c>
      <c r="G446">
        <v>7.4</v>
      </c>
      <c r="H446">
        <v>73.900000000000006</v>
      </c>
      <c r="I446">
        <v>64.599999999999994</v>
      </c>
      <c r="J446">
        <v>0</v>
      </c>
      <c r="K446">
        <v>62</v>
      </c>
      <c r="L446">
        <v>25.9</v>
      </c>
      <c r="M446">
        <v>5.4</v>
      </c>
      <c r="N446">
        <v>64</v>
      </c>
      <c r="O446">
        <v>71</v>
      </c>
      <c r="P446">
        <v>14</v>
      </c>
      <c r="Q446">
        <v>5.7</v>
      </c>
      <c r="R446">
        <v>9.6999999999999993</v>
      </c>
      <c r="S446">
        <v>12.8</v>
      </c>
      <c r="T446">
        <v>95</v>
      </c>
      <c r="U446">
        <v>4498</v>
      </c>
      <c r="V446">
        <v>3657000</v>
      </c>
      <c r="W446">
        <v>64</v>
      </c>
      <c r="X446">
        <v>66.3</v>
      </c>
      <c r="Y446">
        <v>73.400000000000006</v>
      </c>
      <c r="Z446">
        <v>82.6</v>
      </c>
      <c r="AA446">
        <v>64</v>
      </c>
      <c r="AB446">
        <v>67.400000000000006</v>
      </c>
      <c r="AC446">
        <v>71.2</v>
      </c>
      <c r="AD446">
        <v>100</v>
      </c>
      <c r="AE446">
        <v>100</v>
      </c>
      <c r="AF446" t="s">
        <v>47</v>
      </c>
    </row>
    <row r="447" spans="1:32">
      <c r="A447" t="s">
        <v>1598</v>
      </c>
      <c r="B447">
        <v>2.7</v>
      </c>
      <c r="C447">
        <v>8</v>
      </c>
      <c r="D447">
        <v>5</v>
      </c>
      <c r="E447">
        <v>12.2</v>
      </c>
      <c r="F447">
        <v>5.8</v>
      </c>
      <c r="G447">
        <v>4.7</v>
      </c>
      <c r="H447">
        <v>73</v>
      </c>
      <c r="I447">
        <v>65.900000000000006</v>
      </c>
      <c r="J447">
        <v>0</v>
      </c>
      <c r="K447">
        <v>54</v>
      </c>
      <c r="L447">
        <v>23.3</v>
      </c>
      <c r="M447">
        <v>4.9000000000000004</v>
      </c>
      <c r="N447">
        <v>83</v>
      </c>
      <c r="O447">
        <v>68</v>
      </c>
      <c r="P447">
        <v>12.8</v>
      </c>
      <c r="Q447">
        <v>16.3</v>
      </c>
      <c r="R447">
        <v>8.6999999999999993</v>
      </c>
      <c r="S447">
        <v>22.2</v>
      </c>
      <c r="T447">
        <v>91</v>
      </c>
      <c r="U447">
        <v>4278</v>
      </c>
      <c r="V447">
        <v>1012000</v>
      </c>
      <c r="W447">
        <v>48</v>
      </c>
      <c r="X447">
        <v>63</v>
      </c>
      <c r="Y447">
        <v>71</v>
      </c>
      <c r="Z447">
        <v>76.400000000000006</v>
      </c>
      <c r="AA447">
        <v>48</v>
      </c>
      <c r="AB447">
        <v>69.599999999999994</v>
      </c>
      <c r="AC447">
        <v>66.900000000000006</v>
      </c>
      <c r="AD447">
        <v>100</v>
      </c>
      <c r="AE447">
        <v>100</v>
      </c>
      <c r="AF447" t="s">
        <v>47</v>
      </c>
    </row>
    <row r="448" spans="1:32">
      <c r="A448" t="s">
        <v>1601</v>
      </c>
      <c r="B448">
        <v>4</v>
      </c>
      <c r="C448">
        <v>10</v>
      </c>
      <c r="D448">
        <v>3</v>
      </c>
      <c r="E448">
        <v>20.9</v>
      </c>
      <c r="F448">
        <v>16.100000000000001</v>
      </c>
      <c r="G448">
        <v>5.4</v>
      </c>
      <c r="H448">
        <v>82.2</v>
      </c>
      <c r="I448">
        <v>58.2</v>
      </c>
      <c r="J448">
        <v>0</v>
      </c>
      <c r="K448">
        <v>57</v>
      </c>
      <c r="L448">
        <v>42.6</v>
      </c>
      <c r="M448">
        <v>3.4</v>
      </c>
      <c r="N448">
        <v>59</v>
      </c>
      <c r="O448">
        <v>51</v>
      </c>
      <c r="P448">
        <v>24.8</v>
      </c>
      <c r="Q448">
        <v>10</v>
      </c>
      <c r="R448">
        <v>10.8</v>
      </c>
      <c r="S448">
        <v>17.399999999999999</v>
      </c>
      <c r="T448">
        <v>82</v>
      </c>
      <c r="U448">
        <v>4838</v>
      </c>
      <c r="V448">
        <v>3231000</v>
      </c>
      <c r="W448">
        <v>83</v>
      </c>
      <c r="X448">
        <v>72.8</v>
      </c>
      <c r="Y448">
        <v>66.5</v>
      </c>
      <c r="Z448">
        <v>56</v>
      </c>
      <c r="AA448">
        <v>83</v>
      </c>
      <c r="AB448">
        <v>64.2</v>
      </c>
      <c r="AC448">
        <v>68</v>
      </c>
      <c r="AD448">
        <v>100</v>
      </c>
      <c r="AE448">
        <v>100</v>
      </c>
      <c r="AF448" t="s">
        <v>47</v>
      </c>
    </row>
    <row r="449" spans="1:32">
      <c r="A449" t="s">
        <v>1603</v>
      </c>
      <c r="B449">
        <v>3.1</v>
      </c>
      <c r="C449">
        <v>10</v>
      </c>
      <c r="D449">
        <v>6</v>
      </c>
      <c r="F449">
        <v>10.1</v>
      </c>
      <c r="G449">
        <v>6.2</v>
      </c>
      <c r="H449">
        <v>83.6</v>
      </c>
      <c r="I449">
        <v>71.900000000000006</v>
      </c>
      <c r="J449">
        <v>0</v>
      </c>
      <c r="K449">
        <v>46</v>
      </c>
      <c r="L449">
        <v>25.5</v>
      </c>
      <c r="M449">
        <v>4.5999999999999996</v>
      </c>
      <c r="O449">
        <v>80</v>
      </c>
      <c r="P449">
        <v>20.6</v>
      </c>
      <c r="Q449">
        <v>6.3</v>
      </c>
      <c r="R449">
        <v>9.5</v>
      </c>
      <c r="S449">
        <v>16.3</v>
      </c>
      <c r="T449">
        <v>96</v>
      </c>
      <c r="U449">
        <v>5144</v>
      </c>
      <c r="V449">
        <v>3260000</v>
      </c>
      <c r="W449">
        <v>58</v>
      </c>
      <c r="X449">
        <v>72.7</v>
      </c>
      <c r="Y449">
        <v>73.900000000000006</v>
      </c>
      <c r="Z449">
        <v>70.8</v>
      </c>
      <c r="AA449">
        <v>58</v>
      </c>
      <c r="AB449">
        <v>61.2</v>
      </c>
      <c r="AC449">
        <v>70</v>
      </c>
      <c r="AD449">
        <v>100</v>
      </c>
      <c r="AE449">
        <v>90.5</v>
      </c>
      <c r="AF449" t="s">
        <v>47</v>
      </c>
    </row>
    <row r="450" spans="1:32">
      <c r="A450" t="s">
        <v>1605</v>
      </c>
      <c r="B450">
        <v>1.3</v>
      </c>
      <c r="C450">
        <v>6</v>
      </c>
      <c r="D450">
        <v>0</v>
      </c>
      <c r="E450">
        <v>12.5</v>
      </c>
      <c r="F450">
        <v>6.7</v>
      </c>
      <c r="G450">
        <v>3.9</v>
      </c>
      <c r="H450">
        <v>64</v>
      </c>
      <c r="I450">
        <v>48.6</v>
      </c>
      <c r="J450">
        <v>1</v>
      </c>
      <c r="K450">
        <v>40</v>
      </c>
      <c r="L450">
        <v>26.2</v>
      </c>
      <c r="M450">
        <v>8.9</v>
      </c>
      <c r="N450">
        <v>92</v>
      </c>
      <c r="O450">
        <v>74</v>
      </c>
      <c r="P450">
        <v>15.5</v>
      </c>
      <c r="Q450">
        <v>11.1</v>
      </c>
      <c r="R450">
        <v>13.3</v>
      </c>
      <c r="S450">
        <v>20.8</v>
      </c>
      <c r="T450">
        <v>77</v>
      </c>
      <c r="U450">
        <v>4670</v>
      </c>
      <c r="V450">
        <v>966000</v>
      </c>
      <c r="W450">
        <v>37</v>
      </c>
      <c r="X450">
        <v>60.9</v>
      </c>
      <c r="Y450">
        <v>60.9</v>
      </c>
      <c r="Z450">
        <v>75.400000000000006</v>
      </c>
      <c r="AA450">
        <v>37</v>
      </c>
      <c r="AB450">
        <v>65.8</v>
      </c>
      <c r="AC450">
        <v>61.9</v>
      </c>
      <c r="AD450">
        <v>100</v>
      </c>
      <c r="AE450">
        <v>100</v>
      </c>
      <c r="AF450" t="s">
        <v>47</v>
      </c>
    </row>
    <row r="451" spans="1:32">
      <c r="A451" t="s">
        <v>1607</v>
      </c>
      <c r="B451">
        <v>0.5</v>
      </c>
      <c r="C451">
        <v>4</v>
      </c>
      <c r="D451">
        <v>1</v>
      </c>
      <c r="E451">
        <v>10.3</v>
      </c>
      <c r="F451">
        <v>12.3</v>
      </c>
      <c r="G451">
        <v>6.2</v>
      </c>
      <c r="H451">
        <v>69.8</v>
      </c>
      <c r="I451">
        <v>30.7</v>
      </c>
      <c r="J451">
        <v>0</v>
      </c>
      <c r="K451">
        <v>39</v>
      </c>
      <c r="L451">
        <v>39.1</v>
      </c>
      <c r="M451">
        <v>10.6</v>
      </c>
      <c r="N451">
        <v>75</v>
      </c>
      <c r="O451">
        <v>66</v>
      </c>
      <c r="P451">
        <v>21</v>
      </c>
      <c r="Q451">
        <v>14.8</v>
      </c>
      <c r="R451">
        <v>11</v>
      </c>
      <c r="S451">
        <v>15.1</v>
      </c>
      <c r="T451">
        <v>72</v>
      </c>
      <c r="U451">
        <v>2912</v>
      </c>
      <c r="V451">
        <v>1853000</v>
      </c>
      <c r="W451">
        <v>50</v>
      </c>
      <c r="X451">
        <v>54.4</v>
      </c>
      <c r="Y451">
        <v>50.9</v>
      </c>
      <c r="Z451">
        <v>66.5</v>
      </c>
      <c r="AA451">
        <v>50</v>
      </c>
      <c r="AB451">
        <v>82.8</v>
      </c>
      <c r="AC451">
        <v>58.3</v>
      </c>
      <c r="AD451">
        <v>100</v>
      </c>
      <c r="AE451">
        <v>100</v>
      </c>
      <c r="AF451" t="s">
        <v>47</v>
      </c>
    </row>
    <row r="452" spans="1:32">
      <c r="A452" t="s">
        <v>1609</v>
      </c>
      <c r="B452">
        <v>2.2000000000000002</v>
      </c>
      <c r="C452">
        <v>4</v>
      </c>
      <c r="D452">
        <v>4</v>
      </c>
      <c r="E452">
        <v>9.6999999999999993</v>
      </c>
      <c r="F452">
        <v>7.1</v>
      </c>
      <c r="H452">
        <v>65</v>
      </c>
      <c r="I452">
        <v>54.9</v>
      </c>
      <c r="J452">
        <v>0</v>
      </c>
      <c r="K452">
        <v>40</v>
      </c>
      <c r="L452">
        <v>31.5</v>
      </c>
      <c r="M452">
        <v>9.8000000000000007</v>
      </c>
      <c r="N452">
        <v>84</v>
      </c>
      <c r="O452">
        <v>82</v>
      </c>
      <c r="P452">
        <v>17.399999999999999</v>
      </c>
      <c r="T452">
        <v>80</v>
      </c>
      <c r="U452">
        <v>3092</v>
      </c>
      <c r="V452">
        <v>1340000</v>
      </c>
      <c r="W452">
        <v>47</v>
      </c>
      <c r="X452">
        <v>54.4</v>
      </c>
      <c r="Y452">
        <v>58.8</v>
      </c>
      <c r="Z452">
        <v>81.8</v>
      </c>
      <c r="AA452">
        <v>47</v>
      </c>
      <c r="AB452">
        <v>81.099999999999994</v>
      </c>
      <c r="AC452">
        <v>62.9</v>
      </c>
      <c r="AD452">
        <v>100</v>
      </c>
      <c r="AE452">
        <v>81</v>
      </c>
      <c r="AF452" t="s">
        <v>1971</v>
      </c>
    </row>
    <row r="453" spans="1:32">
      <c r="A453" t="s">
        <v>1611</v>
      </c>
      <c r="B453">
        <v>2.2000000000000002</v>
      </c>
      <c r="C453">
        <v>6</v>
      </c>
      <c r="D453">
        <v>5</v>
      </c>
      <c r="E453">
        <v>12.1</v>
      </c>
      <c r="F453">
        <v>2.2000000000000002</v>
      </c>
      <c r="G453">
        <v>7.4</v>
      </c>
      <c r="H453">
        <v>66</v>
      </c>
      <c r="I453">
        <v>53.6</v>
      </c>
      <c r="J453">
        <v>0</v>
      </c>
      <c r="K453">
        <v>56</v>
      </c>
      <c r="L453">
        <v>25.9</v>
      </c>
      <c r="M453">
        <v>6.4</v>
      </c>
      <c r="N453">
        <v>84</v>
      </c>
      <c r="O453">
        <v>72</v>
      </c>
      <c r="P453">
        <v>22.7</v>
      </c>
      <c r="Q453">
        <v>9.9</v>
      </c>
      <c r="R453">
        <v>9.6</v>
      </c>
      <c r="S453">
        <v>21.6</v>
      </c>
      <c r="T453">
        <v>83</v>
      </c>
      <c r="U453">
        <v>4253</v>
      </c>
      <c r="V453">
        <v>1113000</v>
      </c>
      <c r="W453">
        <v>36</v>
      </c>
      <c r="X453">
        <v>61.4</v>
      </c>
      <c r="Y453">
        <v>63.9</v>
      </c>
      <c r="Z453">
        <v>85.2</v>
      </c>
      <c r="AA453">
        <v>36</v>
      </c>
      <c r="AB453">
        <v>69.8</v>
      </c>
      <c r="AC453">
        <v>65.099999999999994</v>
      </c>
      <c r="AD453">
        <v>100</v>
      </c>
      <c r="AE453">
        <v>100</v>
      </c>
      <c r="AF453" t="s">
        <v>47</v>
      </c>
    </row>
    <row r="454" spans="1:32">
      <c r="A454" t="s">
        <v>1613</v>
      </c>
      <c r="B454">
        <v>5.7</v>
      </c>
      <c r="C454">
        <v>17</v>
      </c>
      <c r="D454">
        <v>7</v>
      </c>
      <c r="E454">
        <v>10.8</v>
      </c>
      <c r="F454">
        <v>15.7</v>
      </c>
      <c r="G454">
        <v>6.9</v>
      </c>
      <c r="H454">
        <v>56.6</v>
      </c>
      <c r="I454">
        <v>77.3</v>
      </c>
      <c r="J454">
        <v>0</v>
      </c>
      <c r="K454">
        <v>54</v>
      </c>
      <c r="L454">
        <v>29.8</v>
      </c>
      <c r="M454">
        <v>5.0999999999999996</v>
      </c>
      <c r="N454">
        <v>73</v>
      </c>
      <c r="O454">
        <v>63</v>
      </c>
      <c r="P454">
        <v>18.3</v>
      </c>
      <c r="Q454">
        <v>8.4</v>
      </c>
      <c r="R454">
        <v>5</v>
      </c>
      <c r="S454">
        <v>18.100000000000001</v>
      </c>
      <c r="T454">
        <v>100</v>
      </c>
      <c r="U454">
        <v>2610</v>
      </c>
      <c r="V454">
        <v>980000</v>
      </c>
      <c r="W454">
        <v>51</v>
      </c>
      <c r="X454">
        <v>59.5</v>
      </c>
      <c r="Y454">
        <v>77.400000000000006</v>
      </c>
      <c r="Z454">
        <v>56.5</v>
      </c>
      <c r="AA454">
        <v>51</v>
      </c>
      <c r="AB454">
        <v>85.7</v>
      </c>
      <c r="AC454">
        <v>65.2</v>
      </c>
      <c r="AD454">
        <v>100</v>
      </c>
      <c r="AE454">
        <v>100</v>
      </c>
      <c r="AF454" t="s">
        <v>47</v>
      </c>
    </row>
    <row r="455" spans="1:32">
      <c r="A455" t="s">
        <v>1615</v>
      </c>
      <c r="B455">
        <v>1.4</v>
      </c>
      <c r="C455">
        <v>5</v>
      </c>
      <c r="D455">
        <v>3</v>
      </c>
      <c r="E455">
        <v>10.4</v>
      </c>
      <c r="G455">
        <v>6.5</v>
      </c>
      <c r="H455">
        <v>79.2</v>
      </c>
      <c r="I455">
        <v>51.3</v>
      </c>
      <c r="J455">
        <v>0</v>
      </c>
      <c r="K455">
        <v>55</v>
      </c>
      <c r="L455">
        <v>29.5</v>
      </c>
      <c r="M455">
        <v>9</v>
      </c>
      <c r="N455">
        <v>85</v>
      </c>
      <c r="O455">
        <v>60</v>
      </c>
      <c r="P455">
        <v>19.100000000000001</v>
      </c>
      <c r="Q455">
        <v>11.5</v>
      </c>
      <c r="R455">
        <v>9.1</v>
      </c>
      <c r="S455">
        <v>12.9</v>
      </c>
      <c r="T455">
        <v>84</v>
      </c>
      <c r="U455">
        <v>3578</v>
      </c>
      <c r="V455">
        <v>1827000</v>
      </c>
      <c r="W455">
        <v>64</v>
      </c>
      <c r="X455">
        <v>57.9</v>
      </c>
      <c r="Y455">
        <v>62.1</v>
      </c>
      <c r="Z455">
        <v>77.3</v>
      </c>
      <c r="AA455">
        <v>64</v>
      </c>
      <c r="AB455">
        <v>76.400000000000006</v>
      </c>
      <c r="AC455">
        <v>65.3</v>
      </c>
      <c r="AD455">
        <v>100</v>
      </c>
      <c r="AE455">
        <v>95.2</v>
      </c>
      <c r="AF455" t="s">
        <v>47</v>
      </c>
    </row>
    <row r="456" spans="1:32">
      <c r="A456" t="s">
        <v>1617</v>
      </c>
      <c r="B456">
        <v>2.6</v>
      </c>
      <c r="C456">
        <v>8</v>
      </c>
      <c r="D456">
        <v>2</v>
      </c>
      <c r="E456">
        <v>13</v>
      </c>
      <c r="F456">
        <v>2.1</v>
      </c>
      <c r="G456">
        <v>8.5</v>
      </c>
      <c r="H456">
        <v>78.7</v>
      </c>
      <c r="I456">
        <v>52.5</v>
      </c>
      <c r="J456">
        <v>0</v>
      </c>
      <c r="K456">
        <v>61</v>
      </c>
      <c r="L456">
        <v>30.5</v>
      </c>
      <c r="M456">
        <v>11.4</v>
      </c>
      <c r="N456">
        <v>77</v>
      </c>
      <c r="O456">
        <v>49</v>
      </c>
      <c r="P456">
        <v>20.3</v>
      </c>
      <c r="Q456">
        <v>13</v>
      </c>
      <c r="R456">
        <v>8.9</v>
      </c>
      <c r="S456">
        <v>6.7</v>
      </c>
      <c r="T456">
        <v>80</v>
      </c>
      <c r="U456">
        <v>3980</v>
      </c>
      <c r="V456">
        <v>4001000</v>
      </c>
      <c r="W456">
        <v>53</v>
      </c>
      <c r="X456">
        <v>63.4</v>
      </c>
      <c r="Y456">
        <v>59.8</v>
      </c>
      <c r="Z456">
        <v>96.3</v>
      </c>
      <c r="AA456">
        <v>53</v>
      </c>
      <c r="AB456">
        <v>72.5</v>
      </c>
      <c r="AC456">
        <v>68.900000000000006</v>
      </c>
      <c r="AD456">
        <v>100</v>
      </c>
      <c r="AE456">
        <v>100</v>
      </c>
      <c r="AF456" t="s">
        <v>47</v>
      </c>
    </row>
    <row r="457" spans="1:32">
      <c r="A457" t="s">
        <v>1619</v>
      </c>
      <c r="B457">
        <v>5.5</v>
      </c>
      <c r="C457">
        <v>16</v>
      </c>
      <c r="D457">
        <v>8</v>
      </c>
      <c r="E457">
        <v>21.7</v>
      </c>
      <c r="F457">
        <v>6.4</v>
      </c>
      <c r="G457">
        <v>9.5</v>
      </c>
      <c r="H457">
        <v>76.5</v>
      </c>
      <c r="I457">
        <v>77.099999999999994</v>
      </c>
      <c r="J457">
        <v>1</v>
      </c>
      <c r="K457">
        <v>71</v>
      </c>
      <c r="L457">
        <v>33.6</v>
      </c>
      <c r="M457">
        <v>7.4</v>
      </c>
      <c r="N457">
        <v>89</v>
      </c>
      <c r="O457">
        <v>67</v>
      </c>
      <c r="P457">
        <v>12.4</v>
      </c>
      <c r="Q457">
        <v>7.3</v>
      </c>
      <c r="R457">
        <v>3.5</v>
      </c>
      <c r="S457">
        <v>15.3</v>
      </c>
      <c r="T457">
        <v>92</v>
      </c>
      <c r="U457">
        <v>4362</v>
      </c>
      <c r="V457">
        <v>3427000</v>
      </c>
      <c r="W457">
        <v>83</v>
      </c>
      <c r="X457">
        <v>73.400000000000006</v>
      </c>
      <c r="Y457">
        <v>78.900000000000006</v>
      </c>
      <c r="Z457">
        <v>80.099999999999994</v>
      </c>
      <c r="AA457">
        <v>83</v>
      </c>
      <c r="AB457">
        <v>68.8</v>
      </c>
      <c r="AC457">
        <v>76.599999999999994</v>
      </c>
      <c r="AD457">
        <v>100</v>
      </c>
      <c r="AE457">
        <v>100</v>
      </c>
      <c r="AF457" t="s">
        <v>47</v>
      </c>
    </row>
    <row r="458" spans="1:32">
      <c r="A458" t="s">
        <v>1621</v>
      </c>
      <c r="B458">
        <v>2.2000000000000002</v>
      </c>
      <c r="C458">
        <v>10</v>
      </c>
      <c r="D458">
        <v>1</v>
      </c>
      <c r="E458">
        <v>9.4</v>
      </c>
      <c r="F458">
        <v>2.6</v>
      </c>
      <c r="G458">
        <v>8.1999999999999993</v>
      </c>
      <c r="H458">
        <v>86.4</v>
      </c>
      <c r="I458">
        <v>62.2</v>
      </c>
      <c r="J458">
        <v>0</v>
      </c>
      <c r="K458">
        <v>60</v>
      </c>
      <c r="L458">
        <v>22.9</v>
      </c>
      <c r="M458">
        <v>5.8</v>
      </c>
      <c r="N458">
        <v>78</v>
      </c>
      <c r="O458">
        <v>79</v>
      </c>
      <c r="P458">
        <v>15</v>
      </c>
      <c r="Q458">
        <v>10.1</v>
      </c>
      <c r="R458">
        <v>8.3000000000000007</v>
      </c>
      <c r="S458">
        <v>14.2</v>
      </c>
      <c r="T458">
        <v>90</v>
      </c>
      <c r="U458">
        <v>4585</v>
      </c>
      <c r="V458">
        <v>2821000</v>
      </c>
      <c r="W458">
        <v>70</v>
      </c>
      <c r="X458">
        <v>58.4</v>
      </c>
      <c r="Y458">
        <v>70.8</v>
      </c>
      <c r="Z458">
        <v>89.7</v>
      </c>
      <c r="AA458">
        <v>70</v>
      </c>
      <c r="AB458">
        <v>66.599999999999994</v>
      </c>
      <c r="AC458">
        <v>69.7</v>
      </c>
      <c r="AD458">
        <v>100</v>
      </c>
      <c r="AE458">
        <v>100</v>
      </c>
      <c r="AF458" t="s">
        <v>47</v>
      </c>
    </row>
    <row r="459" spans="1:32">
      <c r="A459" t="s">
        <v>1623</v>
      </c>
      <c r="B459">
        <v>2</v>
      </c>
      <c r="C459">
        <v>5</v>
      </c>
      <c r="D459">
        <v>2</v>
      </c>
      <c r="E459">
        <v>15.1</v>
      </c>
      <c r="F459">
        <v>5.0999999999999996</v>
      </c>
      <c r="G459">
        <v>5.2</v>
      </c>
      <c r="H459">
        <v>72.2</v>
      </c>
      <c r="I459">
        <v>70.7</v>
      </c>
      <c r="J459">
        <v>0</v>
      </c>
      <c r="K459">
        <v>56</v>
      </c>
      <c r="L459">
        <v>28.2</v>
      </c>
      <c r="M459">
        <v>4.2</v>
      </c>
      <c r="N459">
        <v>76</v>
      </c>
      <c r="O459">
        <v>55</v>
      </c>
      <c r="P459">
        <v>16.5</v>
      </c>
      <c r="Q459">
        <v>10.199999999999999</v>
      </c>
      <c r="R459">
        <v>9.8000000000000007</v>
      </c>
      <c r="S459">
        <v>20.100000000000001</v>
      </c>
      <c r="T459">
        <v>89</v>
      </c>
      <c r="U459">
        <v>4954</v>
      </c>
      <c r="V459">
        <v>1025000</v>
      </c>
      <c r="W459">
        <v>31</v>
      </c>
      <c r="X459">
        <v>67.3</v>
      </c>
      <c r="Y459">
        <v>73.7</v>
      </c>
      <c r="Z459">
        <v>79.599999999999994</v>
      </c>
      <c r="AA459">
        <v>31</v>
      </c>
      <c r="AB459">
        <v>63</v>
      </c>
      <c r="AC459">
        <v>67.3</v>
      </c>
      <c r="AD459">
        <v>100</v>
      </c>
      <c r="AE459">
        <v>100</v>
      </c>
      <c r="AF459" t="s">
        <v>47</v>
      </c>
    </row>
    <row r="460" spans="1:32">
      <c r="A460" t="s">
        <v>1626</v>
      </c>
      <c r="B460">
        <v>4.3</v>
      </c>
      <c r="C460">
        <v>9</v>
      </c>
      <c r="D460">
        <v>5</v>
      </c>
      <c r="E460">
        <v>10.9</v>
      </c>
      <c r="F460">
        <v>5.9</v>
      </c>
      <c r="G460">
        <v>5.3</v>
      </c>
      <c r="H460">
        <v>60.2</v>
      </c>
      <c r="I460">
        <v>76.599999999999994</v>
      </c>
      <c r="J460">
        <v>1</v>
      </c>
      <c r="K460">
        <v>51</v>
      </c>
      <c r="L460">
        <v>24.3</v>
      </c>
      <c r="M460">
        <v>3.9</v>
      </c>
      <c r="N460">
        <v>92</v>
      </c>
      <c r="O460">
        <v>79</v>
      </c>
      <c r="P460">
        <v>11.5</v>
      </c>
      <c r="Q460">
        <v>12.9</v>
      </c>
      <c r="R460">
        <v>12.5</v>
      </c>
      <c r="S460">
        <v>19.7</v>
      </c>
      <c r="T460">
        <v>93</v>
      </c>
      <c r="U460">
        <v>5272</v>
      </c>
      <c r="V460">
        <v>1918000</v>
      </c>
      <c r="W460">
        <v>52</v>
      </c>
      <c r="X460">
        <v>58.7</v>
      </c>
      <c r="Y460">
        <v>75.7</v>
      </c>
      <c r="Z460">
        <v>78</v>
      </c>
      <c r="AA460">
        <v>52</v>
      </c>
      <c r="AB460">
        <v>60</v>
      </c>
      <c r="AC460">
        <v>66.3</v>
      </c>
      <c r="AD460">
        <v>100</v>
      </c>
      <c r="AE460">
        <v>100</v>
      </c>
      <c r="AF460" t="s">
        <v>47</v>
      </c>
    </row>
    <row r="461" spans="1:32">
      <c r="A461" t="s">
        <v>1629</v>
      </c>
      <c r="B461">
        <v>6.5</v>
      </c>
      <c r="C461">
        <v>16</v>
      </c>
      <c r="D461">
        <v>10</v>
      </c>
      <c r="E461">
        <v>14.1</v>
      </c>
      <c r="F461">
        <v>11.3</v>
      </c>
      <c r="G461">
        <v>5.8</v>
      </c>
      <c r="H461">
        <v>75.599999999999994</v>
      </c>
      <c r="I461">
        <v>85</v>
      </c>
      <c r="J461">
        <v>0</v>
      </c>
      <c r="K461">
        <v>64</v>
      </c>
      <c r="L461">
        <v>18.899999999999999</v>
      </c>
      <c r="M461">
        <v>2.8</v>
      </c>
      <c r="N461">
        <v>63</v>
      </c>
      <c r="O461">
        <v>84</v>
      </c>
      <c r="P461">
        <v>15.3</v>
      </c>
      <c r="Q461">
        <v>8.5</v>
      </c>
      <c r="R461">
        <v>9.3000000000000007</v>
      </c>
      <c r="S461">
        <v>18</v>
      </c>
      <c r="T461">
        <v>100</v>
      </c>
      <c r="U461">
        <v>4588</v>
      </c>
      <c r="V461">
        <v>1338000</v>
      </c>
      <c r="W461">
        <v>48</v>
      </c>
      <c r="X461">
        <v>68.8</v>
      </c>
      <c r="Y461">
        <v>81.099999999999994</v>
      </c>
      <c r="Z461">
        <v>66.7</v>
      </c>
      <c r="AA461">
        <v>48</v>
      </c>
      <c r="AB461">
        <v>66.599999999999994</v>
      </c>
      <c r="AC461">
        <v>69.2</v>
      </c>
      <c r="AD461">
        <v>100</v>
      </c>
      <c r="AE461">
        <v>100</v>
      </c>
      <c r="AF461" t="s">
        <v>47</v>
      </c>
    </row>
    <row r="462" spans="1:32">
      <c r="A462" t="s">
        <v>1632</v>
      </c>
      <c r="B462">
        <v>4.8</v>
      </c>
      <c r="C462">
        <v>12</v>
      </c>
      <c r="D462">
        <v>6</v>
      </c>
      <c r="E462">
        <v>15.5</v>
      </c>
      <c r="F462">
        <v>11.4</v>
      </c>
      <c r="G462">
        <v>7.1</v>
      </c>
      <c r="H462">
        <v>71.7</v>
      </c>
      <c r="I462">
        <v>65.5</v>
      </c>
      <c r="J462">
        <v>0</v>
      </c>
      <c r="K462">
        <v>60</v>
      </c>
      <c r="L462">
        <v>36.4</v>
      </c>
      <c r="M462">
        <v>7.5</v>
      </c>
      <c r="N462">
        <v>76</v>
      </c>
      <c r="O462">
        <v>75</v>
      </c>
      <c r="P462">
        <v>14.8</v>
      </c>
      <c r="Q462">
        <v>9.6</v>
      </c>
      <c r="R462">
        <v>5</v>
      </c>
      <c r="S462">
        <v>15.1</v>
      </c>
      <c r="T462">
        <v>91</v>
      </c>
      <c r="U462">
        <v>4014</v>
      </c>
      <c r="V462">
        <v>1805000</v>
      </c>
      <c r="W462">
        <v>37</v>
      </c>
      <c r="X462">
        <v>63.1</v>
      </c>
      <c r="Y462">
        <v>72.3</v>
      </c>
      <c r="Z462">
        <v>68.599999999999994</v>
      </c>
      <c r="AA462">
        <v>37</v>
      </c>
      <c r="AB462">
        <v>72.099999999999994</v>
      </c>
      <c r="AC462">
        <v>64.8</v>
      </c>
      <c r="AD462">
        <v>100</v>
      </c>
      <c r="AE462">
        <v>100</v>
      </c>
      <c r="AF462" t="s">
        <v>47</v>
      </c>
    </row>
    <row r="463" spans="1:32">
      <c r="A463" t="s">
        <v>1634</v>
      </c>
      <c r="B463">
        <v>0.5</v>
      </c>
      <c r="C463">
        <v>3</v>
      </c>
      <c r="D463">
        <v>0</v>
      </c>
      <c r="E463">
        <v>6.9</v>
      </c>
      <c r="F463">
        <v>1</v>
      </c>
      <c r="G463">
        <v>7.4</v>
      </c>
      <c r="I463">
        <v>55.3</v>
      </c>
      <c r="J463">
        <v>1</v>
      </c>
      <c r="K463">
        <v>35</v>
      </c>
      <c r="L463">
        <v>28.2</v>
      </c>
      <c r="M463">
        <v>7.2</v>
      </c>
      <c r="N463">
        <v>92</v>
      </c>
      <c r="P463">
        <v>19.600000000000001</v>
      </c>
      <c r="Q463">
        <v>6.8</v>
      </c>
      <c r="R463">
        <v>8</v>
      </c>
      <c r="S463">
        <v>17.5</v>
      </c>
      <c r="T463">
        <v>83</v>
      </c>
      <c r="U463">
        <v>3723</v>
      </c>
      <c r="V463">
        <v>1441000</v>
      </c>
      <c r="W463">
        <v>56</v>
      </c>
      <c r="X463">
        <v>47.1</v>
      </c>
      <c r="Y463">
        <v>67</v>
      </c>
      <c r="Z463">
        <v>88.7</v>
      </c>
      <c r="AA463">
        <v>56</v>
      </c>
      <c r="AB463">
        <v>74.900000000000006</v>
      </c>
      <c r="AC463">
        <v>64.099999999999994</v>
      </c>
      <c r="AD463">
        <v>100</v>
      </c>
      <c r="AE463">
        <v>90.5</v>
      </c>
      <c r="AF463" t="s">
        <v>47</v>
      </c>
    </row>
    <row r="464" spans="1:32">
      <c r="A464" t="s">
        <v>1636</v>
      </c>
      <c r="B464">
        <v>3.8</v>
      </c>
      <c r="C464">
        <v>10</v>
      </c>
      <c r="D464">
        <v>5</v>
      </c>
      <c r="E464">
        <v>5.5</v>
      </c>
      <c r="F464">
        <v>10.5</v>
      </c>
      <c r="G464">
        <v>5.7</v>
      </c>
      <c r="H464">
        <v>67.3</v>
      </c>
      <c r="I464">
        <v>54.7</v>
      </c>
      <c r="J464">
        <v>0</v>
      </c>
      <c r="K464">
        <v>46</v>
      </c>
      <c r="L464">
        <v>23.8</v>
      </c>
      <c r="M464">
        <v>8.6999999999999993</v>
      </c>
      <c r="N464">
        <v>93</v>
      </c>
      <c r="O464">
        <v>63</v>
      </c>
      <c r="P464">
        <v>19.3</v>
      </c>
      <c r="Q464">
        <v>6.9</v>
      </c>
      <c r="R464">
        <v>10.9</v>
      </c>
      <c r="S464">
        <v>16.2</v>
      </c>
      <c r="T464">
        <v>77</v>
      </c>
      <c r="U464">
        <v>4476</v>
      </c>
      <c r="V464">
        <v>1202000</v>
      </c>
      <c r="W464">
        <v>29</v>
      </c>
      <c r="X464">
        <v>51.4</v>
      </c>
      <c r="Y464">
        <v>64.400000000000006</v>
      </c>
      <c r="Z464">
        <v>69.900000000000006</v>
      </c>
      <c r="AA464">
        <v>29</v>
      </c>
      <c r="AB464">
        <v>67.7</v>
      </c>
      <c r="AC464">
        <v>57.7</v>
      </c>
      <c r="AD464">
        <v>100</v>
      </c>
      <c r="AE464">
        <v>100</v>
      </c>
      <c r="AF464" t="s">
        <v>47</v>
      </c>
    </row>
    <row r="465" spans="1:32">
      <c r="A465" t="s">
        <v>1638</v>
      </c>
      <c r="B465">
        <v>2.4</v>
      </c>
      <c r="C465">
        <v>9</v>
      </c>
      <c r="D465">
        <v>2</v>
      </c>
      <c r="E465">
        <v>8.3000000000000007</v>
      </c>
      <c r="F465">
        <v>5.9</v>
      </c>
      <c r="G465">
        <v>5.4</v>
      </c>
      <c r="H465">
        <v>71.5</v>
      </c>
      <c r="I465">
        <v>42.1</v>
      </c>
      <c r="J465">
        <v>0</v>
      </c>
      <c r="K465">
        <v>47</v>
      </c>
      <c r="L465">
        <v>26.5</v>
      </c>
      <c r="M465">
        <v>8.9</v>
      </c>
      <c r="N465">
        <v>86</v>
      </c>
      <c r="O465">
        <v>56</v>
      </c>
      <c r="P465">
        <v>21.2</v>
      </c>
      <c r="Q465">
        <v>9.9</v>
      </c>
      <c r="R465">
        <v>8.6</v>
      </c>
      <c r="S465">
        <v>18.5</v>
      </c>
      <c r="T465">
        <v>71</v>
      </c>
      <c r="U465">
        <v>5442</v>
      </c>
      <c r="V465">
        <v>4149000</v>
      </c>
      <c r="W465">
        <v>80</v>
      </c>
      <c r="X465">
        <v>56</v>
      </c>
      <c r="Y465">
        <v>59</v>
      </c>
      <c r="Z465">
        <v>78.900000000000006</v>
      </c>
      <c r="AA465">
        <v>80</v>
      </c>
      <c r="AB465">
        <v>58.3</v>
      </c>
      <c r="AC465">
        <v>64</v>
      </c>
      <c r="AD465">
        <v>100</v>
      </c>
      <c r="AE465">
        <v>100</v>
      </c>
      <c r="AF465" t="s">
        <v>47</v>
      </c>
    </row>
    <row r="466" spans="1:32">
      <c r="A466" t="s">
        <v>1640</v>
      </c>
      <c r="B466">
        <v>6.1</v>
      </c>
      <c r="C466">
        <v>14</v>
      </c>
      <c r="D466">
        <v>8</v>
      </c>
      <c r="E466">
        <v>14.6</v>
      </c>
      <c r="F466">
        <v>8.1</v>
      </c>
      <c r="G466">
        <v>6</v>
      </c>
      <c r="H466">
        <v>74.2</v>
      </c>
      <c r="I466">
        <v>73.7</v>
      </c>
      <c r="J466">
        <v>1</v>
      </c>
      <c r="K466">
        <v>59</v>
      </c>
      <c r="L466">
        <v>19.5</v>
      </c>
      <c r="M466">
        <v>2.7</v>
      </c>
      <c r="N466">
        <v>62</v>
      </c>
      <c r="O466">
        <v>79</v>
      </c>
      <c r="P466">
        <v>14.1</v>
      </c>
      <c r="Q466">
        <v>9.4</v>
      </c>
      <c r="R466">
        <v>7.7</v>
      </c>
      <c r="S466">
        <v>16.2</v>
      </c>
      <c r="T466">
        <v>96</v>
      </c>
      <c r="U466">
        <v>4382</v>
      </c>
      <c r="V466">
        <v>1554000</v>
      </c>
      <c r="W466">
        <v>47</v>
      </c>
      <c r="X466">
        <v>69.900000000000006</v>
      </c>
      <c r="Y466">
        <v>78</v>
      </c>
      <c r="Z466">
        <v>75.5</v>
      </c>
      <c r="AA466">
        <v>47</v>
      </c>
      <c r="AB466">
        <v>68.599999999999994</v>
      </c>
      <c r="AC466">
        <v>70.599999999999994</v>
      </c>
      <c r="AD466">
        <v>100</v>
      </c>
      <c r="AE466">
        <v>100</v>
      </c>
      <c r="AF466" t="s">
        <v>47</v>
      </c>
    </row>
    <row r="467" spans="1:32">
      <c r="A467" t="s">
        <v>1643</v>
      </c>
      <c r="B467">
        <v>2.1</v>
      </c>
      <c r="C467">
        <v>10</v>
      </c>
      <c r="D467">
        <v>4</v>
      </c>
      <c r="E467">
        <v>7.2</v>
      </c>
      <c r="F467">
        <v>7</v>
      </c>
      <c r="G467">
        <v>6.5</v>
      </c>
      <c r="H467">
        <v>60.6</v>
      </c>
      <c r="I467">
        <v>57</v>
      </c>
      <c r="J467">
        <v>0</v>
      </c>
      <c r="K467">
        <v>47</v>
      </c>
      <c r="L467">
        <v>31.2</v>
      </c>
      <c r="M467">
        <v>9</v>
      </c>
      <c r="N467">
        <v>84</v>
      </c>
      <c r="O467">
        <v>63</v>
      </c>
      <c r="P467">
        <v>16.899999999999999</v>
      </c>
      <c r="Q467">
        <v>8.1999999999999993</v>
      </c>
      <c r="R467">
        <v>6.7</v>
      </c>
      <c r="S467">
        <v>17.100000000000001</v>
      </c>
      <c r="T467">
        <v>84</v>
      </c>
      <c r="U467">
        <v>5414</v>
      </c>
      <c r="V467">
        <v>2016000</v>
      </c>
      <c r="W467">
        <v>50</v>
      </c>
      <c r="X467">
        <v>52</v>
      </c>
      <c r="Y467">
        <v>67.2</v>
      </c>
      <c r="Z467">
        <v>77.400000000000006</v>
      </c>
      <c r="AA467">
        <v>50</v>
      </c>
      <c r="AB467">
        <v>58.6</v>
      </c>
      <c r="AC467">
        <v>61.3</v>
      </c>
      <c r="AD467">
        <v>100</v>
      </c>
      <c r="AE467">
        <v>100</v>
      </c>
      <c r="AF467" t="s">
        <v>47</v>
      </c>
    </row>
    <row r="468" spans="1:32">
      <c r="A468" t="s">
        <v>1645</v>
      </c>
      <c r="B468">
        <v>3.3</v>
      </c>
      <c r="C468">
        <v>6</v>
      </c>
      <c r="D468">
        <v>5</v>
      </c>
      <c r="F468">
        <v>7.7</v>
      </c>
      <c r="G468">
        <v>6.9</v>
      </c>
      <c r="H468">
        <v>72.3</v>
      </c>
      <c r="I468">
        <v>59.3</v>
      </c>
      <c r="J468">
        <v>2</v>
      </c>
      <c r="K468">
        <v>36</v>
      </c>
      <c r="L468">
        <v>27.9</v>
      </c>
      <c r="M468">
        <v>5.0999999999999996</v>
      </c>
      <c r="O468">
        <v>72</v>
      </c>
      <c r="P468">
        <v>14.8</v>
      </c>
      <c r="Q468">
        <v>6.3</v>
      </c>
      <c r="R468">
        <v>10.9</v>
      </c>
      <c r="S468">
        <v>12.4</v>
      </c>
      <c r="T468">
        <v>79</v>
      </c>
      <c r="U468">
        <v>4973</v>
      </c>
      <c r="V468">
        <v>2255000</v>
      </c>
      <c r="W468">
        <v>20</v>
      </c>
      <c r="X468">
        <v>71.7</v>
      </c>
      <c r="Y468">
        <v>70.7</v>
      </c>
      <c r="Z468">
        <v>79.2</v>
      </c>
      <c r="AA468">
        <v>20</v>
      </c>
      <c r="AB468">
        <v>62.8</v>
      </c>
      <c r="AC468">
        <v>66.900000000000006</v>
      </c>
      <c r="AD468">
        <v>100</v>
      </c>
      <c r="AE468">
        <v>90.5</v>
      </c>
      <c r="AF468" t="s">
        <v>47</v>
      </c>
    </row>
    <row r="469" spans="1:32">
      <c r="A469" t="s">
        <v>1647</v>
      </c>
      <c r="B469">
        <v>0.9</v>
      </c>
      <c r="C469">
        <v>5</v>
      </c>
      <c r="D469">
        <v>2</v>
      </c>
      <c r="E469">
        <v>3.7</v>
      </c>
      <c r="F469">
        <v>9.1</v>
      </c>
      <c r="G469">
        <v>7.9</v>
      </c>
      <c r="H469">
        <v>65.7</v>
      </c>
      <c r="I469">
        <v>42.2</v>
      </c>
      <c r="J469">
        <v>0</v>
      </c>
      <c r="K469">
        <v>41</v>
      </c>
      <c r="L469">
        <v>24</v>
      </c>
      <c r="M469">
        <v>12.7</v>
      </c>
      <c r="N469">
        <v>71</v>
      </c>
      <c r="O469">
        <v>63</v>
      </c>
      <c r="P469">
        <v>18</v>
      </c>
      <c r="Q469">
        <v>8.8000000000000007</v>
      </c>
      <c r="R469">
        <v>5</v>
      </c>
      <c r="S469">
        <v>8.9</v>
      </c>
      <c r="T469">
        <v>77</v>
      </c>
      <c r="U469">
        <v>4538</v>
      </c>
      <c r="V469">
        <v>887000</v>
      </c>
      <c r="W469">
        <v>40</v>
      </c>
      <c r="X469">
        <v>50.8</v>
      </c>
      <c r="Y469">
        <v>59.3</v>
      </c>
      <c r="Z469">
        <v>78.5</v>
      </c>
      <c r="AA469">
        <v>40</v>
      </c>
      <c r="AB469">
        <v>67.099999999999994</v>
      </c>
      <c r="AC469">
        <v>59</v>
      </c>
      <c r="AD469">
        <v>100</v>
      </c>
      <c r="AE469">
        <v>100</v>
      </c>
      <c r="AF469" t="s">
        <v>47</v>
      </c>
    </row>
    <row r="470" spans="1:32">
      <c r="A470" t="s">
        <v>1649</v>
      </c>
      <c r="B470">
        <v>3.6</v>
      </c>
      <c r="C470">
        <v>9</v>
      </c>
      <c r="D470">
        <v>5</v>
      </c>
      <c r="E470">
        <v>8.8000000000000007</v>
      </c>
      <c r="F470">
        <v>12.5</v>
      </c>
      <c r="G470">
        <v>8.6999999999999993</v>
      </c>
      <c r="H470">
        <v>76.400000000000006</v>
      </c>
      <c r="I470">
        <v>61.6</v>
      </c>
      <c r="J470">
        <v>0</v>
      </c>
      <c r="K470">
        <v>54</v>
      </c>
      <c r="L470">
        <v>42.8</v>
      </c>
      <c r="M470">
        <v>6.3</v>
      </c>
      <c r="N470">
        <v>96</v>
      </c>
      <c r="O470">
        <v>60</v>
      </c>
      <c r="P470">
        <v>20</v>
      </c>
      <c r="Q470">
        <v>9</v>
      </c>
      <c r="R470">
        <v>3.8</v>
      </c>
      <c r="S470">
        <v>16.600000000000001</v>
      </c>
      <c r="T470">
        <v>82</v>
      </c>
      <c r="U470">
        <v>4149</v>
      </c>
      <c r="V470">
        <v>3230000</v>
      </c>
      <c r="W470">
        <v>73</v>
      </c>
      <c r="X470">
        <v>48.7</v>
      </c>
      <c r="Y470">
        <v>70.7</v>
      </c>
      <c r="Z470">
        <v>65</v>
      </c>
      <c r="AA470">
        <v>73</v>
      </c>
      <c r="AB470">
        <v>70.8</v>
      </c>
      <c r="AC470">
        <v>62.1</v>
      </c>
      <c r="AD470">
        <v>100</v>
      </c>
      <c r="AE470">
        <v>100</v>
      </c>
      <c r="AF470" t="s">
        <v>47</v>
      </c>
    </row>
    <row r="471" spans="1:32">
      <c r="A471" t="s">
        <v>1651</v>
      </c>
      <c r="B471">
        <v>4.5</v>
      </c>
      <c r="C471">
        <v>13</v>
      </c>
      <c r="D471">
        <v>7</v>
      </c>
      <c r="E471">
        <v>13.2</v>
      </c>
      <c r="F471">
        <v>19</v>
      </c>
      <c r="H471">
        <v>88.7</v>
      </c>
      <c r="I471">
        <v>66.900000000000006</v>
      </c>
      <c r="J471">
        <v>0</v>
      </c>
      <c r="K471">
        <v>44</v>
      </c>
      <c r="L471">
        <v>32.6</v>
      </c>
      <c r="M471">
        <v>5.0999999999999996</v>
      </c>
      <c r="N471">
        <v>78</v>
      </c>
      <c r="O471">
        <v>70</v>
      </c>
      <c r="P471">
        <v>18.100000000000001</v>
      </c>
      <c r="T471">
        <v>97</v>
      </c>
      <c r="U471">
        <v>5464</v>
      </c>
      <c r="V471">
        <v>2759000</v>
      </c>
      <c r="W471">
        <v>69</v>
      </c>
      <c r="X471">
        <v>61.1</v>
      </c>
      <c r="Y471">
        <v>69.5</v>
      </c>
      <c r="Z471">
        <v>39.299999999999997</v>
      </c>
      <c r="AA471">
        <v>69</v>
      </c>
      <c r="AB471">
        <v>58.1</v>
      </c>
      <c r="AC471">
        <v>59.3</v>
      </c>
      <c r="AD471">
        <v>100</v>
      </c>
      <c r="AE471">
        <v>81</v>
      </c>
      <c r="AF471" t="s">
        <v>1971</v>
      </c>
    </row>
    <row r="472" spans="1:32">
      <c r="A472" t="s">
        <v>1653</v>
      </c>
      <c r="B472">
        <v>3.3</v>
      </c>
      <c r="C472">
        <v>12</v>
      </c>
      <c r="D472">
        <v>4</v>
      </c>
      <c r="E472">
        <v>14.2</v>
      </c>
      <c r="F472">
        <v>6.1</v>
      </c>
      <c r="G472">
        <v>4.8</v>
      </c>
      <c r="H472">
        <v>58.9</v>
      </c>
      <c r="I472">
        <v>65.099999999999994</v>
      </c>
      <c r="J472">
        <v>1</v>
      </c>
      <c r="K472">
        <v>49</v>
      </c>
      <c r="L472">
        <v>23.8</v>
      </c>
      <c r="M472">
        <v>4</v>
      </c>
      <c r="N472">
        <v>80</v>
      </c>
      <c r="O472">
        <v>73</v>
      </c>
      <c r="P472">
        <v>20.3</v>
      </c>
      <c r="Q472">
        <v>15.5</v>
      </c>
      <c r="R472">
        <v>10.1</v>
      </c>
      <c r="S472">
        <v>18.7</v>
      </c>
      <c r="T472">
        <v>96</v>
      </c>
      <c r="U472">
        <v>4398</v>
      </c>
      <c r="V472">
        <v>966000</v>
      </c>
      <c r="W472">
        <v>36</v>
      </c>
      <c r="X472">
        <v>66</v>
      </c>
      <c r="Y472">
        <v>68.3</v>
      </c>
      <c r="Z472">
        <v>78.3</v>
      </c>
      <c r="AA472">
        <v>36</v>
      </c>
      <c r="AB472">
        <v>68.400000000000006</v>
      </c>
      <c r="AC472">
        <v>66.3</v>
      </c>
      <c r="AD472">
        <v>100</v>
      </c>
      <c r="AE472">
        <v>100</v>
      </c>
      <c r="AF472" t="s">
        <v>47</v>
      </c>
    </row>
    <row r="473" spans="1:32">
      <c r="A473" t="s">
        <v>1655</v>
      </c>
      <c r="B473">
        <v>1.8</v>
      </c>
      <c r="C473">
        <v>4</v>
      </c>
      <c r="D473">
        <v>3</v>
      </c>
      <c r="F473">
        <v>8.4</v>
      </c>
      <c r="G473">
        <v>5.4</v>
      </c>
      <c r="H473">
        <v>67.099999999999994</v>
      </c>
      <c r="I473">
        <v>50.1</v>
      </c>
      <c r="J473">
        <v>0</v>
      </c>
      <c r="K473">
        <v>38</v>
      </c>
      <c r="L473">
        <v>24.7</v>
      </c>
      <c r="M473">
        <v>4.9000000000000004</v>
      </c>
      <c r="O473">
        <v>78</v>
      </c>
      <c r="P473">
        <v>21.7</v>
      </c>
      <c r="Q473">
        <v>15.2</v>
      </c>
      <c r="R473">
        <v>9.4</v>
      </c>
      <c r="S473">
        <v>20.6</v>
      </c>
      <c r="T473">
        <v>89</v>
      </c>
      <c r="U473">
        <v>5158</v>
      </c>
      <c r="V473">
        <v>1512000</v>
      </c>
      <c r="W473">
        <v>32</v>
      </c>
      <c r="X473">
        <v>73.900000000000006</v>
      </c>
      <c r="Y473">
        <v>62.3</v>
      </c>
      <c r="Z473">
        <v>71.599999999999994</v>
      </c>
      <c r="AA473">
        <v>32</v>
      </c>
      <c r="AB473">
        <v>61.1</v>
      </c>
      <c r="AC473">
        <v>65.099999999999994</v>
      </c>
      <c r="AD473">
        <v>100</v>
      </c>
      <c r="AE473">
        <v>90.5</v>
      </c>
      <c r="AF473" t="s">
        <v>47</v>
      </c>
    </row>
    <row r="474" spans="1:32">
      <c r="A474" t="s">
        <v>1657</v>
      </c>
      <c r="B474">
        <v>2.8</v>
      </c>
      <c r="C474">
        <v>5</v>
      </c>
      <c r="D474">
        <v>4</v>
      </c>
      <c r="E474">
        <v>9.1999999999999993</v>
      </c>
      <c r="F474">
        <v>5.2</v>
      </c>
      <c r="G474">
        <v>7.2</v>
      </c>
      <c r="H474">
        <v>83.4</v>
      </c>
      <c r="I474">
        <v>66</v>
      </c>
      <c r="J474">
        <v>0</v>
      </c>
      <c r="K474">
        <v>57</v>
      </c>
      <c r="L474">
        <v>26.8</v>
      </c>
      <c r="M474">
        <v>6.6</v>
      </c>
      <c r="N474">
        <v>84</v>
      </c>
      <c r="O474">
        <v>59</v>
      </c>
      <c r="P474">
        <v>11</v>
      </c>
      <c r="Q474">
        <v>6.1</v>
      </c>
      <c r="R474">
        <v>10.8</v>
      </c>
      <c r="S474">
        <v>12.3</v>
      </c>
      <c r="T474">
        <v>89</v>
      </c>
      <c r="U474">
        <v>5279</v>
      </c>
      <c r="V474">
        <v>2853000</v>
      </c>
      <c r="W474">
        <v>73</v>
      </c>
      <c r="X474">
        <v>57.3</v>
      </c>
      <c r="Y474">
        <v>73.5</v>
      </c>
      <c r="Z474">
        <v>85.1</v>
      </c>
      <c r="AA474">
        <v>73</v>
      </c>
      <c r="AB474">
        <v>59.9</v>
      </c>
      <c r="AC474">
        <v>68.7</v>
      </c>
      <c r="AD474">
        <v>100</v>
      </c>
      <c r="AE474">
        <v>100</v>
      </c>
      <c r="AF474" t="s">
        <v>47</v>
      </c>
    </row>
    <row r="475" spans="1:32">
      <c r="A475" t="s">
        <v>1659</v>
      </c>
      <c r="B475">
        <v>3</v>
      </c>
      <c r="C475">
        <v>8</v>
      </c>
      <c r="D475">
        <v>3</v>
      </c>
      <c r="E475">
        <v>6.9</v>
      </c>
      <c r="F475">
        <v>4.9000000000000004</v>
      </c>
      <c r="G475">
        <v>7.2</v>
      </c>
      <c r="H475">
        <v>64.599999999999994</v>
      </c>
      <c r="I475">
        <v>60.8</v>
      </c>
      <c r="J475">
        <v>1</v>
      </c>
      <c r="K475">
        <v>47</v>
      </c>
      <c r="L475">
        <v>22.3</v>
      </c>
      <c r="M475">
        <v>6</v>
      </c>
      <c r="N475">
        <v>82</v>
      </c>
      <c r="O475">
        <v>78</v>
      </c>
      <c r="P475">
        <v>18.2</v>
      </c>
      <c r="Q475">
        <v>11</v>
      </c>
      <c r="R475">
        <v>8.8000000000000007</v>
      </c>
      <c r="S475">
        <v>17.7</v>
      </c>
      <c r="T475">
        <v>90</v>
      </c>
      <c r="U475">
        <v>4631</v>
      </c>
      <c r="V475">
        <v>477000</v>
      </c>
      <c r="W475">
        <v>38</v>
      </c>
      <c r="X475">
        <v>54.3</v>
      </c>
      <c r="Y475">
        <v>68.400000000000006</v>
      </c>
      <c r="Z475">
        <v>81.8</v>
      </c>
      <c r="AA475">
        <v>38</v>
      </c>
      <c r="AB475">
        <v>66.2</v>
      </c>
      <c r="AC475">
        <v>62.9</v>
      </c>
      <c r="AD475">
        <v>100</v>
      </c>
      <c r="AE475">
        <v>100</v>
      </c>
      <c r="AF475" t="s">
        <v>47</v>
      </c>
    </row>
    <row r="476" spans="1:32">
      <c r="A476" t="s">
        <v>1661</v>
      </c>
      <c r="B476">
        <v>3</v>
      </c>
      <c r="C476">
        <v>8</v>
      </c>
      <c r="D476">
        <v>3</v>
      </c>
      <c r="F476">
        <v>3.3</v>
      </c>
      <c r="G476">
        <v>6.6</v>
      </c>
      <c r="H476">
        <v>61.9</v>
      </c>
      <c r="I476">
        <v>59.1</v>
      </c>
      <c r="J476">
        <v>0</v>
      </c>
      <c r="K476">
        <v>47</v>
      </c>
      <c r="L476">
        <v>23.7</v>
      </c>
      <c r="M476">
        <v>6.1</v>
      </c>
      <c r="O476">
        <v>63</v>
      </c>
      <c r="P476">
        <v>19.899999999999999</v>
      </c>
      <c r="Q476">
        <v>11.5</v>
      </c>
      <c r="R476">
        <v>7.4</v>
      </c>
      <c r="S476">
        <v>20.100000000000001</v>
      </c>
      <c r="T476">
        <v>83</v>
      </c>
      <c r="U476">
        <v>4836</v>
      </c>
      <c r="V476">
        <v>1761000</v>
      </c>
      <c r="W476">
        <v>27</v>
      </c>
      <c r="X476">
        <v>77.8</v>
      </c>
      <c r="Y476">
        <v>67.5</v>
      </c>
      <c r="Z476">
        <v>83.8</v>
      </c>
      <c r="AA476">
        <v>27</v>
      </c>
      <c r="AB476">
        <v>64.2</v>
      </c>
      <c r="AC476">
        <v>70</v>
      </c>
      <c r="AD476">
        <v>100</v>
      </c>
      <c r="AE476">
        <v>90.5</v>
      </c>
      <c r="AF476" t="s">
        <v>47</v>
      </c>
    </row>
    <row r="477" spans="1:32">
      <c r="A477" t="s">
        <v>1663</v>
      </c>
      <c r="B477">
        <v>3.7</v>
      </c>
      <c r="C477">
        <v>8</v>
      </c>
      <c r="D477">
        <v>4</v>
      </c>
      <c r="F477">
        <v>7.7</v>
      </c>
      <c r="G477">
        <v>6</v>
      </c>
      <c r="H477">
        <v>69.599999999999994</v>
      </c>
      <c r="I477">
        <v>67</v>
      </c>
      <c r="J477">
        <v>0</v>
      </c>
      <c r="K477">
        <v>46</v>
      </c>
      <c r="L477">
        <v>15.8</v>
      </c>
      <c r="M477">
        <v>8.3000000000000007</v>
      </c>
      <c r="O477">
        <v>87</v>
      </c>
      <c r="P477">
        <v>16.2</v>
      </c>
      <c r="Q477">
        <v>11.6</v>
      </c>
      <c r="R477">
        <v>7.7</v>
      </c>
      <c r="S477">
        <v>15.3</v>
      </c>
      <c r="T477">
        <v>85</v>
      </c>
      <c r="U477">
        <v>3437</v>
      </c>
      <c r="V477">
        <v>1301000</v>
      </c>
      <c r="W477">
        <v>43</v>
      </c>
      <c r="X477">
        <v>81.5</v>
      </c>
      <c r="Y477">
        <v>69.8</v>
      </c>
      <c r="Z477">
        <v>77.099999999999994</v>
      </c>
      <c r="AA477">
        <v>43</v>
      </c>
      <c r="AB477">
        <v>77.7</v>
      </c>
      <c r="AC477">
        <v>73.5</v>
      </c>
      <c r="AD477">
        <v>100</v>
      </c>
      <c r="AE477">
        <v>90.5</v>
      </c>
      <c r="AF477" t="s">
        <v>47</v>
      </c>
    </row>
    <row r="478" spans="1:32">
      <c r="A478" t="s">
        <v>1665</v>
      </c>
      <c r="B478">
        <v>2.9</v>
      </c>
      <c r="C478">
        <v>9</v>
      </c>
      <c r="D478">
        <v>5</v>
      </c>
      <c r="E478">
        <v>11.2</v>
      </c>
      <c r="F478">
        <v>15.5</v>
      </c>
      <c r="G478">
        <v>7.8</v>
      </c>
      <c r="H478">
        <v>71.5</v>
      </c>
      <c r="I478">
        <v>53.7</v>
      </c>
      <c r="J478">
        <v>0</v>
      </c>
      <c r="K478">
        <v>49</v>
      </c>
      <c r="L478">
        <v>21.3</v>
      </c>
      <c r="M478">
        <v>5.8</v>
      </c>
      <c r="N478">
        <v>93</v>
      </c>
      <c r="O478">
        <v>53</v>
      </c>
      <c r="P478">
        <v>15.9</v>
      </c>
      <c r="Q478">
        <v>8.3000000000000007</v>
      </c>
      <c r="R478">
        <v>7.4</v>
      </c>
      <c r="S478">
        <v>11.9</v>
      </c>
      <c r="T478">
        <v>86</v>
      </c>
      <c r="U478">
        <v>4993</v>
      </c>
      <c r="V478">
        <v>1461000</v>
      </c>
      <c r="W478">
        <v>45</v>
      </c>
      <c r="X478">
        <v>62.3</v>
      </c>
      <c r="Y478">
        <v>68.599999999999994</v>
      </c>
      <c r="Z478">
        <v>61.4</v>
      </c>
      <c r="AA478">
        <v>45</v>
      </c>
      <c r="AB478">
        <v>62.7</v>
      </c>
      <c r="AC478">
        <v>62</v>
      </c>
      <c r="AD478">
        <v>100</v>
      </c>
      <c r="AE478">
        <v>100</v>
      </c>
      <c r="AF478" t="s">
        <v>47</v>
      </c>
    </row>
    <row r="479" spans="1:32">
      <c r="A479" t="s">
        <v>1667</v>
      </c>
      <c r="B479">
        <v>1.2</v>
      </c>
      <c r="C479">
        <v>3</v>
      </c>
      <c r="D479">
        <v>0</v>
      </c>
      <c r="E479">
        <v>11.3</v>
      </c>
      <c r="F479">
        <v>9.1999999999999993</v>
      </c>
      <c r="G479">
        <v>6.9</v>
      </c>
      <c r="H479">
        <v>79.8</v>
      </c>
      <c r="I479">
        <v>50.8</v>
      </c>
      <c r="J479">
        <v>1</v>
      </c>
      <c r="K479">
        <v>44</v>
      </c>
      <c r="L479">
        <v>26.5</v>
      </c>
      <c r="M479">
        <v>8.6</v>
      </c>
      <c r="N479">
        <v>79</v>
      </c>
      <c r="O479">
        <v>52</v>
      </c>
      <c r="P479">
        <v>21.4</v>
      </c>
      <c r="Q479">
        <v>7.6</v>
      </c>
      <c r="R479">
        <v>6.3</v>
      </c>
      <c r="S479">
        <v>13.5</v>
      </c>
      <c r="T479">
        <v>68</v>
      </c>
      <c r="U479">
        <v>6700</v>
      </c>
      <c r="V479">
        <v>3118000</v>
      </c>
      <c r="W479">
        <v>48</v>
      </c>
      <c r="X479">
        <v>61.9</v>
      </c>
      <c r="Y479">
        <v>64.099999999999994</v>
      </c>
      <c r="Z479">
        <v>74.900000000000006</v>
      </c>
      <c r="AA479">
        <v>48</v>
      </c>
      <c r="AB479">
        <v>46.1</v>
      </c>
      <c r="AC479">
        <v>62.1</v>
      </c>
      <c r="AD479">
        <v>100</v>
      </c>
      <c r="AE479">
        <v>100</v>
      </c>
      <c r="AF479" t="s">
        <v>47</v>
      </c>
    </row>
    <row r="480" spans="1:32">
      <c r="A480" t="s">
        <v>1669</v>
      </c>
      <c r="B480">
        <v>8</v>
      </c>
      <c r="C480">
        <v>20</v>
      </c>
      <c r="D480">
        <v>11</v>
      </c>
      <c r="E480">
        <v>16.399999999999999</v>
      </c>
      <c r="G480">
        <v>6.3</v>
      </c>
      <c r="H480">
        <v>60.8</v>
      </c>
      <c r="I480">
        <v>67.8</v>
      </c>
      <c r="J480">
        <v>0</v>
      </c>
      <c r="K480">
        <v>73</v>
      </c>
      <c r="L480">
        <v>23.8</v>
      </c>
      <c r="M480">
        <v>3.4</v>
      </c>
      <c r="N480">
        <v>79</v>
      </c>
      <c r="O480">
        <v>68</v>
      </c>
      <c r="P480">
        <v>18.899999999999999</v>
      </c>
      <c r="Q480">
        <v>10.9</v>
      </c>
      <c r="R480">
        <v>4.8</v>
      </c>
      <c r="S480">
        <v>13.2</v>
      </c>
      <c r="T480">
        <v>79</v>
      </c>
      <c r="U480">
        <v>4376</v>
      </c>
      <c r="V480">
        <v>1251000</v>
      </c>
      <c r="W480">
        <v>60</v>
      </c>
      <c r="X480">
        <v>70</v>
      </c>
      <c r="Y480">
        <v>74.3</v>
      </c>
      <c r="Z480">
        <v>76.7</v>
      </c>
      <c r="AA480">
        <v>60</v>
      </c>
      <c r="AB480">
        <v>68.599999999999994</v>
      </c>
      <c r="AC480">
        <v>71.3</v>
      </c>
      <c r="AD480">
        <v>100</v>
      </c>
      <c r="AE480">
        <v>95.2</v>
      </c>
      <c r="AF480" t="s">
        <v>47</v>
      </c>
    </row>
    <row r="481" spans="1:32">
      <c r="A481" t="s">
        <v>1671</v>
      </c>
      <c r="B481">
        <v>3.4</v>
      </c>
      <c r="C481">
        <v>8</v>
      </c>
      <c r="D481">
        <v>6</v>
      </c>
      <c r="E481">
        <v>9.3000000000000007</v>
      </c>
      <c r="F481">
        <v>11.8</v>
      </c>
      <c r="G481">
        <v>6.4</v>
      </c>
      <c r="H481">
        <v>69.099999999999994</v>
      </c>
      <c r="I481">
        <v>53.6</v>
      </c>
      <c r="J481">
        <v>0</v>
      </c>
      <c r="K481">
        <v>48</v>
      </c>
      <c r="L481">
        <v>39.4</v>
      </c>
      <c r="M481">
        <v>7.4</v>
      </c>
      <c r="N481">
        <v>104</v>
      </c>
      <c r="O481">
        <v>69</v>
      </c>
      <c r="P481">
        <v>21.6</v>
      </c>
      <c r="Q481">
        <v>9.1999999999999993</v>
      </c>
      <c r="R481">
        <v>9.6</v>
      </c>
      <c r="S481">
        <v>12.9</v>
      </c>
      <c r="T481">
        <v>84</v>
      </c>
      <c r="U481">
        <v>4935</v>
      </c>
      <c r="V481">
        <v>1237000</v>
      </c>
      <c r="W481">
        <v>54</v>
      </c>
      <c r="X481">
        <v>49.3</v>
      </c>
      <c r="Y481">
        <v>63.8</v>
      </c>
      <c r="Z481">
        <v>69.3</v>
      </c>
      <c r="AA481">
        <v>54</v>
      </c>
      <c r="AB481">
        <v>63.2</v>
      </c>
      <c r="AC481">
        <v>58.8</v>
      </c>
      <c r="AD481">
        <v>100</v>
      </c>
      <c r="AE481">
        <v>100</v>
      </c>
      <c r="AF481" t="s">
        <v>47</v>
      </c>
    </row>
    <row r="482" spans="1:32">
      <c r="A482" t="s">
        <v>1672</v>
      </c>
      <c r="B482">
        <v>5.3</v>
      </c>
      <c r="C482">
        <v>11</v>
      </c>
      <c r="D482">
        <v>7</v>
      </c>
      <c r="E482">
        <v>16.7</v>
      </c>
      <c r="F482">
        <v>8.1</v>
      </c>
      <c r="G482">
        <v>7.7</v>
      </c>
      <c r="H482">
        <v>73.400000000000006</v>
      </c>
      <c r="I482">
        <v>71.2</v>
      </c>
      <c r="J482">
        <v>1</v>
      </c>
      <c r="K482">
        <v>61</v>
      </c>
      <c r="L482">
        <v>18.899999999999999</v>
      </c>
      <c r="M482">
        <v>4.8</v>
      </c>
      <c r="N482">
        <v>70</v>
      </c>
      <c r="O482">
        <v>72</v>
      </c>
      <c r="P482">
        <v>3.3</v>
      </c>
      <c r="Q482">
        <v>13.1</v>
      </c>
      <c r="R482">
        <v>5.9</v>
      </c>
      <c r="S482">
        <v>12.1</v>
      </c>
      <c r="T482">
        <v>87</v>
      </c>
      <c r="U482">
        <v>5279</v>
      </c>
      <c r="V482">
        <v>2212000</v>
      </c>
      <c r="W482">
        <v>85</v>
      </c>
      <c r="X482">
        <v>73.099999999999994</v>
      </c>
      <c r="Y482">
        <v>79</v>
      </c>
      <c r="Z482">
        <v>78.5</v>
      </c>
      <c r="AA482">
        <v>85</v>
      </c>
      <c r="AB482">
        <v>59.9</v>
      </c>
      <c r="AC482">
        <v>75.5</v>
      </c>
      <c r="AD482">
        <v>100</v>
      </c>
      <c r="AE482">
        <v>100</v>
      </c>
      <c r="AF482" t="s">
        <v>47</v>
      </c>
    </row>
    <row r="483" spans="1:32">
      <c r="A483" t="s">
        <v>1674</v>
      </c>
      <c r="B483">
        <v>0.9</v>
      </c>
      <c r="C483">
        <v>4</v>
      </c>
      <c r="D483">
        <v>0</v>
      </c>
      <c r="E483">
        <v>6.3</v>
      </c>
      <c r="F483">
        <v>9.1999999999999993</v>
      </c>
      <c r="G483">
        <v>7.5</v>
      </c>
      <c r="H483">
        <v>80.900000000000006</v>
      </c>
      <c r="I483">
        <v>51.2</v>
      </c>
      <c r="J483">
        <v>1</v>
      </c>
      <c r="K483">
        <v>41</v>
      </c>
      <c r="L483">
        <v>24.4</v>
      </c>
      <c r="M483">
        <v>8.3000000000000007</v>
      </c>
      <c r="N483">
        <v>89</v>
      </c>
      <c r="O483">
        <v>60</v>
      </c>
      <c r="P483">
        <v>16.899999999999999</v>
      </c>
      <c r="Q483">
        <v>14</v>
      </c>
      <c r="R483">
        <v>12</v>
      </c>
      <c r="S483">
        <v>6.9</v>
      </c>
      <c r="T483">
        <v>77</v>
      </c>
      <c r="U483">
        <v>6146</v>
      </c>
      <c r="V483">
        <v>3079000</v>
      </c>
      <c r="W483">
        <v>71</v>
      </c>
      <c r="X483">
        <v>53.1</v>
      </c>
      <c r="Y483">
        <v>61.2</v>
      </c>
      <c r="Z483">
        <v>79.7</v>
      </c>
      <c r="AA483">
        <v>71</v>
      </c>
      <c r="AB483">
        <v>51.5</v>
      </c>
      <c r="AC483">
        <v>62.1</v>
      </c>
      <c r="AD483">
        <v>100</v>
      </c>
      <c r="AE483">
        <v>100</v>
      </c>
      <c r="AF483" t="s">
        <v>47</v>
      </c>
    </row>
    <row r="484" spans="1:32">
      <c r="A484" t="s">
        <v>1676</v>
      </c>
      <c r="B484">
        <v>7.8</v>
      </c>
      <c r="C484">
        <v>19</v>
      </c>
      <c r="D484">
        <v>10</v>
      </c>
      <c r="E484">
        <v>27.5</v>
      </c>
      <c r="F484">
        <v>11.3</v>
      </c>
      <c r="G484">
        <v>8.3000000000000007</v>
      </c>
      <c r="H484">
        <v>82.7</v>
      </c>
      <c r="I484">
        <v>89.6</v>
      </c>
      <c r="J484">
        <v>0</v>
      </c>
      <c r="K484">
        <v>80</v>
      </c>
      <c r="L484">
        <v>30.1</v>
      </c>
      <c r="M484">
        <v>2.8</v>
      </c>
      <c r="N484">
        <v>53</v>
      </c>
      <c r="O484">
        <v>52</v>
      </c>
      <c r="P484">
        <v>12.4</v>
      </c>
      <c r="Q484">
        <v>9</v>
      </c>
      <c r="R484">
        <v>1.3</v>
      </c>
      <c r="S484">
        <v>4.2</v>
      </c>
      <c r="T484">
        <v>93</v>
      </c>
      <c r="U484">
        <v>4505</v>
      </c>
      <c r="V484">
        <v>1248000</v>
      </c>
      <c r="W484">
        <v>42</v>
      </c>
      <c r="X484">
        <v>85.1</v>
      </c>
      <c r="Y484">
        <v>87.1</v>
      </c>
      <c r="Z484">
        <v>76.8</v>
      </c>
      <c r="AA484">
        <v>42</v>
      </c>
      <c r="AB484">
        <v>67.400000000000006</v>
      </c>
      <c r="AC484">
        <v>77.900000000000006</v>
      </c>
      <c r="AD484">
        <v>100</v>
      </c>
      <c r="AE484">
        <v>100</v>
      </c>
      <c r="AF484" t="s">
        <v>47</v>
      </c>
    </row>
    <row r="485" spans="1:32">
      <c r="A485" t="s">
        <v>1678</v>
      </c>
      <c r="B485">
        <v>9.3000000000000007</v>
      </c>
      <c r="C485">
        <v>24</v>
      </c>
      <c r="D485">
        <v>14</v>
      </c>
      <c r="E485">
        <v>16.7</v>
      </c>
      <c r="F485">
        <v>11.9</v>
      </c>
      <c r="G485">
        <v>5</v>
      </c>
      <c r="H485">
        <v>63.9</v>
      </c>
      <c r="I485">
        <v>100</v>
      </c>
      <c r="J485">
        <v>0</v>
      </c>
      <c r="K485">
        <v>70</v>
      </c>
      <c r="L485">
        <v>20.8</v>
      </c>
      <c r="M485">
        <v>0.3</v>
      </c>
      <c r="N485">
        <v>86</v>
      </c>
      <c r="O485">
        <v>77</v>
      </c>
      <c r="P485">
        <v>11</v>
      </c>
      <c r="Q485">
        <v>6.8</v>
      </c>
      <c r="R485">
        <v>5.3</v>
      </c>
      <c r="S485">
        <v>19.7</v>
      </c>
      <c r="T485">
        <v>100</v>
      </c>
      <c r="U485">
        <v>5021</v>
      </c>
      <c r="V485">
        <v>1030000</v>
      </c>
      <c r="W485">
        <v>41</v>
      </c>
      <c r="X485">
        <v>70.3</v>
      </c>
      <c r="Y485">
        <v>92.3</v>
      </c>
      <c r="Z485">
        <v>64.099999999999994</v>
      </c>
      <c r="AA485">
        <v>41</v>
      </c>
      <c r="AB485">
        <v>62.4</v>
      </c>
      <c r="AC485">
        <v>70.8</v>
      </c>
      <c r="AD485">
        <v>100</v>
      </c>
      <c r="AE485">
        <v>100</v>
      </c>
      <c r="AF485" t="s">
        <v>47</v>
      </c>
    </row>
    <row r="486" spans="1:32">
      <c r="A486" t="s">
        <v>1680</v>
      </c>
      <c r="B486">
        <v>2.2999999999999998</v>
      </c>
      <c r="C486">
        <v>7</v>
      </c>
      <c r="D486">
        <v>6</v>
      </c>
      <c r="E486">
        <v>7.9</v>
      </c>
      <c r="F486">
        <v>9.3000000000000007</v>
      </c>
      <c r="G486">
        <v>5.3</v>
      </c>
      <c r="H486">
        <v>62.2</v>
      </c>
      <c r="J486">
        <v>1</v>
      </c>
      <c r="K486">
        <v>31</v>
      </c>
      <c r="L486">
        <v>25.5</v>
      </c>
      <c r="N486">
        <v>74</v>
      </c>
      <c r="O486">
        <v>67</v>
      </c>
      <c r="Q486">
        <v>15</v>
      </c>
      <c r="R486">
        <v>9.4</v>
      </c>
      <c r="S486">
        <v>18.899999999999999</v>
      </c>
      <c r="U486">
        <v>4371</v>
      </c>
      <c r="V486">
        <v>1028000</v>
      </c>
      <c r="W486">
        <v>53</v>
      </c>
      <c r="X486">
        <v>56.3</v>
      </c>
      <c r="Y486">
        <v>69.2</v>
      </c>
      <c r="Z486">
        <v>70.7</v>
      </c>
      <c r="AA486">
        <v>53</v>
      </c>
      <c r="AB486">
        <v>68.7</v>
      </c>
      <c r="AC486">
        <v>63.3</v>
      </c>
      <c r="AD486">
        <v>100</v>
      </c>
      <c r="AE486">
        <v>81</v>
      </c>
      <c r="AF486" t="s">
        <v>1971</v>
      </c>
    </row>
    <row r="487" spans="1:32">
      <c r="A487" t="s">
        <v>1682</v>
      </c>
      <c r="B487">
        <v>2.8</v>
      </c>
      <c r="C487">
        <v>9</v>
      </c>
      <c r="D487">
        <v>3</v>
      </c>
      <c r="E487">
        <v>8.5</v>
      </c>
      <c r="F487">
        <v>9.3000000000000007</v>
      </c>
      <c r="G487">
        <v>8.8000000000000007</v>
      </c>
      <c r="H487">
        <v>68.099999999999994</v>
      </c>
      <c r="I487">
        <v>64.3</v>
      </c>
      <c r="J487">
        <v>0</v>
      </c>
      <c r="K487">
        <v>53</v>
      </c>
      <c r="L487">
        <v>24.9</v>
      </c>
      <c r="M487">
        <v>6.5</v>
      </c>
      <c r="N487">
        <v>95</v>
      </c>
      <c r="O487">
        <v>56</v>
      </c>
      <c r="P487">
        <v>10.1</v>
      </c>
      <c r="Q487">
        <v>4.3</v>
      </c>
      <c r="R487">
        <v>4.3</v>
      </c>
      <c r="S487">
        <v>5.8</v>
      </c>
      <c r="T487">
        <v>94</v>
      </c>
      <c r="U487">
        <v>5148</v>
      </c>
      <c r="V487">
        <v>2339000</v>
      </c>
      <c r="W487">
        <v>59</v>
      </c>
      <c r="X487">
        <v>56</v>
      </c>
      <c r="Y487">
        <v>76.8</v>
      </c>
      <c r="Z487">
        <v>80.3</v>
      </c>
      <c r="AA487">
        <v>59</v>
      </c>
      <c r="AB487">
        <v>61.2</v>
      </c>
      <c r="AC487">
        <v>66.900000000000006</v>
      </c>
      <c r="AD487">
        <v>100</v>
      </c>
      <c r="AE487">
        <v>100</v>
      </c>
      <c r="AF487" t="s">
        <v>47</v>
      </c>
    </row>
    <row r="488" spans="1:32">
      <c r="A488" t="s">
        <v>1684</v>
      </c>
      <c r="B488">
        <v>2.2999999999999998</v>
      </c>
      <c r="C488">
        <v>5</v>
      </c>
      <c r="D488">
        <v>0</v>
      </c>
      <c r="E488">
        <v>10.7</v>
      </c>
      <c r="F488">
        <v>13.2</v>
      </c>
      <c r="G488">
        <v>8.5</v>
      </c>
      <c r="H488">
        <v>79</v>
      </c>
      <c r="I488">
        <v>60.9</v>
      </c>
      <c r="J488">
        <v>0</v>
      </c>
      <c r="K488">
        <v>52</v>
      </c>
      <c r="L488">
        <v>25.8</v>
      </c>
      <c r="M488">
        <v>6.6</v>
      </c>
      <c r="N488">
        <v>90</v>
      </c>
      <c r="O488">
        <v>72</v>
      </c>
      <c r="P488">
        <v>21.3</v>
      </c>
      <c r="Q488">
        <v>11.2</v>
      </c>
      <c r="R488">
        <v>4.5</v>
      </c>
      <c r="S488">
        <v>14.6</v>
      </c>
      <c r="T488">
        <v>92</v>
      </c>
      <c r="U488">
        <v>4045</v>
      </c>
      <c r="V488">
        <v>1598000</v>
      </c>
      <c r="W488">
        <v>57</v>
      </c>
      <c r="X488">
        <v>58.5</v>
      </c>
      <c r="Y488">
        <v>68.599999999999994</v>
      </c>
      <c r="Z488">
        <v>64.8</v>
      </c>
      <c r="AA488">
        <v>57</v>
      </c>
      <c r="AB488">
        <v>71.8</v>
      </c>
      <c r="AC488">
        <v>63.5</v>
      </c>
      <c r="AD488">
        <v>100</v>
      </c>
      <c r="AE488">
        <v>100</v>
      </c>
      <c r="AF488" t="s">
        <v>47</v>
      </c>
    </row>
    <row r="489" spans="1:32">
      <c r="A489" t="s">
        <v>1686</v>
      </c>
      <c r="B489">
        <v>1.7</v>
      </c>
      <c r="C489">
        <v>5</v>
      </c>
      <c r="D489">
        <v>3</v>
      </c>
      <c r="E489">
        <v>7.5</v>
      </c>
      <c r="F489">
        <v>16.7</v>
      </c>
      <c r="G489">
        <v>4.8</v>
      </c>
      <c r="H489">
        <v>75.099999999999994</v>
      </c>
      <c r="I489">
        <v>34.9</v>
      </c>
      <c r="J489">
        <v>0</v>
      </c>
      <c r="K489">
        <v>36</v>
      </c>
      <c r="L489">
        <v>31.7</v>
      </c>
      <c r="M489">
        <v>10.199999999999999</v>
      </c>
      <c r="N489">
        <v>88</v>
      </c>
      <c r="O489">
        <v>59</v>
      </c>
      <c r="P489">
        <v>29.6</v>
      </c>
      <c r="Q489">
        <v>10.199999999999999</v>
      </c>
      <c r="R489">
        <v>13.5</v>
      </c>
      <c r="S489">
        <v>22.5</v>
      </c>
      <c r="T489">
        <v>72</v>
      </c>
      <c r="U489">
        <v>5668</v>
      </c>
      <c r="V489">
        <v>3645000</v>
      </c>
      <c r="W489">
        <v>63</v>
      </c>
      <c r="X489">
        <v>52.1</v>
      </c>
      <c r="Y489">
        <v>50.1</v>
      </c>
      <c r="Z489">
        <v>50.9</v>
      </c>
      <c r="AA489">
        <v>63</v>
      </c>
      <c r="AB489">
        <v>56.1</v>
      </c>
      <c r="AC489">
        <v>52.9</v>
      </c>
      <c r="AD489">
        <v>100</v>
      </c>
      <c r="AE489">
        <v>100</v>
      </c>
      <c r="AF489" t="s">
        <v>47</v>
      </c>
    </row>
    <row r="490" spans="1:32">
      <c r="A490" t="s">
        <v>1688</v>
      </c>
      <c r="B490">
        <v>2.7</v>
      </c>
      <c r="C490">
        <v>7</v>
      </c>
      <c r="D490">
        <v>3</v>
      </c>
      <c r="E490">
        <v>7.1</v>
      </c>
      <c r="F490">
        <v>7.3</v>
      </c>
      <c r="G490">
        <v>7</v>
      </c>
      <c r="H490">
        <v>72.599999999999994</v>
      </c>
      <c r="I490">
        <v>56.3</v>
      </c>
      <c r="J490">
        <v>0</v>
      </c>
      <c r="K490">
        <v>50</v>
      </c>
      <c r="L490">
        <v>23.7</v>
      </c>
      <c r="M490">
        <v>6.8</v>
      </c>
      <c r="N490">
        <v>78</v>
      </c>
      <c r="O490">
        <v>51</v>
      </c>
      <c r="P490">
        <v>21.3</v>
      </c>
      <c r="Q490">
        <v>7.7</v>
      </c>
      <c r="R490">
        <v>8.5</v>
      </c>
      <c r="S490">
        <v>12.2</v>
      </c>
      <c r="T490">
        <v>78</v>
      </c>
      <c r="U490">
        <v>4348</v>
      </c>
      <c r="V490">
        <v>1209000</v>
      </c>
      <c r="W490">
        <v>35</v>
      </c>
      <c r="X490">
        <v>56.5</v>
      </c>
      <c r="Y490">
        <v>66.400000000000006</v>
      </c>
      <c r="Z490">
        <v>80.3</v>
      </c>
      <c r="AA490">
        <v>35</v>
      </c>
      <c r="AB490">
        <v>68.900000000000006</v>
      </c>
      <c r="AC490">
        <v>62.8</v>
      </c>
      <c r="AD490">
        <v>100</v>
      </c>
      <c r="AE490">
        <v>100</v>
      </c>
      <c r="AF490" t="s">
        <v>47</v>
      </c>
    </row>
    <row r="491" spans="1:32">
      <c r="A491" t="s">
        <v>1690</v>
      </c>
      <c r="B491">
        <v>4.5999999999999996</v>
      </c>
      <c r="C491">
        <v>12</v>
      </c>
      <c r="D491">
        <v>5</v>
      </c>
      <c r="E491">
        <v>0.3</v>
      </c>
      <c r="F491">
        <v>7.7</v>
      </c>
      <c r="G491">
        <v>5.8</v>
      </c>
      <c r="H491">
        <v>76.5</v>
      </c>
      <c r="I491">
        <v>58.3</v>
      </c>
      <c r="J491">
        <v>0</v>
      </c>
      <c r="K491">
        <v>48</v>
      </c>
      <c r="L491">
        <v>26.4</v>
      </c>
      <c r="M491">
        <v>7.7</v>
      </c>
      <c r="N491">
        <v>96</v>
      </c>
      <c r="O491">
        <v>60</v>
      </c>
      <c r="P491">
        <v>17</v>
      </c>
      <c r="Q491">
        <v>7.5</v>
      </c>
      <c r="R491">
        <v>6.6</v>
      </c>
      <c r="S491">
        <v>15.5</v>
      </c>
      <c r="T491">
        <v>84</v>
      </c>
      <c r="U491">
        <v>4149</v>
      </c>
      <c r="V491">
        <v>1836000</v>
      </c>
      <c r="W491">
        <v>37</v>
      </c>
      <c r="X491">
        <v>41.9</v>
      </c>
      <c r="Y491">
        <v>69</v>
      </c>
      <c r="Z491">
        <v>76.900000000000006</v>
      </c>
      <c r="AA491">
        <v>37</v>
      </c>
      <c r="AB491">
        <v>70.8</v>
      </c>
      <c r="AC491">
        <v>58.1</v>
      </c>
      <c r="AD491">
        <v>100</v>
      </c>
      <c r="AE491">
        <v>100</v>
      </c>
      <c r="AF491" t="s">
        <v>47</v>
      </c>
    </row>
    <row r="492" spans="1:32">
      <c r="A492" t="s">
        <v>1692</v>
      </c>
      <c r="B492">
        <v>9</v>
      </c>
      <c r="C492">
        <v>19</v>
      </c>
      <c r="D492">
        <v>11</v>
      </c>
      <c r="E492">
        <v>13.8</v>
      </c>
      <c r="F492">
        <v>21.5</v>
      </c>
      <c r="G492">
        <v>7</v>
      </c>
      <c r="H492">
        <v>76.3</v>
      </c>
      <c r="I492">
        <v>80.400000000000006</v>
      </c>
      <c r="J492">
        <v>0</v>
      </c>
      <c r="K492">
        <v>63</v>
      </c>
      <c r="L492">
        <v>29.5</v>
      </c>
      <c r="M492">
        <v>4.4000000000000004</v>
      </c>
      <c r="N492">
        <v>71</v>
      </c>
      <c r="O492">
        <v>66</v>
      </c>
      <c r="P492">
        <v>17.600000000000001</v>
      </c>
      <c r="Q492">
        <v>6.7</v>
      </c>
      <c r="R492">
        <v>9.1</v>
      </c>
      <c r="S492">
        <v>18.5</v>
      </c>
      <c r="T492">
        <v>88</v>
      </c>
      <c r="U492">
        <v>6149</v>
      </c>
      <c r="V492">
        <v>4084000</v>
      </c>
      <c r="W492">
        <v>66</v>
      </c>
      <c r="X492">
        <v>64.400000000000006</v>
      </c>
      <c r="Y492">
        <v>78.2</v>
      </c>
      <c r="Z492">
        <v>42.7</v>
      </c>
      <c r="AA492">
        <v>66</v>
      </c>
      <c r="AB492">
        <v>51.5</v>
      </c>
      <c r="AC492">
        <v>62.4</v>
      </c>
      <c r="AD492">
        <v>100</v>
      </c>
      <c r="AE492">
        <v>100</v>
      </c>
      <c r="AF492" t="s">
        <v>47</v>
      </c>
    </row>
    <row r="493" spans="1:32">
      <c r="A493" t="s">
        <v>1693</v>
      </c>
      <c r="B493">
        <v>3</v>
      </c>
      <c r="C493">
        <v>10</v>
      </c>
      <c r="D493">
        <v>4</v>
      </c>
      <c r="E493">
        <v>10.1</v>
      </c>
      <c r="F493">
        <v>8.8000000000000007</v>
      </c>
      <c r="G493">
        <v>5.4</v>
      </c>
      <c r="H493">
        <v>71.3</v>
      </c>
      <c r="I493">
        <v>41.1</v>
      </c>
      <c r="J493">
        <v>1</v>
      </c>
      <c r="K493">
        <v>42</v>
      </c>
      <c r="L493">
        <v>25.9</v>
      </c>
      <c r="M493">
        <v>8.5</v>
      </c>
      <c r="N493">
        <v>70</v>
      </c>
      <c r="O493">
        <v>66</v>
      </c>
      <c r="P493">
        <v>23.7</v>
      </c>
      <c r="Q493">
        <v>12.6</v>
      </c>
      <c r="R493">
        <v>12.6</v>
      </c>
      <c r="S493">
        <v>32.5</v>
      </c>
      <c r="T493">
        <v>77</v>
      </c>
      <c r="U493">
        <v>4754</v>
      </c>
      <c r="V493">
        <v>1732000</v>
      </c>
      <c r="W493">
        <v>47</v>
      </c>
      <c r="X493">
        <v>60.1</v>
      </c>
      <c r="Y493">
        <v>55.2</v>
      </c>
      <c r="Z493">
        <v>62</v>
      </c>
      <c r="AA493">
        <v>47</v>
      </c>
      <c r="AB493">
        <v>65</v>
      </c>
      <c r="AC493">
        <v>58.4</v>
      </c>
      <c r="AD493">
        <v>100</v>
      </c>
      <c r="AE493">
        <v>100</v>
      </c>
      <c r="AF493" t="s">
        <v>47</v>
      </c>
    </row>
    <row r="494" spans="1:32">
      <c r="A494" t="s">
        <v>1695</v>
      </c>
      <c r="B494">
        <v>6.3</v>
      </c>
      <c r="C494">
        <v>17</v>
      </c>
      <c r="D494">
        <v>9</v>
      </c>
      <c r="E494">
        <v>10.4</v>
      </c>
      <c r="F494">
        <v>12</v>
      </c>
      <c r="G494">
        <v>6.8</v>
      </c>
      <c r="H494">
        <v>72.3</v>
      </c>
      <c r="I494">
        <v>76.8</v>
      </c>
      <c r="J494">
        <v>0</v>
      </c>
      <c r="K494">
        <v>59</v>
      </c>
      <c r="L494">
        <v>33.700000000000003</v>
      </c>
      <c r="M494">
        <v>3.1</v>
      </c>
      <c r="N494">
        <v>84</v>
      </c>
      <c r="O494">
        <v>58</v>
      </c>
      <c r="P494">
        <v>20.3</v>
      </c>
      <c r="Q494">
        <v>10.6</v>
      </c>
      <c r="R494">
        <v>7.5</v>
      </c>
      <c r="S494">
        <v>13.5</v>
      </c>
      <c r="T494">
        <v>92</v>
      </c>
      <c r="U494">
        <v>4766</v>
      </c>
      <c r="V494">
        <v>1540000</v>
      </c>
      <c r="W494">
        <v>50</v>
      </c>
      <c r="X494">
        <v>56.4</v>
      </c>
      <c r="Y494">
        <v>76.099999999999994</v>
      </c>
      <c r="Z494">
        <v>68.400000000000006</v>
      </c>
      <c r="AA494">
        <v>50</v>
      </c>
      <c r="AB494">
        <v>64.900000000000006</v>
      </c>
      <c r="AC494">
        <v>63.9</v>
      </c>
      <c r="AD494">
        <v>100</v>
      </c>
      <c r="AE494">
        <v>100</v>
      </c>
      <c r="AF494" t="s">
        <v>47</v>
      </c>
    </row>
    <row r="495" spans="1:32">
      <c r="A495" t="s">
        <v>1697</v>
      </c>
      <c r="B495">
        <v>1.9</v>
      </c>
      <c r="C495">
        <v>9</v>
      </c>
      <c r="D495">
        <v>4</v>
      </c>
      <c r="E495">
        <v>7.9</v>
      </c>
      <c r="F495">
        <v>18.399999999999999</v>
      </c>
      <c r="G495">
        <v>7.3</v>
      </c>
      <c r="H495">
        <v>64.400000000000006</v>
      </c>
      <c r="I495">
        <v>61.8</v>
      </c>
      <c r="J495">
        <v>0</v>
      </c>
      <c r="K495">
        <v>41</v>
      </c>
      <c r="L495">
        <v>25.9</v>
      </c>
      <c r="M495">
        <v>7.5</v>
      </c>
      <c r="N495">
        <v>92</v>
      </c>
      <c r="O495">
        <v>65</v>
      </c>
      <c r="P495">
        <v>21</v>
      </c>
      <c r="Q495">
        <v>8.6999999999999993</v>
      </c>
      <c r="R495">
        <v>6.3</v>
      </c>
      <c r="S495">
        <v>13.8</v>
      </c>
      <c r="T495">
        <v>83</v>
      </c>
      <c r="U495">
        <v>5132</v>
      </c>
      <c r="V495">
        <v>995000</v>
      </c>
      <c r="W495">
        <v>48</v>
      </c>
      <c r="X495">
        <v>54.3</v>
      </c>
      <c r="Y495">
        <v>68.5</v>
      </c>
      <c r="Z495">
        <v>53.3</v>
      </c>
      <c r="AA495">
        <v>48</v>
      </c>
      <c r="AB495">
        <v>61.3</v>
      </c>
      <c r="AC495">
        <v>57.7</v>
      </c>
      <c r="AD495">
        <v>100</v>
      </c>
      <c r="AE495">
        <v>100</v>
      </c>
      <c r="AF495" t="s">
        <v>47</v>
      </c>
    </row>
    <row r="496" spans="1:32">
      <c r="A496" t="s">
        <v>1699</v>
      </c>
      <c r="B496">
        <v>9.1</v>
      </c>
      <c r="C496">
        <v>23</v>
      </c>
      <c r="D496">
        <v>15</v>
      </c>
      <c r="E496">
        <v>13.4</v>
      </c>
      <c r="F496">
        <v>17.100000000000001</v>
      </c>
      <c r="G496">
        <v>6.9</v>
      </c>
      <c r="H496">
        <v>94.2</v>
      </c>
      <c r="I496">
        <v>80.900000000000006</v>
      </c>
      <c r="J496">
        <v>1</v>
      </c>
      <c r="K496">
        <v>63</v>
      </c>
      <c r="L496">
        <v>27.4</v>
      </c>
      <c r="M496">
        <v>3.3</v>
      </c>
      <c r="N496">
        <v>59</v>
      </c>
      <c r="O496">
        <v>68</v>
      </c>
      <c r="P496">
        <v>18</v>
      </c>
      <c r="Q496">
        <v>14</v>
      </c>
      <c r="R496">
        <v>3.5</v>
      </c>
      <c r="S496">
        <v>16.5</v>
      </c>
      <c r="T496">
        <v>100</v>
      </c>
      <c r="U496">
        <v>6135</v>
      </c>
      <c r="V496">
        <v>4458000</v>
      </c>
      <c r="W496">
        <v>83</v>
      </c>
      <c r="X496">
        <v>65.8</v>
      </c>
      <c r="Y496">
        <v>78.7</v>
      </c>
      <c r="Z496">
        <v>54.4</v>
      </c>
      <c r="AA496">
        <v>83</v>
      </c>
      <c r="AB496">
        <v>51.6</v>
      </c>
      <c r="AC496">
        <v>67</v>
      </c>
      <c r="AD496">
        <v>100</v>
      </c>
      <c r="AE496">
        <v>100</v>
      </c>
      <c r="AF496" t="s">
        <v>47</v>
      </c>
    </row>
    <row r="497" spans="1:32">
      <c r="A497" t="s">
        <v>1700</v>
      </c>
      <c r="B497">
        <v>3.5</v>
      </c>
      <c r="C497">
        <v>14</v>
      </c>
      <c r="D497">
        <v>4</v>
      </c>
      <c r="E497">
        <v>11</v>
      </c>
      <c r="F497">
        <v>8.1</v>
      </c>
      <c r="G497">
        <v>6.9</v>
      </c>
      <c r="H497">
        <v>86.1</v>
      </c>
      <c r="I497">
        <v>76.2</v>
      </c>
      <c r="J497">
        <v>0</v>
      </c>
      <c r="K497">
        <v>59</v>
      </c>
      <c r="L497">
        <v>27.1</v>
      </c>
      <c r="M497">
        <v>4.2</v>
      </c>
      <c r="N497">
        <v>82</v>
      </c>
      <c r="O497">
        <v>70</v>
      </c>
      <c r="P497">
        <v>7.6</v>
      </c>
      <c r="Q497">
        <v>10.6</v>
      </c>
      <c r="R497">
        <v>4.9000000000000004</v>
      </c>
      <c r="S497">
        <v>18.100000000000001</v>
      </c>
      <c r="T497">
        <v>98</v>
      </c>
      <c r="U497">
        <v>4899</v>
      </c>
      <c r="V497">
        <v>1515000</v>
      </c>
      <c r="W497">
        <v>40</v>
      </c>
      <c r="X497">
        <v>59.5</v>
      </c>
      <c r="Y497">
        <v>81</v>
      </c>
      <c r="Z497">
        <v>74.099999999999994</v>
      </c>
      <c r="AA497">
        <v>40</v>
      </c>
      <c r="AB497">
        <v>63.6</v>
      </c>
      <c r="AC497">
        <v>66.2</v>
      </c>
      <c r="AD497">
        <v>100</v>
      </c>
      <c r="AE497">
        <v>100</v>
      </c>
      <c r="AF497" t="s">
        <v>47</v>
      </c>
    </row>
    <row r="498" spans="1:32">
      <c r="A498" t="s">
        <v>1702</v>
      </c>
      <c r="B498">
        <v>0.5</v>
      </c>
      <c r="C498">
        <v>6</v>
      </c>
      <c r="D498">
        <v>0</v>
      </c>
      <c r="E498">
        <v>13</v>
      </c>
      <c r="F498">
        <v>13.3</v>
      </c>
      <c r="G498">
        <v>4.8</v>
      </c>
      <c r="H498">
        <v>86.6</v>
      </c>
      <c r="J498">
        <v>0</v>
      </c>
      <c r="K498">
        <v>37</v>
      </c>
      <c r="L498">
        <v>40.9</v>
      </c>
      <c r="N498">
        <v>85</v>
      </c>
      <c r="O498">
        <v>65</v>
      </c>
      <c r="Q498">
        <v>9.6</v>
      </c>
      <c r="R498">
        <v>12.2</v>
      </c>
      <c r="S498">
        <v>18.3</v>
      </c>
      <c r="U498">
        <v>4492</v>
      </c>
      <c r="V498">
        <v>1307000</v>
      </c>
      <c r="W498">
        <v>58</v>
      </c>
      <c r="X498">
        <v>57</v>
      </c>
      <c r="Y498">
        <v>72</v>
      </c>
      <c r="Z498">
        <v>61.9</v>
      </c>
      <c r="AA498">
        <v>58</v>
      </c>
      <c r="AB498">
        <v>67.5</v>
      </c>
      <c r="AC498">
        <v>62.9</v>
      </c>
      <c r="AD498">
        <v>100</v>
      </c>
      <c r="AE498">
        <v>81</v>
      </c>
      <c r="AF498" t="s">
        <v>1971</v>
      </c>
    </row>
    <row r="499" spans="1:32">
      <c r="A499" t="s">
        <v>1704</v>
      </c>
      <c r="B499">
        <v>1.2</v>
      </c>
      <c r="C499">
        <v>3</v>
      </c>
      <c r="D499">
        <v>4</v>
      </c>
      <c r="E499">
        <v>7.8</v>
      </c>
      <c r="F499">
        <v>6.8</v>
      </c>
      <c r="G499">
        <v>5.9</v>
      </c>
      <c r="H499">
        <v>66.8</v>
      </c>
      <c r="I499">
        <v>47.6</v>
      </c>
      <c r="J499">
        <v>0</v>
      </c>
      <c r="K499">
        <v>45</v>
      </c>
      <c r="L499">
        <v>25.8</v>
      </c>
      <c r="M499">
        <v>10</v>
      </c>
      <c r="N499">
        <v>85</v>
      </c>
      <c r="O499">
        <v>62</v>
      </c>
      <c r="P499">
        <v>17.600000000000001</v>
      </c>
      <c r="Q499">
        <v>14.4</v>
      </c>
      <c r="R499">
        <v>10.1</v>
      </c>
      <c r="S499">
        <v>19.8</v>
      </c>
      <c r="T499">
        <v>79</v>
      </c>
      <c r="U499">
        <v>4276</v>
      </c>
      <c r="V499">
        <v>1566000</v>
      </c>
      <c r="W499">
        <v>50</v>
      </c>
      <c r="X499">
        <v>55.2</v>
      </c>
      <c r="Y499">
        <v>59.1</v>
      </c>
      <c r="Z499">
        <v>75.900000000000006</v>
      </c>
      <c r="AA499">
        <v>50</v>
      </c>
      <c r="AB499">
        <v>69.599999999999994</v>
      </c>
      <c r="AC499">
        <v>61.2</v>
      </c>
      <c r="AD499">
        <v>100</v>
      </c>
      <c r="AE499">
        <v>100</v>
      </c>
      <c r="AF499" t="s">
        <v>47</v>
      </c>
    </row>
    <row r="500" spans="1:32">
      <c r="A500" t="s">
        <v>1706</v>
      </c>
      <c r="B500">
        <v>3.5</v>
      </c>
      <c r="C500">
        <v>12</v>
      </c>
      <c r="D500">
        <v>5</v>
      </c>
      <c r="E500">
        <v>12.6</v>
      </c>
      <c r="F500">
        <v>11.9</v>
      </c>
      <c r="G500">
        <v>5.8</v>
      </c>
      <c r="H500">
        <v>83</v>
      </c>
      <c r="I500">
        <v>69.8</v>
      </c>
      <c r="J500">
        <v>0</v>
      </c>
      <c r="K500">
        <v>55</v>
      </c>
      <c r="L500">
        <v>20.3</v>
      </c>
      <c r="M500">
        <v>5.0999999999999996</v>
      </c>
      <c r="N500">
        <v>88</v>
      </c>
      <c r="O500">
        <v>71</v>
      </c>
      <c r="P500">
        <v>9</v>
      </c>
      <c r="Q500">
        <v>9.1999999999999993</v>
      </c>
      <c r="R500">
        <v>9.5</v>
      </c>
      <c r="S500">
        <v>23</v>
      </c>
      <c r="T500">
        <v>84</v>
      </c>
      <c r="U500">
        <v>5593</v>
      </c>
      <c r="V500">
        <v>1645000</v>
      </c>
      <c r="W500">
        <v>62</v>
      </c>
      <c r="X500">
        <v>64.099999999999994</v>
      </c>
      <c r="Y500">
        <v>76.099999999999994</v>
      </c>
      <c r="Z500">
        <v>61.7</v>
      </c>
      <c r="AA500">
        <v>62</v>
      </c>
      <c r="AB500">
        <v>56.8</v>
      </c>
      <c r="AC500">
        <v>65.7</v>
      </c>
      <c r="AD500">
        <v>100</v>
      </c>
      <c r="AE500">
        <v>100</v>
      </c>
      <c r="AF500" t="s">
        <v>47</v>
      </c>
    </row>
    <row r="501" spans="1:32">
      <c r="A501" t="s">
        <v>1708</v>
      </c>
      <c r="B501">
        <v>2.7</v>
      </c>
      <c r="C501">
        <v>7</v>
      </c>
      <c r="D501">
        <v>3</v>
      </c>
      <c r="E501">
        <v>13.9</v>
      </c>
      <c r="F501">
        <v>13</v>
      </c>
      <c r="G501">
        <v>7.1</v>
      </c>
      <c r="H501">
        <v>59.6</v>
      </c>
      <c r="I501">
        <v>59.8</v>
      </c>
      <c r="J501">
        <v>0</v>
      </c>
      <c r="K501">
        <v>50</v>
      </c>
      <c r="L501">
        <v>39.6</v>
      </c>
      <c r="M501">
        <v>7.6</v>
      </c>
      <c r="N501">
        <v>79</v>
      </c>
      <c r="O501">
        <v>55</v>
      </c>
      <c r="P501">
        <v>18.8</v>
      </c>
      <c r="Q501">
        <v>9.3000000000000007</v>
      </c>
      <c r="R501">
        <v>8.4</v>
      </c>
      <c r="S501">
        <v>11.6</v>
      </c>
      <c r="T501">
        <v>75</v>
      </c>
      <c r="U501">
        <v>4746</v>
      </c>
      <c r="V501">
        <v>1780000</v>
      </c>
      <c r="W501">
        <v>53</v>
      </c>
      <c r="X501">
        <v>60.4</v>
      </c>
      <c r="Y501">
        <v>67.400000000000006</v>
      </c>
      <c r="Z501">
        <v>67.5</v>
      </c>
      <c r="AA501">
        <v>53</v>
      </c>
      <c r="AB501">
        <v>65</v>
      </c>
      <c r="AC501">
        <v>63.3</v>
      </c>
      <c r="AD501">
        <v>100</v>
      </c>
      <c r="AE501">
        <v>100</v>
      </c>
      <c r="AF501" t="s">
        <v>47</v>
      </c>
    </row>
    <row r="502" spans="1:32">
      <c r="A502" t="s">
        <v>1710</v>
      </c>
      <c r="B502">
        <v>1.9</v>
      </c>
      <c r="C502">
        <v>6</v>
      </c>
      <c r="D502">
        <v>2</v>
      </c>
      <c r="E502">
        <v>3.7</v>
      </c>
      <c r="F502">
        <v>8.5</v>
      </c>
      <c r="G502">
        <v>7.2</v>
      </c>
      <c r="H502">
        <v>66.5</v>
      </c>
      <c r="I502">
        <v>66.400000000000006</v>
      </c>
      <c r="J502">
        <v>2</v>
      </c>
      <c r="K502">
        <v>36</v>
      </c>
      <c r="L502">
        <v>27.2</v>
      </c>
      <c r="M502">
        <v>7.3</v>
      </c>
      <c r="N502">
        <v>100</v>
      </c>
      <c r="O502">
        <v>60</v>
      </c>
      <c r="P502">
        <v>17.600000000000001</v>
      </c>
      <c r="Q502">
        <v>13.6</v>
      </c>
      <c r="R502">
        <v>7.3</v>
      </c>
      <c r="S502">
        <v>12.5</v>
      </c>
      <c r="T502">
        <v>87</v>
      </c>
      <c r="U502">
        <v>3353</v>
      </c>
      <c r="V502">
        <v>1786000</v>
      </c>
      <c r="W502">
        <v>51</v>
      </c>
      <c r="X502">
        <v>46.6</v>
      </c>
      <c r="Y502">
        <v>69.2</v>
      </c>
      <c r="Z502">
        <v>77.3</v>
      </c>
      <c r="AA502">
        <v>51</v>
      </c>
      <c r="AB502">
        <v>78.5</v>
      </c>
      <c r="AC502">
        <v>62</v>
      </c>
      <c r="AD502">
        <v>100</v>
      </c>
      <c r="AE502">
        <v>100</v>
      </c>
      <c r="AF502" t="s">
        <v>47</v>
      </c>
    </row>
    <row r="503" spans="1:32">
      <c r="A503" t="s">
        <v>1713</v>
      </c>
      <c r="B503">
        <v>2.2999999999999998</v>
      </c>
      <c r="C503">
        <v>8</v>
      </c>
      <c r="D503">
        <v>3</v>
      </c>
      <c r="E503">
        <v>10.5</v>
      </c>
      <c r="F503">
        <v>6.8</v>
      </c>
      <c r="G503">
        <v>7.1</v>
      </c>
      <c r="H503">
        <v>81</v>
      </c>
      <c r="I503">
        <v>57.6</v>
      </c>
      <c r="J503">
        <v>0</v>
      </c>
      <c r="K503">
        <v>54</v>
      </c>
      <c r="L503">
        <v>33.200000000000003</v>
      </c>
      <c r="M503">
        <v>7.6</v>
      </c>
      <c r="N503">
        <v>98</v>
      </c>
      <c r="O503">
        <v>47</v>
      </c>
      <c r="P503">
        <v>23.2</v>
      </c>
      <c r="Q503">
        <v>10.9</v>
      </c>
      <c r="R503">
        <v>11.9</v>
      </c>
      <c r="S503">
        <v>11.6</v>
      </c>
      <c r="T503">
        <v>79</v>
      </c>
      <c r="U503">
        <v>2930</v>
      </c>
      <c r="V503">
        <v>3114000</v>
      </c>
      <c r="W503">
        <v>62</v>
      </c>
      <c r="X503">
        <v>56.1</v>
      </c>
      <c r="Y503">
        <v>62.8</v>
      </c>
      <c r="Z503">
        <v>81.900000000000006</v>
      </c>
      <c r="AA503">
        <v>62</v>
      </c>
      <c r="AB503">
        <v>82.6</v>
      </c>
      <c r="AC503">
        <v>66.2</v>
      </c>
      <c r="AD503">
        <v>100</v>
      </c>
      <c r="AE503">
        <v>100</v>
      </c>
      <c r="AF503" t="s">
        <v>47</v>
      </c>
    </row>
    <row r="504" spans="1:32">
      <c r="A504" t="s">
        <v>1716</v>
      </c>
      <c r="B504">
        <v>3.5</v>
      </c>
      <c r="C504">
        <v>3</v>
      </c>
      <c r="D504">
        <v>6</v>
      </c>
      <c r="E504">
        <v>8.4</v>
      </c>
      <c r="F504">
        <v>6.5</v>
      </c>
      <c r="G504">
        <v>6.8</v>
      </c>
      <c r="H504">
        <v>67.3</v>
      </c>
      <c r="I504">
        <v>67.099999999999994</v>
      </c>
      <c r="J504">
        <v>0</v>
      </c>
      <c r="K504">
        <v>54</v>
      </c>
      <c r="L504">
        <v>26.8</v>
      </c>
      <c r="M504">
        <v>4.2</v>
      </c>
      <c r="N504">
        <v>89</v>
      </c>
      <c r="O504">
        <v>64</v>
      </c>
      <c r="P504">
        <v>14.3</v>
      </c>
      <c r="Q504">
        <v>9.6999999999999993</v>
      </c>
      <c r="R504">
        <v>9.4</v>
      </c>
      <c r="S504">
        <v>17.600000000000001</v>
      </c>
      <c r="T504">
        <v>85</v>
      </c>
      <c r="U504">
        <v>3471</v>
      </c>
      <c r="V504">
        <v>1368000</v>
      </c>
      <c r="W504">
        <v>52</v>
      </c>
      <c r="X504">
        <v>55.1</v>
      </c>
      <c r="Y504">
        <v>73.7</v>
      </c>
      <c r="Z504">
        <v>78.2</v>
      </c>
      <c r="AA504">
        <v>52</v>
      </c>
      <c r="AB504">
        <v>77.400000000000006</v>
      </c>
      <c r="AC504">
        <v>66.3</v>
      </c>
      <c r="AD504">
        <v>100</v>
      </c>
      <c r="AE504">
        <v>100</v>
      </c>
      <c r="AF504" t="s">
        <v>47</v>
      </c>
    </row>
    <row r="505" spans="1:32">
      <c r="A505" t="s">
        <v>1718</v>
      </c>
      <c r="B505">
        <v>5.6</v>
      </c>
      <c r="C505">
        <v>17</v>
      </c>
      <c r="D505">
        <v>7</v>
      </c>
      <c r="E505">
        <v>13.4</v>
      </c>
      <c r="F505">
        <v>14.4</v>
      </c>
      <c r="G505">
        <v>6.9</v>
      </c>
      <c r="H505">
        <v>75.8</v>
      </c>
      <c r="I505">
        <v>73.7</v>
      </c>
      <c r="J505">
        <v>0</v>
      </c>
      <c r="K505">
        <v>59</v>
      </c>
      <c r="L505">
        <v>19.5</v>
      </c>
      <c r="M505">
        <v>6.5</v>
      </c>
      <c r="N505">
        <v>77</v>
      </c>
      <c r="O505">
        <v>68</v>
      </c>
      <c r="P505">
        <v>12.4</v>
      </c>
      <c r="Q505">
        <v>7.8</v>
      </c>
      <c r="R505">
        <v>5.8</v>
      </c>
      <c r="S505">
        <v>16.8</v>
      </c>
      <c r="T505">
        <v>94</v>
      </c>
      <c r="U505">
        <v>2901</v>
      </c>
      <c r="V505">
        <v>2264000</v>
      </c>
      <c r="W505">
        <v>48</v>
      </c>
      <c r="X505">
        <v>67.2</v>
      </c>
      <c r="Y505">
        <v>77.2</v>
      </c>
      <c r="Z505">
        <v>60.4</v>
      </c>
      <c r="AA505">
        <v>48</v>
      </c>
      <c r="AB505">
        <v>82.9</v>
      </c>
      <c r="AC505">
        <v>68</v>
      </c>
      <c r="AD505">
        <v>100</v>
      </c>
      <c r="AE505">
        <v>100</v>
      </c>
      <c r="AF505" t="s">
        <v>47</v>
      </c>
    </row>
    <row r="506" spans="1:32">
      <c r="A506" t="s">
        <v>1720</v>
      </c>
      <c r="B506">
        <v>0.5</v>
      </c>
      <c r="C506">
        <v>5</v>
      </c>
      <c r="D506">
        <v>1</v>
      </c>
      <c r="E506">
        <v>16.3</v>
      </c>
      <c r="F506">
        <v>6.9</v>
      </c>
      <c r="G506">
        <v>4</v>
      </c>
      <c r="H506">
        <v>62.9</v>
      </c>
      <c r="I506">
        <v>54.8</v>
      </c>
      <c r="J506">
        <v>2</v>
      </c>
      <c r="K506">
        <v>38</v>
      </c>
      <c r="L506">
        <v>26.8</v>
      </c>
      <c r="M506">
        <v>8.3000000000000007</v>
      </c>
      <c r="N506">
        <v>81</v>
      </c>
      <c r="O506">
        <v>73</v>
      </c>
      <c r="P506">
        <v>17.5</v>
      </c>
      <c r="Q506">
        <v>15.4</v>
      </c>
      <c r="R506">
        <v>13.6</v>
      </c>
      <c r="S506">
        <v>22.8</v>
      </c>
      <c r="T506">
        <v>78</v>
      </c>
      <c r="U506">
        <v>2910</v>
      </c>
      <c r="V506">
        <v>838000</v>
      </c>
      <c r="W506">
        <v>52</v>
      </c>
      <c r="X506">
        <v>68</v>
      </c>
      <c r="Y506">
        <v>61</v>
      </c>
      <c r="Z506">
        <v>73.5</v>
      </c>
      <c r="AA506">
        <v>52</v>
      </c>
      <c r="AB506">
        <v>82.8</v>
      </c>
      <c r="AC506">
        <v>67.2</v>
      </c>
      <c r="AD506">
        <v>100</v>
      </c>
      <c r="AE506">
        <v>100</v>
      </c>
      <c r="AF506" t="s">
        <v>47</v>
      </c>
    </row>
    <row r="507" spans="1:32">
      <c r="A507" t="s">
        <v>1723</v>
      </c>
      <c r="B507">
        <v>0.9</v>
      </c>
      <c r="C507">
        <v>2</v>
      </c>
      <c r="D507">
        <v>0</v>
      </c>
      <c r="E507">
        <v>10.8</v>
      </c>
      <c r="F507">
        <v>6.3</v>
      </c>
      <c r="G507">
        <v>5</v>
      </c>
      <c r="H507">
        <v>61</v>
      </c>
      <c r="I507">
        <v>48</v>
      </c>
      <c r="J507">
        <v>1</v>
      </c>
      <c r="K507">
        <v>40</v>
      </c>
      <c r="L507">
        <v>27</v>
      </c>
      <c r="M507">
        <v>10.199999999999999</v>
      </c>
      <c r="N507">
        <v>77</v>
      </c>
      <c r="O507">
        <v>79</v>
      </c>
      <c r="P507">
        <v>20</v>
      </c>
      <c r="Q507">
        <v>12.3</v>
      </c>
      <c r="R507">
        <v>12.8</v>
      </c>
      <c r="S507">
        <v>22.4</v>
      </c>
      <c r="T507">
        <v>68</v>
      </c>
      <c r="U507">
        <v>2803</v>
      </c>
      <c r="V507">
        <v>767000</v>
      </c>
      <c r="W507">
        <v>44</v>
      </c>
      <c r="X507">
        <v>59.1</v>
      </c>
      <c r="Y507">
        <v>57.8</v>
      </c>
      <c r="Z507">
        <v>75.099999999999994</v>
      </c>
      <c r="AA507">
        <v>44</v>
      </c>
      <c r="AB507">
        <v>83.9</v>
      </c>
      <c r="AC507">
        <v>62.9</v>
      </c>
      <c r="AD507">
        <v>100</v>
      </c>
      <c r="AE507">
        <v>100</v>
      </c>
      <c r="AF507" t="s">
        <v>47</v>
      </c>
    </row>
    <row r="508" spans="1:32">
      <c r="A508" t="s">
        <v>1725</v>
      </c>
      <c r="B508">
        <v>3.7</v>
      </c>
      <c r="C508">
        <v>9</v>
      </c>
      <c r="D508">
        <v>6</v>
      </c>
      <c r="E508">
        <v>16.3</v>
      </c>
      <c r="F508">
        <v>8.8000000000000007</v>
      </c>
      <c r="G508">
        <v>6.1</v>
      </c>
      <c r="H508">
        <v>69.2</v>
      </c>
      <c r="J508">
        <v>0</v>
      </c>
      <c r="K508">
        <v>48</v>
      </c>
      <c r="L508">
        <v>13.9</v>
      </c>
      <c r="N508">
        <v>77</v>
      </c>
      <c r="O508">
        <v>52</v>
      </c>
      <c r="Q508">
        <v>9.6</v>
      </c>
      <c r="R508">
        <v>8.1</v>
      </c>
      <c r="S508">
        <v>17.5</v>
      </c>
      <c r="U508">
        <v>5280</v>
      </c>
      <c r="V508">
        <v>894000</v>
      </c>
      <c r="W508">
        <v>54</v>
      </c>
      <c r="X508">
        <v>75.3</v>
      </c>
      <c r="Y508">
        <v>78</v>
      </c>
      <c r="Z508">
        <v>72.900000000000006</v>
      </c>
      <c r="AA508">
        <v>54</v>
      </c>
      <c r="AB508">
        <v>59.9</v>
      </c>
      <c r="AC508">
        <v>71.8</v>
      </c>
      <c r="AD508">
        <v>100</v>
      </c>
      <c r="AE508">
        <v>81</v>
      </c>
      <c r="AF508" t="s">
        <v>1971</v>
      </c>
    </row>
    <row r="509" spans="1:32">
      <c r="A509" t="s">
        <v>1728</v>
      </c>
      <c r="B509">
        <v>5</v>
      </c>
      <c r="C509">
        <v>11</v>
      </c>
      <c r="D509">
        <v>7</v>
      </c>
      <c r="E509">
        <v>11</v>
      </c>
      <c r="F509">
        <v>4</v>
      </c>
      <c r="G509">
        <v>5.6</v>
      </c>
      <c r="H509">
        <v>55.7</v>
      </c>
      <c r="I509">
        <v>65.2</v>
      </c>
      <c r="J509">
        <v>0</v>
      </c>
      <c r="K509">
        <v>57</v>
      </c>
      <c r="L509">
        <v>31.1</v>
      </c>
      <c r="M509">
        <v>4.8</v>
      </c>
      <c r="N509">
        <v>86</v>
      </c>
      <c r="O509">
        <v>52</v>
      </c>
      <c r="P509">
        <v>21.3</v>
      </c>
      <c r="Q509">
        <v>14</v>
      </c>
      <c r="R509">
        <v>11.2</v>
      </c>
      <c r="S509">
        <v>11.8</v>
      </c>
      <c r="T509">
        <v>87</v>
      </c>
      <c r="U509">
        <v>5366</v>
      </c>
      <c r="V509">
        <v>1012000</v>
      </c>
      <c r="W509">
        <v>41</v>
      </c>
      <c r="X509">
        <v>58.7</v>
      </c>
      <c r="Y509">
        <v>67.5</v>
      </c>
      <c r="Z509">
        <v>88.2</v>
      </c>
      <c r="AA509">
        <v>41</v>
      </c>
      <c r="AB509">
        <v>59</v>
      </c>
      <c r="AC509">
        <v>65.099999999999994</v>
      </c>
      <c r="AD509">
        <v>100</v>
      </c>
      <c r="AE509">
        <v>100</v>
      </c>
      <c r="AF509" t="s">
        <v>47</v>
      </c>
    </row>
    <row r="510" spans="1:32">
      <c r="A510" t="s">
        <v>1730</v>
      </c>
      <c r="B510">
        <v>9.5</v>
      </c>
      <c r="C510">
        <v>23</v>
      </c>
      <c r="D510">
        <v>14</v>
      </c>
      <c r="E510">
        <v>20.9</v>
      </c>
      <c r="F510">
        <v>4.9000000000000004</v>
      </c>
      <c r="G510">
        <v>6.4</v>
      </c>
      <c r="H510">
        <v>78.2</v>
      </c>
      <c r="I510">
        <v>83.1</v>
      </c>
      <c r="J510">
        <v>0</v>
      </c>
      <c r="K510">
        <v>81</v>
      </c>
      <c r="L510">
        <v>17.600000000000001</v>
      </c>
      <c r="M510">
        <v>0.3</v>
      </c>
      <c r="N510">
        <v>62</v>
      </c>
      <c r="O510">
        <v>55</v>
      </c>
      <c r="P510">
        <v>10.7</v>
      </c>
      <c r="Q510">
        <v>12.2</v>
      </c>
      <c r="R510">
        <v>9</v>
      </c>
      <c r="S510">
        <v>11.9</v>
      </c>
      <c r="T510">
        <v>97</v>
      </c>
      <c r="U510">
        <v>6371</v>
      </c>
      <c r="V510">
        <v>1400000</v>
      </c>
      <c r="W510">
        <v>23</v>
      </c>
      <c r="X510">
        <v>82.5</v>
      </c>
      <c r="Y510">
        <v>82.8</v>
      </c>
      <c r="Z510">
        <v>86</v>
      </c>
      <c r="AA510">
        <v>23</v>
      </c>
      <c r="AB510">
        <v>49.3</v>
      </c>
      <c r="AC510">
        <v>74</v>
      </c>
      <c r="AD510">
        <v>100</v>
      </c>
      <c r="AE510">
        <v>100</v>
      </c>
      <c r="AF510" t="s">
        <v>47</v>
      </c>
    </row>
    <row r="511" spans="1:32">
      <c r="A511" t="s">
        <v>1732</v>
      </c>
      <c r="B511">
        <v>3.2</v>
      </c>
      <c r="C511">
        <v>4</v>
      </c>
      <c r="D511">
        <v>4</v>
      </c>
      <c r="E511">
        <v>10</v>
      </c>
      <c r="F511">
        <v>11</v>
      </c>
      <c r="G511">
        <v>9.1</v>
      </c>
      <c r="H511">
        <v>71.099999999999994</v>
      </c>
      <c r="I511">
        <v>61.7</v>
      </c>
      <c r="J511">
        <v>1</v>
      </c>
      <c r="K511">
        <v>50</v>
      </c>
      <c r="L511">
        <v>37.4</v>
      </c>
      <c r="M511">
        <v>6.3</v>
      </c>
      <c r="N511">
        <v>86</v>
      </c>
      <c r="O511">
        <v>47</v>
      </c>
      <c r="P511">
        <v>15.9</v>
      </c>
      <c r="Q511">
        <v>8.5</v>
      </c>
      <c r="R511">
        <v>3.5</v>
      </c>
      <c r="S511">
        <v>12</v>
      </c>
      <c r="T511">
        <v>77</v>
      </c>
      <c r="U511">
        <v>6477</v>
      </c>
      <c r="V511">
        <v>2738000</v>
      </c>
      <c r="W511">
        <v>62</v>
      </c>
      <c r="X511">
        <v>54.9</v>
      </c>
      <c r="Y511">
        <v>72.599999999999994</v>
      </c>
      <c r="Z511">
        <v>71.8</v>
      </c>
      <c r="AA511">
        <v>62</v>
      </c>
      <c r="AB511">
        <v>48.3</v>
      </c>
      <c r="AC511">
        <v>62.7</v>
      </c>
      <c r="AD511">
        <v>100</v>
      </c>
      <c r="AE511">
        <v>100</v>
      </c>
      <c r="AF511" t="s">
        <v>47</v>
      </c>
    </row>
    <row r="512" spans="1:32">
      <c r="A512" t="s">
        <v>1735</v>
      </c>
      <c r="B512">
        <v>2.7</v>
      </c>
      <c r="C512">
        <v>5</v>
      </c>
      <c r="D512">
        <v>2</v>
      </c>
      <c r="E512">
        <v>9.6</v>
      </c>
      <c r="F512">
        <v>8.3000000000000007</v>
      </c>
      <c r="G512">
        <v>5.8</v>
      </c>
      <c r="H512">
        <v>61.8</v>
      </c>
      <c r="I512">
        <v>69.599999999999994</v>
      </c>
      <c r="J512">
        <v>0</v>
      </c>
      <c r="K512">
        <v>50</v>
      </c>
      <c r="L512">
        <v>31.3</v>
      </c>
      <c r="M512">
        <v>6.1</v>
      </c>
      <c r="N512">
        <v>82</v>
      </c>
      <c r="O512">
        <v>72</v>
      </c>
      <c r="P512">
        <v>20.3</v>
      </c>
      <c r="Q512">
        <v>12.7</v>
      </c>
      <c r="R512">
        <v>6.5</v>
      </c>
      <c r="S512">
        <v>17.100000000000001</v>
      </c>
      <c r="T512">
        <v>84</v>
      </c>
      <c r="U512">
        <v>5494</v>
      </c>
      <c r="V512">
        <v>573000</v>
      </c>
      <c r="W512">
        <v>53</v>
      </c>
      <c r="X512">
        <v>55.3</v>
      </c>
      <c r="Y512">
        <v>70.900000000000006</v>
      </c>
      <c r="Z512">
        <v>74.400000000000006</v>
      </c>
      <c r="AA512">
        <v>53</v>
      </c>
      <c r="AB512">
        <v>57.8</v>
      </c>
      <c r="AC512">
        <v>63.1</v>
      </c>
      <c r="AD512">
        <v>100</v>
      </c>
      <c r="AE512">
        <v>100</v>
      </c>
      <c r="AF512" t="s">
        <v>47</v>
      </c>
    </row>
    <row r="513" spans="1:32">
      <c r="A513" t="s">
        <v>1737</v>
      </c>
      <c r="B513">
        <v>3.8</v>
      </c>
      <c r="C513">
        <v>11</v>
      </c>
      <c r="D513">
        <v>5</v>
      </c>
      <c r="E513">
        <v>15.3</v>
      </c>
      <c r="G513">
        <v>6.7</v>
      </c>
      <c r="H513">
        <v>48.6</v>
      </c>
      <c r="I513">
        <v>61.3</v>
      </c>
      <c r="J513">
        <v>0</v>
      </c>
      <c r="K513">
        <v>61</v>
      </c>
      <c r="L513">
        <v>36.799999999999997</v>
      </c>
      <c r="M513">
        <v>6.1</v>
      </c>
      <c r="N513">
        <v>91</v>
      </c>
      <c r="O513">
        <v>77</v>
      </c>
      <c r="P513">
        <v>24.5</v>
      </c>
      <c r="Q513">
        <v>5.2</v>
      </c>
      <c r="R513">
        <v>9.5</v>
      </c>
      <c r="S513">
        <v>18.899999999999999</v>
      </c>
      <c r="T513">
        <v>90</v>
      </c>
      <c r="U513">
        <v>4326</v>
      </c>
      <c r="V513">
        <v>1052000</v>
      </c>
      <c r="W513">
        <v>43</v>
      </c>
      <c r="X513">
        <v>60.8</v>
      </c>
      <c r="Y513">
        <v>68</v>
      </c>
      <c r="Z513">
        <v>64.8</v>
      </c>
      <c r="AA513">
        <v>43</v>
      </c>
      <c r="AB513">
        <v>69.099999999999994</v>
      </c>
      <c r="AC513">
        <v>62.5</v>
      </c>
      <c r="AD513">
        <v>100</v>
      </c>
      <c r="AE513">
        <v>95.2</v>
      </c>
      <c r="AF513" t="s">
        <v>47</v>
      </c>
    </row>
    <row r="514" spans="1:32">
      <c r="A514" t="s">
        <v>1739</v>
      </c>
      <c r="B514">
        <v>3.5</v>
      </c>
      <c r="C514">
        <v>12</v>
      </c>
      <c r="D514">
        <v>5</v>
      </c>
      <c r="E514">
        <v>12.4</v>
      </c>
      <c r="F514">
        <v>7.9</v>
      </c>
      <c r="G514">
        <v>7</v>
      </c>
      <c r="H514">
        <v>59.9</v>
      </c>
      <c r="I514">
        <v>57.8</v>
      </c>
      <c r="J514">
        <v>0</v>
      </c>
      <c r="K514">
        <v>54</v>
      </c>
      <c r="L514">
        <v>33.299999999999997</v>
      </c>
      <c r="M514">
        <v>5.4</v>
      </c>
      <c r="N514">
        <v>93</v>
      </c>
      <c r="O514">
        <v>87</v>
      </c>
      <c r="P514">
        <v>16.7</v>
      </c>
      <c r="Q514">
        <v>8.6999999999999993</v>
      </c>
      <c r="R514">
        <v>7.8</v>
      </c>
      <c r="S514">
        <v>15</v>
      </c>
      <c r="T514">
        <v>77</v>
      </c>
      <c r="U514">
        <v>2247</v>
      </c>
      <c r="V514">
        <v>1812000</v>
      </c>
      <c r="W514">
        <v>31</v>
      </c>
      <c r="X514">
        <v>56.7</v>
      </c>
      <c r="Y514">
        <v>69.7</v>
      </c>
      <c r="Z514">
        <v>76.8</v>
      </c>
      <c r="AA514">
        <v>31</v>
      </c>
      <c r="AB514">
        <v>89.2</v>
      </c>
      <c r="AC514">
        <v>64.599999999999994</v>
      </c>
      <c r="AD514">
        <v>100</v>
      </c>
      <c r="AE514">
        <v>100</v>
      </c>
      <c r="AF514" t="s">
        <v>47</v>
      </c>
    </row>
    <row r="515" spans="1:32">
      <c r="A515" t="s">
        <v>1742</v>
      </c>
      <c r="B515">
        <v>1.9</v>
      </c>
      <c r="C515">
        <v>7</v>
      </c>
      <c r="D515">
        <v>3</v>
      </c>
      <c r="E515">
        <v>9.1</v>
      </c>
      <c r="F515">
        <v>8.8000000000000007</v>
      </c>
      <c r="H515">
        <v>71.400000000000006</v>
      </c>
      <c r="I515">
        <v>35.6</v>
      </c>
      <c r="J515">
        <v>0</v>
      </c>
      <c r="K515">
        <v>36</v>
      </c>
      <c r="L515">
        <v>35.6</v>
      </c>
      <c r="M515">
        <v>9.1999999999999993</v>
      </c>
      <c r="N515">
        <v>98</v>
      </c>
      <c r="O515">
        <v>80</v>
      </c>
      <c r="P515">
        <v>30.7</v>
      </c>
      <c r="T515">
        <v>75</v>
      </c>
      <c r="U515">
        <v>2511</v>
      </c>
      <c r="V515">
        <v>1985000</v>
      </c>
      <c r="W515">
        <v>48</v>
      </c>
      <c r="X515">
        <v>50.4</v>
      </c>
      <c r="Y515">
        <v>42.6</v>
      </c>
      <c r="Z515">
        <v>75.7</v>
      </c>
      <c r="AA515">
        <v>48</v>
      </c>
      <c r="AB515">
        <v>86.7</v>
      </c>
      <c r="AC515">
        <v>56.9</v>
      </c>
      <c r="AD515">
        <v>100</v>
      </c>
      <c r="AE515">
        <v>81</v>
      </c>
      <c r="AF515" t="s">
        <v>1971</v>
      </c>
    </row>
    <row r="516" spans="1:32">
      <c r="A516" t="s">
        <v>1745</v>
      </c>
      <c r="B516">
        <v>0.5</v>
      </c>
      <c r="C516">
        <v>3</v>
      </c>
      <c r="D516">
        <v>2</v>
      </c>
      <c r="F516">
        <v>12.4</v>
      </c>
      <c r="G516">
        <v>3.9</v>
      </c>
      <c r="H516">
        <v>43</v>
      </c>
      <c r="I516">
        <v>32.1</v>
      </c>
      <c r="J516">
        <v>0</v>
      </c>
      <c r="K516">
        <v>24</v>
      </c>
      <c r="L516">
        <v>28.5</v>
      </c>
      <c r="M516">
        <v>9.6</v>
      </c>
      <c r="O516">
        <v>103</v>
      </c>
      <c r="P516">
        <v>21.9</v>
      </c>
      <c r="Q516">
        <v>16.600000000000001</v>
      </c>
      <c r="R516">
        <v>13.3</v>
      </c>
      <c r="S516">
        <v>26.2</v>
      </c>
      <c r="T516">
        <v>66</v>
      </c>
      <c r="U516">
        <v>2705</v>
      </c>
      <c r="V516">
        <v>2178000</v>
      </c>
      <c r="W516">
        <v>44</v>
      </c>
      <c r="X516">
        <v>65.3</v>
      </c>
      <c r="Y516">
        <v>50.1</v>
      </c>
      <c r="Z516">
        <v>58.2</v>
      </c>
      <c r="AA516">
        <v>44</v>
      </c>
      <c r="AB516">
        <v>84.8</v>
      </c>
      <c r="AC516">
        <v>59.9</v>
      </c>
      <c r="AD516">
        <v>100</v>
      </c>
      <c r="AE516">
        <v>90.5</v>
      </c>
      <c r="AF516" t="s">
        <v>47</v>
      </c>
    </row>
    <row r="517" spans="1:32">
      <c r="A517" t="s">
        <v>1747</v>
      </c>
      <c r="B517">
        <v>3.6</v>
      </c>
      <c r="C517">
        <v>12</v>
      </c>
      <c r="D517">
        <v>3</v>
      </c>
      <c r="E517">
        <v>13.9</v>
      </c>
      <c r="F517">
        <v>11</v>
      </c>
      <c r="G517">
        <v>5.8</v>
      </c>
      <c r="H517">
        <v>59.4</v>
      </c>
      <c r="I517">
        <v>61.9</v>
      </c>
      <c r="J517">
        <v>0</v>
      </c>
      <c r="K517">
        <v>52</v>
      </c>
      <c r="L517">
        <v>30.8</v>
      </c>
      <c r="M517">
        <v>5.7</v>
      </c>
      <c r="N517">
        <v>103</v>
      </c>
      <c r="O517">
        <v>83</v>
      </c>
      <c r="P517">
        <v>18.5</v>
      </c>
      <c r="Q517">
        <v>12.7</v>
      </c>
      <c r="R517">
        <v>4.3</v>
      </c>
      <c r="S517">
        <v>15.3</v>
      </c>
      <c r="T517">
        <v>90</v>
      </c>
      <c r="U517">
        <v>2001</v>
      </c>
      <c r="V517">
        <v>1607000</v>
      </c>
      <c r="W517">
        <v>47</v>
      </c>
      <c r="X517">
        <v>59.3</v>
      </c>
      <c r="Y517">
        <v>70.2</v>
      </c>
      <c r="Z517">
        <v>69.400000000000006</v>
      </c>
      <c r="AA517">
        <v>47</v>
      </c>
      <c r="AB517">
        <v>91.6</v>
      </c>
      <c r="AC517">
        <v>66.099999999999994</v>
      </c>
      <c r="AD517">
        <v>100</v>
      </c>
      <c r="AE517">
        <v>100</v>
      </c>
      <c r="AF517" t="s">
        <v>47</v>
      </c>
    </row>
    <row r="518" spans="1:32">
      <c r="A518" t="s">
        <v>1749</v>
      </c>
      <c r="B518">
        <v>0.7</v>
      </c>
      <c r="C518">
        <v>3</v>
      </c>
      <c r="D518">
        <v>1</v>
      </c>
      <c r="E518">
        <v>7</v>
      </c>
      <c r="F518">
        <v>6.2</v>
      </c>
      <c r="G518">
        <v>4</v>
      </c>
      <c r="H518">
        <v>44.3</v>
      </c>
      <c r="J518">
        <v>0</v>
      </c>
      <c r="K518">
        <v>30</v>
      </c>
      <c r="L518">
        <v>29</v>
      </c>
      <c r="N518">
        <v>111</v>
      </c>
      <c r="O518">
        <v>92</v>
      </c>
      <c r="Q518">
        <v>13.7</v>
      </c>
      <c r="R518">
        <v>7.8</v>
      </c>
      <c r="S518">
        <v>28.2</v>
      </c>
      <c r="U518">
        <v>1783</v>
      </c>
      <c r="V518">
        <v>957000</v>
      </c>
      <c r="W518">
        <v>40</v>
      </c>
      <c r="X518">
        <v>47.5</v>
      </c>
      <c r="Y518">
        <v>73.099999999999994</v>
      </c>
      <c r="Z518">
        <v>71.099999999999994</v>
      </c>
      <c r="AA518">
        <v>40</v>
      </c>
      <c r="AB518">
        <v>93.7</v>
      </c>
      <c r="AC518">
        <v>62.5</v>
      </c>
      <c r="AD518">
        <v>100</v>
      </c>
      <c r="AE518">
        <v>81</v>
      </c>
      <c r="AF518" t="s">
        <v>1971</v>
      </c>
    </row>
    <row r="519" spans="1:32">
      <c r="A519" t="s">
        <v>1751</v>
      </c>
      <c r="B519">
        <v>4.4000000000000004</v>
      </c>
      <c r="C519">
        <v>12</v>
      </c>
      <c r="D519">
        <v>5</v>
      </c>
      <c r="E519">
        <v>12.5</v>
      </c>
      <c r="F519">
        <v>17.2</v>
      </c>
      <c r="G519">
        <v>4.5</v>
      </c>
      <c r="H519">
        <v>63</v>
      </c>
      <c r="I519">
        <v>61.8</v>
      </c>
      <c r="J519">
        <v>0</v>
      </c>
      <c r="K519">
        <v>46</v>
      </c>
      <c r="L519">
        <v>30.3</v>
      </c>
      <c r="M519">
        <v>5.3</v>
      </c>
      <c r="N519">
        <v>102</v>
      </c>
      <c r="O519">
        <v>102</v>
      </c>
      <c r="P519">
        <v>23.7</v>
      </c>
      <c r="Q519">
        <v>14.6</v>
      </c>
      <c r="R519">
        <v>8.4</v>
      </c>
      <c r="S519">
        <v>20.100000000000001</v>
      </c>
      <c r="T519">
        <v>91</v>
      </c>
      <c r="U519">
        <v>2294</v>
      </c>
      <c r="V519">
        <v>1659000</v>
      </c>
      <c r="W519">
        <v>51</v>
      </c>
      <c r="X519">
        <v>56</v>
      </c>
      <c r="Y519">
        <v>66</v>
      </c>
      <c r="Z519">
        <v>51.5</v>
      </c>
      <c r="AA519">
        <v>51</v>
      </c>
      <c r="AB519">
        <v>88.8</v>
      </c>
      <c r="AC519">
        <v>60.4</v>
      </c>
      <c r="AD519">
        <v>100</v>
      </c>
      <c r="AE519">
        <v>100</v>
      </c>
      <c r="AF519" t="s">
        <v>47</v>
      </c>
    </row>
    <row r="520" spans="1:32">
      <c r="A520" t="s">
        <v>1753</v>
      </c>
      <c r="B520">
        <v>0.7</v>
      </c>
      <c r="C520">
        <v>3</v>
      </c>
      <c r="D520">
        <v>3</v>
      </c>
      <c r="E520">
        <v>8.9</v>
      </c>
      <c r="F520">
        <v>8</v>
      </c>
      <c r="G520">
        <v>3.5</v>
      </c>
      <c r="H520">
        <v>65.3</v>
      </c>
      <c r="I520">
        <v>38.1</v>
      </c>
      <c r="J520">
        <v>0</v>
      </c>
      <c r="K520">
        <v>38</v>
      </c>
      <c r="L520">
        <v>29.4</v>
      </c>
      <c r="M520">
        <v>11.4</v>
      </c>
      <c r="N520">
        <v>101</v>
      </c>
      <c r="O520">
        <v>115</v>
      </c>
      <c r="P520">
        <v>17.2</v>
      </c>
      <c r="Q520">
        <v>14.7</v>
      </c>
      <c r="R520">
        <v>16.100000000000001</v>
      </c>
      <c r="S520">
        <v>21.2</v>
      </c>
      <c r="T520">
        <v>71</v>
      </c>
      <c r="U520">
        <v>2159</v>
      </c>
      <c r="V520">
        <v>1994000</v>
      </c>
      <c r="W520">
        <v>60</v>
      </c>
      <c r="X520">
        <v>49.7</v>
      </c>
      <c r="Y520">
        <v>52.1</v>
      </c>
      <c r="Z520">
        <v>72.099999999999994</v>
      </c>
      <c r="AA520">
        <v>60</v>
      </c>
      <c r="AB520">
        <v>90.1</v>
      </c>
      <c r="AC520">
        <v>59.8</v>
      </c>
      <c r="AD520">
        <v>100</v>
      </c>
      <c r="AE520">
        <v>100</v>
      </c>
      <c r="AF520" t="s">
        <v>47</v>
      </c>
    </row>
    <row r="521" spans="1:32">
      <c r="A521" t="s">
        <v>1756</v>
      </c>
      <c r="B521">
        <v>3.7</v>
      </c>
      <c r="C521">
        <v>8</v>
      </c>
      <c r="D521">
        <v>3</v>
      </c>
      <c r="E521">
        <v>11.3</v>
      </c>
      <c r="F521">
        <v>14.8</v>
      </c>
      <c r="G521">
        <v>4.4000000000000004</v>
      </c>
      <c r="H521">
        <v>61.5</v>
      </c>
      <c r="I521">
        <v>63.6</v>
      </c>
      <c r="J521">
        <v>0</v>
      </c>
      <c r="K521">
        <v>46</v>
      </c>
      <c r="L521">
        <v>36.9</v>
      </c>
      <c r="M521">
        <v>6.8</v>
      </c>
      <c r="N521">
        <v>95</v>
      </c>
      <c r="O521">
        <v>74</v>
      </c>
      <c r="P521">
        <v>28.7</v>
      </c>
      <c r="Q521">
        <v>13.8</v>
      </c>
      <c r="R521">
        <v>8.5</v>
      </c>
      <c r="S521">
        <v>23</v>
      </c>
      <c r="T521">
        <v>76</v>
      </c>
      <c r="U521">
        <v>1902</v>
      </c>
      <c r="V521">
        <v>2148000</v>
      </c>
      <c r="W521">
        <v>47</v>
      </c>
      <c r="X521">
        <v>54.2</v>
      </c>
      <c r="Y521">
        <v>63.8</v>
      </c>
      <c r="Z521">
        <v>55</v>
      </c>
      <c r="AA521">
        <v>47</v>
      </c>
      <c r="AB521">
        <v>92.6</v>
      </c>
      <c r="AC521">
        <v>59.9</v>
      </c>
      <c r="AD521">
        <v>100</v>
      </c>
      <c r="AE521">
        <v>100</v>
      </c>
      <c r="AF521" t="s">
        <v>47</v>
      </c>
    </row>
    <row r="522" spans="1:32">
      <c r="A522" t="s">
        <v>1759</v>
      </c>
      <c r="B522">
        <v>2.9</v>
      </c>
      <c r="C522">
        <v>6</v>
      </c>
      <c r="D522">
        <v>5</v>
      </c>
      <c r="E522">
        <v>9.9</v>
      </c>
      <c r="G522">
        <v>6.4</v>
      </c>
      <c r="H522">
        <v>47.7</v>
      </c>
      <c r="I522">
        <v>55.5</v>
      </c>
      <c r="J522">
        <v>0</v>
      </c>
      <c r="K522">
        <v>54</v>
      </c>
      <c r="L522">
        <v>23.8</v>
      </c>
      <c r="M522">
        <v>9.1</v>
      </c>
      <c r="N522">
        <v>105</v>
      </c>
      <c r="O522">
        <v>116</v>
      </c>
      <c r="P522">
        <v>16.399999999999999</v>
      </c>
      <c r="Q522">
        <v>8.1</v>
      </c>
      <c r="R522">
        <v>7.7</v>
      </c>
      <c r="S522">
        <v>9.9</v>
      </c>
      <c r="T522">
        <v>84</v>
      </c>
      <c r="U522">
        <v>1676</v>
      </c>
      <c r="V522">
        <v>832000</v>
      </c>
      <c r="W522">
        <v>50</v>
      </c>
      <c r="X522">
        <v>53.1</v>
      </c>
      <c r="Y522">
        <v>66.400000000000006</v>
      </c>
      <c r="Z522">
        <v>83.5</v>
      </c>
      <c r="AA522">
        <v>50</v>
      </c>
      <c r="AB522">
        <v>94.8</v>
      </c>
      <c r="AC522">
        <v>66.400000000000006</v>
      </c>
      <c r="AD522">
        <v>100</v>
      </c>
      <c r="AE522">
        <v>95.2</v>
      </c>
      <c r="AF522" t="s">
        <v>47</v>
      </c>
    </row>
    <row r="523" spans="1:32">
      <c r="A523" t="s">
        <v>1761</v>
      </c>
      <c r="B523">
        <v>4.9000000000000004</v>
      </c>
      <c r="C523">
        <v>13</v>
      </c>
      <c r="D523">
        <v>8</v>
      </c>
      <c r="E523">
        <v>16.600000000000001</v>
      </c>
      <c r="F523">
        <v>7.1</v>
      </c>
      <c r="G523">
        <v>6.2</v>
      </c>
      <c r="H523">
        <v>57.9</v>
      </c>
      <c r="I523">
        <v>81.5</v>
      </c>
      <c r="J523">
        <v>0</v>
      </c>
      <c r="K523">
        <v>63</v>
      </c>
      <c r="L523">
        <v>24</v>
      </c>
      <c r="M523">
        <v>4.0999999999999996</v>
      </c>
      <c r="N523">
        <v>93</v>
      </c>
      <c r="O523">
        <v>104</v>
      </c>
      <c r="P523">
        <v>1.6</v>
      </c>
      <c r="Q523">
        <v>11.5</v>
      </c>
      <c r="R523">
        <v>6</v>
      </c>
      <c r="S523">
        <v>13.7</v>
      </c>
      <c r="T523">
        <v>93</v>
      </c>
      <c r="U523">
        <v>1754</v>
      </c>
      <c r="V523">
        <v>785000</v>
      </c>
      <c r="W523">
        <v>41</v>
      </c>
      <c r="X523">
        <v>66</v>
      </c>
      <c r="Y523">
        <v>84.2</v>
      </c>
      <c r="Z523">
        <v>79.599999999999994</v>
      </c>
      <c r="AA523">
        <v>41</v>
      </c>
      <c r="AB523">
        <v>94</v>
      </c>
      <c r="AC523">
        <v>73.599999999999994</v>
      </c>
      <c r="AD523">
        <v>100</v>
      </c>
      <c r="AE523">
        <v>100</v>
      </c>
      <c r="AF523" t="s">
        <v>47</v>
      </c>
    </row>
    <row r="524" spans="1:32">
      <c r="A524" t="s">
        <v>1763</v>
      </c>
      <c r="B524">
        <v>2.9</v>
      </c>
      <c r="C524">
        <v>9</v>
      </c>
      <c r="D524">
        <v>2</v>
      </c>
      <c r="E524">
        <v>10.9</v>
      </c>
      <c r="F524">
        <v>7.7</v>
      </c>
      <c r="G524">
        <v>5.7</v>
      </c>
      <c r="I524">
        <v>51.9</v>
      </c>
      <c r="J524">
        <v>1</v>
      </c>
      <c r="K524">
        <v>35</v>
      </c>
      <c r="L524">
        <v>22.6</v>
      </c>
      <c r="M524">
        <v>11.5</v>
      </c>
      <c r="N524">
        <v>97</v>
      </c>
      <c r="P524">
        <v>14.1</v>
      </c>
      <c r="Q524">
        <v>12.2</v>
      </c>
      <c r="R524">
        <v>15.8</v>
      </c>
      <c r="S524">
        <v>15.3</v>
      </c>
      <c r="T524">
        <v>78</v>
      </c>
      <c r="U524">
        <v>1906</v>
      </c>
      <c r="V524">
        <v>1823000</v>
      </c>
      <c r="W524">
        <v>46</v>
      </c>
      <c r="X524">
        <v>56.8</v>
      </c>
      <c r="Y524">
        <v>59.1</v>
      </c>
      <c r="Z524">
        <v>77.099999999999994</v>
      </c>
      <c r="AA524">
        <v>46</v>
      </c>
      <c r="AB524">
        <v>92.5</v>
      </c>
      <c r="AC524">
        <v>63.9</v>
      </c>
      <c r="AD524">
        <v>100</v>
      </c>
      <c r="AE524">
        <v>90.5</v>
      </c>
      <c r="AF524" t="s">
        <v>47</v>
      </c>
    </row>
    <row r="525" spans="1:32">
      <c r="A525" t="s">
        <v>1766</v>
      </c>
      <c r="B525">
        <v>0.9</v>
      </c>
      <c r="C525">
        <v>5</v>
      </c>
      <c r="D525">
        <v>2</v>
      </c>
      <c r="E525">
        <v>7.8</v>
      </c>
      <c r="F525">
        <v>12</v>
      </c>
      <c r="G525">
        <v>5.6</v>
      </c>
      <c r="H525">
        <v>54.5</v>
      </c>
      <c r="I525">
        <v>54.7</v>
      </c>
      <c r="J525">
        <v>0</v>
      </c>
      <c r="K525">
        <v>39</v>
      </c>
      <c r="L525">
        <v>21.2</v>
      </c>
      <c r="M525">
        <v>6.2</v>
      </c>
      <c r="N525">
        <v>107</v>
      </c>
      <c r="O525">
        <v>108</v>
      </c>
      <c r="P525">
        <v>17.7</v>
      </c>
      <c r="Q525">
        <v>8</v>
      </c>
      <c r="R525">
        <v>9.6</v>
      </c>
      <c r="S525">
        <v>14.7</v>
      </c>
      <c r="T525">
        <v>86</v>
      </c>
      <c r="U525">
        <v>2248</v>
      </c>
      <c r="V525">
        <v>1727000</v>
      </c>
      <c r="W525">
        <v>36</v>
      </c>
      <c r="X525">
        <v>51.3</v>
      </c>
      <c r="Y525">
        <v>67.099999999999994</v>
      </c>
      <c r="Z525">
        <v>67.5</v>
      </c>
      <c r="AA525">
        <v>36</v>
      </c>
      <c r="AB525">
        <v>89.2</v>
      </c>
      <c r="AC525">
        <v>60.7</v>
      </c>
      <c r="AD525">
        <v>100</v>
      </c>
      <c r="AE525">
        <v>100</v>
      </c>
      <c r="AF525" t="s">
        <v>47</v>
      </c>
    </row>
    <row r="526" spans="1:32">
      <c r="A526" t="s">
        <v>1768</v>
      </c>
      <c r="B526">
        <v>5.2</v>
      </c>
      <c r="C526">
        <v>14</v>
      </c>
      <c r="D526">
        <v>11</v>
      </c>
      <c r="E526">
        <v>16.399999999999999</v>
      </c>
      <c r="G526">
        <v>8.5</v>
      </c>
      <c r="H526">
        <v>68.599999999999994</v>
      </c>
      <c r="I526">
        <v>52.7</v>
      </c>
      <c r="J526">
        <v>1</v>
      </c>
      <c r="K526">
        <v>64</v>
      </c>
      <c r="L526">
        <v>26.4</v>
      </c>
      <c r="M526">
        <v>5.9</v>
      </c>
      <c r="N526">
        <v>96</v>
      </c>
      <c r="O526">
        <v>81</v>
      </c>
      <c r="P526">
        <v>19.100000000000001</v>
      </c>
      <c r="Q526">
        <v>10.7</v>
      </c>
      <c r="R526">
        <v>5.8</v>
      </c>
      <c r="S526">
        <v>6.7</v>
      </c>
      <c r="T526">
        <v>78</v>
      </c>
      <c r="U526">
        <v>2155</v>
      </c>
      <c r="V526">
        <v>1043000</v>
      </c>
      <c r="W526">
        <v>64</v>
      </c>
      <c r="X526">
        <v>66.099999999999994</v>
      </c>
      <c r="Y526">
        <v>66.7</v>
      </c>
      <c r="Z526">
        <v>90.2</v>
      </c>
      <c r="AA526">
        <v>64</v>
      </c>
      <c r="AB526">
        <v>90.1</v>
      </c>
      <c r="AC526">
        <v>73.3</v>
      </c>
      <c r="AD526">
        <v>100</v>
      </c>
      <c r="AE526">
        <v>95.2</v>
      </c>
      <c r="AF526" t="s">
        <v>47</v>
      </c>
    </row>
    <row r="527" spans="1:32">
      <c r="A527" t="s">
        <v>1770</v>
      </c>
      <c r="B527">
        <v>1.6</v>
      </c>
      <c r="C527">
        <v>5</v>
      </c>
      <c r="D527">
        <v>2</v>
      </c>
      <c r="F527">
        <v>8.1</v>
      </c>
      <c r="G527">
        <v>5.8</v>
      </c>
      <c r="H527">
        <v>48.3</v>
      </c>
      <c r="I527">
        <v>49</v>
      </c>
      <c r="J527">
        <v>0</v>
      </c>
      <c r="K527">
        <v>35</v>
      </c>
      <c r="L527">
        <v>30.3</v>
      </c>
      <c r="M527">
        <v>8.1</v>
      </c>
      <c r="O527">
        <v>94</v>
      </c>
      <c r="P527">
        <v>12.2</v>
      </c>
      <c r="Q527">
        <v>13.4</v>
      </c>
      <c r="R527">
        <v>10.4</v>
      </c>
      <c r="S527">
        <v>16.100000000000001</v>
      </c>
      <c r="T527">
        <v>77</v>
      </c>
      <c r="U527">
        <v>1878</v>
      </c>
      <c r="V527">
        <v>2139000</v>
      </c>
      <c r="W527">
        <v>50</v>
      </c>
      <c r="X527">
        <v>65.099999999999994</v>
      </c>
      <c r="Y527">
        <v>63.3</v>
      </c>
      <c r="Z527">
        <v>75.599999999999994</v>
      </c>
      <c r="AA527">
        <v>50</v>
      </c>
      <c r="AB527">
        <v>92.8</v>
      </c>
      <c r="AC527">
        <v>68</v>
      </c>
      <c r="AD527">
        <v>100</v>
      </c>
      <c r="AE527">
        <v>90.5</v>
      </c>
      <c r="AF527" t="s">
        <v>47</v>
      </c>
    </row>
    <row r="528" spans="1:32">
      <c r="A528" t="s">
        <v>1772</v>
      </c>
      <c r="B528">
        <v>3.4</v>
      </c>
      <c r="C528">
        <v>9</v>
      </c>
      <c r="D528">
        <v>4</v>
      </c>
      <c r="E528">
        <v>8.6</v>
      </c>
      <c r="F528">
        <v>14.6</v>
      </c>
      <c r="G528">
        <v>6.2</v>
      </c>
      <c r="H528">
        <v>65.599999999999994</v>
      </c>
      <c r="I528">
        <v>63.3</v>
      </c>
      <c r="J528">
        <v>0</v>
      </c>
      <c r="K528">
        <v>46</v>
      </c>
      <c r="L528">
        <v>34.4</v>
      </c>
      <c r="M528">
        <v>6.1</v>
      </c>
      <c r="N528">
        <v>108</v>
      </c>
      <c r="O528">
        <v>77</v>
      </c>
      <c r="P528">
        <v>19</v>
      </c>
      <c r="Q528">
        <v>7.9</v>
      </c>
      <c r="R528">
        <v>5.6</v>
      </c>
      <c r="S528">
        <v>16.2</v>
      </c>
      <c r="T528">
        <v>93</v>
      </c>
      <c r="U528">
        <v>2573</v>
      </c>
      <c r="V528">
        <v>4795000</v>
      </c>
      <c r="W528">
        <v>70</v>
      </c>
      <c r="X528">
        <v>49.3</v>
      </c>
      <c r="Y528">
        <v>71.5</v>
      </c>
      <c r="Z528">
        <v>60.4</v>
      </c>
      <c r="AA528">
        <v>70</v>
      </c>
      <c r="AB528">
        <v>86.1</v>
      </c>
      <c r="AC528">
        <v>62.8</v>
      </c>
      <c r="AD528">
        <v>100</v>
      </c>
      <c r="AE528">
        <v>100</v>
      </c>
      <c r="AF528" t="s">
        <v>47</v>
      </c>
    </row>
    <row r="529" spans="1:32">
      <c r="A529" t="s">
        <v>1775</v>
      </c>
      <c r="B529">
        <v>8.1999999999999993</v>
      </c>
      <c r="C529">
        <v>22</v>
      </c>
      <c r="D529">
        <v>9</v>
      </c>
      <c r="F529">
        <v>14.3</v>
      </c>
      <c r="G529">
        <v>5.3</v>
      </c>
      <c r="H529">
        <v>73</v>
      </c>
      <c r="I529">
        <v>68.7</v>
      </c>
      <c r="J529">
        <v>0</v>
      </c>
      <c r="K529">
        <v>50</v>
      </c>
      <c r="L529">
        <v>13.7</v>
      </c>
      <c r="M529">
        <v>4.8</v>
      </c>
      <c r="O529">
        <v>70</v>
      </c>
      <c r="P529">
        <v>13.1</v>
      </c>
      <c r="Q529">
        <v>5.0999999999999996</v>
      </c>
      <c r="R529">
        <v>7.6</v>
      </c>
      <c r="S529">
        <v>22.8</v>
      </c>
      <c r="T529">
        <v>85</v>
      </c>
      <c r="U529">
        <v>2243</v>
      </c>
      <c r="V529">
        <v>2330000</v>
      </c>
      <c r="W529">
        <v>68</v>
      </c>
      <c r="X529">
        <v>86.9</v>
      </c>
      <c r="Y529">
        <v>76.8</v>
      </c>
      <c r="Z529">
        <v>56.3</v>
      </c>
      <c r="AA529">
        <v>68</v>
      </c>
      <c r="AB529">
        <v>89.3</v>
      </c>
      <c r="AC529">
        <v>76.599999999999994</v>
      </c>
      <c r="AD529">
        <v>100</v>
      </c>
      <c r="AE529">
        <v>90.5</v>
      </c>
      <c r="AF529" t="s">
        <v>47</v>
      </c>
    </row>
    <row r="530" spans="1:32">
      <c r="A530" t="s">
        <v>1778</v>
      </c>
      <c r="B530">
        <v>2.2000000000000002</v>
      </c>
      <c r="C530">
        <v>4</v>
      </c>
      <c r="D530">
        <v>4</v>
      </c>
      <c r="F530">
        <v>10.7</v>
      </c>
      <c r="G530">
        <v>5.3</v>
      </c>
      <c r="H530">
        <v>65.3</v>
      </c>
      <c r="I530">
        <v>67.2</v>
      </c>
      <c r="J530">
        <v>0</v>
      </c>
      <c r="K530">
        <v>39</v>
      </c>
      <c r="L530">
        <v>23.1</v>
      </c>
      <c r="M530">
        <v>6</v>
      </c>
      <c r="O530">
        <v>93</v>
      </c>
      <c r="P530">
        <v>11.7</v>
      </c>
      <c r="Q530">
        <v>13.5</v>
      </c>
      <c r="R530">
        <v>9.4</v>
      </c>
      <c r="S530">
        <v>21.6</v>
      </c>
      <c r="T530">
        <v>90</v>
      </c>
      <c r="U530">
        <v>1976</v>
      </c>
      <c r="V530">
        <v>967000</v>
      </c>
      <c r="W530">
        <v>47</v>
      </c>
      <c r="X530">
        <v>72.8</v>
      </c>
      <c r="Y530">
        <v>71.8</v>
      </c>
      <c r="Z530">
        <v>65.5</v>
      </c>
      <c r="AA530">
        <v>47</v>
      </c>
      <c r="AB530">
        <v>91.9</v>
      </c>
      <c r="AC530">
        <v>70.400000000000006</v>
      </c>
      <c r="AD530">
        <v>100</v>
      </c>
      <c r="AE530">
        <v>90.5</v>
      </c>
      <c r="AF530" t="s">
        <v>47</v>
      </c>
    </row>
    <row r="531" spans="1:32">
      <c r="A531" t="s">
        <v>1780</v>
      </c>
      <c r="B531">
        <v>1.5</v>
      </c>
      <c r="C531">
        <v>5</v>
      </c>
      <c r="D531">
        <v>0</v>
      </c>
      <c r="E531">
        <v>12.4</v>
      </c>
      <c r="F531">
        <v>4.3</v>
      </c>
      <c r="G531">
        <v>6.7</v>
      </c>
      <c r="H531">
        <v>59.5</v>
      </c>
      <c r="I531">
        <v>68.599999999999994</v>
      </c>
      <c r="J531">
        <v>0</v>
      </c>
      <c r="K531">
        <v>54</v>
      </c>
      <c r="L531">
        <v>29</v>
      </c>
      <c r="M531">
        <v>9</v>
      </c>
      <c r="N531">
        <v>96</v>
      </c>
      <c r="O531">
        <v>92</v>
      </c>
      <c r="P531">
        <v>13.6</v>
      </c>
      <c r="Q531">
        <v>9.6</v>
      </c>
      <c r="R531">
        <v>6.5</v>
      </c>
      <c r="S531">
        <v>17.2</v>
      </c>
      <c r="T531">
        <v>97</v>
      </c>
      <c r="U531">
        <v>2687</v>
      </c>
      <c r="V531">
        <v>778000</v>
      </c>
      <c r="W531">
        <v>43</v>
      </c>
      <c r="X531">
        <v>57.8</v>
      </c>
      <c r="Y531">
        <v>72.099999999999994</v>
      </c>
      <c r="Z531">
        <v>83.6</v>
      </c>
      <c r="AA531">
        <v>43</v>
      </c>
      <c r="AB531">
        <v>85</v>
      </c>
      <c r="AC531">
        <v>67.8</v>
      </c>
      <c r="AD531">
        <v>100</v>
      </c>
      <c r="AE531">
        <v>100</v>
      </c>
      <c r="AF531" t="s">
        <v>47</v>
      </c>
    </row>
    <row r="532" spans="1:32">
      <c r="A532" t="s">
        <v>1782</v>
      </c>
      <c r="B532">
        <v>1.6</v>
      </c>
      <c r="C532">
        <v>4</v>
      </c>
      <c r="D532">
        <v>2</v>
      </c>
      <c r="E532">
        <v>12.8</v>
      </c>
      <c r="F532">
        <v>16.100000000000001</v>
      </c>
      <c r="G532">
        <v>5.7</v>
      </c>
      <c r="H532">
        <v>59.8</v>
      </c>
      <c r="I532">
        <v>43.7</v>
      </c>
      <c r="J532">
        <v>0</v>
      </c>
      <c r="K532">
        <v>40</v>
      </c>
      <c r="L532">
        <v>38.6</v>
      </c>
      <c r="M532">
        <v>9</v>
      </c>
      <c r="N532">
        <v>104</v>
      </c>
      <c r="O532">
        <v>107</v>
      </c>
      <c r="P532">
        <v>26.1</v>
      </c>
      <c r="Q532">
        <v>12.9</v>
      </c>
      <c r="R532">
        <v>7.6</v>
      </c>
      <c r="S532">
        <v>16.600000000000001</v>
      </c>
      <c r="T532">
        <v>80</v>
      </c>
      <c r="U532">
        <v>2292</v>
      </c>
      <c r="V532">
        <v>1398000</v>
      </c>
      <c r="W532">
        <v>41</v>
      </c>
      <c r="X532">
        <v>52.4</v>
      </c>
      <c r="Y532">
        <v>56.9</v>
      </c>
      <c r="Z532">
        <v>56.6</v>
      </c>
      <c r="AA532">
        <v>41</v>
      </c>
      <c r="AB532">
        <v>88.8</v>
      </c>
      <c r="AC532">
        <v>56.9</v>
      </c>
      <c r="AD532">
        <v>100</v>
      </c>
      <c r="AE532">
        <v>100</v>
      </c>
      <c r="AF532" t="s">
        <v>47</v>
      </c>
    </row>
    <row r="533" spans="1:32">
      <c r="A533" t="s">
        <v>1784</v>
      </c>
      <c r="B533">
        <v>1.4</v>
      </c>
      <c r="C533">
        <v>5</v>
      </c>
      <c r="D533">
        <v>3</v>
      </c>
      <c r="E533">
        <v>13.9</v>
      </c>
      <c r="F533">
        <v>19.100000000000001</v>
      </c>
      <c r="G533">
        <v>4.2</v>
      </c>
      <c r="H533">
        <v>67.900000000000006</v>
      </c>
      <c r="I533">
        <v>51.9</v>
      </c>
      <c r="J533">
        <v>0</v>
      </c>
      <c r="K533">
        <v>39</v>
      </c>
      <c r="L533">
        <v>41.6</v>
      </c>
      <c r="M533">
        <v>8.1</v>
      </c>
      <c r="N533">
        <v>88</v>
      </c>
      <c r="O533">
        <v>101</v>
      </c>
      <c r="P533">
        <v>22</v>
      </c>
      <c r="Q533">
        <v>16.2</v>
      </c>
      <c r="R533">
        <v>10.9</v>
      </c>
      <c r="S533">
        <v>12.3</v>
      </c>
      <c r="T533">
        <v>78</v>
      </c>
      <c r="U533">
        <v>2657</v>
      </c>
      <c r="V533">
        <v>1248000</v>
      </c>
      <c r="W533">
        <v>46</v>
      </c>
      <c r="X533">
        <v>55.1</v>
      </c>
      <c r="Y533">
        <v>59.3</v>
      </c>
      <c r="Z533">
        <v>52.8</v>
      </c>
      <c r="AA533">
        <v>46</v>
      </c>
      <c r="AB533">
        <v>85.3</v>
      </c>
      <c r="AC533">
        <v>57.8</v>
      </c>
      <c r="AD533">
        <v>100</v>
      </c>
      <c r="AE533">
        <v>100</v>
      </c>
      <c r="AF533" t="s">
        <v>47</v>
      </c>
    </row>
    <row r="534" spans="1:32">
      <c r="A534" t="s">
        <v>1787</v>
      </c>
      <c r="B534">
        <v>0.8</v>
      </c>
      <c r="D534">
        <v>0</v>
      </c>
      <c r="E534">
        <v>8.1999999999999993</v>
      </c>
      <c r="F534">
        <v>9.3000000000000007</v>
      </c>
      <c r="H534">
        <v>57.6</v>
      </c>
      <c r="I534">
        <v>37</v>
      </c>
      <c r="J534">
        <v>0</v>
      </c>
      <c r="K534">
        <v>30</v>
      </c>
      <c r="L534">
        <v>25.6</v>
      </c>
      <c r="M534">
        <v>6.6</v>
      </c>
      <c r="N534">
        <v>115</v>
      </c>
      <c r="O534">
        <v>78</v>
      </c>
      <c r="P534">
        <v>16.3</v>
      </c>
      <c r="T534">
        <v>78</v>
      </c>
      <c r="U534">
        <v>1777</v>
      </c>
      <c r="V534">
        <v>1358000</v>
      </c>
      <c r="W534">
        <v>60</v>
      </c>
      <c r="X534">
        <v>51.5</v>
      </c>
      <c r="Y534">
        <v>53.9</v>
      </c>
      <c r="Z534">
        <v>73.900000000000006</v>
      </c>
      <c r="AA534">
        <v>60</v>
      </c>
      <c r="AB534">
        <v>93.8</v>
      </c>
      <c r="AC534">
        <v>61.7</v>
      </c>
      <c r="AD534">
        <v>100</v>
      </c>
      <c r="AE534">
        <v>76.2</v>
      </c>
      <c r="AF534" t="s">
        <v>1971</v>
      </c>
    </row>
    <row r="535" spans="1:32">
      <c r="A535" t="s">
        <v>1790</v>
      </c>
      <c r="B535">
        <v>1.9</v>
      </c>
      <c r="C535">
        <v>4</v>
      </c>
      <c r="D535">
        <v>2</v>
      </c>
      <c r="E535">
        <v>10.3</v>
      </c>
      <c r="F535">
        <v>10.1</v>
      </c>
      <c r="G535">
        <v>6.4</v>
      </c>
      <c r="H535">
        <v>49.4</v>
      </c>
      <c r="I535">
        <v>44.8</v>
      </c>
      <c r="J535">
        <v>0</v>
      </c>
      <c r="K535">
        <v>43</v>
      </c>
      <c r="L535">
        <v>22.1</v>
      </c>
      <c r="M535">
        <v>8.5</v>
      </c>
      <c r="N535">
        <v>100</v>
      </c>
      <c r="O535">
        <v>103</v>
      </c>
      <c r="P535">
        <v>24.7</v>
      </c>
      <c r="Q535">
        <v>9.9</v>
      </c>
      <c r="R535">
        <v>5.3</v>
      </c>
      <c r="S535">
        <v>15.1</v>
      </c>
      <c r="T535">
        <v>84</v>
      </c>
      <c r="U535">
        <v>2548</v>
      </c>
      <c r="V535">
        <v>978000</v>
      </c>
      <c r="W535">
        <v>43</v>
      </c>
      <c r="X535">
        <v>56</v>
      </c>
      <c r="Y535">
        <v>60.4</v>
      </c>
      <c r="Z535">
        <v>71.599999999999994</v>
      </c>
      <c r="AA535">
        <v>43</v>
      </c>
      <c r="AB535">
        <v>86.3</v>
      </c>
      <c r="AC535">
        <v>62</v>
      </c>
      <c r="AD535">
        <v>100</v>
      </c>
      <c r="AE535">
        <v>100</v>
      </c>
      <c r="AF535" t="s">
        <v>47</v>
      </c>
    </row>
    <row r="536" spans="1:32">
      <c r="A536" t="s">
        <v>1792</v>
      </c>
      <c r="B536">
        <v>5.3</v>
      </c>
      <c r="C536">
        <v>11</v>
      </c>
      <c r="D536">
        <v>8</v>
      </c>
      <c r="E536">
        <v>17.5</v>
      </c>
      <c r="F536">
        <v>14.4</v>
      </c>
      <c r="G536">
        <v>7.4</v>
      </c>
      <c r="H536">
        <v>56.3</v>
      </c>
      <c r="I536">
        <v>65.8</v>
      </c>
      <c r="J536">
        <v>1</v>
      </c>
      <c r="K536">
        <v>53</v>
      </c>
      <c r="L536">
        <v>27.8</v>
      </c>
      <c r="M536">
        <v>3</v>
      </c>
      <c r="N536">
        <v>98</v>
      </c>
      <c r="O536">
        <v>80</v>
      </c>
      <c r="P536">
        <v>18.399999999999999</v>
      </c>
      <c r="Q536">
        <v>8</v>
      </c>
      <c r="R536">
        <v>5.8</v>
      </c>
      <c r="S536">
        <v>10.8</v>
      </c>
      <c r="T536">
        <v>91</v>
      </c>
      <c r="U536">
        <v>2013</v>
      </c>
      <c r="V536">
        <v>1592000</v>
      </c>
      <c r="W536">
        <v>68</v>
      </c>
      <c r="X536">
        <v>67.099999999999994</v>
      </c>
      <c r="Y536">
        <v>74.8</v>
      </c>
      <c r="Z536">
        <v>64.8</v>
      </c>
      <c r="AA536">
        <v>68</v>
      </c>
      <c r="AB536">
        <v>91.5</v>
      </c>
      <c r="AC536">
        <v>71.099999999999994</v>
      </c>
      <c r="AD536">
        <v>100</v>
      </c>
      <c r="AE536">
        <v>100</v>
      </c>
      <c r="AF536" t="s">
        <v>47</v>
      </c>
    </row>
    <row r="537" spans="1:32">
      <c r="A537" t="s">
        <v>1794</v>
      </c>
      <c r="B537">
        <v>7.4</v>
      </c>
      <c r="C537">
        <v>19</v>
      </c>
      <c r="D537">
        <v>9</v>
      </c>
      <c r="E537">
        <v>15.7</v>
      </c>
      <c r="F537">
        <v>9.6999999999999993</v>
      </c>
      <c r="G537">
        <v>4.8</v>
      </c>
      <c r="I537">
        <v>91.4</v>
      </c>
      <c r="J537">
        <v>1</v>
      </c>
      <c r="K537">
        <v>51</v>
      </c>
      <c r="L537">
        <v>17.3</v>
      </c>
      <c r="M537">
        <v>0.4</v>
      </c>
      <c r="N537">
        <v>89</v>
      </c>
      <c r="P537">
        <v>9.6</v>
      </c>
      <c r="Q537">
        <v>11.5</v>
      </c>
      <c r="R537">
        <v>10.4</v>
      </c>
      <c r="S537">
        <v>18.3</v>
      </c>
      <c r="T537">
        <v>100</v>
      </c>
      <c r="U537">
        <v>2250</v>
      </c>
      <c r="V537">
        <v>1437000</v>
      </c>
      <c r="W537">
        <v>55</v>
      </c>
      <c r="X537">
        <v>69.400000000000006</v>
      </c>
      <c r="Y537">
        <v>85.7</v>
      </c>
      <c r="Z537">
        <v>70.2</v>
      </c>
      <c r="AA537">
        <v>55</v>
      </c>
      <c r="AB537">
        <v>89.2</v>
      </c>
      <c r="AC537">
        <v>74.2</v>
      </c>
      <c r="AD537">
        <v>100</v>
      </c>
      <c r="AE537">
        <v>90.5</v>
      </c>
      <c r="AF537" t="s">
        <v>47</v>
      </c>
    </row>
    <row r="538" spans="1:32">
      <c r="A538" t="s">
        <v>1797</v>
      </c>
      <c r="B538">
        <v>2.7</v>
      </c>
      <c r="C538">
        <v>9</v>
      </c>
      <c r="D538">
        <v>3</v>
      </c>
      <c r="E538">
        <v>12</v>
      </c>
      <c r="F538">
        <v>2.2999999999999998</v>
      </c>
      <c r="G538">
        <v>7.7</v>
      </c>
      <c r="H538">
        <v>63.1</v>
      </c>
      <c r="I538">
        <v>60.2</v>
      </c>
      <c r="J538">
        <v>2</v>
      </c>
      <c r="K538">
        <v>48</v>
      </c>
      <c r="L538">
        <v>26.1</v>
      </c>
      <c r="M538">
        <v>11</v>
      </c>
      <c r="N538">
        <v>102</v>
      </c>
      <c r="O538">
        <v>93</v>
      </c>
      <c r="P538">
        <v>14.3</v>
      </c>
      <c r="Q538">
        <v>10.7</v>
      </c>
      <c r="R538">
        <v>9.3000000000000007</v>
      </c>
      <c r="S538">
        <v>15.5</v>
      </c>
      <c r="T538">
        <v>85</v>
      </c>
      <c r="U538">
        <v>2356</v>
      </c>
      <c r="V538">
        <v>1136000</v>
      </c>
      <c r="W538">
        <v>53</v>
      </c>
      <c r="X538">
        <v>57.6</v>
      </c>
      <c r="Y538">
        <v>65.7</v>
      </c>
      <c r="Z538">
        <v>89.5</v>
      </c>
      <c r="AA538">
        <v>53</v>
      </c>
      <c r="AB538">
        <v>88.2</v>
      </c>
      <c r="AC538">
        <v>68.599999999999994</v>
      </c>
      <c r="AD538">
        <v>100</v>
      </c>
      <c r="AE538">
        <v>100</v>
      </c>
      <c r="AF538" t="s">
        <v>47</v>
      </c>
    </row>
    <row r="539" spans="1:32">
      <c r="A539" t="s">
        <v>1799</v>
      </c>
      <c r="B539">
        <v>2.5</v>
      </c>
      <c r="C539">
        <v>9</v>
      </c>
      <c r="D539">
        <v>4</v>
      </c>
      <c r="E539">
        <v>9.6999999999999993</v>
      </c>
      <c r="F539">
        <v>10.7</v>
      </c>
      <c r="H539">
        <v>66.3</v>
      </c>
      <c r="I539">
        <v>37.200000000000003</v>
      </c>
      <c r="J539">
        <v>0</v>
      </c>
      <c r="K539">
        <v>35</v>
      </c>
      <c r="L539">
        <v>26.5</v>
      </c>
      <c r="M539">
        <v>8.3000000000000007</v>
      </c>
      <c r="N539">
        <v>97</v>
      </c>
      <c r="O539">
        <v>84</v>
      </c>
      <c r="P539">
        <v>13.3</v>
      </c>
      <c r="T539">
        <v>75</v>
      </c>
      <c r="U539">
        <v>2006</v>
      </c>
      <c r="V539">
        <v>1505000</v>
      </c>
      <c r="W539">
        <v>36</v>
      </c>
      <c r="X539">
        <v>55</v>
      </c>
      <c r="Y539">
        <v>53.8</v>
      </c>
      <c r="Z539">
        <v>68.900000000000006</v>
      </c>
      <c r="AA539">
        <v>36</v>
      </c>
      <c r="AB539">
        <v>91.6</v>
      </c>
      <c r="AC539">
        <v>59.2</v>
      </c>
      <c r="AD539">
        <v>100</v>
      </c>
      <c r="AE539">
        <v>81</v>
      </c>
      <c r="AF539" t="s">
        <v>1971</v>
      </c>
    </row>
    <row r="540" spans="1:32">
      <c r="A540" t="s">
        <v>1801</v>
      </c>
      <c r="B540">
        <v>3.9</v>
      </c>
      <c r="C540">
        <v>12</v>
      </c>
      <c r="D540">
        <v>7</v>
      </c>
      <c r="F540">
        <v>10.6</v>
      </c>
      <c r="G540">
        <v>5.3</v>
      </c>
      <c r="H540">
        <v>52.1</v>
      </c>
      <c r="I540">
        <v>56.7</v>
      </c>
      <c r="J540">
        <v>0</v>
      </c>
      <c r="K540">
        <v>39</v>
      </c>
      <c r="L540">
        <v>37.799999999999997</v>
      </c>
      <c r="M540">
        <v>5.4</v>
      </c>
      <c r="O540">
        <v>92</v>
      </c>
      <c r="P540">
        <v>24.6</v>
      </c>
      <c r="Q540">
        <v>15.3</v>
      </c>
      <c r="R540">
        <v>10</v>
      </c>
      <c r="S540">
        <v>19</v>
      </c>
      <c r="T540">
        <v>84</v>
      </c>
      <c r="U540">
        <v>1954</v>
      </c>
      <c r="V540">
        <v>2091000</v>
      </c>
      <c r="W540">
        <v>58</v>
      </c>
      <c r="X540">
        <v>57.7</v>
      </c>
      <c r="Y540">
        <v>62.8</v>
      </c>
      <c r="Z540">
        <v>67.599999999999994</v>
      </c>
      <c r="AA540">
        <v>58</v>
      </c>
      <c r="AB540">
        <v>92.1</v>
      </c>
      <c r="AC540">
        <v>64.400000000000006</v>
      </c>
      <c r="AD540">
        <v>100</v>
      </c>
      <c r="AE540">
        <v>90.5</v>
      </c>
      <c r="AF540" t="s">
        <v>47</v>
      </c>
    </row>
    <row r="541" spans="1:32">
      <c r="A541" t="s">
        <v>1802</v>
      </c>
      <c r="B541">
        <v>0.5</v>
      </c>
      <c r="C541">
        <v>5</v>
      </c>
      <c r="D541">
        <v>1</v>
      </c>
      <c r="E541">
        <v>11.4</v>
      </c>
      <c r="F541">
        <v>14.1</v>
      </c>
      <c r="G541">
        <v>4.5999999999999996</v>
      </c>
      <c r="H541">
        <v>51.1</v>
      </c>
      <c r="I541">
        <v>28.2</v>
      </c>
      <c r="J541">
        <v>0</v>
      </c>
      <c r="K541">
        <v>33</v>
      </c>
      <c r="L541">
        <v>31.3</v>
      </c>
      <c r="M541">
        <v>8.8000000000000007</v>
      </c>
      <c r="N541">
        <v>93</v>
      </c>
      <c r="O541">
        <v>100</v>
      </c>
      <c r="P541">
        <v>24.5</v>
      </c>
      <c r="Q541">
        <v>13.3</v>
      </c>
      <c r="R541">
        <v>10.7</v>
      </c>
      <c r="S541">
        <v>24.2</v>
      </c>
      <c r="T541">
        <v>67</v>
      </c>
      <c r="U541">
        <v>1671</v>
      </c>
      <c r="V541">
        <v>745000</v>
      </c>
      <c r="W541">
        <v>37</v>
      </c>
      <c r="X541">
        <v>54.9</v>
      </c>
      <c r="Y541">
        <v>50.7</v>
      </c>
      <c r="Z541">
        <v>55.7</v>
      </c>
      <c r="AA541">
        <v>37</v>
      </c>
      <c r="AB541">
        <v>94.8</v>
      </c>
      <c r="AC541">
        <v>56.2</v>
      </c>
      <c r="AD541">
        <v>100</v>
      </c>
      <c r="AE541">
        <v>100</v>
      </c>
      <c r="AF541" t="s">
        <v>47</v>
      </c>
    </row>
    <row r="542" spans="1:32">
      <c r="A542" t="s">
        <v>1804</v>
      </c>
      <c r="B542">
        <v>8.5</v>
      </c>
      <c r="C542">
        <v>23</v>
      </c>
      <c r="D542">
        <v>10</v>
      </c>
      <c r="E542">
        <v>18.399999999999999</v>
      </c>
      <c r="F542">
        <v>8.4</v>
      </c>
      <c r="G542">
        <v>6.8</v>
      </c>
      <c r="H542">
        <v>80.099999999999994</v>
      </c>
      <c r="I542">
        <v>89.5</v>
      </c>
      <c r="J542">
        <v>0</v>
      </c>
      <c r="K542">
        <v>76</v>
      </c>
      <c r="L542">
        <v>12.6</v>
      </c>
      <c r="M542">
        <v>1.9</v>
      </c>
      <c r="N542">
        <v>89</v>
      </c>
      <c r="O542">
        <v>75</v>
      </c>
      <c r="P542">
        <v>9</v>
      </c>
      <c r="Q542">
        <v>7</v>
      </c>
      <c r="R542">
        <v>6</v>
      </c>
      <c r="S542">
        <v>11.6</v>
      </c>
      <c r="T542">
        <v>86</v>
      </c>
      <c r="U542">
        <v>2664</v>
      </c>
      <c r="V542">
        <v>2221000</v>
      </c>
      <c r="W542">
        <v>69</v>
      </c>
      <c r="X542">
        <v>76.2</v>
      </c>
      <c r="Y542">
        <v>87.8</v>
      </c>
      <c r="Z542">
        <v>78.099999999999994</v>
      </c>
      <c r="AA542">
        <v>69</v>
      </c>
      <c r="AB542">
        <v>85.2</v>
      </c>
      <c r="AC542">
        <v>79.7</v>
      </c>
      <c r="AD542">
        <v>100</v>
      </c>
      <c r="AE542">
        <v>100</v>
      </c>
      <c r="AF542" t="s">
        <v>47</v>
      </c>
    </row>
    <row r="543" spans="1:32">
      <c r="A543" t="s">
        <v>1806</v>
      </c>
      <c r="B543">
        <v>3.1</v>
      </c>
      <c r="C543">
        <v>8</v>
      </c>
      <c r="D543">
        <v>1</v>
      </c>
      <c r="E543">
        <v>6.6</v>
      </c>
      <c r="F543">
        <v>8.6</v>
      </c>
      <c r="G543">
        <v>8.1</v>
      </c>
      <c r="H543">
        <v>64.599999999999994</v>
      </c>
      <c r="I543">
        <v>62.4</v>
      </c>
      <c r="J543">
        <v>1</v>
      </c>
      <c r="K543">
        <v>46</v>
      </c>
      <c r="L543">
        <v>21.8</v>
      </c>
      <c r="M543">
        <v>8.1999999999999993</v>
      </c>
      <c r="N543">
        <v>116</v>
      </c>
      <c r="O543">
        <v>71</v>
      </c>
      <c r="P543">
        <v>20.2</v>
      </c>
      <c r="Q543">
        <v>8.1999999999999993</v>
      </c>
      <c r="R543">
        <v>8</v>
      </c>
      <c r="S543">
        <v>14.4</v>
      </c>
      <c r="T543">
        <v>83</v>
      </c>
      <c r="U543">
        <v>2764</v>
      </c>
      <c r="V543">
        <v>2286000</v>
      </c>
      <c r="W543">
        <v>73</v>
      </c>
      <c r="X543">
        <v>50.9</v>
      </c>
      <c r="Y543">
        <v>67.900000000000006</v>
      </c>
      <c r="Z543">
        <v>75.599999999999994</v>
      </c>
      <c r="AA543">
        <v>73</v>
      </c>
      <c r="AB543">
        <v>84.2</v>
      </c>
      <c r="AC543">
        <v>65.599999999999994</v>
      </c>
      <c r="AD543">
        <v>100</v>
      </c>
      <c r="AE543">
        <v>100</v>
      </c>
      <c r="AF543" t="s">
        <v>47</v>
      </c>
    </row>
    <row r="544" spans="1:32">
      <c r="A544" t="s">
        <v>1808</v>
      </c>
      <c r="B544">
        <v>4.2</v>
      </c>
      <c r="C544">
        <v>9</v>
      </c>
      <c r="D544">
        <v>6</v>
      </c>
      <c r="F544">
        <v>7.7</v>
      </c>
      <c r="G544">
        <v>6.1</v>
      </c>
      <c r="H544">
        <v>45.5</v>
      </c>
      <c r="I544">
        <v>65.400000000000006</v>
      </c>
      <c r="J544">
        <v>2</v>
      </c>
      <c r="K544">
        <v>33</v>
      </c>
      <c r="L544">
        <v>11.1</v>
      </c>
      <c r="M544">
        <v>5.8</v>
      </c>
      <c r="O544">
        <v>80</v>
      </c>
      <c r="P544">
        <v>14.5</v>
      </c>
      <c r="Q544">
        <v>11.2</v>
      </c>
      <c r="R544">
        <v>7.8</v>
      </c>
      <c r="S544">
        <v>16.899999999999999</v>
      </c>
      <c r="T544">
        <v>80</v>
      </c>
      <c r="U544">
        <v>2699</v>
      </c>
      <c r="V544">
        <v>1553000</v>
      </c>
      <c r="W544">
        <v>44</v>
      </c>
      <c r="X544">
        <v>87.7</v>
      </c>
      <c r="Y544">
        <v>71.900000000000006</v>
      </c>
      <c r="Z544">
        <v>75.900000000000006</v>
      </c>
      <c r="AA544">
        <v>44</v>
      </c>
      <c r="AB544">
        <v>84.9</v>
      </c>
      <c r="AC544">
        <v>76.7</v>
      </c>
      <c r="AD544">
        <v>100</v>
      </c>
      <c r="AE544">
        <v>90.5</v>
      </c>
      <c r="AF544" t="s">
        <v>47</v>
      </c>
    </row>
    <row r="545" spans="1:32">
      <c r="A545" t="s">
        <v>1810</v>
      </c>
      <c r="B545">
        <v>3.7</v>
      </c>
      <c r="C545">
        <v>8</v>
      </c>
      <c r="D545">
        <v>6</v>
      </c>
      <c r="E545">
        <v>12</v>
      </c>
      <c r="F545">
        <v>10.8</v>
      </c>
      <c r="G545">
        <v>7.6</v>
      </c>
      <c r="H545">
        <v>70.400000000000006</v>
      </c>
      <c r="I545">
        <v>46.9</v>
      </c>
      <c r="J545">
        <v>0</v>
      </c>
      <c r="K545">
        <v>53</v>
      </c>
      <c r="L545">
        <v>25.8</v>
      </c>
      <c r="M545">
        <v>10.4</v>
      </c>
      <c r="N545">
        <v>102</v>
      </c>
      <c r="O545">
        <v>90</v>
      </c>
      <c r="P545">
        <v>17.7</v>
      </c>
      <c r="Q545">
        <v>13.4</v>
      </c>
      <c r="R545">
        <v>8.3000000000000007</v>
      </c>
      <c r="S545">
        <v>13.4</v>
      </c>
      <c r="T545">
        <v>76</v>
      </c>
      <c r="U545">
        <v>2211</v>
      </c>
      <c r="V545">
        <v>2174000</v>
      </c>
      <c r="W545">
        <v>44</v>
      </c>
      <c r="X545">
        <v>58</v>
      </c>
      <c r="Y545">
        <v>59.6</v>
      </c>
      <c r="Z545">
        <v>71.3</v>
      </c>
      <c r="AA545">
        <v>44</v>
      </c>
      <c r="AB545">
        <v>89.6</v>
      </c>
      <c r="AC545">
        <v>62.8</v>
      </c>
      <c r="AD545">
        <v>100</v>
      </c>
      <c r="AE545">
        <v>100</v>
      </c>
      <c r="AF545" t="s">
        <v>47</v>
      </c>
    </row>
    <row r="546" spans="1:32">
      <c r="A546" t="s">
        <v>1812</v>
      </c>
      <c r="B546">
        <v>3.4</v>
      </c>
      <c r="C546">
        <v>10</v>
      </c>
      <c r="D546">
        <v>6</v>
      </c>
      <c r="E546">
        <v>10.8</v>
      </c>
      <c r="F546">
        <v>10</v>
      </c>
      <c r="G546">
        <v>4</v>
      </c>
      <c r="H546">
        <v>53.3</v>
      </c>
      <c r="I546">
        <v>73.7</v>
      </c>
      <c r="J546">
        <v>0</v>
      </c>
      <c r="K546">
        <v>48</v>
      </c>
      <c r="L546">
        <v>22.9</v>
      </c>
      <c r="M546">
        <v>4.3</v>
      </c>
      <c r="N546">
        <v>90</v>
      </c>
      <c r="O546">
        <v>90</v>
      </c>
      <c r="P546">
        <v>10.9</v>
      </c>
      <c r="Q546">
        <v>9.3000000000000007</v>
      </c>
      <c r="R546">
        <v>8.4</v>
      </c>
      <c r="S546">
        <v>14</v>
      </c>
      <c r="T546">
        <v>82</v>
      </c>
      <c r="U546">
        <v>1911</v>
      </c>
      <c r="V546">
        <v>1681000</v>
      </c>
      <c r="W546">
        <v>31</v>
      </c>
      <c r="X546">
        <v>58.5</v>
      </c>
      <c r="Y546">
        <v>77.8</v>
      </c>
      <c r="Z546">
        <v>72.7</v>
      </c>
      <c r="AA546">
        <v>31</v>
      </c>
      <c r="AB546">
        <v>92.5</v>
      </c>
      <c r="AC546">
        <v>66.8</v>
      </c>
      <c r="AD546">
        <v>100</v>
      </c>
      <c r="AE546">
        <v>100</v>
      </c>
      <c r="AF546" t="s">
        <v>47</v>
      </c>
    </row>
    <row r="547" spans="1:32">
      <c r="A547" t="s">
        <v>1815</v>
      </c>
      <c r="B547">
        <v>2</v>
      </c>
      <c r="C547">
        <v>4</v>
      </c>
      <c r="D547">
        <v>3</v>
      </c>
      <c r="E547">
        <v>16.899999999999999</v>
      </c>
      <c r="F547">
        <v>19.3</v>
      </c>
      <c r="G547">
        <v>4.9000000000000004</v>
      </c>
      <c r="H547">
        <v>57.3</v>
      </c>
      <c r="I547">
        <v>59.5</v>
      </c>
      <c r="J547">
        <v>0</v>
      </c>
      <c r="K547">
        <v>43</v>
      </c>
      <c r="L547">
        <v>38</v>
      </c>
      <c r="M547">
        <v>7.5</v>
      </c>
      <c r="N547">
        <v>92</v>
      </c>
      <c r="O547">
        <v>100</v>
      </c>
      <c r="P547">
        <v>21.6</v>
      </c>
      <c r="Q547">
        <v>11.8</v>
      </c>
      <c r="R547">
        <v>8.8000000000000007</v>
      </c>
      <c r="S547">
        <v>15.9</v>
      </c>
      <c r="T547">
        <v>94</v>
      </c>
      <c r="U547">
        <v>2063</v>
      </c>
      <c r="V547">
        <v>1458000</v>
      </c>
      <c r="W547">
        <v>30</v>
      </c>
      <c r="X547">
        <v>61</v>
      </c>
      <c r="Y547">
        <v>65.2</v>
      </c>
      <c r="Z547">
        <v>49.7</v>
      </c>
      <c r="AA547">
        <v>30</v>
      </c>
      <c r="AB547">
        <v>91</v>
      </c>
      <c r="AC547">
        <v>59.7</v>
      </c>
      <c r="AD547">
        <v>100</v>
      </c>
      <c r="AE547">
        <v>100</v>
      </c>
      <c r="AF547" t="s">
        <v>47</v>
      </c>
    </row>
    <row r="548" spans="1:32">
      <c r="A548" t="s">
        <v>1818</v>
      </c>
      <c r="B548">
        <v>2.2999999999999998</v>
      </c>
      <c r="C548">
        <v>7</v>
      </c>
      <c r="D548">
        <v>0</v>
      </c>
      <c r="E548">
        <v>7.9</v>
      </c>
      <c r="F548">
        <v>15.7</v>
      </c>
      <c r="G548">
        <v>4.3</v>
      </c>
      <c r="H548">
        <v>55.9</v>
      </c>
      <c r="I548">
        <v>57.7</v>
      </c>
      <c r="J548">
        <v>0</v>
      </c>
      <c r="K548">
        <v>38</v>
      </c>
      <c r="L548">
        <v>38.700000000000003</v>
      </c>
      <c r="M548">
        <v>9.3000000000000007</v>
      </c>
      <c r="N548">
        <v>92</v>
      </c>
      <c r="O548">
        <v>97</v>
      </c>
      <c r="P548">
        <v>17.399999999999999</v>
      </c>
      <c r="Q548">
        <v>13.4</v>
      </c>
      <c r="R548">
        <v>8.3000000000000007</v>
      </c>
      <c r="S548">
        <v>18.899999999999999</v>
      </c>
      <c r="T548">
        <v>95</v>
      </c>
      <c r="U548">
        <v>2433</v>
      </c>
      <c r="V548">
        <v>1415000</v>
      </c>
      <c r="W548">
        <v>48</v>
      </c>
      <c r="X548">
        <v>46.6</v>
      </c>
      <c r="Y548">
        <v>64.400000000000006</v>
      </c>
      <c r="Z548">
        <v>55.9</v>
      </c>
      <c r="AA548">
        <v>48</v>
      </c>
      <c r="AB548">
        <v>87.4</v>
      </c>
      <c r="AC548">
        <v>57.1</v>
      </c>
      <c r="AD548">
        <v>100</v>
      </c>
      <c r="AE548">
        <v>100</v>
      </c>
      <c r="AF548" t="s">
        <v>47</v>
      </c>
    </row>
    <row r="549" spans="1:32">
      <c r="A549" t="s">
        <v>1820</v>
      </c>
      <c r="B549">
        <v>5</v>
      </c>
      <c r="C549">
        <v>12</v>
      </c>
      <c r="D549">
        <v>7</v>
      </c>
      <c r="E549">
        <v>15.2</v>
      </c>
      <c r="F549">
        <v>10.3</v>
      </c>
      <c r="G549">
        <v>3.5</v>
      </c>
      <c r="H549">
        <v>49.4</v>
      </c>
      <c r="J549">
        <v>0</v>
      </c>
      <c r="K549">
        <v>42</v>
      </c>
      <c r="L549">
        <v>29.8</v>
      </c>
      <c r="N549">
        <v>103</v>
      </c>
      <c r="O549">
        <v>96</v>
      </c>
      <c r="Q549">
        <v>14.7</v>
      </c>
      <c r="R549">
        <v>12.6</v>
      </c>
      <c r="S549">
        <v>20.399999999999999</v>
      </c>
      <c r="U549">
        <v>1718</v>
      </c>
      <c r="V549">
        <v>785000</v>
      </c>
      <c r="W549">
        <v>30</v>
      </c>
      <c r="X549">
        <v>60.8</v>
      </c>
      <c r="Y549">
        <v>64.900000000000006</v>
      </c>
      <c r="Z549">
        <v>67.3</v>
      </c>
      <c r="AA549">
        <v>30</v>
      </c>
      <c r="AB549">
        <v>94.4</v>
      </c>
      <c r="AC549">
        <v>63.4</v>
      </c>
      <c r="AD549">
        <v>100</v>
      </c>
      <c r="AE549">
        <v>81</v>
      </c>
      <c r="AF549" t="s">
        <v>1971</v>
      </c>
    </row>
    <row r="550" spans="1:32">
      <c r="A550" t="s">
        <v>1822</v>
      </c>
      <c r="B550">
        <v>2.1</v>
      </c>
      <c r="C550">
        <v>6</v>
      </c>
      <c r="D550">
        <v>4</v>
      </c>
      <c r="E550">
        <v>10.4</v>
      </c>
      <c r="F550">
        <v>7.3</v>
      </c>
      <c r="G550">
        <v>8.6999999999999993</v>
      </c>
      <c r="H550">
        <v>69.2</v>
      </c>
      <c r="I550">
        <v>64</v>
      </c>
      <c r="J550">
        <v>0</v>
      </c>
      <c r="K550">
        <v>55</v>
      </c>
      <c r="L550">
        <v>21.6</v>
      </c>
      <c r="M550">
        <v>3.8</v>
      </c>
      <c r="N550">
        <v>95</v>
      </c>
      <c r="O550">
        <v>89</v>
      </c>
      <c r="P550">
        <v>19.600000000000001</v>
      </c>
      <c r="Q550">
        <v>10</v>
      </c>
      <c r="R550">
        <v>10.1</v>
      </c>
      <c r="S550">
        <v>13.2</v>
      </c>
      <c r="T550">
        <v>88</v>
      </c>
      <c r="U550">
        <v>1996</v>
      </c>
      <c r="V550">
        <v>2163000</v>
      </c>
      <c r="W550">
        <v>49</v>
      </c>
      <c r="X550">
        <v>58</v>
      </c>
      <c r="Y550">
        <v>70.5</v>
      </c>
      <c r="Z550">
        <v>79.5</v>
      </c>
      <c r="AA550">
        <v>49</v>
      </c>
      <c r="AB550">
        <v>91.7</v>
      </c>
      <c r="AC550">
        <v>67.900000000000006</v>
      </c>
      <c r="AD550">
        <v>100</v>
      </c>
      <c r="AE550">
        <v>100</v>
      </c>
      <c r="AF550" t="s">
        <v>47</v>
      </c>
    </row>
    <row r="551" spans="1:32">
      <c r="A551" t="s">
        <v>1824</v>
      </c>
      <c r="B551">
        <v>3.5</v>
      </c>
      <c r="C551">
        <v>7</v>
      </c>
      <c r="D551">
        <v>5</v>
      </c>
      <c r="E551">
        <v>12</v>
      </c>
      <c r="F551">
        <v>15.5</v>
      </c>
      <c r="G551">
        <v>4.9000000000000004</v>
      </c>
      <c r="H551">
        <v>53.2</v>
      </c>
      <c r="I551">
        <v>57.1</v>
      </c>
      <c r="J551">
        <v>0</v>
      </c>
      <c r="K551">
        <v>44</v>
      </c>
      <c r="L551">
        <v>36.200000000000003</v>
      </c>
      <c r="M551">
        <v>6.8</v>
      </c>
      <c r="N551">
        <v>97</v>
      </c>
      <c r="O551">
        <v>93</v>
      </c>
      <c r="P551">
        <v>20.3</v>
      </c>
      <c r="Q551">
        <v>12.4</v>
      </c>
      <c r="R551">
        <v>7.1</v>
      </c>
      <c r="S551">
        <v>27</v>
      </c>
      <c r="T551">
        <v>84</v>
      </c>
      <c r="U551">
        <v>1442</v>
      </c>
      <c r="V551">
        <v>850000</v>
      </c>
      <c r="W551">
        <v>32</v>
      </c>
      <c r="X551">
        <v>53.9</v>
      </c>
      <c r="Y551">
        <v>65.900000000000006</v>
      </c>
      <c r="Z551">
        <v>50.4</v>
      </c>
      <c r="AA551">
        <v>32</v>
      </c>
      <c r="AB551">
        <v>97</v>
      </c>
      <c r="AC551">
        <v>58.3</v>
      </c>
      <c r="AD551">
        <v>100</v>
      </c>
      <c r="AE551">
        <v>100</v>
      </c>
      <c r="AF551" t="s">
        <v>47</v>
      </c>
    </row>
    <row r="552" spans="1:32">
      <c r="A552" t="s">
        <v>1826</v>
      </c>
      <c r="B552">
        <v>2.2999999999999998</v>
      </c>
      <c r="C552">
        <v>3</v>
      </c>
      <c r="D552">
        <v>1</v>
      </c>
      <c r="E552">
        <v>7.4</v>
      </c>
      <c r="F552">
        <v>8.9</v>
      </c>
      <c r="G552">
        <v>6</v>
      </c>
      <c r="H552">
        <v>50.9</v>
      </c>
      <c r="I552">
        <v>64.900000000000006</v>
      </c>
      <c r="J552">
        <v>0</v>
      </c>
      <c r="K552">
        <v>45</v>
      </c>
      <c r="L552">
        <v>27.8</v>
      </c>
      <c r="M552">
        <v>7.4</v>
      </c>
      <c r="N552">
        <v>115</v>
      </c>
      <c r="O552">
        <v>109</v>
      </c>
      <c r="P552">
        <v>16.7</v>
      </c>
      <c r="Q552">
        <v>11.6</v>
      </c>
      <c r="R552">
        <v>8</v>
      </c>
      <c r="S552">
        <v>15.9</v>
      </c>
      <c r="T552">
        <v>81</v>
      </c>
      <c r="U552">
        <v>2449</v>
      </c>
      <c r="V552">
        <v>1255000</v>
      </c>
      <c r="W552">
        <v>49</v>
      </c>
      <c r="X552">
        <v>46.9</v>
      </c>
      <c r="Y552">
        <v>69.400000000000006</v>
      </c>
      <c r="Z552">
        <v>73.8</v>
      </c>
      <c r="AA552">
        <v>49</v>
      </c>
      <c r="AB552">
        <v>87.3</v>
      </c>
      <c r="AC552">
        <v>62.2</v>
      </c>
      <c r="AD552">
        <v>100</v>
      </c>
      <c r="AE552">
        <v>100</v>
      </c>
      <c r="AF552" t="s">
        <v>47</v>
      </c>
    </row>
    <row r="553" spans="1:32">
      <c r="A553" t="s">
        <v>1828</v>
      </c>
      <c r="B553">
        <v>2.7</v>
      </c>
      <c r="C553">
        <v>4</v>
      </c>
      <c r="D553">
        <v>4</v>
      </c>
      <c r="E553">
        <v>12.4</v>
      </c>
      <c r="F553">
        <v>14.1</v>
      </c>
      <c r="G553">
        <v>3.9</v>
      </c>
      <c r="H553">
        <v>60.6</v>
      </c>
      <c r="I553">
        <v>78.599999999999994</v>
      </c>
      <c r="J553">
        <v>0</v>
      </c>
      <c r="K553">
        <v>46</v>
      </c>
      <c r="L553">
        <v>37.4</v>
      </c>
      <c r="M553">
        <v>1.4</v>
      </c>
      <c r="N553">
        <v>87</v>
      </c>
      <c r="O553">
        <v>79</v>
      </c>
      <c r="P553">
        <v>15.3</v>
      </c>
      <c r="Q553">
        <v>7.9</v>
      </c>
      <c r="R553">
        <v>8</v>
      </c>
      <c r="S553">
        <v>28.6</v>
      </c>
      <c r="T553">
        <v>91</v>
      </c>
      <c r="U553">
        <v>2631</v>
      </c>
      <c r="V553">
        <v>2525000</v>
      </c>
      <c r="W553">
        <v>56</v>
      </c>
      <c r="X553">
        <v>56.2</v>
      </c>
      <c r="Y553">
        <v>80.7</v>
      </c>
      <c r="Z553">
        <v>52.5</v>
      </c>
      <c r="AA553">
        <v>56</v>
      </c>
      <c r="AB553">
        <v>85.5</v>
      </c>
      <c r="AC553">
        <v>64.5</v>
      </c>
      <c r="AD553">
        <v>100</v>
      </c>
      <c r="AE553">
        <v>100</v>
      </c>
      <c r="AF553" t="s">
        <v>47</v>
      </c>
    </row>
    <row r="554" spans="1:32">
      <c r="A554" t="s">
        <v>1831</v>
      </c>
      <c r="B554">
        <v>1.2</v>
      </c>
      <c r="C554">
        <v>6</v>
      </c>
      <c r="D554">
        <v>3</v>
      </c>
      <c r="E554">
        <v>21.1</v>
      </c>
      <c r="F554">
        <v>12.5</v>
      </c>
      <c r="G554">
        <v>8</v>
      </c>
      <c r="H554">
        <v>68.8</v>
      </c>
      <c r="I554">
        <v>48.1</v>
      </c>
      <c r="J554">
        <v>1</v>
      </c>
      <c r="K554">
        <v>49</v>
      </c>
      <c r="L554">
        <v>37.9</v>
      </c>
      <c r="M554">
        <v>9.1</v>
      </c>
      <c r="N554">
        <v>87</v>
      </c>
      <c r="O554">
        <v>86</v>
      </c>
      <c r="P554">
        <v>24.8</v>
      </c>
      <c r="Q554">
        <v>7.2</v>
      </c>
      <c r="R554">
        <v>5.4</v>
      </c>
      <c r="S554">
        <v>8.5</v>
      </c>
      <c r="T554">
        <v>87</v>
      </c>
      <c r="U554">
        <v>2095</v>
      </c>
      <c r="V554">
        <v>3263000</v>
      </c>
      <c r="W554">
        <v>57</v>
      </c>
      <c r="X554">
        <v>69.400000000000006</v>
      </c>
      <c r="Y554">
        <v>62</v>
      </c>
      <c r="Z554">
        <v>70.900000000000006</v>
      </c>
      <c r="AA554">
        <v>57</v>
      </c>
      <c r="AB554">
        <v>90.7</v>
      </c>
      <c r="AC554">
        <v>68.7</v>
      </c>
      <c r="AD554">
        <v>100</v>
      </c>
      <c r="AE554">
        <v>100</v>
      </c>
      <c r="AF554" t="s">
        <v>47</v>
      </c>
    </row>
    <row r="555" spans="1:32">
      <c r="A555" t="s">
        <v>1833</v>
      </c>
      <c r="B555">
        <v>0.5</v>
      </c>
      <c r="C555">
        <v>4</v>
      </c>
      <c r="D555">
        <v>0</v>
      </c>
      <c r="F555">
        <v>4.7</v>
      </c>
      <c r="G555">
        <v>6.3</v>
      </c>
      <c r="H555">
        <v>62.3</v>
      </c>
      <c r="I555">
        <v>26</v>
      </c>
      <c r="J555">
        <v>0</v>
      </c>
      <c r="K555">
        <v>35</v>
      </c>
      <c r="L555">
        <v>27.2</v>
      </c>
      <c r="M555">
        <v>7.9</v>
      </c>
      <c r="O555">
        <v>90</v>
      </c>
      <c r="P555">
        <v>32.4</v>
      </c>
      <c r="Q555">
        <v>14.1</v>
      </c>
      <c r="R555">
        <v>8.5</v>
      </c>
      <c r="S555">
        <v>17.3</v>
      </c>
      <c r="T555">
        <v>58</v>
      </c>
      <c r="U555">
        <v>1451</v>
      </c>
      <c r="V555">
        <v>2518000</v>
      </c>
      <c r="W555">
        <v>33</v>
      </c>
      <c r="X555">
        <v>69.099999999999994</v>
      </c>
      <c r="Y555">
        <v>48.3</v>
      </c>
      <c r="Z555">
        <v>82.6</v>
      </c>
      <c r="AA555">
        <v>33</v>
      </c>
      <c r="AB555">
        <v>96.9</v>
      </c>
      <c r="AC555">
        <v>65.8</v>
      </c>
      <c r="AD555">
        <v>100</v>
      </c>
      <c r="AE555">
        <v>90.5</v>
      </c>
      <c r="AF555" t="s">
        <v>47</v>
      </c>
    </row>
    <row r="556" spans="1:32">
      <c r="A556" t="s">
        <v>1835</v>
      </c>
      <c r="B556">
        <v>2.9</v>
      </c>
      <c r="C556">
        <v>9</v>
      </c>
      <c r="D556">
        <v>3</v>
      </c>
      <c r="E556">
        <v>5.9</v>
      </c>
      <c r="F556">
        <v>19.3</v>
      </c>
      <c r="G556">
        <v>7.4</v>
      </c>
      <c r="H556">
        <v>40.799999999999997</v>
      </c>
      <c r="I556">
        <v>65.2</v>
      </c>
      <c r="J556">
        <v>0</v>
      </c>
      <c r="K556">
        <v>38</v>
      </c>
      <c r="L556">
        <v>45.5</v>
      </c>
      <c r="M556">
        <v>10.9</v>
      </c>
      <c r="N556">
        <v>110</v>
      </c>
      <c r="O556">
        <v>93</v>
      </c>
      <c r="P556">
        <v>15.6</v>
      </c>
      <c r="Q556">
        <v>7.5</v>
      </c>
      <c r="R556">
        <v>8.1</v>
      </c>
      <c r="S556">
        <v>14.9</v>
      </c>
      <c r="T556">
        <v>76</v>
      </c>
      <c r="U556">
        <v>1933</v>
      </c>
      <c r="V556">
        <v>934000</v>
      </c>
      <c r="W556">
        <v>29</v>
      </c>
      <c r="X556">
        <v>38.9</v>
      </c>
      <c r="Y556">
        <v>68.8</v>
      </c>
      <c r="Z556">
        <v>50.4</v>
      </c>
      <c r="AA556">
        <v>29</v>
      </c>
      <c r="AB556">
        <v>92.3</v>
      </c>
      <c r="AC556">
        <v>53</v>
      </c>
      <c r="AD556">
        <v>100</v>
      </c>
      <c r="AE556">
        <v>100</v>
      </c>
      <c r="AF556" t="s">
        <v>47</v>
      </c>
    </row>
    <row r="557" spans="1:32">
      <c r="A557" t="s">
        <v>1838</v>
      </c>
      <c r="B557">
        <v>4.4000000000000004</v>
      </c>
      <c r="C557">
        <v>14</v>
      </c>
      <c r="D557">
        <v>9</v>
      </c>
      <c r="E557">
        <v>13.6</v>
      </c>
      <c r="F557">
        <v>3.7</v>
      </c>
      <c r="G557">
        <v>4.9000000000000004</v>
      </c>
      <c r="H557">
        <v>74.400000000000006</v>
      </c>
      <c r="I557">
        <v>79.900000000000006</v>
      </c>
      <c r="J557">
        <v>0</v>
      </c>
      <c r="K557">
        <v>62</v>
      </c>
      <c r="L557">
        <v>27.5</v>
      </c>
      <c r="M557">
        <v>5.2</v>
      </c>
      <c r="N557">
        <v>79</v>
      </c>
      <c r="O557">
        <v>109</v>
      </c>
      <c r="P557">
        <v>13.2</v>
      </c>
      <c r="Q557">
        <v>9</v>
      </c>
      <c r="R557">
        <v>10.5</v>
      </c>
      <c r="S557">
        <v>14</v>
      </c>
      <c r="T557">
        <v>100</v>
      </c>
      <c r="U557">
        <v>2008</v>
      </c>
      <c r="V557">
        <v>1658000</v>
      </c>
      <c r="W557">
        <v>44</v>
      </c>
      <c r="X557">
        <v>60.8</v>
      </c>
      <c r="Y557">
        <v>77.599999999999994</v>
      </c>
      <c r="Z557">
        <v>87.3</v>
      </c>
      <c r="AA557">
        <v>44</v>
      </c>
      <c r="AB557">
        <v>91.5</v>
      </c>
      <c r="AC557">
        <v>71.7</v>
      </c>
      <c r="AD557">
        <v>100</v>
      </c>
      <c r="AE557">
        <v>100</v>
      </c>
      <c r="AF557" t="s">
        <v>47</v>
      </c>
    </row>
    <row r="558" spans="1:32">
      <c r="A558" t="s">
        <v>1841</v>
      </c>
      <c r="B558">
        <v>4.7</v>
      </c>
      <c r="C558">
        <v>10</v>
      </c>
      <c r="D558">
        <v>7</v>
      </c>
      <c r="E558">
        <v>15.3</v>
      </c>
      <c r="F558">
        <v>8.6</v>
      </c>
      <c r="G558">
        <v>6.6</v>
      </c>
      <c r="H558">
        <v>51.2</v>
      </c>
      <c r="I558">
        <v>76.099999999999994</v>
      </c>
      <c r="J558">
        <v>0</v>
      </c>
      <c r="K558">
        <v>59</v>
      </c>
      <c r="L558">
        <v>17.5</v>
      </c>
      <c r="M558">
        <v>4.8</v>
      </c>
      <c r="N558">
        <v>82</v>
      </c>
      <c r="O558">
        <v>109</v>
      </c>
      <c r="P558">
        <v>13.2</v>
      </c>
      <c r="Q558">
        <v>11.7</v>
      </c>
      <c r="R558">
        <v>4.9000000000000004</v>
      </c>
      <c r="S558">
        <v>13</v>
      </c>
      <c r="T558">
        <v>93</v>
      </c>
      <c r="U558">
        <v>1830</v>
      </c>
      <c r="V558">
        <v>1554000</v>
      </c>
      <c r="W558">
        <v>32</v>
      </c>
      <c r="X558">
        <v>67.400000000000006</v>
      </c>
      <c r="Y558">
        <v>78</v>
      </c>
      <c r="Z558">
        <v>76.7</v>
      </c>
      <c r="AA558">
        <v>32</v>
      </c>
      <c r="AB558">
        <v>93.3</v>
      </c>
      <c r="AC558">
        <v>70.900000000000006</v>
      </c>
      <c r="AD558">
        <v>100</v>
      </c>
      <c r="AE558">
        <v>100</v>
      </c>
      <c r="AF558" t="s">
        <v>47</v>
      </c>
    </row>
    <row r="559" spans="1:32">
      <c r="A559" t="s">
        <v>1843</v>
      </c>
      <c r="B559">
        <v>0.6</v>
      </c>
      <c r="C559">
        <v>7</v>
      </c>
      <c r="D559">
        <v>2</v>
      </c>
      <c r="E559">
        <v>12.9</v>
      </c>
      <c r="F559">
        <v>5.5</v>
      </c>
      <c r="G559">
        <v>5.3</v>
      </c>
      <c r="H559">
        <v>56.6</v>
      </c>
      <c r="I559">
        <v>40.5</v>
      </c>
      <c r="J559">
        <v>0</v>
      </c>
      <c r="K559">
        <v>45</v>
      </c>
      <c r="L559">
        <v>20.6</v>
      </c>
      <c r="M559">
        <v>5.2</v>
      </c>
      <c r="N559">
        <v>97</v>
      </c>
      <c r="O559">
        <v>88</v>
      </c>
      <c r="P559">
        <v>19.100000000000001</v>
      </c>
      <c r="Q559">
        <v>12.3</v>
      </c>
      <c r="R559">
        <v>8.4</v>
      </c>
      <c r="S559">
        <v>19.8</v>
      </c>
      <c r="T559">
        <v>89</v>
      </c>
      <c r="U559">
        <v>1765</v>
      </c>
      <c r="V559">
        <v>3597000</v>
      </c>
      <c r="W559">
        <v>70</v>
      </c>
      <c r="X559">
        <v>62.2</v>
      </c>
      <c r="Y559">
        <v>61.2</v>
      </c>
      <c r="Z559">
        <v>78.900000000000006</v>
      </c>
      <c r="AA559">
        <v>70</v>
      </c>
      <c r="AB559">
        <v>93.9</v>
      </c>
      <c r="AC559">
        <v>69.3</v>
      </c>
      <c r="AD559">
        <v>100</v>
      </c>
      <c r="AE559">
        <v>100</v>
      </c>
      <c r="AF559" t="s">
        <v>47</v>
      </c>
    </row>
    <row r="560" spans="1:32">
      <c r="A560" t="s">
        <v>1846</v>
      </c>
      <c r="B560">
        <v>2.4</v>
      </c>
      <c r="C560">
        <v>7</v>
      </c>
      <c r="D560">
        <v>2</v>
      </c>
      <c r="E560">
        <v>8.4</v>
      </c>
      <c r="F560">
        <v>9.4</v>
      </c>
      <c r="G560">
        <v>6.6</v>
      </c>
      <c r="H560">
        <v>55.2</v>
      </c>
      <c r="I560">
        <v>63.2</v>
      </c>
      <c r="J560">
        <v>0</v>
      </c>
      <c r="K560">
        <v>47</v>
      </c>
      <c r="L560">
        <v>24.8</v>
      </c>
      <c r="M560">
        <v>4.2</v>
      </c>
      <c r="N560">
        <v>105</v>
      </c>
      <c r="O560">
        <v>106</v>
      </c>
      <c r="P560">
        <v>17.399999999999999</v>
      </c>
      <c r="Q560">
        <v>9.6999999999999993</v>
      </c>
      <c r="R560">
        <v>8.3000000000000007</v>
      </c>
      <c r="S560">
        <v>17.2</v>
      </c>
      <c r="T560">
        <v>91</v>
      </c>
      <c r="U560">
        <v>1365</v>
      </c>
      <c r="V560">
        <v>909000</v>
      </c>
      <c r="W560">
        <v>46</v>
      </c>
      <c r="X560">
        <v>51.1</v>
      </c>
      <c r="Y560">
        <v>71.599999999999994</v>
      </c>
      <c r="Z560">
        <v>71.7</v>
      </c>
      <c r="AA560">
        <v>46</v>
      </c>
      <c r="AB560">
        <v>97.8</v>
      </c>
      <c r="AC560">
        <v>64.5</v>
      </c>
      <c r="AD560">
        <v>100</v>
      </c>
      <c r="AE560">
        <v>100</v>
      </c>
      <c r="AF560" t="s">
        <v>47</v>
      </c>
    </row>
    <row r="561" spans="1:32">
      <c r="A561" t="s">
        <v>1849</v>
      </c>
      <c r="B561">
        <v>3.4</v>
      </c>
      <c r="D561">
        <v>2</v>
      </c>
      <c r="E561">
        <v>12.8</v>
      </c>
      <c r="F561">
        <v>14.9</v>
      </c>
      <c r="G561">
        <v>3.4</v>
      </c>
      <c r="H561">
        <v>60.7</v>
      </c>
      <c r="I561">
        <v>60.1</v>
      </c>
      <c r="J561">
        <v>0</v>
      </c>
      <c r="K561">
        <v>44</v>
      </c>
      <c r="L561">
        <v>16.399999999999999</v>
      </c>
      <c r="M561">
        <v>9.6999999999999993</v>
      </c>
      <c r="N561">
        <v>102</v>
      </c>
      <c r="O561">
        <v>100</v>
      </c>
      <c r="P561">
        <v>17.5</v>
      </c>
      <c r="Q561">
        <v>11.3</v>
      </c>
      <c r="R561">
        <v>9.5</v>
      </c>
      <c r="S561">
        <v>24.3</v>
      </c>
      <c r="T561">
        <v>87</v>
      </c>
      <c r="U561">
        <v>1189</v>
      </c>
      <c r="V561">
        <v>971000</v>
      </c>
      <c r="W561">
        <v>43</v>
      </c>
      <c r="X561">
        <v>62.4</v>
      </c>
      <c r="Y561">
        <v>65.2</v>
      </c>
      <c r="Z561">
        <v>53.8</v>
      </c>
      <c r="AA561">
        <v>43</v>
      </c>
      <c r="AB561">
        <v>99.5</v>
      </c>
      <c r="AC561">
        <v>63.1</v>
      </c>
      <c r="AD561">
        <v>100</v>
      </c>
      <c r="AE561">
        <v>95.2</v>
      </c>
      <c r="AF561" t="s">
        <v>47</v>
      </c>
    </row>
    <row r="562" spans="1:32">
      <c r="A562" t="s">
        <v>1851</v>
      </c>
      <c r="B562">
        <v>3.6</v>
      </c>
      <c r="C562">
        <v>6</v>
      </c>
      <c r="D562">
        <v>6</v>
      </c>
      <c r="E562">
        <v>10.3</v>
      </c>
      <c r="F562">
        <v>6.9</v>
      </c>
      <c r="G562">
        <v>5.4</v>
      </c>
      <c r="H562">
        <v>70.3</v>
      </c>
      <c r="I562">
        <v>57.2</v>
      </c>
      <c r="J562">
        <v>0</v>
      </c>
      <c r="K562">
        <v>52</v>
      </c>
      <c r="L562">
        <v>17.5</v>
      </c>
      <c r="M562">
        <v>5.5</v>
      </c>
      <c r="N562">
        <v>89</v>
      </c>
      <c r="O562">
        <v>69</v>
      </c>
      <c r="P562">
        <v>21.1</v>
      </c>
      <c r="Q562">
        <v>8.3000000000000007</v>
      </c>
      <c r="R562">
        <v>10</v>
      </c>
      <c r="S562">
        <v>18.399999999999999</v>
      </c>
      <c r="T562">
        <v>84</v>
      </c>
      <c r="U562">
        <v>1502</v>
      </c>
      <c r="V562">
        <v>572000</v>
      </c>
      <c r="W562">
        <v>38</v>
      </c>
      <c r="X562">
        <v>61.7</v>
      </c>
      <c r="Y562">
        <v>66.900000000000006</v>
      </c>
      <c r="Z562">
        <v>76.7</v>
      </c>
      <c r="AA562">
        <v>38</v>
      </c>
      <c r="AB562">
        <v>96.4</v>
      </c>
      <c r="AC562">
        <v>67.099999999999994</v>
      </c>
      <c r="AD562">
        <v>100</v>
      </c>
      <c r="AE562">
        <v>100</v>
      </c>
      <c r="AF562" t="s">
        <v>47</v>
      </c>
    </row>
    <row r="563" spans="1:32">
      <c r="A563" t="s">
        <v>1853</v>
      </c>
      <c r="B563">
        <v>4.5</v>
      </c>
      <c r="C563">
        <v>9</v>
      </c>
      <c r="D563">
        <v>5</v>
      </c>
      <c r="E563">
        <v>11.7</v>
      </c>
      <c r="F563">
        <v>10.1</v>
      </c>
      <c r="G563">
        <v>7.1</v>
      </c>
      <c r="H563">
        <v>71.7</v>
      </c>
      <c r="I563">
        <v>70.400000000000006</v>
      </c>
      <c r="J563">
        <v>0</v>
      </c>
      <c r="K563">
        <v>58</v>
      </c>
      <c r="L563">
        <v>26.1</v>
      </c>
      <c r="M563">
        <v>6.7</v>
      </c>
      <c r="N563">
        <v>106</v>
      </c>
      <c r="O563">
        <v>86</v>
      </c>
      <c r="P563">
        <v>21.1</v>
      </c>
      <c r="Q563">
        <v>9.8000000000000007</v>
      </c>
      <c r="R563">
        <v>7.2</v>
      </c>
      <c r="S563">
        <v>10.8</v>
      </c>
      <c r="T563">
        <v>93</v>
      </c>
      <c r="U563">
        <v>1620</v>
      </c>
      <c r="V563">
        <v>1418000</v>
      </c>
      <c r="W563">
        <v>53</v>
      </c>
      <c r="X563">
        <v>57.2</v>
      </c>
      <c r="Y563">
        <v>71.3</v>
      </c>
      <c r="Z563">
        <v>74.8</v>
      </c>
      <c r="AA563">
        <v>53</v>
      </c>
      <c r="AB563">
        <v>95.3</v>
      </c>
      <c r="AC563">
        <v>67.599999999999994</v>
      </c>
      <c r="AD563">
        <v>100</v>
      </c>
      <c r="AE563">
        <v>100</v>
      </c>
      <c r="AF563" t="s">
        <v>47</v>
      </c>
    </row>
    <row r="564" spans="1:32">
      <c r="A564" t="s">
        <v>1855</v>
      </c>
      <c r="B564">
        <v>5.4</v>
      </c>
      <c r="C564">
        <v>11</v>
      </c>
      <c r="D564">
        <v>5</v>
      </c>
      <c r="E564">
        <v>10.7</v>
      </c>
      <c r="F564">
        <v>11.7</v>
      </c>
      <c r="G564">
        <v>5.9</v>
      </c>
      <c r="H564">
        <v>53.6</v>
      </c>
      <c r="I564">
        <v>75.2</v>
      </c>
      <c r="J564">
        <v>0</v>
      </c>
      <c r="K564">
        <v>54</v>
      </c>
      <c r="L564">
        <v>18.3</v>
      </c>
      <c r="M564">
        <v>5.6</v>
      </c>
      <c r="N564">
        <v>101</v>
      </c>
      <c r="O564">
        <v>79</v>
      </c>
      <c r="P564">
        <v>17.3</v>
      </c>
      <c r="Q564">
        <v>10.6</v>
      </c>
      <c r="R564">
        <v>10.7</v>
      </c>
      <c r="S564">
        <v>13.9</v>
      </c>
      <c r="T564">
        <v>96</v>
      </c>
      <c r="U564">
        <v>1220</v>
      </c>
      <c r="V564">
        <v>1174000</v>
      </c>
      <c r="W564">
        <v>48</v>
      </c>
      <c r="X564">
        <v>59.9</v>
      </c>
      <c r="Y564">
        <v>73.400000000000006</v>
      </c>
      <c r="Z564">
        <v>68.8</v>
      </c>
      <c r="AA564">
        <v>48</v>
      </c>
      <c r="AB564">
        <v>99.2</v>
      </c>
      <c r="AC564">
        <v>67.8</v>
      </c>
      <c r="AD564">
        <v>100</v>
      </c>
      <c r="AE564">
        <v>100</v>
      </c>
      <c r="AF564" t="s">
        <v>47</v>
      </c>
    </row>
    <row r="565" spans="1:32">
      <c r="A565" t="s">
        <v>1857</v>
      </c>
      <c r="B565">
        <v>4.8</v>
      </c>
      <c r="C565">
        <v>9</v>
      </c>
      <c r="D565">
        <v>7</v>
      </c>
      <c r="F565">
        <v>16.100000000000001</v>
      </c>
      <c r="G565">
        <v>5</v>
      </c>
      <c r="H565">
        <v>56.9</v>
      </c>
      <c r="I565">
        <v>63.8</v>
      </c>
      <c r="J565">
        <v>0</v>
      </c>
      <c r="K565">
        <v>38</v>
      </c>
      <c r="L565">
        <v>36.1</v>
      </c>
      <c r="M565">
        <v>8</v>
      </c>
      <c r="O565">
        <v>79</v>
      </c>
      <c r="P565">
        <v>20.3</v>
      </c>
      <c r="Q565">
        <v>13.4</v>
      </c>
      <c r="R565">
        <v>9.1</v>
      </c>
      <c r="S565">
        <v>22</v>
      </c>
      <c r="T565">
        <v>88</v>
      </c>
      <c r="U565">
        <v>1213</v>
      </c>
      <c r="V565">
        <v>1210000</v>
      </c>
      <c r="W565">
        <v>38</v>
      </c>
      <c r="X565">
        <v>61.9</v>
      </c>
      <c r="Y565">
        <v>66.099999999999994</v>
      </c>
      <c r="Z565">
        <v>52.7</v>
      </c>
      <c r="AA565">
        <v>38</v>
      </c>
      <c r="AB565">
        <v>99.2</v>
      </c>
      <c r="AC565">
        <v>62.4</v>
      </c>
      <c r="AD565">
        <v>100</v>
      </c>
      <c r="AE565">
        <v>90.5</v>
      </c>
      <c r="AF565" t="s">
        <v>47</v>
      </c>
    </row>
    <row r="566" spans="1:32">
      <c r="A566" t="s">
        <v>1859</v>
      </c>
      <c r="B566">
        <v>2.4</v>
      </c>
      <c r="C566">
        <v>7</v>
      </c>
      <c r="D566">
        <v>4</v>
      </c>
      <c r="E566">
        <v>6.9</v>
      </c>
      <c r="F566">
        <v>7.4</v>
      </c>
      <c r="G566">
        <v>8.1</v>
      </c>
      <c r="H566">
        <v>63.1</v>
      </c>
      <c r="I566">
        <v>60.4</v>
      </c>
      <c r="J566">
        <v>1</v>
      </c>
      <c r="K566">
        <v>45</v>
      </c>
      <c r="L566">
        <v>21.3</v>
      </c>
      <c r="M566">
        <v>5.5</v>
      </c>
      <c r="N566">
        <v>100</v>
      </c>
      <c r="O566">
        <v>94</v>
      </c>
      <c r="P566">
        <v>16.8</v>
      </c>
      <c r="Q566">
        <v>6.4</v>
      </c>
      <c r="R566">
        <v>5.2</v>
      </c>
      <c r="S566">
        <v>14</v>
      </c>
      <c r="T566">
        <v>79</v>
      </c>
      <c r="U566">
        <v>1795</v>
      </c>
      <c r="V566">
        <v>2856000</v>
      </c>
      <c r="W566">
        <v>79</v>
      </c>
      <c r="X566">
        <v>51.6</v>
      </c>
      <c r="Y566">
        <v>72.5</v>
      </c>
      <c r="Z566">
        <v>78.7</v>
      </c>
      <c r="AA566">
        <v>79</v>
      </c>
      <c r="AB566">
        <v>93.6</v>
      </c>
      <c r="AC566">
        <v>69.2</v>
      </c>
      <c r="AD566">
        <v>100</v>
      </c>
      <c r="AE566">
        <v>100</v>
      </c>
      <c r="AF566" t="s">
        <v>47</v>
      </c>
    </row>
    <row r="567" spans="1:32">
      <c r="A567" t="s">
        <v>1861</v>
      </c>
      <c r="B567">
        <v>2</v>
      </c>
      <c r="C567">
        <v>7</v>
      </c>
      <c r="D567">
        <v>4</v>
      </c>
      <c r="E567">
        <v>9.3000000000000007</v>
      </c>
      <c r="F567">
        <v>11.6</v>
      </c>
      <c r="G567">
        <v>4.3</v>
      </c>
      <c r="H567">
        <v>65.599999999999994</v>
      </c>
      <c r="I567">
        <v>54.1</v>
      </c>
      <c r="J567">
        <v>0</v>
      </c>
      <c r="K567">
        <v>42</v>
      </c>
      <c r="L567">
        <v>27.1</v>
      </c>
      <c r="M567">
        <v>8</v>
      </c>
      <c r="N567">
        <v>79</v>
      </c>
      <c r="O567">
        <v>90</v>
      </c>
      <c r="P567">
        <v>17.600000000000001</v>
      </c>
      <c r="Q567">
        <v>15</v>
      </c>
      <c r="R567">
        <v>9.6</v>
      </c>
      <c r="S567">
        <v>29.3</v>
      </c>
      <c r="T567">
        <v>78</v>
      </c>
      <c r="U567">
        <v>1392</v>
      </c>
      <c r="V567">
        <v>1563000</v>
      </c>
      <c r="W567">
        <v>59</v>
      </c>
      <c r="X567">
        <v>55.6</v>
      </c>
      <c r="Y567">
        <v>62.8</v>
      </c>
      <c r="Z567">
        <v>57.8</v>
      </c>
      <c r="AA567">
        <v>59</v>
      </c>
      <c r="AB567">
        <v>97.5</v>
      </c>
      <c r="AC567">
        <v>62.4</v>
      </c>
      <c r="AD567">
        <v>100</v>
      </c>
      <c r="AE567">
        <v>100</v>
      </c>
      <c r="AF567" t="s">
        <v>47</v>
      </c>
    </row>
    <row r="568" spans="1:32">
      <c r="A568" t="s">
        <v>1863</v>
      </c>
      <c r="B568">
        <v>2.7</v>
      </c>
      <c r="C568">
        <v>8</v>
      </c>
      <c r="D568">
        <v>4</v>
      </c>
      <c r="E568">
        <v>9.3000000000000007</v>
      </c>
      <c r="F568">
        <v>13</v>
      </c>
      <c r="G568">
        <v>6</v>
      </c>
      <c r="H568">
        <v>74.400000000000006</v>
      </c>
      <c r="I568">
        <v>54</v>
      </c>
      <c r="J568">
        <v>0</v>
      </c>
      <c r="K568">
        <v>46</v>
      </c>
      <c r="L568">
        <v>23.6</v>
      </c>
      <c r="M568">
        <v>7.2</v>
      </c>
      <c r="N568">
        <v>115</v>
      </c>
      <c r="O568">
        <v>86</v>
      </c>
      <c r="P568">
        <v>16.7</v>
      </c>
      <c r="Q568">
        <v>13.8</v>
      </c>
      <c r="R568">
        <v>8</v>
      </c>
      <c r="S568">
        <v>13.6</v>
      </c>
      <c r="T568">
        <v>80</v>
      </c>
      <c r="U568">
        <v>1780</v>
      </c>
      <c r="V568">
        <v>3749000</v>
      </c>
      <c r="W568">
        <v>55</v>
      </c>
      <c r="X568">
        <v>53.5</v>
      </c>
      <c r="Y568">
        <v>64.900000000000006</v>
      </c>
      <c r="Z568">
        <v>66</v>
      </c>
      <c r="AA568">
        <v>55</v>
      </c>
      <c r="AB568">
        <v>93.8</v>
      </c>
      <c r="AC568">
        <v>63</v>
      </c>
      <c r="AD568">
        <v>100</v>
      </c>
      <c r="AE568">
        <v>100</v>
      </c>
      <c r="AF568" t="s">
        <v>47</v>
      </c>
    </row>
    <row r="569" spans="1:32">
      <c r="A569" t="s">
        <v>1864</v>
      </c>
      <c r="B569">
        <v>4.4000000000000004</v>
      </c>
      <c r="C569">
        <v>9</v>
      </c>
      <c r="D569">
        <v>4</v>
      </c>
      <c r="E569">
        <v>11.6</v>
      </c>
      <c r="F569">
        <v>14.3</v>
      </c>
      <c r="G569">
        <v>4.5999999999999996</v>
      </c>
      <c r="H569">
        <v>69.099999999999994</v>
      </c>
      <c r="I569">
        <v>62</v>
      </c>
      <c r="J569">
        <v>0</v>
      </c>
      <c r="K569">
        <v>49</v>
      </c>
      <c r="L569">
        <v>24.1</v>
      </c>
      <c r="M569">
        <v>8</v>
      </c>
      <c r="N569">
        <v>91</v>
      </c>
      <c r="O569">
        <v>81</v>
      </c>
      <c r="P569">
        <v>14.6</v>
      </c>
      <c r="Q569">
        <v>15.2</v>
      </c>
      <c r="R569">
        <v>8.6999999999999993</v>
      </c>
      <c r="S569">
        <v>20.2</v>
      </c>
      <c r="T569">
        <v>85</v>
      </c>
      <c r="U569">
        <v>1354</v>
      </c>
      <c r="V569">
        <v>1898000</v>
      </c>
      <c r="W569">
        <v>55</v>
      </c>
      <c r="X569">
        <v>59.9</v>
      </c>
      <c r="Y569">
        <v>67.099999999999994</v>
      </c>
      <c r="Z569">
        <v>58.2</v>
      </c>
      <c r="AA569">
        <v>55</v>
      </c>
      <c r="AB569">
        <v>97.9</v>
      </c>
      <c r="AC569">
        <v>64.599999999999994</v>
      </c>
      <c r="AD569">
        <v>100</v>
      </c>
      <c r="AE569">
        <v>100</v>
      </c>
      <c r="AF569" t="s">
        <v>47</v>
      </c>
    </row>
    <row r="570" spans="1:32">
      <c r="A570" t="s">
        <v>1865</v>
      </c>
      <c r="B570">
        <v>2.6</v>
      </c>
      <c r="C570">
        <v>9</v>
      </c>
      <c r="D570">
        <v>1</v>
      </c>
      <c r="E570">
        <v>10.9</v>
      </c>
      <c r="F570">
        <v>19.600000000000001</v>
      </c>
      <c r="G570">
        <v>7.6</v>
      </c>
      <c r="H570">
        <v>54.9</v>
      </c>
      <c r="I570">
        <v>53.8</v>
      </c>
      <c r="J570">
        <v>0</v>
      </c>
      <c r="K570">
        <v>42</v>
      </c>
      <c r="L570">
        <v>25.5</v>
      </c>
      <c r="M570">
        <v>7.2</v>
      </c>
      <c r="N570">
        <v>96</v>
      </c>
      <c r="O570">
        <v>97</v>
      </c>
      <c r="P570">
        <v>20.5</v>
      </c>
      <c r="Q570">
        <v>8.5</v>
      </c>
      <c r="R570">
        <v>6.8</v>
      </c>
      <c r="S570">
        <v>13</v>
      </c>
      <c r="T570">
        <v>81</v>
      </c>
      <c r="U570">
        <v>1587</v>
      </c>
      <c r="V570">
        <v>1281000</v>
      </c>
      <c r="W570">
        <v>46</v>
      </c>
      <c r="X570">
        <v>56.4</v>
      </c>
      <c r="Y570">
        <v>66</v>
      </c>
      <c r="Z570">
        <v>51.1</v>
      </c>
      <c r="AA570">
        <v>46</v>
      </c>
      <c r="AB570">
        <v>95.6</v>
      </c>
      <c r="AC570">
        <v>60.6</v>
      </c>
      <c r="AD570">
        <v>100</v>
      </c>
      <c r="AE570">
        <v>100</v>
      </c>
      <c r="AF570" t="s">
        <v>47</v>
      </c>
    </row>
    <row r="571" spans="1:32">
      <c r="A571" t="s">
        <v>1867</v>
      </c>
      <c r="B571">
        <v>3.4</v>
      </c>
      <c r="C571">
        <v>6</v>
      </c>
      <c r="D571">
        <v>3</v>
      </c>
      <c r="E571">
        <v>20.3</v>
      </c>
      <c r="F571">
        <v>4</v>
      </c>
      <c r="G571">
        <v>6.9</v>
      </c>
      <c r="H571">
        <v>75.8</v>
      </c>
      <c r="I571">
        <v>62.4</v>
      </c>
      <c r="J571">
        <v>0</v>
      </c>
      <c r="K571">
        <v>66</v>
      </c>
      <c r="L571">
        <v>21.7</v>
      </c>
      <c r="M571">
        <v>7.5</v>
      </c>
      <c r="N571">
        <v>84</v>
      </c>
      <c r="O571">
        <v>82</v>
      </c>
      <c r="P571">
        <v>16.600000000000001</v>
      </c>
      <c r="Q571">
        <v>5.5</v>
      </c>
      <c r="R571">
        <v>7.6</v>
      </c>
      <c r="S571">
        <v>13.7</v>
      </c>
      <c r="T571">
        <v>88</v>
      </c>
      <c r="U571">
        <v>1585</v>
      </c>
      <c r="V571">
        <v>3469000</v>
      </c>
      <c r="W571">
        <v>62</v>
      </c>
      <c r="X571">
        <v>75.5</v>
      </c>
      <c r="Y571">
        <v>71</v>
      </c>
      <c r="Z571">
        <v>86.8</v>
      </c>
      <c r="AA571">
        <v>62</v>
      </c>
      <c r="AB571">
        <v>95.6</v>
      </c>
      <c r="AC571">
        <v>77.3</v>
      </c>
      <c r="AD571">
        <v>100</v>
      </c>
      <c r="AE571">
        <v>100</v>
      </c>
      <c r="AF571" t="s">
        <v>47</v>
      </c>
    </row>
    <row r="572" spans="1:32">
      <c r="A572" t="s">
        <v>1869</v>
      </c>
      <c r="B572">
        <v>4.5999999999999996</v>
      </c>
      <c r="C572">
        <v>14</v>
      </c>
      <c r="D572">
        <v>6</v>
      </c>
      <c r="E572">
        <v>21.1</v>
      </c>
      <c r="F572">
        <v>16.3</v>
      </c>
      <c r="G572">
        <v>5.8</v>
      </c>
      <c r="H572">
        <v>45.5</v>
      </c>
      <c r="I572">
        <v>59.3</v>
      </c>
      <c r="J572">
        <v>0</v>
      </c>
      <c r="K572">
        <v>53</v>
      </c>
      <c r="L572">
        <v>38.1</v>
      </c>
      <c r="M572">
        <v>6.4</v>
      </c>
      <c r="N572">
        <v>76</v>
      </c>
      <c r="O572">
        <v>98</v>
      </c>
      <c r="P572">
        <v>22.3</v>
      </c>
      <c r="Q572">
        <v>12.3</v>
      </c>
      <c r="R572">
        <v>11.9</v>
      </c>
      <c r="S572">
        <v>17.600000000000001</v>
      </c>
      <c r="T572">
        <v>79</v>
      </c>
      <c r="U572">
        <v>1832</v>
      </c>
      <c r="V572">
        <v>1551000</v>
      </c>
      <c r="W572">
        <v>53</v>
      </c>
      <c r="X572">
        <v>69.599999999999994</v>
      </c>
      <c r="Y572">
        <v>64.099999999999994</v>
      </c>
      <c r="Z572">
        <v>55.4</v>
      </c>
      <c r="AA572">
        <v>53</v>
      </c>
      <c r="AB572">
        <v>93.3</v>
      </c>
      <c r="AC572">
        <v>66.099999999999994</v>
      </c>
      <c r="AD572">
        <v>100</v>
      </c>
      <c r="AE572">
        <v>100</v>
      </c>
      <c r="AF572" t="s">
        <v>47</v>
      </c>
    </row>
    <row r="573" spans="1:32">
      <c r="A573" t="s">
        <v>1871</v>
      </c>
      <c r="B573">
        <v>2.2000000000000002</v>
      </c>
      <c r="C573">
        <v>8</v>
      </c>
      <c r="D573">
        <v>3</v>
      </c>
      <c r="E573">
        <v>26</v>
      </c>
      <c r="F573">
        <v>15.4</v>
      </c>
      <c r="G573">
        <v>7.7</v>
      </c>
      <c r="H573">
        <v>58.4</v>
      </c>
      <c r="I573">
        <v>54.2</v>
      </c>
      <c r="J573">
        <v>0</v>
      </c>
      <c r="K573">
        <v>56</v>
      </c>
      <c r="L573">
        <v>21.1</v>
      </c>
      <c r="M573">
        <v>5.8</v>
      </c>
      <c r="N573">
        <v>86</v>
      </c>
      <c r="O573">
        <v>86</v>
      </c>
      <c r="P573">
        <v>17.600000000000001</v>
      </c>
      <c r="Q573">
        <v>9.8000000000000007</v>
      </c>
      <c r="R573">
        <v>8.1</v>
      </c>
      <c r="S573">
        <v>14.9</v>
      </c>
      <c r="T573">
        <v>85</v>
      </c>
      <c r="U573">
        <v>1240</v>
      </c>
      <c r="V573">
        <v>384000</v>
      </c>
      <c r="W573">
        <v>43</v>
      </c>
      <c r="X573">
        <v>82.7</v>
      </c>
      <c r="Y573">
        <v>67.2</v>
      </c>
      <c r="Z573">
        <v>59.5</v>
      </c>
      <c r="AA573">
        <v>43</v>
      </c>
      <c r="AB573">
        <v>99</v>
      </c>
      <c r="AC573">
        <v>71.900000000000006</v>
      </c>
      <c r="AD573">
        <v>100</v>
      </c>
      <c r="AE573">
        <v>100</v>
      </c>
      <c r="AF573" t="s">
        <v>47</v>
      </c>
    </row>
    <row r="574" spans="1:32">
      <c r="A574" t="s">
        <v>1874</v>
      </c>
      <c r="B574">
        <v>1.1000000000000001</v>
      </c>
      <c r="C574">
        <v>6</v>
      </c>
      <c r="D574">
        <v>4</v>
      </c>
      <c r="E574">
        <v>8.1</v>
      </c>
      <c r="F574">
        <v>10.9</v>
      </c>
      <c r="G574">
        <v>5.7</v>
      </c>
      <c r="H574">
        <v>59.6</v>
      </c>
      <c r="I574">
        <v>49.6</v>
      </c>
      <c r="J574">
        <v>1</v>
      </c>
      <c r="K574">
        <v>35</v>
      </c>
      <c r="L574">
        <v>31.7</v>
      </c>
      <c r="M574">
        <v>6</v>
      </c>
      <c r="N574">
        <v>97</v>
      </c>
      <c r="O574">
        <v>100</v>
      </c>
      <c r="P574">
        <v>20.399999999999999</v>
      </c>
      <c r="Q574">
        <v>11.4</v>
      </c>
      <c r="R574">
        <v>6</v>
      </c>
      <c r="S574">
        <v>14.8</v>
      </c>
      <c r="T574">
        <v>87</v>
      </c>
      <c r="U574">
        <v>1609</v>
      </c>
      <c r="V574">
        <v>1231000</v>
      </c>
      <c r="W574">
        <v>39</v>
      </c>
      <c r="X574">
        <v>49</v>
      </c>
      <c r="Y574">
        <v>64.7</v>
      </c>
      <c r="Z574">
        <v>70</v>
      </c>
      <c r="AA574">
        <v>39</v>
      </c>
      <c r="AB574">
        <v>95.4</v>
      </c>
      <c r="AC574">
        <v>60.8</v>
      </c>
      <c r="AD574">
        <v>100</v>
      </c>
      <c r="AE574">
        <v>100</v>
      </c>
      <c r="AF574" t="s">
        <v>47</v>
      </c>
    </row>
    <row r="575" spans="1:32">
      <c r="A575" t="s">
        <v>1877</v>
      </c>
      <c r="B575">
        <v>4.2</v>
      </c>
      <c r="C575">
        <v>9</v>
      </c>
      <c r="D575">
        <v>7</v>
      </c>
      <c r="E575">
        <v>10.4</v>
      </c>
      <c r="F575">
        <v>9.1999999999999993</v>
      </c>
      <c r="G575">
        <v>3.2</v>
      </c>
      <c r="H575">
        <v>48.7</v>
      </c>
      <c r="I575">
        <v>54</v>
      </c>
      <c r="J575">
        <v>0</v>
      </c>
      <c r="K575">
        <v>45</v>
      </c>
      <c r="L575">
        <v>40.4</v>
      </c>
      <c r="M575">
        <v>6.4</v>
      </c>
      <c r="N575">
        <v>103</v>
      </c>
      <c r="O575">
        <v>97</v>
      </c>
      <c r="P575">
        <v>13.7</v>
      </c>
      <c r="Q575">
        <v>13.6</v>
      </c>
      <c r="R575">
        <v>16.8</v>
      </c>
      <c r="S575">
        <v>20.100000000000001</v>
      </c>
      <c r="T575">
        <v>79</v>
      </c>
      <c r="U575">
        <v>1403</v>
      </c>
      <c r="V575">
        <v>1557000</v>
      </c>
      <c r="W575">
        <v>42</v>
      </c>
      <c r="X575">
        <v>48.7</v>
      </c>
      <c r="Y575">
        <v>62.9</v>
      </c>
      <c r="Z575">
        <v>70.099999999999994</v>
      </c>
      <c r="AA575">
        <v>42</v>
      </c>
      <c r="AB575">
        <v>97.4</v>
      </c>
      <c r="AC575">
        <v>60.7</v>
      </c>
      <c r="AD575">
        <v>100</v>
      </c>
      <c r="AE575">
        <v>100</v>
      </c>
      <c r="AF575" t="s">
        <v>47</v>
      </c>
    </row>
    <row r="576" spans="1:32">
      <c r="A576" t="s">
        <v>1879</v>
      </c>
      <c r="B576">
        <v>3.5</v>
      </c>
      <c r="C576">
        <v>10</v>
      </c>
      <c r="D576">
        <v>3</v>
      </c>
      <c r="E576">
        <v>10.6</v>
      </c>
      <c r="F576">
        <v>9.4</v>
      </c>
      <c r="G576">
        <v>5.7</v>
      </c>
      <c r="H576">
        <v>43.7</v>
      </c>
      <c r="I576">
        <v>63.3</v>
      </c>
      <c r="J576">
        <v>0</v>
      </c>
      <c r="K576">
        <v>48</v>
      </c>
      <c r="L576">
        <v>23.7</v>
      </c>
      <c r="M576">
        <v>5.3</v>
      </c>
      <c r="N576">
        <v>98</v>
      </c>
      <c r="O576">
        <v>78</v>
      </c>
      <c r="P576">
        <v>20.9</v>
      </c>
      <c r="Q576">
        <v>14.8</v>
      </c>
      <c r="R576">
        <v>9.4</v>
      </c>
      <c r="S576">
        <v>22.9</v>
      </c>
      <c r="T576">
        <v>88</v>
      </c>
      <c r="U576">
        <v>1461</v>
      </c>
      <c r="V576">
        <v>1144000</v>
      </c>
      <c r="W576">
        <v>47</v>
      </c>
      <c r="X576">
        <v>57.9</v>
      </c>
      <c r="Y576">
        <v>67</v>
      </c>
      <c r="Z576">
        <v>67.599999999999994</v>
      </c>
      <c r="AA576">
        <v>47</v>
      </c>
      <c r="AB576">
        <v>96.8</v>
      </c>
      <c r="AC576">
        <v>64.900000000000006</v>
      </c>
      <c r="AD576">
        <v>100</v>
      </c>
      <c r="AE576">
        <v>100</v>
      </c>
      <c r="AF576" t="s">
        <v>47</v>
      </c>
    </row>
    <row r="577" spans="1:32">
      <c r="A577" t="s">
        <v>1881</v>
      </c>
      <c r="B577">
        <v>1.7</v>
      </c>
      <c r="C577">
        <v>5</v>
      </c>
      <c r="D577">
        <v>2</v>
      </c>
      <c r="E577">
        <v>17.3</v>
      </c>
      <c r="F577">
        <v>16.8</v>
      </c>
      <c r="G577">
        <v>5.8</v>
      </c>
      <c r="H577">
        <v>64.8</v>
      </c>
      <c r="I577">
        <v>63.8</v>
      </c>
      <c r="J577">
        <v>0</v>
      </c>
      <c r="K577">
        <v>48</v>
      </c>
      <c r="L577">
        <v>39.1</v>
      </c>
      <c r="M577">
        <v>6.6</v>
      </c>
      <c r="N577">
        <v>76</v>
      </c>
      <c r="O577">
        <v>105</v>
      </c>
      <c r="P577">
        <v>18.100000000000001</v>
      </c>
      <c r="Q577">
        <v>9.5</v>
      </c>
      <c r="R577">
        <v>6.4</v>
      </c>
      <c r="S577">
        <v>17.399999999999999</v>
      </c>
      <c r="T577">
        <v>94</v>
      </c>
      <c r="U577">
        <v>1449</v>
      </c>
      <c r="V577">
        <v>1595000</v>
      </c>
      <c r="W577">
        <v>49</v>
      </c>
      <c r="X577">
        <v>62.6</v>
      </c>
      <c r="Y577">
        <v>70.599999999999994</v>
      </c>
      <c r="Z577">
        <v>54.4</v>
      </c>
      <c r="AA577">
        <v>49</v>
      </c>
      <c r="AB577">
        <v>97</v>
      </c>
      <c r="AC577">
        <v>65</v>
      </c>
      <c r="AD577">
        <v>100</v>
      </c>
      <c r="AE577">
        <v>100</v>
      </c>
      <c r="AF577" t="s">
        <v>47</v>
      </c>
    </row>
    <row r="578" spans="1:32">
      <c r="A578" t="s">
        <v>1884</v>
      </c>
      <c r="B578">
        <v>6.1</v>
      </c>
      <c r="C578">
        <v>16</v>
      </c>
      <c r="D578">
        <v>6</v>
      </c>
      <c r="E578">
        <v>13.2</v>
      </c>
      <c r="F578">
        <v>20.2</v>
      </c>
      <c r="G578">
        <v>5.6</v>
      </c>
      <c r="H578">
        <v>54.7</v>
      </c>
      <c r="I578">
        <v>83.6</v>
      </c>
      <c r="J578">
        <v>0</v>
      </c>
      <c r="K578">
        <v>52</v>
      </c>
      <c r="L578">
        <v>33.299999999999997</v>
      </c>
      <c r="M578">
        <v>3.8</v>
      </c>
      <c r="N578">
        <v>90</v>
      </c>
      <c r="O578">
        <v>97</v>
      </c>
      <c r="P578">
        <v>14.7</v>
      </c>
      <c r="Q578">
        <v>10.6</v>
      </c>
      <c r="R578">
        <v>6.6</v>
      </c>
      <c r="S578">
        <v>21.5</v>
      </c>
      <c r="T578">
        <v>100</v>
      </c>
      <c r="U578">
        <v>1419</v>
      </c>
      <c r="V578">
        <v>1056000</v>
      </c>
      <c r="W578">
        <v>62</v>
      </c>
      <c r="X578">
        <v>57.5</v>
      </c>
      <c r="Y578">
        <v>80.5</v>
      </c>
      <c r="Z578">
        <v>43.5</v>
      </c>
      <c r="AA578">
        <v>62</v>
      </c>
      <c r="AB578">
        <v>97.3</v>
      </c>
      <c r="AC578">
        <v>64.900000000000006</v>
      </c>
      <c r="AD578">
        <v>100</v>
      </c>
      <c r="AE578">
        <v>100</v>
      </c>
      <c r="AF578" t="s">
        <v>47</v>
      </c>
    </row>
    <row r="579" spans="1:32">
      <c r="A579" t="s">
        <v>1886</v>
      </c>
      <c r="B579">
        <v>0.9</v>
      </c>
      <c r="C579">
        <v>9</v>
      </c>
      <c r="D579">
        <v>0</v>
      </c>
      <c r="E579">
        <v>4.5999999999999996</v>
      </c>
      <c r="F579">
        <v>13.9</v>
      </c>
      <c r="G579">
        <v>6.4</v>
      </c>
      <c r="H579">
        <v>47.8</v>
      </c>
      <c r="I579">
        <v>43.1</v>
      </c>
      <c r="J579">
        <v>0</v>
      </c>
      <c r="K579">
        <v>33</v>
      </c>
      <c r="L579">
        <v>43.4</v>
      </c>
      <c r="M579">
        <v>8.6999999999999993</v>
      </c>
      <c r="N579">
        <v>116</v>
      </c>
      <c r="O579">
        <v>67</v>
      </c>
      <c r="P579">
        <v>26.4</v>
      </c>
      <c r="Q579">
        <v>13.5</v>
      </c>
      <c r="R579">
        <v>8.9</v>
      </c>
      <c r="S579">
        <v>14.9</v>
      </c>
      <c r="T579">
        <v>85</v>
      </c>
      <c r="U579">
        <v>1578</v>
      </c>
      <c r="V579">
        <v>1356000</v>
      </c>
      <c r="W579">
        <v>56</v>
      </c>
      <c r="X579">
        <v>39</v>
      </c>
      <c r="Y579">
        <v>56</v>
      </c>
      <c r="Z579">
        <v>63</v>
      </c>
      <c r="AA579">
        <v>56</v>
      </c>
      <c r="AB579">
        <v>95.7</v>
      </c>
      <c r="AC579">
        <v>55.4</v>
      </c>
      <c r="AD579">
        <v>100</v>
      </c>
      <c r="AE579">
        <v>100</v>
      </c>
      <c r="AF579" t="s">
        <v>47</v>
      </c>
    </row>
    <row r="580" spans="1:32">
      <c r="A580" t="s">
        <v>1888</v>
      </c>
      <c r="B580">
        <v>6.1</v>
      </c>
      <c r="C580">
        <v>16</v>
      </c>
      <c r="D580">
        <v>8</v>
      </c>
      <c r="E580">
        <v>14</v>
      </c>
      <c r="F580">
        <v>11</v>
      </c>
      <c r="G580">
        <v>5.4</v>
      </c>
      <c r="H580">
        <v>45.1</v>
      </c>
      <c r="I580">
        <v>85.4</v>
      </c>
      <c r="J580">
        <v>0</v>
      </c>
      <c r="K580">
        <v>58</v>
      </c>
      <c r="L580">
        <v>15.4</v>
      </c>
      <c r="M580">
        <v>5.7</v>
      </c>
      <c r="N580">
        <v>96</v>
      </c>
      <c r="O580">
        <v>92</v>
      </c>
      <c r="P580">
        <v>9.4</v>
      </c>
      <c r="Q580">
        <v>11.6</v>
      </c>
      <c r="R580">
        <v>8</v>
      </c>
      <c r="S580">
        <v>26</v>
      </c>
      <c r="T580">
        <v>100</v>
      </c>
      <c r="U580">
        <v>1576</v>
      </c>
      <c r="V580">
        <v>2148000</v>
      </c>
      <c r="W580">
        <v>53</v>
      </c>
      <c r="X580">
        <v>66</v>
      </c>
      <c r="Y580">
        <v>80.599999999999994</v>
      </c>
      <c r="Z580">
        <v>61.6</v>
      </c>
      <c r="AA580">
        <v>53</v>
      </c>
      <c r="AB580">
        <v>95.7</v>
      </c>
      <c r="AC580">
        <v>70.400000000000006</v>
      </c>
      <c r="AD580">
        <v>100</v>
      </c>
      <c r="AE580">
        <v>100</v>
      </c>
      <c r="AF580" t="s">
        <v>47</v>
      </c>
    </row>
    <row r="581" spans="1:32">
      <c r="A581" t="s">
        <v>1890</v>
      </c>
      <c r="B581">
        <v>1.1000000000000001</v>
      </c>
      <c r="C581">
        <v>5</v>
      </c>
      <c r="D581">
        <v>2</v>
      </c>
      <c r="E581">
        <v>7.5</v>
      </c>
      <c r="F581">
        <v>13.3</v>
      </c>
      <c r="G581">
        <v>6.2</v>
      </c>
      <c r="H581">
        <v>64.3</v>
      </c>
      <c r="I581">
        <v>62.7</v>
      </c>
      <c r="J581">
        <v>0</v>
      </c>
      <c r="K581">
        <v>42</v>
      </c>
      <c r="L581">
        <v>37</v>
      </c>
      <c r="M581">
        <v>9.1999999999999993</v>
      </c>
      <c r="N581">
        <v>114</v>
      </c>
      <c r="O581">
        <v>106</v>
      </c>
      <c r="P581">
        <v>20.5</v>
      </c>
      <c r="Q581">
        <v>10.8</v>
      </c>
      <c r="R581">
        <v>5.9</v>
      </c>
      <c r="S581">
        <v>10.3</v>
      </c>
      <c r="T581">
        <v>84</v>
      </c>
      <c r="U581">
        <v>1428</v>
      </c>
      <c r="V581">
        <v>1881000</v>
      </c>
      <c r="W581">
        <v>52</v>
      </c>
      <c r="X581">
        <v>43.6</v>
      </c>
      <c r="Y581">
        <v>67.099999999999994</v>
      </c>
      <c r="Z581">
        <v>67.7</v>
      </c>
      <c r="AA581">
        <v>52</v>
      </c>
      <c r="AB581">
        <v>97.2</v>
      </c>
      <c r="AC581">
        <v>60.5</v>
      </c>
      <c r="AD581">
        <v>100</v>
      </c>
      <c r="AE581">
        <v>100</v>
      </c>
      <c r="AF581" t="s">
        <v>47</v>
      </c>
    </row>
    <row r="582" spans="1:32">
      <c r="A582" t="s">
        <v>1892</v>
      </c>
      <c r="B582">
        <v>1.4</v>
      </c>
      <c r="C582">
        <v>5</v>
      </c>
      <c r="D582">
        <v>2</v>
      </c>
      <c r="E582">
        <v>7.1</v>
      </c>
      <c r="F582">
        <v>11.4</v>
      </c>
      <c r="G582">
        <v>4.8</v>
      </c>
      <c r="H582">
        <v>59.8</v>
      </c>
      <c r="I582">
        <v>32.4</v>
      </c>
      <c r="J582">
        <v>0</v>
      </c>
      <c r="K582">
        <v>36</v>
      </c>
      <c r="L582">
        <v>31.1</v>
      </c>
      <c r="M582">
        <v>9.9</v>
      </c>
      <c r="N582">
        <v>109</v>
      </c>
      <c r="O582">
        <v>86</v>
      </c>
      <c r="P582">
        <v>24.9</v>
      </c>
      <c r="Q582">
        <v>14.2</v>
      </c>
      <c r="R582">
        <v>11.3</v>
      </c>
      <c r="S582">
        <v>16.7</v>
      </c>
      <c r="T582">
        <v>77</v>
      </c>
      <c r="U582">
        <v>1355</v>
      </c>
      <c r="V582">
        <v>630000</v>
      </c>
      <c r="W582">
        <v>40</v>
      </c>
      <c r="X582">
        <v>47.5</v>
      </c>
      <c r="Y582">
        <v>50.6</v>
      </c>
      <c r="Z582">
        <v>67.5</v>
      </c>
      <c r="AA582">
        <v>40</v>
      </c>
      <c r="AB582">
        <v>97.9</v>
      </c>
      <c r="AC582">
        <v>56.5</v>
      </c>
      <c r="AD582">
        <v>100</v>
      </c>
      <c r="AE582">
        <v>100</v>
      </c>
      <c r="AF582" t="s">
        <v>47</v>
      </c>
    </row>
    <row r="583" spans="1:32">
      <c r="A583" t="s">
        <v>1895</v>
      </c>
      <c r="B583">
        <v>6.5</v>
      </c>
      <c r="D583">
        <v>7</v>
      </c>
      <c r="E583">
        <v>12</v>
      </c>
      <c r="F583">
        <v>12.4</v>
      </c>
      <c r="G583">
        <v>3.7</v>
      </c>
      <c r="H583">
        <v>38.9</v>
      </c>
      <c r="I583">
        <v>56.7</v>
      </c>
      <c r="J583">
        <v>0</v>
      </c>
      <c r="K583">
        <v>48</v>
      </c>
      <c r="L583">
        <v>12.6</v>
      </c>
      <c r="M583">
        <v>4</v>
      </c>
      <c r="N583">
        <v>116</v>
      </c>
      <c r="O583">
        <v>97</v>
      </c>
      <c r="P583">
        <v>12.9</v>
      </c>
      <c r="Q583">
        <v>17.100000000000001</v>
      </c>
      <c r="R583">
        <v>9.5</v>
      </c>
      <c r="S583">
        <v>21.8</v>
      </c>
      <c r="T583">
        <v>83</v>
      </c>
      <c r="U583">
        <v>1349</v>
      </c>
      <c r="V583">
        <v>551000</v>
      </c>
      <c r="W583">
        <v>60</v>
      </c>
      <c r="X583">
        <v>61.4</v>
      </c>
      <c r="Y583">
        <v>67.8</v>
      </c>
      <c r="Z583">
        <v>61.4</v>
      </c>
      <c r="AA583">
        <v>60</v>
      </c>
      <c r="AB583">
        <v>97.9</v>
      </c>
      <c r="AC583">
        <v>66.5</v>
      </c>
      <c r="AD583">
        <v>100</v>
      </c>
      <c r="AE583">
        <v>95.2</v>
      </c>
      <c r="AF583" t="s">
        <v>47</v>
      </c>
    </row>
    <row r="584" spans="1:32">
      <c r="A584" t="s">
        <v>1898</v>
      </c>
      <c r="B584">
        <v>3.9</v>
      </c>
      <c r="C584">
        <v>8</v>
      </c>
      <c r="D584">
        <v>7</v>
      </c>
      <c r="F584">
        <v>14</v>
      </c>
      <c r="G584">
        <v>6</v>
      </c>
      <c r="H584">
        <v>55.5</v>
      </c>
      <c r="I584">
        <v>58.4</v>
      </c>
      <c r="J584">
        <v>0</v>
      </c>
      <c r="K584">
        <v>38</v>
      </c>
      <c r="L584">
        <v>24.7</v>
      </c>
      <c r="M584">
        <v>8.1</v>
      </c>
      <c r="O584">
        <v>75</v>
      </c>
      <c r="P584">
        <v>13.9</v>
      </c>
      <c r="Q584">
        <v>12.6</v>
      </c>
      <c r="R584">
        <v>8</v>
      </c>
      <c r="S584">
        <v>15.8</v>
      </c>
      <c r="T584">
        <v>79</v>
      </c>
      <c r="U584">
        <v>1250</v>
      </c>
      <c r="V584">
        <v>3324000</v>
      </c>
      <c r="W584">
        <v>65</v>
      </c>
      <c r="X584">
        <v>74.5</v>
      </c>
      <c r="Y584">
        <v>67.3</v>
      </c>
      <c r="Z584">
        <v>62.1</v>
      </c>
      <c r="AA584">
        <v>65</v>
      </c>
      <c r="AB584">
        <v>98.9</v>
      </c>
      <c r="AC584">
        <v>71.7</v>
      </c>
      <c r="AD584">
        <v>100</v>
      </c>
      <c r="AE584">
        <v>90.5</v>
      </c>
      <c r="AF584" t="s">
        <v>47</v>
      </c>
    </row>
    <row r="585" spans="1:32">
      <c r="A585" t="s">
        <v>1901</v>
      </c>
      <c r="B585">
        <v>5.7</v>
      </c>
      <c r="C585">
        <v>11</v>
      </c>
      <c r="D585">
        <v>6</v>
      </c>
      <c r="E585">
        <v>23.8</v>
      </c>
      <c r="F585">
        <v>5.2</v>
      </c>
      <c r="G585">
        <v>4.8</v>
      </c>
      <c r="H585">
        <v>56.7</v>
      </c>
      <c r="I585">
        <v>77.8</v>
      </c>
      <c r="J585">
        <v>1</v>
      </c>
      <c r="K585">
        <v>64</v>
      </c>
      <c r="L585">
        <v>15.2</v>
      </c>
      <c r="M585">
        <v>5.3</v>
      </c>
      <c r="N585">
        <v>81</v>
      </c>
      <c r="O585">
        <v>85</v>
      </c>
      <c r="P585">
        <v>9.1999999999999993</v>
      </c>
      <c r="Q585">
        <v>8.6999999999999993</v>
      </c>
      <c r="R585">
        <v>9.9</v>
      </c>
      <c r="S585">
        <v>16</v>
      </c>
      <c r="T585">
        <v>96</v>
      </c>
      <c r="U585">
        <v>1496</v>
      </c>
      <c r="V585">
        <v>838000</v>
      </c>
      <c r="W585">
        <v>29</v>
      </c>
      <c r="X585">
        <v>83.9</v>
      </c>
      <c r="Y585">
        <v>78.7</v>
      </c>
      <c r="Z585">
        <v>82.4</v>
      </c>
      <c r="AA585">
        <v>29</v>
      </c>
      <c r="AB585">
        <v>96.5</v>
      </c>
      <c r="AC585">
        <v>78</v>
      </c>
      <c r="AD585">
        <v>100</v>
      </c>
      <c r="AE585">
        <v>100</v>
      </c>
      <c r="AF585" t="s">
        <v>47</v>
      </c>
    </row>
    <row r="586" spans="1:32">
      <c r="A586" t="s">
        <v>1903</v>
      </c>
      <c r="B586">
        <v>4.0999999999999996</v>
      </c>
      <c r="C586">
        <v>11</v>
      </c>
      <c r="D586">
        <v>5</v>
      </c>
      <c r="F586">
        <v>15.6</v>
      </c>
      <c r="G586">
        <v>4.5</v>
      </c>
      <c r="H586">
        <v>56.6</v>
      </c>
      <c r="I586">
        <v>78.3</v>
      </c>
      <c r="J586">
        <v>0</v>
      </c>
      <c r="K586">
        <v>38</v>
      </c>
      <c r="L586">
        <v>38.299999999999997</v>
      </c>
      <c r="M586">
        <v>4.9000000000000004</v>
      </c>
      <c r="O586">
        <v>99</v>
      </c>
      <c r="P586">
        <v>15.6</v>
      </c>
      <c r="Q586">
        <v>11.4</v>
      </c>
      <c r="R586">
        <v>7.4</v>
      </c>
      <c r="S586">
        <v>14.1</v>
      </c>
      <c r="T586">
        <v>98</v>
      </c>
      <c r="U586">
        <v>1859</v>
      </c>
      <c r="V586">
        <v>712000</v>
      </c>
      <c r="W586">
        <v>61</v>
      </c>
      <c r="X586">
        <v>55.8</v>
      </c>
      <c r="Y586">
        <v>76.8</v>
      </c>
      <c r="Z586">
        <v>59.6</v>
      </c>
      <c r="AA586">
        <v>61</v>
      </c>
      <c r="AB586">
        <v>93</v>
      </c>
      <c r="AC586">
        <v>66.099999999999994</v>
      </c>
      <c r="AD586">
        <v>100</v>
      </c>
      <c r="AE586">
        <v>90.5</v>
      </c>
      <c r="AF586" t="s">
        <v>47</v>
      </c>
    </row>
    <row r="587" spans="1:32">
      <c r="A587" t="s">
        <v>1905</v>
      </c>
      <c r="B587">
        <v>7.6</v>
      </c>
      <c r="C587">
        <v>21</v>
      </c>
      <c r="D587">
        <v>10</v>
      </c>
      <c r="E587">
        <v>27.9</v>
      </c>
      <c r="F587">
        <v>8.5</v>
      </c>
      <c r="G587">
        <v>3.6</v>
      </c>
      <c r="H587">
        <v>47.3</v>
      </c>
      <c r="I587">
        <v>78.5</v>
      </c>
      <c r="J587">
        <v>2</v>
      </c>
      <c r="K587">
        <v>58</v>
      </c>
      <c r="L587">
        <v>16.600000000000001</v>
      </c>
      <c r="M587">
        <v>2.8</v>
      </c>
      <c r="N587">
        <v>70</v>
      </c>
      <c r="O587">
        <v>100</v>
      </c>
      <c r="P587">
        <v>10.6</v>
      </c>
      <c r="Q587">
        <v>9.1</v>
      </c>
      <c r="R587">
        <v>10.3</v>
      </c>
      <c r="S587">
        <v>23.8</v>
      </c>
      <c r="T587">
        <v>89</v>
      </c>
      <c r="U587">
        <v>1303</v>
      </c>
      <c r="V587">
        <v>2003000</v>
      </c>
      <c r="W587">
        <v>58</v>
      </c>
      <c r="X587">
        <v>85.3</v>
      </c>
      <c r="Y587">
        <v>79.900000000000006</v>
      </c>
      <c r="Z587">
        <v>69</v>
      </c>
      <c r="AA587">
        <v>58</v>
      </c>
      <c r="AB587">
        <v>98.4</v>
      </c>
      <c r="AC587">
        <v>79.3</v>
      </c>
      <c r="AD587">
        <v>100</v>
      </c>
      <c r="AE587">
        <v>100</v>
      </c>
      <c r="AF587" t="s">
        <v>47</v>
      </c>
    </row>
    <row r="588" spans="1:32">
      <c r="A588" t="s">
        <v>1906</v>
      </c>
      <c r="B588">
        <v>3.1</v>
      </c>
      <c r="C588">
        <v>10</v>
      </c>
      <c r="D588">
        <v>6</v>
      </c>
      <c r="E588">
        <v>11.7</v>
      </c>
      <c r="F588">
        <v>10.1</v>
      </c>
      <c r="G588">
        <v>8.9</v>
      </c>
      <c r="H588">
        <v>63.7</v>
      </c>
      <c r="I588">
        <v>61.5</v>
      </c>
      <c r="J588">
        <v>0</v>
      </c>
      <c r="K588">
        <v>55</v>
      </c>
      <c r="L588">
        <v>22.1</v>
      </c>
      <c r="M588">
        <v>4.8</v>
      </c>
      <c r="N588">
        <v>89</v>
      </c>
      <c r="O588">
        <v>55</v>
      </c>
      <c r="P588">
        <v>16.8</v>
      </c>
      <c r="Q588">
        <v>7.5</v>
      </c>
      <c r="R588">
        <v>9.1999999999999993</v>
      </c>
      <c r="S588">
        <v>2</v>
      </c>
      <c r="T588">
        <v>84</v>
      </c>
      <c r="U588">
        <v>1640</v>
      </c>
      <c r="V588">
        <v>3147000</v>
      </c>
      <c r="W588">
        <v>87</v>
      </c>
      <c r="X588">
        <v>63.1</v>
      </c>
      <c r="Y588">
        <v>71.2</v>
      </c>
      <c r="Z588">
        <v>81.2</v>
      </c>
      <c r="AA588">
        <v>87</v>
      </c>
      <c r="AB588">
        <v>95.1</v>
      </c>
      <c r="AC588">
        <v>74.3</v>
      </c>
      <c r="AD588">
        <v>100</v>
      </c>
      <c r="AE588">
        <v>100</v>
      </c>
      <c r="AF588" t="s">
        <v>47</v>
      </c>
    </row>
    <row r="589" spans="1:32">
      <c r="A589" t="s">
        <v>1908</v>
      </c>
      <c r="B589">
        <v>3.5</v>
      </c>
      <c r="C589">
        <v>12</v>
      </c>
      <c r="D589">
        <v>4</v>
      </c>
      <c r="F589">
        <v>21.3</v>
      </c>
      <c r="G589">
        <v>5.0999999999999996</v>
      </c>
      <c r="H589">
        <v>56.8</v>
      </c>
      <c r="I589">
        <v>72.400000000000006</v>
      </c>
      <c r="J589">
        <v>0</v>
      </c>
      <c r="K589">
        <v>34</v>
      </c>
      <c r="L589">
        <v>38.299999999999997</v>
      </c>
      <c r="M589">
        <v>4.8</v>
      </c>
      <c r="O589">
        <v>85</v>
      </c>
      <c r="P589">
        <v>15.8</v>
      </c>
      <c r="Q589">
        <v>9.1</v>
      </c>
      <c r="R589">
        <v>10.5</v>
      </c>
      <c r="S589">
        <v>21.4</v>
      </c>
      <c r="T589">
        <v>95</v>
      </c>
      <c r="U589">
        <v>1135</v>
      </c>
      <c r="V589">
        <v>1741000</v>
      </c>
      <c r="W589">
        <v>38</v>
      </c>
      <c r="X589">
        <v>58.5</v>
      </c>
      <c r="Y589">
        <v>74.2</v>
      </c>
      <c r="Z589">
        <v>41.1</v>
      </c>
      <c r="AA589">
        <v>38</v>
      </c>
      <c r="AB589">
        <v>100</v>
      </c>
      <c r="AC589">
        <v>61</v>
      </c>
      <c r="AD589">
        <v>100</v>
      </c>
      <c r="AE589">
        <v>90.5</v>
      </c>
      <c r="AF589" t="s">
        <v>47</v>
      </c>
    </row>
    <row r="590" spans="1:32">
      <c r="A590" t="s">
        <v>1910</v>
      </c>
      <c r="B590">
        <v>3.2</v>
      </c>
      <c r="C590">
        <v>9</v>
      </c>
      <c r="D590">
        <v>4</v>
      </c>
      <c r="E590">
        <v>12.2</v>
      </c>
      <c r="F590">
        <v>5.4</v>
      </c>
      <c r="G590">
        <v>8.1</v>
      </c>
      <c r="H590">
        <v>69.5</v>
      </c>
      <c r="I590">
        <v>42.5</v>
      </c>
      <c r="J590">
        <v>0</v>
      </c>
      <c r="K590">
        <v>56</v>
      </c>
      <c r="L590">
        <v>34.4</v>
      </c>
      <c r="M590">
        <v>6.8</v>
      </c>
      <c r="N590">
        <v>87</v>
      </c>
      <c r="O590">
        <v>85</v>
      </c>
      <c r="P590">
        <v>28.1</v>
      </c>
      <c r="Q590">
        <v>9.3000000000000007</v>
      </c>
      <c r="R590">
        <v>6.2</v>
      </c>
      <c r="S590">
        <v>8.4</v>
      </c>
      <c r="T590">
        <v>83</v>
      </c>
      <c r="U590">
        <v>2101</v>
      </c>
      <c r="V590">
        <v>2864000</v>
      </c>
      <c r="W590">
        <v>58</v>
      </c>
      <c r="X590">
        <v>56.7</v>
      </c>
      <c r="Y590">
        <v>59.4</v>
      </c>
      <c r="Z590">
        <v>87.4</v>
      </c>
      <c r="AA590">
        <v>58</v>
      </c>
      <c r="AB590">
        <v>90.6</v>
      </c>
      <c r="AC590">
        <v>67</v>
      </c>
      <c r="AD590">
        <v>100</v>
      </c>
      <c r="AE590">
        <v>100</v>
      </c>
      <c r="AF590" t="s">
        <v>47</v>
      </c>
    </row>
    <row r="591" spans="1:32">
      <c r="A591" t="s">
        <v>1912</v>
      </c>
      <c r="B591">
        <v>2.2000000000000002</v>
      </c>
      <c r="C591">
        <v>5</v>
      </c>
      <c r="D591">
        <v>5</v>
      </c>
      <c r="E591">
        <v>13.2</v>
      </c>
      <c r="F591">
        <v>10.9</v>
      </c>
      <c r="G591">
        <v>6.3</v>
      </c>
      <c r="H591">
        <v>82</v>
      </c>
      <c r="I591">
        <v>63.4</v>
      </c>
      <c r="J591">
        <v>0</v>
      </c>
      <c r="K591">
        <v>53</v>
      </c>
      <c r="L591">
        <v>16.100000000000001</v>
      </c>
      <c r="M591">
        <v>8.8000000000000007</v>
      </c>
      <c r="N591">
        <v>87</v>
      </c>
      <c r="O591">
        <v>93</v>
      </c>
      <c r="P591">
        <v>10.5</v>
      </c>
      <c r="Q591">
        <v>9.6999999999999993</v>
      </c>
      <c r="R591">
        <v>4.5999999999999996</v>
      </c>
      <c r="S591">
        <v>16</v>
      </c>
      <c r="T591">
        <v>91</v>
      </c>
      <c r="U591">
        <v>1599</v>
      </c>
      <c r="V591">
        <v>2348000</v>
      </c>
      <c r="W591">
        <v>63</v>
      </c>
      <c r="X591">
        <v>65.3</v>
      </c>
      <c r="Y591">
        <v>72.400000000000006</v>
      </c>
      <c r="Z591">
        <v>69.099999999999994</v>
      </c>
      <c r="AA591">
        <v>63</v>
      </c>
      <c r="AB591">
        <v>95.5</v>
      </c>
      <c r="AC591">
        <v>70.599999999999994</v>
      </c>
      <c r="AD591">
        <v>100</v>
      </c>
      <c r="AE591">
        <v>100</v>
      </c>
      <c r="AF591" t="s">
        <v>47</v>
      </c>
    </row>
    <row r="592" spans="1:32">
      <c r="A592" t="s">
        <v>1915</v>
      </c>
      <c r="B592">
        <v>2.9</v>
      </c>
      <c r="C592">
        <v>8</v>
      </c>
      <c r="D592">
        <v>4</v>
      </c>
      <c r="E592">
        <v>12.2</v>
      </c>
      <c r="F592">
        <v>15.7</v>
      </c>
      <c r="G592">
        <v>6.9</v>
      </c>
      <c r="H592">
        <v>29.8</v>
      </c>
      <c r="I592">
        <v>75.5</v>
      </c>
      <c r="J592">
        <v>0</v>
      </c>
      <c r="K592">
        <v>45</v>
      </c>
      <c r="L592">
        <v>37.700000000000003</v>
      </c>
      <c r="M592">
        <v>5.7</v>
      </c>
      <c r="N592">
        <v>105</v>
      </c>
      <c r="O592">
        <v>72</v>
      </c>
      <c r="P592">
        <v>13.5</v>
      </c>
      <c r="Q592">
        <v>2.4</v>
      </c>
      <c r="R592">
        <v>2.9</v>
      </c>
      <c r="S592">
        <v>21.5</v>
      </c>
      <c r="T592">
        <v>91</v>
      </c>
      <c r="U592">
        <v>1759</v>
      </c>
      <c r="V592">
        <v>1403000</v>
      </c>
      <c r="W592">
        <v>46</v>
      </c>
      <c r="X592">
        <v>54.3</v>
      </c>
      <c r="Y592">
        <v>81.400000000000006</v>
      </c>
      <c r="Z592">
        <v>54</v>
      </c>
      <c r="AA592">
        <v>46</v>
      </c>
      <c r="AB592">
        <v>94</v>
      </c>
      <c r="AC592">
        <v>64.2</v>
      </c>
      <c r="AD592">
        <v>100</v>
      </c>
      <c r="AE592">
        <v>100</v>
      </c>
      <c r="AF592" t="s">
        <v>47</v>
      </c>
    </row>
    <row r="593" spans="1:32">
      <c r="A593" t="s">
        <v>1917</v>
      </c>
      <c r="B593">
        <v>3.4</v>
      </c>
      <c r="C593">
        <v>8</v>
      </c>
      <c r="D593">
        <v>4</v>
      </c>
      <c r="E593">
        <v>11.9</v>
      </c>
      <c r="F593">
        <v>15.1</v>
      </c>
      <c r="G593">
        <v>6</v>
      </c>
      <c r="H593">
        <v>55.8</v>
      </c>
      <c r="I593">
        <v>71.099999999999994</v>
      </c>
      <c r="J593">
        <v>1</v>
      </c>
      <c r="K593">
        <v>43</v>
      </c>
      <c r="L593">
        <v>39.5</v>
      </c>
      <c r="M593">
        <v>7.6</v>
      </c>
      <c r="N593">
        <v>100</v>
      </c>
      <c r="O593">
        <v>98</v>
      </c>
      <c r="P593">
        <v>19.100000000000001</v>
      </c>
      <c r="Q593">
        <v>11.8</v>
      </c>
      <c r="R593">
        <v>7.5</v>
      </c>
      <c r="S593">
        <v>17.2</v>
      </c>
      <c r="T593">
        <v>90</v>
      </c>
      <c r="U593">
        <v>1565</v>
      </c>
      <c r="V593">
        <v>523000</v>
      </c>
      <c r="W593">
        <v>31</v>
      </c>
      <c r="X593">
        <v>51.7</v>
      </c>
      <c r="Y593">
        <v>70.7</v>
      </c>
      <c r="Z593">
        <v>58.5</v>
      </c>
      <c r="AA593">
        <v>31</v>
      </c>
      <c r="AB593">
        <v>95.8</v>
      </c>
      <c r="AC593">
        <v>60.1</v>
      </c>
      <c r="AD593">
        <v>100</v>
      </c>
      <c r="AE593">
        <v>100</v>
      </c>
      <c r="AF593" t="s">
        <v>47</v>
      </c>
    </row>
    <row r="594" spans="1:32">
      <c r="A594" t="s">
        <v>1920</v>
      </c>
      <c r="B594">
        <v>6.8</v>
      </c>
      <c r="C594">
        <v>14</v>
      </c>
      <c r="D594">
        <v>10</v>
      </c>
      <c r="E594">
        <v>19.100000000000001</v>
      </c>
      <c r="F594">
        <v>7.7</v>
      </c>
      <c r="G594">
        <v>3.1</v>
      </c>
      <c r="H594">
        <v>60.5</v>
      </c>
      <c r="I594">
        <v>90.7</v>
      </c>
      <c r="J594">
        <v>0</v>
      </c>
      <c r="K594">
        <v>65</v>
      </c>
      <c r="L594">
        <v>15.2</v>
      </c>
      <c r="M594">
        <v>4.0999999999999996</v>
      </c>
      <c r="N594">
        <v>70</v>
      </c>
      <c r="O594">
        <v>78</v>
      </c>
      <c r="P594">
        <v>8.3000000000000007</v>
      </c>
      <c r="Q594">
        <v>17.5</v>
      </c>
      <c r="R594">
        <v>7.9</v>
      </c>
      <c r="S594">
        <v>22.3</v>
      </c>
      <c r="T594">
        <v>88</v>
      </c>
      <c r="U594">
        <v>2159</v>
      </c>
      <c r="V594">
        <v>1300000</v>
      </c>
      <c r="W594">
        <v>55</v>
      </c>
      <c r="X594">
        <v>78.099999999999994</v>
      </c>
      <c r="Y594">
        <v>81.900000000000006</v>
      </c>
      <c r="Z594">
        <v>72</v>
      </c>
      <c r="AA594">
        <v>55</v>
      </c>
      <c r="AB594">
        <v>90.1</v>
      </c>
      <c r="AC594">
        <v>76.7</v>
      </c>
      <c r="AD594">
        <v>100</v>
      </c>
      <c r="AE594">
        <v>100</v>
      </c>
      <c r="AF594" t="s">
        <v>47</v>
      </c>
    </row>
    <row r="595" spans="1:32">
      <c r="A595" t="s">
        <v>1923</v>
      </c>
      <c r="B595">
        <v>1.2</v>
      </c>
      <c r="C595">
        <v>5</v>
      </c>
      <c r="D595">
        <v>1</v>
      </c>
      <c r="E595">
        <v>4.8</v>
      </c>
      <c r="F595">
        <v>16.600000000000001</v>
      </c>
      <c r="G595">
        <v>5.3</v>
      </c>
      <c r="H595">
        <v>54.7</v>
      </c>
      <c r="I595">
        <v>47.2</v>
      </c>
      <c r="J595">
        <v>0</v>
      </c>
      <c r="K595">
        <v>32</v>
      </c>
      <c r="L595">
        <v>42.1</v>
      </c>
      <c r="M595">
        <v>7.2</v>
      </c>
      <c r="N595">
        <v>111</v>
      </c>
      <c r="O595">
        <v>87</v>
      </c>
      <c r="P595">
        <v>17.7</v>
      </c>
      <c r="Q595">
        <v>12.6</v>
      </c>
      <c r="R595">
        <v>8.5</v>
      </c>
      <c r="S595">
        <v>18.3</v>
      </c>
      <c r="T595">
        <v>74</v>
      </c>
      <c r="U595">
        <v>1365</v>
      </c>
      <c r="V595">
        <v>1112000</v>
      </c>
      <c r="W595">
        <v>47</v>
      </c>
      <c r="X595">
        <v>38.9</v>
      </c>
      <c r="Y595">
        <v>62.4</v>
      </c>
      <c r="Z595">
        <v>54.2</v>
      </c>
      <c r="AA595">
        <v>47</v>
      </c>
      <c r="AB595">
        <v>97.8</v>
      </c>
      <c r="AC595">
        <v>54.5</v>
      </c>
      <c r="AD595">
        <v>100</v>
      </c>
      <c r="AE595">
        <v>100</v>
      </c>
      <c r="AF595" t="s">
        <v>47</v>
      </c>
    </row>
    <row r="596" spans="1:32">
      <c r="A596" t="s">
        <v>1925</v>
      </c>
      <c r="B596">
        <v>5.3</v>
      </c>
      <c r="C596">
        <v>11</v>
      </c>
      <c r="D596">
        <v>6</v>
      </c>
      <c r="E596">
        <v>13.1</v>
      </c>
      <c r="F596">
        <v>4.3</v>
      </c>
      <c r="G596">
        <v>10</v>
      </c>
      <c r="H596">
        <v>56.7</v>
      </c>
      <c r="I596">
        <v>92.8</v>
      </c>
      <c r="J596">
        <v>1</v>
      </c>
      <c r="K596">
        <v>65</v>
      </c>
      <c r="L596">
        <v>18.399999999999999</v>
      </c>
      <c r="M596">
        <v>1.6</v>
      </c>
      <c r="N596">
        <v>87</v>
      </c>
      <c r="O596">
        <v>72</v>
      </c>
      <c r="P596">
        <v>6.3</v>
      </c>
      <c r="Q596">
        <v>1</v>
      </c>
      <c r="R596">
        <v>0.8</v>
      </c>
      <c r="S596">
        <v>10</v>
      </c>
      <c r="T596">
        <v>99</v>
      </c>
      <c r="U596">
        <v>2268</v>
      </c>
      <c r="V596">
        <v>2328000</v>
      </c>
      <c r="W596">
        <v>57</v>
      </c>
      <c r="X596">
        <v>65.8</v>
      </c>
      <c r="Y596">
        <v>94.7</v>
      </c>
      <c r="Z596">
        <v>88.8</v>
      </c>
      <c r="AA596">
        <v>57</v>
      </c>
      <c r="AB596">
        <v>89</v>
      </c>
      <c r="AC596">
        <v>79.099999999999994</v>
      </c>
      <c r="AD596">
        <v>100</v>
      </c>
      <c r="AE596">
        <v>100</v>
      </c>
      <c r="AF596" t="s">
        <v>47</v>
      </c>
    </row>
    <row r="597" spans="1:32">
      <c r="A597" t="s">
        <v>1928</v>
      </c>
      <c r="B597">
        <v>3.8</v>
      </c>
      <c r="C597">
        <v>12</v>
      </c>
      <c r="D597">
        <v>5</v>
      </c>
      <c r="E597">
        <v>12.7</v>
      </c>
      <c r="F597">
        <v>7.2</v>
      </c>
      <c r="G597">
        <v>5.9</v>
      </c>
      <c r="H597">
        <v>67</v>
      </c>
      <c r="I597">
        <v>54</v>
      </c>
      <c r="J597">
        <v>1</v>
      </c>
      <c r="K597">
        <v>49</v>
      </c>
      <c r="L597">
        <v>25.2</v>
      </c>
      <c r="M597">
        <v>6.8</v>
      </c>
      <c r="N597">
        <v>93</v>
      </c>
      <c r="O597">
        <v>70</v>
      </c>
      <c r="P597">
        <v>16.3</v>
      </c>
      <c r="Q597">
        <v>13.9</v>
      </c>
      <c r="R597">
        <v>10.199999999999999</v>
      </c>
      <c r="S597">
        <v>16.2</v>
      </c>
      <c r="T597">
        <v>79</v>
      </c>
      <c r="U597">
        <v>2262</v>
      </c>
      <c r="V597">
        <v>3188000</v>
      </c>
      <c r="W597">
        <v>64</v>
      </c>
      <c r="X597">
        <v>61.8</v>
      </c>
      <c r="Y597">
        <v>64.400000000000006</v>
      </c>
      <c r="Z597">
        <v>77.599999999999994</v>
      </c>
      <c r="AA597">
        <v>64</v>
      </c>
      <c r="AB597">
        <v>89.1</v>
      </c>
      <c r="AC597">
        <v>68.5</v>
      </c>
      <c r="AD597">
        <v>100</v>
      </c>
      <c r="AE597">
        <v>100</v>
      </c>
      <c r="AF597" t="s">
        <v>47</v>
      </c>
    </row>
    <row r="598" spans="1:32">
      <c r="A598" t="s">
        <v>1930</v>
      </c>
      <c r="B598">
        <v>1.2</v>
      </c>
      <c r="C598">
        <v>4</v>
      </c>
      <c r="D598">
        <v>3</v>
      </c>
      <c r="E598">
        <v>15.3</v>
      </c>
      <c r="F598">
        <v>13.2</v>
      </c>
      <c r="G598">
        <v>5.7</v>
      </c>
      <c r="H598">
        <v>79.400000000000006</v>
      </c>
      <c r="I598">
        <v>72.099999999999994</v>
      </c>
      <c r="J598">
        <v>0</v>
      </c>
      <c r="K598">
        <v>51</v>
      </c>
      <c r="L598">
        <v>21.8</v>
      </c>
      <c r="M598">
        <v>7</v>
      </c>
      <c r="N598">
        <v>74</v>
      </c>
      <c r="O598">
        <v>70</v>
      </c>
      <c r="P598">
        <v>13.7</v>
      </c>
      <c r="Q598">
        <v>4.5999999999999996</v>
      </c>
      <c r="R598">
        <v>11.1</v>
      </c>
      <c r="S598">
        <v>17.899999999999999</v>
      </c>
      <c r="T598">
        <v>92</v>
      </c>
      <c r="U598">
        <v>2052</v>
      </c>
      <c r="V598">
        <v>3029000</v>
      </c>
      <c r="W598">
        <v>76</v>
      </c>
      <c r="X598">
        <v>69.400000000000006</v>
      </c>
      <c r="Y598">
        <v>74.7</v>
      </c>
      <c r="Z598">
        <v>62.4</v>
      </c>
      <c r="AA598">
        <v>76</v>
      </c>
      <c r="AB598">
        <v>91.1</v>
      </c>
      <c r="AC598">
        <v>72.2</v>
      </c>
      <c r="AD598">
        <v>100</v>
      </c>
      <c r="AE598">
        <v>100</v>
      </c>
      <c r="AF598" t="s">
        <v>47</v>
      </c>
    </row>
    <row r="599" spans="1:32">
      <c r="A599" t="s">
        <v>1933</v>
      </c>
      <c r="B599">
        <v>1.4</v>
      </c>
      <c r="C599">
        <v>5</v>
      </c>
      <c r="D599">
        <v>1</v>
      </c>
      <c r="E599">
        <v>12.9</v>
      </c>
      <c r="F599">
        <v>8</v>
      </c>
      <c r="G599">
        <v>8</v>
      </c>
      <c r="H599">
        <v>55.2</v>
      </c>
      <c r="I599">
        <v>48.9</v>
      </c>
      <c r="J599">
        <v>0</v>
      </c>
      <c r="K599">
        <v>50</v>
      </c>
      <c r="L599">
        <v>26.2</v>
      </c>
      <c r="M599">
        <v>4.9000000000000004</v>
      </c>
      <c r="N599">
        <v>93</v>
      </c>
      <c r="O599">
        <v>96</v>
      </c>
      <c r="P599">
        <v>22.2</v>
      </c>
      <c r="Q599">
        <v>10.3</v>
      </c>
      <c r="R599">
        <v>9.6</v>
      </c>
      <c r="S599">
        <v>9.6999999999999993</v>
      </c>
      <c r="T599">
        <v>75</v>
      </c>
      <c r="U599">
        <v>1360</v>
      </c>
      <c r="V599">
        <v>2002000</v>
      </c>
      <c r="W599">
        <v>52</v>
      </c>
      <c r="X599">
        <v>59.7</v>
      </c>
      <c r="Y599">
        <v>63.5</v>
      </c>
      <c r="Z599">
        <v>80.5</v>
      </c>
      <c r="AA599">
        <v>52</v>
      </c>
      <c r="AB599">
        <v>97.8</v>
      </c>
      <c r="AC599">
        <v>67.8</v>
      </c>
      <c r="AD599">
        <v>100</v>
      </c>
      <c r="AE599">
        <v>100</v>
      </c>
      <c r="AF599" t="s">
        <v>47</v>
      </c>
    </row>
    <row r="600" spans="1:32">
      <c r="A600" t="s">
        <v>1936</v>
      </c>
      <c r="B600">
        <v>6</v>
      </c>
      <c r="C600">
        <v>18</v>
      </c>
      <c r="D600">
        <v>8</v>
      </c>
      <c r="E600">
        <v>8.8000000000000007</v>
      </c>
      <c r="F600">
        <v>18.899999999999999</v>
      </c>
      <c r="G600">
        <v>3.9</v>
      </c>
      <c r="H600">
        <v>59.8</v>
      </c>
      <c r="I600">
        <v>84.1</v>
      </c>
      <c r="J600">
        <v>0</v>
      </c>
      <c r="K600">
        <v>47</v>
      </c>
      <c r="L600">
        <v>29.9</v>
      </c>
      <c r="M600">
        <v>3</v>
      </c>
      <c r="N600">
        <v>103</v>
      </c>
      <c r="O600">
        <v>98</v>
      </c>
      <c r="P600">
        <v>15.3</v>
      </c>
      <c r="Q600">
        <v>13.4</v>
      </c>
      <c r="R600">
        <v>8.1999999999999993</v>
      </c>
      <c r="S600">
        <v>19.399999999999999</v>
      </c>
      <c r="T600">
        <v>99</v>
      </c>
      <c r="U600">
        <v>1707</v>
      </c>
      <c r="V600">
        <v>3027000</v>
      </c>
      <c r="W600">
        <v>48</v>
      </c>
      <c r="X600">
        <v>50.4</v>
      </c>
      <c r="Y600">
        <v>79.2</v>
      </c>
      <c r="Z600">
        <v>48.1</v>
      </c>
      <c r="AA600">
        <v>48</v>
      </c>
      <c r="AB600">
        <v>94.5</v>
      </c>
      <c r="AC600">
        <v>61.3</v>
      </c>
      <c r="AD600">
        <v>100</v>
      </c>
      <c r="AE600">
        <v>100</v>
      </c>
      <c r="AF600" t="s">
        <v>47</v>
      </c>
    </row>
    <row r="601" spans="1:32">
      <c r="A601" t="s">
        <v>1938</v>
      </c>
      <c r="B601">
        <v>4.9000000000000004</v>
      </c>
      <c r="C601">
        <v>13</v>
      </c>
      <c r="D601">
        <v>5</v>
      </c>
      <c r="E601">
        <v>34.799999999999997</v>
      </c>
      <c r="F601">
        <v>11.8</v>
      </c>
      <c r="G601">
        <v>5.9</v>
      </c>
      <c r="H601">
        <v>55.1</v>
      </c>
      <c r="I601">
        <v>51.6</v>
      </c>
      <c r="J601">
        <v>2</v>
      </c>
      <c r="K601">
        <v>51</v>
      </c>
      <c r="L601">
        <v>19.2</v>
      </c>
      <c r="M601">
        <v>8.8000000000000007</v>
      </c>
      <c r="N601">
        <v>61</v>
      </c>
      <c r="O601">
        <v>92</v>
      </c>
      <c r="P601">
        <v>22.5</v>
      </c>
      <c r="Q601">
        <v>11.7</v>
      </c>
      <c r="R601">
        <v>9.1999999999999993</v>
      </c>
      <c r="S601">
        <v>10.7</v>
      </c>
      <c r="T601">
        <v>72</v>
      </c>
      <c r="U601">
        <v>1504</v>
      </c>
      <c r="V601">
        <v>1984000</v>
      </c>
      <c r="W601">
        <v>47</v>
      </c>
      <c r="X601">
        <v>85.8</v>
      </c>
      <c r="Y601">
        <v>61</v>
      </c>
      <c r="Z601">
        <v>70.900000000000006</v>
      </c>
      <c r="AA601">
        <v>47</v>
      </c>
      <c r="AB601">
        <v>96.4</v>
      </c>
      <c r="AC601">
        <v>73.8</v>
      </c>
      <c r="AD601">
        <v>100</v>
      </c>
      <c r="AE601">
        <v>100</v>
      </c>
      <c r="AF601" t="s">
        <v>47</v>
      </c>
    </row>
  </sheetData>
  <pageMargins left="0" right="0" top="0" bottom="0" header="0" footer="0"/>
  <ignoredErrors>
    <ignoredError sqref="A1:AF601" numberStoredAsText="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4"/>
  <sheetViews>
    <sheetView workbookViewId="0"/>
  </sheetViews>
  <sheetFormatPr defaultRowHeight="15"/>
  <sheetData>
    <row r="1" spans="1:4">
      <c r="A1" t="s">
        <v>1972</v>
      </c>
      <c r="B1" t="s">
        <v>57</v>
      </c>
      <c r="C1" t="s">
        <v>1971</v>
      </c>
      <c r="D1" t="s">
        <v>47</v>
      </c>
    </row>
    <row r="2" spans="1:4">
      <c r="A2" t="s">
        <v>57</v>
      </c>
      <c r="B2" t="s">
        <v>57</v>
      </c>
      <c r="C2" t="s">
        <v>57</v>
      </c>
      <c r="D2" t="s">
        <v>1971</v>
      </c>
    </row>
    <row r="3" spans="1:4">
      <c r="A3" t="s">
        <v>1971</v>
      </c>
      <c r="B3" t="s">
        <v>57</v>
      </c>
      <c r="C3" t="s">
        <v>1971</v>
      </c>
      <c r="D3" t="s">
        <v>47</v>
      </c>
    </row>
    <row r="4" spans="1:4">
      <c r="A4" t="s">
        <v>47</v>
      </c>
      <c r="B4" t="s">
        <v>1971</v>
      </c>
      <c r="C4" t="s">
        <v>47</v>
      </c>
      <c r="D4" t="s">
        <v>47</v>
      </c>
    </row>
  </sheetData>
  <pageMargins left="0.75" right="0.75" top="1" bottom="1" header="0.511811023622047" footer="0.511811023622047"/>
  <ignoredErrors>
    <ignoredError sqref="A1:D4"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601"/>
  <sheetViews>
    <sheetView workbookViewId="0"/>
  </sheetViews>
  <sheetFormatPr defaultRowHeight="15"/>
  <sheetData>
    <row r="1" spans="1:12">
      <c r="A1" t="s">
        <v>1973</v>
      </c>
      <c r="B1" t="s">
        <v>608</v>
      </c>
      <c r="C1" t="s">
        <v>1974</v>
      </c>
      <c r="D1" t="s">
        <v>1975</v>
      </c>
      <c r="E1" t="s">
        <v>1976</v>
      </c>
      <c r="F1" t="s">
        <v>1977</v>
      </c>
      <c r="G1" t="s">
        <v>1978</v>
      </c>
      <c r="H1" t="s">
        <v>1979</v>
      </c>
      <c r="I1" t="s">
        <v>1980</v>
      </c>
      <c r="J1" t="s">
        <v>1981</v>
      </c>
      <c r="K1" t="s">
        <v>1982</v>
      </c>
      <c r="L1" t="s">
        <v>1983</v>
      </c>
    </row>
    <row r="2" spans="1:12">
      <c r="A2" t="s">
        <v>1984</v>
      </c>
      <c r="B2" t="s">
        <v>614</v>
      </c>
      <c r="C2" t="s">
        <v>1985</v>
      </c>
      <c r="D2" t="s">
        <v>1986</v>
      </c>
      <c r="E2" t="s">
        <v>57</v>
      </c>
      <c r="F2" t="s">
        <v>1971</v>
      </c>
      <c r="G2" t="str">
        <f>INDEX(Risk_Matrix!$B$2:$D$4,MATCH(E2,Risk_Matrix!$A$2:$A$4,0),MATCH(F2,Risk_Matrix!$B$1:$D$1,0))</f>
        <v>Low</v>
      </c>
      <c r="H2" s="1">
        <v>46202</v>
      </c>
      <c r="I2" t="s">
        <v>1987</v>
      </c>
      <c r="J2" t="s">
        <v>1988</v>
      </c>
      <c r="K2" t="s">
        <v>1989</v>
      </c>
      <c r="L2">
        <f>IF(G2="High",3,IF(G2="Medium",2,1))</f>
        <v>1</v>
      </c>
    </row>
    <row r="3" spans="1:12">
      <c r="A3" t="s">
        <v>1990</v>
      </c>
      <c r="B3" t="s">
        <v>614</v>
      </c>
      <c r="C3" t="s">
        <v>1991</v>
      </c>
      <c r="D3" t="s">
        <v>1992</v>
      </c>
      <c r="E3" t="s">
        <v>57</v>
      </c>
      <c r="F3" t="s">
        <v>57</v>
      </c>
      <c r="G3" t="str">
        <f>INDEX(Risk_Matrix!$B$2:$D$4,MATCH(E3,Risk_Matrix!$A$2:$A$4,0),MATCH(F3,Risk_Matrix!$B$1:$D$1,0))</f>
        <v>Low</v>
      </c>
      <c r="H3" s="1">
        <v>46221</v>
      </c>
      <c r="I3" t="s">
        <v>1987</v>
      </c>
      <c r="J3" t="s">
        <v>1988</v>
      </c>
      <c r="K3" t="s">
        <v>1993</v>
      </c>
      <c r="L3">
        <f>IF(G3="High",3,IF(G3="Medium",2,1))</f>
        <v>1</v>
      </c>
    </row>
    <row r="4" spans="1:12">
      <c r="A4" t="s">
        <v>1994</v>
      </c>
      <c r="B4" t="s">
        <v>614</v>
      </c>
      <c r="C4" t="s">
        <v>1995</v>
      </c>
      <c r="D4" t="s">
        <v>1996</v>
      </c>
      <c r="E4" t="s">
        <v>57</v>
      </c>
      <c r="F4" t="s">
        <v>57</v>
      </c>
      <c r="G4" t="str">
        <f>INDEX(Risk_Matrix!$B$2:$D$4,MATCH(E4,Risk_Matrix!$A$2:$A$4,0),MATCH(F4,Risk_Matrix!$B$1:$D$1,0))</f>
        <v>Low</v>
      </c>
      <c r="H4" s="1">
        <v>46194</v>
      </c>
      <c r="I4" t="s">
        <v>1987</v>
      </c>
      <c r="J4" t="s">
        <v>1997</v>
      </c>
      <c r="K4" t="s">
        <v>1998</v>
      </c>
      <c r="L4">
        <f>IF(G4="High",3,IF(G4="Medium",2,1))</f>
        <v>1</v>
      </c>
    </row>
    <row r="5" spans="1:12">
      <c r="A5" t="s">
        <v>1999</v>
      </c>
      <c r="B5" t="s">
        <v>614</v>
      </c>
      <c r="C5" t="s">
        <v>2000</v>
      </c>
      <c r="D5" t="s">
        <v>2001</v>
      </c>
      <c r="E5" t="s">
        <v>1971</v>
      </c>
      <c r="F5" t="s">
        <v>57</v>
      </c>
      <c r="G5" t="str">
        <f>INDEX(Risk_Matrix!$B$2:$D$4,MATCH(E5,Risk_Matrix!$A$2:$A$4,0),MATCH(F5,Risk_Matrix!$B$1:$D$1,0))</f>
        <v>Low</v>
      </c>
      <c r="H5" s="1">
        <v>46139</v>
      </c>
      <c r="I5" t="s">
        <v>2002</v>
      </c>
      <c r="J5" t="s">
        <v>2003</v>
      </c>
      <c r="K5" t="s">
        <v>1989</v>
      </c>
      <c r="L5">
        <f>IF(G5="High",3,IF(G5="Medium",2,1))</f>
        <v>1</v>
      </c>
    </row>
    <row r="6" spans="1:12">
      <c r="A6" t="s">
        <v>2004</v>
      </c>
      <c r="B6" t="s">
        <v>614</v>
      </c>
      <c r="C6" t="s">
        <v>2005</v>
      </c>
      <c r="D6" t="s">
        <v>2006</v>
      </c>
      <c r="E6" t="s">
        <v>47</v>
      </c>
      <c r="F6" t="s">
        <v>47</v>
      </c>
      <c r="G6" t="str">
        <f>INDEX(Risk_Matrix!$B$2:$D$4,MATCH(E6,Risk_Matrix!$A$2:$A$4,0),MATCH(F6,Risk_Matrix!$B$1:$D$1,0))</f>
        <v>High</v>
      </c>
      <c r="H6" s="1">
        <v>46119</v>
      </c>
      <c r="I6" t="s">
        <v>1987</v>
      </c>
      <c r="J6" t="s">
        <v>1988</v>
      </c>
      <c r="K6" t="s">
        <v>1993</v>
      </c>
      <c r="L6">
        <f>IF(G6="High",3,IF(G6="Medium",2,1))</f>
        <v>3</v>
      </c>
    </row>
    <row r="7" spans="1:12">
      <c r="A7" t="s">
        <v>2007</v>
      </c>
      <c r="B7" t="s">
        <v>614</v>
      </c>
      <c r="C7" t="s">
        <v>2008</v>
      </c>
      <c r="D7" t="s">
        <v>2009</v>
      </c>
      <c r="E7" t="s">
        <v>57</v>
      </c>
      <c r="F7" t="s">
        <v>1971</v>
      </c>
      <c r="G7" t="str">
        <f>INDEX(Risk_Matrix!$B$2:$D$4,MATCH(E7,Risk_Matrix!$A$2:$A$4,0),MATCH(F7,Risk_Matrix!$B$1:$D$1,0))</f>
        <v>Low</v>
      </c>
      <c r="H7" s="1">
        <v>46210</v>
      </c>
      <c r="I7" t="s">
        <v>1987</v>
      </c>
      <c r="J7" t="s">
        <v>1997</v>
      </c>
      <c r="K7" t="s">
        <v>2010</v>
      </c>
      <c r="L7">
        <f>IF(G7="High",3,IF(G7="Medium",2,1))</f>
        <v>1</v>
      </c>
    </row>
    <row r="8" spans="1:12">
      <c r="A8" t="s">
        <v>2011</v>
      </c>
      <c r="B8" t="s">
        <v>618</v>
      </c>
      <c r="C8" t="s">
        <v>1985</v>
      </c>
      <c r="D8" t="s">
        <v>2012</v>
      </c>
      <c r="E8" t="s">
        <v>57</v>
      </c>
      <c r="F8" t="s">
        <v>1971</v>
      </c>
      <c r="G8" t="str">
        <f>INDEX(Risk_Matrix!$B$2:$D$4,MATCH(E8,Risk_Matrix!$A$2:$A$4,0),MATCH(F8,Risk_Matrix!$B$1:$D$1,0))</f>
        <v>Low</v>
      </c>
      <c r="H8" s="1">
        <v>46138</v>
      </c>
      <c r="I8" t="s">
        <v>2002</v>
      </c>
      <c r="J8" t="s">
        <v>2003</v>
      </c>
      <c r="K8" t="s">
        <v>1998</v>
      </c>
      <c r="L8">
        <f>IF(G8="High",3,IF(G8="Medium",2,1))</f>
        <v>1</v>
      </c>
    </row>
    <row r="9" spans="1:12">
      <c r="A9" t="s">
        <v>2013</v>
      </c>
      <c r="B9" t="s">
        <v>618</v>
      </c>
      <c r="C9" t="s">
        <v>1991</v>
      </c>
      <c r="D9" t="s">
        <v>2014</v>
      </c>
      <c r="E9" t="s">
        <v>57</v>
      </c>
      <c r="F9" t="s">
        <v>47</v>
      </c>
      <c r="G9" t="str">
        <f>INDEX(Risk_Matrix!$B$2:$D$4,MATCH(E9,Risk_Matrix!$A$2:$A$4,0),MATCH(F9,Risk_Matrix!$B$1:$D$1,0))</f>
        <v>Medium</v>
      </c>
      <c r="H9" s="1">
        <v>46194</v>
      </c>
      <c r="I9" t="s">
        <v>2015</v>
      </c>
      <c r="J9" t="s">
        <v>2016</v>
      </c>
      <c r="K9" t="s">
        <v>2010</v>
      </c>
      <c r="L9">
        <f>IF(G9="High",3,IF(G9="Medium",2,1))</f>
        <v>2</v>
      </c>
    </row>
    <row r="10" spans="1:12">
      <c r="A10" t="s">
        <v>2017</v>
      </c>
      <c r="B10" t="s">
        <v>618</v>
      </c>
      <c r="C10" t="s">
        <v>1995</v>
      </c>
      <c r="D10" t="s">
        <v>2018</v>
      </c>
      <c r="E10" t="s">
        <v>1971</v>
      </c>
      <c r="F10" t="s">
        <v>57</v>
      </c>
      <c r="G10" t="str">
        <f>INDEX(Risk_Matrix!$B$2:$D$4,MATCH(E10,Risk_Matrix!$A$2:$A$4,0),MATCH(F10,Risk_Matrix!$B$1:$D$1,0))</f>
        <v>Low</v>
      </c>
      <c r="H10" s="1">
        <v>46146</v>
      </c>
      <c r="I10" t="s">
        <v>2002</v>
      </c>
      <c r="J10" t="s">
        <v>2003</v>
      </c>
      <c r="K10" t="s">
        <v>1998</v>
      </c>
      <c r="L10">
        <f>IF(G10="High",3,IF(G10="Medium",2,1))</f>
        <v>1</v>
      </c>
    </row>
    <row r="11" spans="1:12">
      <c r="A11" t="s">
        <v>2019</v>
      </c>
      <c r="B11" t="s">
        <v>618</v>
      </c>
      <c r="C11" t="s">
        <v>2000</v>
      </c>
      <c r="D11" t="s">
        <v>2020</v>
      </c>
      <c r="E11" t="s">
        <v>1971</v>
      </c>
      <c r="F11" t="s">
        <v>47</v>
      </c>
      <c r="G11" t="str">
        <f>INDEX(Risk_Matrix!$B$2:$D$4,MATCH(E11,Risk_Matrix!$A$2:$A$4,0),MATCH(F11,Risk_Matrix!$B$1:$D$1,0))</f>
        <v>High</v>
      </c>
      <c r="H11" s="1">
        <v>46170</v>
      </c>
      <c r="I11" t="s">
        <v>1987</v>
      </c>
      <c r="J11" t="s">
        <v>1997</v>
      </c>
      <c r="K11" t="s">
        <v>1989</v>
      </c>
      <c r="L11">
        <f>IF(G11="High",3,IF(G11="Medium",2,1))</f>
        <v>3</v>
      </c>
    </row>
    <row r="12" spans="1:12">
      <c r="A12" t="s">
        <v>2021</v>
      </c>
      <c r="B12" t="s">
        <v>618</v>
      </c>
      <c r="C12" t="s">
        <v>2005</v>
      </c>
      <c r="D12" t="s">
        <v>2022</v>
      </c>
      <c r="E12" t="s">
        <v>47</v>
      </c>
      <c r="F12" t="s">
        <v>1971</v>
      </c>
      <c r="G12" t="str">
        <f>INDEX(Risk_Matrix!$B$2:$D$4,MATCH(E12,Risk_Matrix!$A$2:$A$4,0),MATCH(F12,Risk_Matrix!$B$1:$D$1,0))</f>
        <v>High</v>
      </c>
      <c r="H12" s="1">
        <v>46229</v>
      </c>
      <c r="I12" t="s">
        <v>2015</v>
      </c>
      <c r="J12" t="s">
        <v>2016</v>
      </c>
      <c r="K12" t="s">
        <v>1993</v>
      </c>
      <c r="L12">
        <f>IF(G12="High",3,IF(G12="Medium",2,1))</f>
        <v>3</v>
      </c>
    </row>
    <row r="13" spans="1:12">
      <c r="A13" t="s">
        <v>2023</v>
      </c>
      <c r="B13" t="s">
        <v>618</v>
      </c>
      <c r="C13" t="s">
        <v>2008</v>
      </c>
      <c r="D13" t="s">
        <v>2024</v>
      </c>
      <c r="E13" t="s">
        <v>1971</v>
      </c>
      <c r="F13" t="s">
        <v>57</v>
      </c>
      <c r="G13" t="str">
        <f>INDEX(Risk_Matrix!$B$2:$D$4,MATCH(E13,Risk_Matrix!$A$2:$A$4,0),MATCH(F13,Risk_Matrix!$B$1:$D$1,0))</f>
        <v>Low</v>
      </c>
      <c r="H13" s="1">
        <v>46061</v>
      </c>
      <c r="I13" t="s">
        <v>2025</v>
      </c>
      <c r="J13" t="s">
        <v>2026</v>
      </c>
      <c r="K13" t="s">
        <v>2010</v>
      </c>
      <c r="L13">
        <f>IF(G13="High",3,IF(G13="Medium",2,1))</f>
        <v>1</v>
      </c>
    </row>
    <row r="14" spans="1:12">
      <c r="A14" t="s">
        <v>2027</v>
      </c>
      <c r="B14" t="s">
        <v>621</v>
      </c>
      <c r="C14" t="s">
        <v>1985</v>
      </c>
      <c r="D14" t="s">
        <v>2028</v>
      </c>
      <c r="E14" t="s">
        <v>57</v>
      </c>
      <c r="F14" t="s">
        <v>57</v>
      </c>
      <c r="G14" t="str">
        <f>INDEX(Risk_Matrix!$B$2:$D$4,MATCH(E14,Risk_Matrix!$A$2:$A$4,0),MATCH(F14,Risk_Matrix!$B$1:$D$1,0))</f>
        <v>Low</v>
      </c>
      <c r="H14" s="1">
        <v>46161</v>
      </c>
      <c r="I14" t="s">
        <v>2002</v>
      </c>
      <c r="J14" t="s">
        <v>2029</v>
      </c>
      <c r="K14" t="s">
        <v>1989</v>
      </c>
      <c r="L14">
        <f>IF(G14="High",3,IF(G14="Medium",2,1))</f>
        <v>1</v>
      </c>
    </row>
    <row r="15" spans="1:12">
      <c r="A15" t="s">
        <v>2030</v>
      </c>
      <c r="B15" t="s">
        <v>621</v>
      </c>
      <c r="C15" t="s">
        <v>1991</v>
      </c>
      <c r="D15" t="s">
        <v>2031</v>
      </c>
      <c r="E15" t="s">
        <v>57</v>
      </c>
      <c r="F15" t="s">
        <v>1971</v>
      </c>
      <c r="G15" t="str">
        <f>INDEX(Risk_Matrix!$B$2:$D$4,MATCH(E15,Risk_Matrix!$A$2:$A$4,0),MATCH(F15,Risk_Matrix!$B$1:$D$1,0))</f>
        <v>Low</v>
      </c>
      <c r="H15" s="1">
        <v>46224</v>
      </c>
      <c r="I15" t="s">
        <v>2015</v>
      </c>
      <c r="J15" t="s">
        <v>2032</v>
      </c>
      <c r="K15" t="s">
        <v>1993</v>
      </c>
      <c r="L15">
        <f>IF(G15="High",3,IF(G15="Medium",2,1))</f>
        <v>1</v>
      </c>
    </row>
    <row r="16" spans="1:12">
      <c r="A16" t="s">
        <v>2033</v>
      </c>
      <c r="B16" t="s">
        <v>621</v>
      </c>
      <c r="C16" t="s">
        <v>1995</v>
      </c>
      <c r="D16" t="s">
        <v>2034</v>
      </c>
      <c r="E16" t="s">
        <v>47</v>
      </c>
      <c r="F16" t="s">
        <v>47</v>
      </c>
      <c r="G16" t="str">
        <f>INDEX(Risk_Matrix!$B$2:$D$4,MATCH(E16,Risk_Matrix!$A$2:$A$4,0),MATCH(F16,Risk_Matrix!$B$1:$D$1,0))</f>
        <v>High</v>
      </c>
      <c r="H16" s="1">
        <v>46194</v>
      </c>
      <c r="I16" t="s">
        <v>2025</v>
      </c>
      <c r="J16" t="s">
        <v>2035</v>
      </c>
      <c r="K16" t="s">
        <v>2036</v>
      </c>
      <c r="L16">
        <f>IF(G16="High",3,IF(G16="Medium",2,1))</f>
        <v>3</v>
      </c>
    </row>
    <row r="17" spans="1:12">
      <c r="A17" t="s">
        <v>2037</v>
      </c>
      <c r="B17" t="s">
        <v>621</v>
      </c>
      <c r="C17" t="s">
        <v>2000</v>
      </c>
      <c r="D17" t="s">
        <v>2020</v>
      </c>
      <c r="E17" t="s">
        <v>57</v>
      </c>
      <c r="F17" t="s">
        <v>57</v>
      </c>
      <c r="G17" t="str">
        <f>INDEX(Risk_Matrix!$B$2:$D$4,MATCH(E17,Risk_Matrix!$A$2:$A$4,0),MATCH(F17,Risk_Matrix!$B$1:$D$1,0))</f>
        <v>Low</v>
      </c>
      <c r="H17" s="1">
        <v>46063</v>
      </c>
      <c r="I17" t="s">
        <v>1987</v>
      </c>
      <c r="J17" t="s">
        <v>1997</v>
      </c>
      <c r="K17" t="s">
        <v>1989</v>
      </c>
      <c r="L17">
        <f>IF(G17="High",3,IF(G17="Medium",2,1))</f>
        <v>1</v>
      </c>
    </row>
    <row r="18" spans="1:12">
      <c r="A18" t="s">
        <v>2038</v>
      </c>
      <c r="B18" t="s">
        <v>621</v>
      </c>
      <c r="C18" t="s">
        <v>2005</v>
      </c>
      <c r="D18" t="s">
        <v>2039</v>
      </c>
      <c r="E18" t="s">
        <v>47</v>
      </c>
      <c r="F18" t="s">
        <v>1971</v>
      </c>
      <c r="G18" t="str">
        <f>INDEX(Risk_Matrix!$B$2:$D$4,MATCH(E18,Risk_Matrix!$A$2:$A$4,0),MATCH(F18,Risk_Matrix!$B$1:$D$1,0))</f>
        <v>High</v>
      </c>
      <c r="H18" s="1">
        <v>46150</v>
      </c>
      <c r="I18" t="s">
        <v>2015</v>
      </c>
      <c r="J18" t="s">
        <v>2016</v>
      </c>
      <c r="K18" t="s">
        <v>2036</v>
      </c>
      <c r="L18">
        <f>IF(G18="High",3,IF(G18="Medium",2,1))</f>
        <v>3</v>
      </c>
    </row>
    <row r="19" spans="1:12">
      <c r="A19" t="s">
        <v>2040</v>
      </c>
      <c r="B19" t="s">
        <v>621</v>
      </c>
      <c r="C19" t="s">
        <v>2008</v>
      </c>
      <c r="D19" t="s">
        <v>2024</v>
      </c>
      <c r="E19" t="s">
        <v>57</v>
      </c>
      <c r="F19" t="s">
        <v>1971</v>
      </c>
      <c r="G19" t="str">
        <f>INDEX(Risk_Matrix!$B$2:$D$4,MATCH(E19,Risk_Matrix!$A$2:$A$4,0),MATCH(F19,Risk_Matrix!$B$1:$D$1,0))</f>
        <v>Low</v>
      </c>
      <c r="H19" s="1">
        <v>46124</v>
      </c>
      <c r="I19" t="s">
        <v>2025</v>
      </c>
      <c r="J19" t="s">
        <v>2035</v>
      </c>
      <c r="K19" t="s">
        <v>2010</v>
      </c>
      <c r="L19">
        <f>IF(G19="High",3,IF(G19="Medium",2,1))</f>
        <v>1</v>
      </c>
    </row>
    <row r="20" spans="1:12">
      <c r="A20" t="s">
        <v>2041</v>
      </c>
      <c r="B20" t="s">
        <v>624</v>
      </c>
      <c r="C20" t="s">
        <v>1985</v>
      </c>
      <c r="D20" t="s">
        <v>2028</v>
      </c>
      <c r="E20" t="s">
        <v>1971</v>
      </c>
      <c r="F20" t="s">
        <v>47</v>
      </c>
      <c r="G20" t="str">
        <f>INDEX(Risk_Matrix!$B$2:$D$4,MATCH(E20,Risk_Matrix!$A$2:$A$4,0),MATCH(F20,Risk_Matrix!$B$1:$D$1,0))</f>
        <v>High</v>
      </c>
      <c r="H20" s="1">
        <v>46151</v>
      </c>
      <c r="I20" t="s">
        <v>2015</v>
      </c>
      <c r="J20" t="s">
        <v>2016</v>
      </c>
      <c r="K20" t="s">
        <v>1989</v>
      </c>
      <c r="L20">
        <f>IF(G20="High",3,IF(G20="Medium",2,1))</f>
        <v>3</v>
      </c>
    </row>
    <row r="21" spans="1:12">
      <c r="A21" t="s">
        <v>2042</v>
      </c>
      <c r="B21" t="s">
        <v>624</v>
      </c>
      <c r="C21" t="s">
        <v>1991</v>
      </c>
      <c r="D21" t="s">
        <v>2031</v>
      </c>
      <c r="E21" t="s">
        <v>1971</v>
      </c>
      <c r="F21" t="s">
        <v>57</v>
      </c>
      <c r="G21" t="str">
        <f>INDEX(Risk_Matrix!$B$2:$D$4,MATCH(E21,Risk_Matrix!$A$2:$A$4,0),MATCH(F21,Risk_Matrix!$B$1:$D$1,0))</f>
        <v>Low</v>
      </c>
      <c r="H21" s="1">
        <v>46114</v>
      </c>
      <c r="I21" t="s">
        <v>2025</v>
      </c>
      <c r="J21" t="s">
        <v>2035</v>
      </c>
      <c r="K21" t="s">
        <v>2010</v>
      </c>
      <c r="L21">
        <f>IF(G21="High",3,IF(G21="Medium",2,1))</f>
        <v>1</v>
      </c>
    </row>
    <row r="22" spans="1:12">
      <c r="A22" t="s">
        <v>2043</v>
      </c>
      <c r="B22" t="s">
        <v>624</v>
      </c>
      <c r="C22" t="s">
        <v>1995</v>
      </c>
      <c r="D22" t="s">
        <v>2018</v>
      </c>
      <c r="E22" t="s">
        <v>57</v>
      </c>
      <c r="F22" t="s">
        <v>57</v>
      </c>
      <c r="G22" t="str">
        <f>INDEX(Risk_Matrix!$B$2:$D$4,MATCH(E22,Risk_Matrix!$A$2:$A$4,0),MATCH(F22,Risk_Matrix!$B$1:$D$1,0))</f>
        <v>Low</v>
      </c>
      <c r="H22" s="1">
        <v>46223</v>
      </c>
      <c r="I22" t="s">
        <v>2015</v>
      </c>
      <c r="J22" t="s">
        <v>2016</v>
      </c>
      <c r="K22" t="s">
        <v>2036</v>
      </c>
      <c r="L22">
        <f>IF(G22="High",3,IF(G22="Medium",2,1))</f>
        <v>1</v>
      </c>
    </row>
    <row r="23" spans="1:12">
      <c r="A23" t="s">
        <v>2044</v>
      </c>
      <c r="B23" t="s">
        <v>624</v>
      </c>
      <c r="C23" t="s">
        <v>2000</v>
      </c>
      <c r="D23" t="s">
        <v>2045</v>
      </c>
      <c r="E23" t="s">
        <v>57</v>
      </c>
      <c r="F23" t="s">
        <v>1971</v>
      </c>
      <c r="G23" t="str">
        <f>INDEX(Risk_Matrix!$B$2:$D$4,MATCH(E23,Risk_Matrix!$A$2:$A$4,0),MATCH(F23,Risk_Matrix!$B$1:$D$1,0))</f>
        <v>Low</v>
      </c>
      <c r="H23" s="1">
        <v>46057</v>
      </c>
      <c r="I23" t="s">
        <v>2025</v>
      </c>
      <c r="J23" t="s">
        <v>2035</v>
      </c>
      <c r="K23" t="s">
        <v>1989</v>
      </c>
      <c r="L23">
        <f>IF(G23="High",3,IF(G23="Medium",2,1))</f>
        <v>1</v>
      </c>
    </row>
    <row r="24" spans="1:12">
      <c r="A24" t="s">
        <v>2046</v>
      </c>
      <c r="B24" t="s">
        <v>624</v>
      </c>
      <c r="C24" t="s">
        <v>2005</v>
      </c>
      <c r="D24" t="s">
        <v>2022</v>
      </c>
      <c r="E24" t="s">
        <v>1971</v>
      </c>
      <c r="F24" t="s">
        <v>1971</v>
      </c>
      <c r="G24" t="str">
        <f>INDEX(Risk_Matrix!$B$2:$D$4,MATCH(E24,Risk_Matrix!$A$2:$A$4,0),MATCH(F24,Risk_Matrix!$B$1:$D$1,0))</f>
        <v>Medium</v>
      </c>
      <c r="H24" s="1">
        <v>46193</v>
      </c>
      <c r="I24" t="s">
        <v>1987</v>
      </c>
      <c r="J24" t="s">
        <v>1997</v>
      </c>
      <c r="K24" t="s">
        <v>1993</v>
      </c>
      <c r="L24">
        <f>IF(G24="High",3,IF(G24="Medium",2,1))</f>
        <v>2</v>
      </c>
    </row>
    <row r="25" spans="1:12">
      <c r="A25" t="s">
        <v>2047</v>
      </c>
      <c r="B25" t="s">
        <v>624</v>
      </c>
      <c r="C25" t="s">
        <v>2008</v>
      </c>
      <c r="D25" t="s">
        <v>2009</v>
      </c>
      <c r="E25" t="s">
        <v>57</v>
      </c>
      <c r="F25" t="s">
        <v>47</v>
      </c>
      <c r="G25" t="str">
        <f>INDEX(Risk_Matrix!$B$2:$D$4,MATCH(E25,Risk_Matrix!$A$2:$A$4,0),MATCH(F25,Risk_Matrix!$B$1:$D$1,0))</f>
        <v>Medium</v>
      </c>
      <c r="H25" s="1">
        <v>46164</v>
      </c>
      <c r="I25" t="s">
        <v>2025</v>
      </c>
      <c r="J25" t="s">
        <v>2026</v>
      </c>
      <c r="K25" t="s">
        <v>2010</v>
      </c>
      <c r="L25">
        <f>IF(G25="High",3,IF(G25="Medium",2,1))</f>
        <v>2</v>
      </c>
    </row>
    <row r="26" spans="1:12">
      <c r="A26" t="s">
        <v>2048</v>
      </c>
      <c r="B26" t="s">
        <v>626</v>
      </c>
      <c r="C26" t="s">
        <v>1985</v>
      </c>
      <c r="D26" t="s">
        <v>2028</v>
      </c>
      <c r="E26" t="s">
        <v>57</v>
      </c>
      <c r="F26" t="s">
        <v>1971</v>
      </c>
      <c r="G26" t="str">
        <f>INDEX(Risk_Matrix!$B$2:$D$4,MATCH(E26,Risk_Matrix!$A$2:$A$4,0),MATCH(F26,Risk_Matrix!$B$1:$D$1,0))</f>
        <v>Low</v>
      </c>
      <c r="H26" s="1">
        <v>46132</v>
      </c>
      <c r="I26" t="s">
        <v>2002</v>
      </c>
      <c r="J26" t="s">
        <v>2003</v>
      </c>
      <c r="K26" t="s">
        <v>1989</v>
      </c>
      <c r="L26">
        <f>IF(G26="High",3,IF(G26="Medium",2,1))</f>
        <v>1</v>
      </c>
    </row>
    <row r="27" spans="1:12">
      <c r="A27" t="s">
        <v>2049</v>
      </c>
      <c r="B27" t="s">
        <v>626</v>
      </c>
      <c r="C27" t="s">
        <v>1991</v>
      </c>
      <c r="D27" t="s">
        <v>1992</v>
      </c>
      <c r="E27" t="s">
        <v>57</v>
      </c>
      <c r="F27" t="s">
        <v>47</v>
      </c>
      <c r="G27" t="str">
        <f>INDEX(Risk_Matrix!$B$2:$D$4,MATCH(E27,Risk_Matrix!$A$2:$A$4,0),MATCH(F27,Risk_Matrix!$B$1:$D$1,0))</f>
        <v>Medium</v>
      </c>
      <c r="H27" s="1">
        <v>46196</v>
      </c>
      <c r="I27" t="s">
        <v>1987</v>
      </c>
      <c r="J27" t="s">
        <v>1997</v>
      </c>
      <c r="K27" t="s">
        <v>1993</v>
      </c>
      <c r="L27">
        <f>IF(G27="High",3,IF(G27="Medium",2,1))</f>
        <v>2</v>
      </c>
    </row>
    <row r="28" spans="1:12">
      <c r="A28" t="s">
        <v>2050</v>
      </c>
      <c r="B28" t="s">
        <v>626</v>
      </c>
      <c r="C28" t="s">
        <v>1995</v>
      </c>
      <c r="D28" t="s">
        <v>2034</v>
      </c>
      <c r="E28" t="s">
        <v>1971</v>
      </c>
      <c r="F28" t="s">
        <v>57</v>
      </c>
      <c r="G28" t="str">
        <f>INDEX(Risk_Matrix!$B$2:$D$4,MATCH(E28,Risk_Matrix!$A$2:$A$4,0),MATCH(F28,Risk_Matrix!$B$1:$D$1,0))</f>
        <v>Low</v>
      </c>
      <c r="H28" s="1">
        <v>46156</v>
      </c>
      <c r="I28" t="s">
        <v>2015</v>
      </c>
      <c r="J28" t="s">
        <v>2032</v>
      </c>
      <c r="K28" t="s">
        <v>2036</v>
      </c>
      <c r="L28">
        <f>IF(G28="High",3,IF(G28="Medium",2,1))</f>
        <v>1</v>
      </c>
    </row>
    <row r="29" spans="1:12">
      <c r="A29" t="s">
        <v>2051</v>
      </c>
      <c r="B29" t="s">
        <v>626</v>
      </c>
      <c r="C29" t="s">
        <v>2000</v>
      </c>
      <c r="D29" t="s">
        <v>2001</v>
      </c>
      <c r="E29" t="s">
        <v>57</v>
      </c>
      <c r="F29" t="s">
        <v>57</v>
      </c>
      <c r="G29" t="str">
        <f>INDEX(Risk_Matrix!$B$2:$D$4,MATCH(E29,Risk_Matrix!$A$2:$A$4,0),MATCH(F29,Risk_Matrix!$B$1:$D$1,0))</f>
        <v>Low</v>
      </c>
      <c r="H29" s="1">
        <v>46139</v>
      </c>
      <c r="I29" t="s">
        <v>1987</v>
      </c>
      <c r="J29" t="s">
        <v>1997</v>
      </c>
      <c r="K29" t="s">
        <v>1989</v>
      </c>
      <c r="L29">
        <f>IF(G29="High",3,IF(G29="Medium",2,1))</f>
        <v>1</v>
      </c>
    </row>
    <row r="30" spans="1:12">
      <c r="A30" t="s">
        <v>2052</v>
      </c>
      <c r="B30" t="s">
        <v>626</v>
      </c>
      <c r="C30" t="s">
        <v>2005</v>
      </c>
      <c r="D30" t="s">
        <v>2006</v>
      </c>
      <c r="E30" t="s">
        <v>47</v>
      </c>
      <c r="F30" t="s">
        <v>57</v>
      </c>
      <c r="G30" t="str">
        <f>INDEX(Risk_Matrix!$B$2:$D$4,MATCH(E30,Risk_Matrix!$A$2:$A$4,0),MATCH(F30,Risk_Matrix!$B$1:$D$1,0))</f>
        <v>Medium</v>
      </c>
      <c r="H30" s="1">
        <v>46164</v>
      </c>
      <c r="I30" t="s">
        <v>2015</v>
      </c>
      <c r="J30" t="s">
        <v>2032</v>
      </c>
      <c r="K30" t="s">
        <v>2036</v>
      </c>
      <c r="L30">
        <f>IF(G30="High",3,IF(G30="Medium",2,1))</f>
        <v>2</v>
      </c>
    </row>
    <row r="31" spans="1:12">
      <c r="A31" t="s">
        <v>2053</v>
      </c>
      <c r="B31" t="s">
        <v>626</v>
      </c>
      <c r="C31" t="s">
        <v>2008</v>
      </c>
      <c r="D31" t="s">
        <v>2054</v>
      </c>
      <c r="E31" t="s">
        <v>1971</v>
      </c>
      <c r="F31" t="s">
        <v>1971</v>
      </c>
      <c r="G31" t="str">
        <f>INDEX(Risk_Matrix!$B$2:$D$4,MATCH(E31,Risk_Matrix!$A$2:$A$4,0),MATCH(F31,Risk_Matrix!$B$1:$D$1,0))</f>
        <v>Medium</v>
      </c>
      <c r="H31" s="1">
        <v>46165</v>
      </c>
      <c r="I31" t="s">
        <v>1987</v>
      </c>
      <c r="J31" t="s">
        <v>1988</v>
      </c>
      <c r="K31" t="s">
        <v>2010</v>
      </c>
      <c r="L31">
        <f>IF(G31="High",3,IF(G31="Medium",2,1))</f>
        <v>2</v>
      </c>
    </row>
    <row r="32" spans="1:12">
      <c r="A32" t="s">
        <v>2055</v>
      </c>
      <c r="B32" t="s">
        <v>630</v>
      </c>
      <c r="C32" t="s">
        <v>1985</v>
      </c>
      <c r="D32" t="s">
        <v>1986</v>
      </c>
      <c r="E32" t="s">
        <v>47</v>
      </c>
      <c r="F32" t="s">
        <v>1971</v>
      </c>
      <c r="G32" t="str">
        <f>INDEX(Risk_Matrix!$B$2:$D$4,MATCH(E32,Risk_Matrix!$A$2:$A$4,0),MATCH(F32,Risk_Matrix!$B$1:$D$1,0))</f>
        <v>High</v>
      </c>
      <c r="H32" s="1">
        <v>46192</v>
      </c>
      <c r="I32" t="s">
        <v>1987</v>
      </c>
      <c r="J32" t="s">
        <v>1988</v>
      </c>
      <c r="K32" t="s">
        <v>1989</v>
      </c>
      <c r="L32">
        <f>IF(G32="High",3,IF(G32="Medium",2,1))</f>
        <v>3</v>
      </c>
    </row>
    <row r="33" spans="1:12">
      <c r="A33" t="s">
        <v>2056</v>
      </c>
      <c r="B33" t="s">
        <v>630</v>
      </c>
      <c r="C33" t="s">
        <v>1991</v>
      </c>
      <c r="D33" t="s">
        <v>2031</v>
      </c>
      <c r="E33" t="s">
        <v>47</v>
      </c>
      <c r="F33" t="s">
        <v>1971</v>
      </c>
      <c r="G33" t="str">
        <f>INDEX(Risk_Matrix!$B$2:$D$4,MATCH(E33,Risk_Matrix!$A$2:$A$4,0),MATCH(F33,Risk_Matrix!$B$1:$D$1,0))</f>
        <v>High</v>
      </c>
      <c r="H33" s="1">
        <v>46197</v>
      </c>
      <c r="I33" t="s">
        <v>2002</v>
      </c>
      <c r="J33" t="s">
        <v>2003</v>
      </c>
      <c r="K33" t="s">
        <v>2010</v>
      </c>
      <c r="L33">
        <f>IF(G33="High",3,IF(G33="Medium",2,1))</f>
        <v>3</v>
      </c>
    </row>
    <row r="34" spans="1:12">
      <c r="A34" t="s">
        <v>2057</v>
      </c>
      <c r="B34" t="s">
        <v>630</v>
      </c>
      <c r="C34" t="s">
        <v>1995</v>
      </c>
      <c r="D34" t="s">
        <v>1996</v>
      </c>
      <c r="E34" t="s">
        <v>47</v>
      </c>
      <c r="F34" t="s">
        <v>1971</v>
      </c>
      <c r="G34" t="str">
        <f>INDEX(Risk_Matrix!$B$2:$D$4,MATCH(E34,Risk_Matrix!$A$2:$A$4,0),MATCH(F34,Risk_Matrix!$B$1:$D$1,0))</f>
        <v>High</v>
      </c>
      <c r="H34" s="1">
        <v>46160</v>
      </c>
      <c r="I34" t="s">
        <v>2015</v>
      </c>
      <c r="J34" t="s">
        <v>2016</v>
      </c>
      <c r="K34" t="s">
        <v>1998</v>
      </c>
      <c r="L34">
        <f>IF(G34="High",3,IF(G34="Medium",2,1))</f>
        <v>3</v>
      </c>
    </row>
    <row r="35" spans="1:12">
      <c r="A35" t="s">
        <v>2058</v>
      </c>
      <c r="B35" t="s">
        <v>630</v>
      </c>
      <c r="C35" t="s">
        <v>2000</v>
      </c>
      <c r="D35" t="s">
        <v>2045</v>
      </c>
      <c r="E35" t="s">
        <v>1971</v>
      </c>
      <c r="F35" t="s">
        <v>1971</v>
      </c>
      <c r="G35" t="str">
        <f>INDEX(Risk_Matrix!$B$2:$D$4,MATCH(E35,Risk_Matrix!$A$2:$A$4,0),MATCH(F35,Risk_Matrix!$B$1:$D$1,0))</f>
        <v>Medium</v>
      </c>
      <c r="H35" s="1">
        <v>46143</v>
      </c>
      <c r="I35" t="s">
        <v>2025</v>
      </c>
      <c r="J35" t="s">
        <v>2026</v>
      </c>
      <c r="K35" t="s">
        <v>1993</v>
      </c>
      <c r="L35">
        <f>IF(G35="High",3,IF(G35="Medium",2,1))</f>
        <v>2</v>
      </c>
    </row>
    <row r="36" spans="1:12">
      <c r="A36" t="s">
        <v>2059</v>
      </c>
      <c r="B36" t="s">
        <v>630</v>
      </c>
      <c r="C36" t="s">
        <v>2005</v>
      </c>
      <c r="D36" t="s">
        <v>2022</v>
      </c>
      <c r="E36" t="s">
        <v>47</v>
      </c>
      <c r="F36" t="s">
        <v>1971</v>
      </c>
      <c r="G36" t="str">
        <f>INDEX(Risk_Matrix!$B$2:$D$4,MATCH(E36,Risk_Matrix!$A$2:$A$4,0),MATCH(F36,Risk_Matrix!$B$1:$D$1,0))</f>
        <v>High</v>
      </c>
      <c r="H36" s="1">
        <v>46210</v>
      </c>
      <c r="I36" t="s">
        <v>2015</v>
      </c>
      <c r="J36" t="s">
        <v>2032</v>
      </c>
      <c r="K36" t="s">
        <v>1993</v>
      </c>
      <c r="L36">
        <f>IF(G36="High",3,IF(G36="Medium",2,1))</f>
        <v>3</v>
      </c>
    </row>
    <row r="37" spans="1:12">
      <c r="A37" t="s">
        <v>2060</v>
      </c>
      <c r="B37" t="s">
        <v>630</v>
      </c>
      <c r="C37" t="s">
        <v>2008</v>
      </c>
      <c r="D37" t="s">
        <v>2009</v>
      </c>
      <c r="E37" t="s">
        <v>1971</v>
      </c>
      <c r="F37" t="s">
        <v>47</v>
      </c>
      <c r="G37" t="str">
        <f>INDEX(Risk_Matrix!$B$2:$D$4,MATCH(E37,Risk_Matrix!$A$2:$A$4,0),MATCH(F37,Risk_Matrix!$B$1:$D$1,0))</f>
        <v>High</v>
      </c>
      <c r="H37" s="1">
        <v>46085</v>
      </c>
      <c r="I37" t="s">
        <v>2025</v>
      </c>
      <c r="J37" t="s">
        <v>2026</v>
      </c>
      <c r="K37" t="s">
        <v>1998</v>
      </c>
      <c r="L37">
        <f>IF(G37="High",3,IF(G37="Medium",2,1))</f>
        <v>3</v>
      </c>
    </row>
    <row r="38" spans="1:12">
      <c r="A38" t="s">
        <v>2061</v>
      </c>
      <c r="B38" t="s">
        <v>633</v>
      </c>
      <c r="C38" t="s">
        <v>1985</v>
      </c>
      <c r="D38" t="s">
        <v>2062</v>
      </c>
      <c r="E38" t="s">
        <v>1971</v>
      </c>
      <c r="F38" t="s">
        <v>57</v>
      </c>
      <c r="G38" t="str">
        <f>INDEX(Risk_Matrix!$B$2:$D$4,MATCH(E38,Risk_Matrix!$A$2:$A$4,0),MATCH(F38,Risk_Matrix!$B$1:$D$1,0))</f>
        <v>Low</v>
      </c>
      <c r="H38" s="1">
        <v>46205</v>
      </c>
      <c r="I38" t="s">
        <v>2015</v>
      </c>
      <c r="J38" t="s">
        <v>2016</v>
      </c>
      <c r="K38" t="s">
        <v>1998</v>
      </c>
      <c r="L38">
        <f>IF(G38="High",3,IF(G38="Medium",2,1))</f>
        <v>1</v>
      </c>
    </row>
    <row r="39" spans="1:12">
      <c r="A39" t="s">
        <v>2063</v>
      </c>
      <c r="B39" t="s">
        <v>633</v>
      </c>
      <c r="C39" t="s">
        <v>1991</v>
      </c>
      <c r="D39" t="s">
        <v>2064</v>
      </c>
      <c r="E39" t="s">
        <v>57</v>
      </c>
      <c r="F39" t="s">
        <v>1971</v>
      </c>
      <c r="G39" t="str">
        <f>INDEX(Risk_Matrix!$B$2:$D$4,MATCH(E39,Risk_Matrix!$A$2:$A$4,0),MATCH(F39,Risk_Matrix!$B$1:$D$1,0))</f>
        <v>Low</v>
      </c>
      <c r="H39" s="1">
        <v>46138</v>
      </c>
      <c r="I39" t="s">
        <v>1987</v>
      </c>
      <c r="J39" t="s">
        <v>1988</v>
      </c>
      <c r="K39" t="s">
        <v>1993</v>
      </c>
      <c r="L39">
        <f>IF(G39="High",3,IF(G39="Medium",2,1))</f>
        <v>1</v>
      </c>
    </row>
    <row r="40" spans="1:12">
      <c r="A40" t="s">
        <v>2065</v>
      </c>
      <c r="B40" t="s">
        <v>633</v>
      </c>
      <c r="C40" t="s">
        <v>1995</v>
      </c>
      <c r="D40" t="s">
        <v>2034</v>
      </c>
      <c r="E40" t="s">
        <v>1971</v>
      </c>
      <c r="F40" t="s">
        <v>57</v>
      </c>
      <c r="G40" t="str">
        <f>INDEX(Risk_Matrix!$B$2:$D$4,MATCH(E40,Risk_Matrix!$A$2:$A$4,0),MATCH(F40,Risk_Matrix!$B$1:$D$1,0))</f>
        <v>Low</v>
      </c>
      <c r="H40" s="1">
        <v>46204</v>
      </c>
      <c r="I40" t="s">
        <v>2025</v>
      </c>
      <c r="J40" t="s">
        <v>2035</v>
      </c>
      <c r="K40" t="s">
        <v>2036</v>
      </c>
      <c r="L40">
        <f>IF(G40="High",3,IF(G40="Medium",2,1))</f>
        <v>1</v>
      </c>
    </row>
    <row r="41" spans="1:12">
      <c r="A41" t="s">
        <v>2066</v>
      </c>
      <c r="B41" t="s">
        <v>633</v>
      </c>
      <c r="C41" t="s">
        <v>2000</v>
      </c>
      <c r="D41" t="s">
        <v>2001</v>
      </c>
      <c r="E41" t="s">
        <v>47</v>
      </c>
      <c r="F41" t="s">
        <v>1971</v>
      </c>
      <c r="G41" t="str">
        <f>INDEX(Risk_Matrix!$B$2:$D$4,MATCH(E41,Risk_Matrix!$A$2:$A$4,0),MATCH(F41,Risk_Matrix!$B$1:$D$1,0))</f>
        <v>High</v>
      </c>
      <c r="H41" s="1">
        <v>46068</v>
      </c>
      <c r="I41" t="s">
        <v>2025</v>
      </c>
      <c r="J41" t="s">
        <v>2026</v>
      </c>
      <c r="K41" t="s">
        <v>1989</v>
      </c>
      <c r="L41">
        <f>IF(G41="High",3,IF(G41="Medium",2,1))</f>
        <v>3</v>
      </c>
    </row>
    <row r="42" spans="1:12">
      <c r="A42" t="s">
        <v>2067</v>
      </c>
      <c r="B42" t="s">
        <v>633</v>
      </c>
      <c r="C42" t="s">
        <v>2005</v>
      </c>
      <c r="D42" t="s">
        <v>2022</v>
      </c>
      <c r="E42" t="s">
        <v>47</v>
      </c>
      <c r="F42" t="s">
        <v>47</v>
      </c>
      <c r="G42" t="str">
        <f>INDEX(Risk_Matrix!$B$2:$D$4,MATCH(E42,Risk_Matrix!$A$2:$A$4,0),MATCH(F42,Risk_Matrix!$B$1:$D$1,0))</f>
        <v>High</v>
      </c>
      <c r="H42" s="1">
        <v>46082</v>
      </c>
      <c r="I42" t="s">
        <v>2025</v>
      </c>
      <c r="J42" t="s">
        <v>2035</v>
      </c>
      <c r="K42" t="s">
        <v>2036</v>
      </c>
      <c r="L42">
        <f>IF(G42="High",3,IF(G42="Medium",2,1))</f>
        <v>3</v>
      </c>
    </row>
    <row r="43" spans="1:12">
      <c r="A43" t="s">
        <v>2068</v>
      </c>
      <c r="B43" t="s">
        <v>633</v>
      </c>
      <c r="C43" t="s">
        <v>2008</v>
      </c>
      <c r="D43" t="s">
        <v>2054</v>
      </c>
      <c r="E43" t="s">
        <v>57</v>
      </c>
      <c r="F43" t="s">
        <v>57</v>
      </c>
      <c r="G43" t="str">
        <f>INDEX(Risk_Matrix!$B$2:$D$4,MATCH(E43,Risk_Matrix!$A$2:$A$4,0),MATCH(F43,Risk_Matrix!$B$1:$D$1,0))</f>
        <v>Low</v>
      </c>
      <c r="H43" s="1">
        <v>46224</v>
      </c>
      <c r="I43" t="s">
        <v>2025</v>
      </c>
      <c r="J43" t="s">
        <v>2035</v>
      </c>
      <c r="K43" t="s">
        <v>2010</v>
      </c>
      <c r="L43">
        <f>IF(G43="High",3,IF(G43="Medium",2,1))</f>
        <v>1</v>
      </c>
    </row>
    <row r="44" spans="1:12">
      <c r="A44" t="s">
        <v>2069</v>
      </c>
      <c r="B44" t="s">
        <v>635</v>
      </c>
      <c r="C44" t="s">
        <v>1985</v>
      </c>
      <c r="D44" t="s">
        <v>2012</v>
      </c>
      <c r="E44" t="s">
        <v>1971</v>
      </c>
      <c r="F44" t="s">
        <v>47</v>
      </c>
      <c r="G44" t="str">
        <f>INDEX(Risk_Matrix!$B$2:$D$4,MATCH(E44,Risk_Matrix!$A$2:$A$4,0),MATCH(F44,Risk_Matrix!$B$1:$D$1,0))</f>
        <v>High</v>
      </c>
      <c r="H44" s="1">
        <v>46057</v>
      </c>
      <c r="I44" t="s">
        <v>2025</v>
      </c>
      <c r="J44" t="s">
        <v>2035</v>
      </c>
      <c r="K44" t="s">
        <v>1989</v>
      </c>
      <c r="L44">
        <f>IF(G44="High",3,IF(G44="Medium",2,1))</f>
        <v>3</v>
      </c>
    </row>
    <row r="45" spans="1:12">
      <c r="A45" t="s">
        <v>2070</v>
      </c>
      <c r="B45" t="s">
        <v>635</v>
      </c>
      <c r="C45" t="s">
        <v>1991</v>
      </c>
      <c r="D45" t="s">
        <v>2014</v>
      </c>
      <c r="E45" t="s">
        <v>1971</v>
      </c>
      <c r="F45" t="s">
        <v>1971</v>
      </c>
      <c r="G45" t="str">
        <f>INDEX(Risk_Matrix!$B$2:$D$4,MATCH(E45,Risk_Matrix!$A$2:$A$4,0),MATCH(F45,Risk_Matrix!$B$1:$D$1,0))</f>
        <v>Medium</v>
      </c>
      <c r="H45" s="1">
        <v>46174</v>
      </c>
      <c r="I45" t="s">
        <v>1987</v>
      </c>
      <c r="J45" t="s">
        <v>1997</v>
      </c>
      <c r="K45" t="s">
        <v>2010</v>
      </c>
      <c r="L45">
        <f>IF(G45="High",3,IF(G45="Medium",2,1))</f>
        <v>2</v>
      </c>
    </row>
    <row r="46" spans="1:12">
      <c r="A46" t="s">
        <v>2071</v>
      </c>
      <c r="B46" t="s">
        <v>635</v>
      </c>
      <c r="C46" t="s">
        <v>1995</v>
      </c>
      <c r="D46" t="s">
        <v>2018</v>
      </c>
      <c r="E46" t="s">
        <v>1971</v>
      </c>
      <c r="F46" t="s">
        <v>57</v>
      </c>
      <c r="G46" t="str">
        <f>INDEX(Risk_Matrix!$B$2:$D$4,MATCH(E46,Risk_Matrix!$A$2:$A$4,0),MATCH(F46,Risk_Matrix!$B$1:$D$1,0))</f>
        <v>Low</v>
      </c>
      <c r="H46" s="1">
        <v>46156</v>
      </c>
      <c r="I46" t="s">
        <v>2002</v>
      </c>
      <c r="J46" t="s">
        <v>2029</v>
      </c>
      <c r="K46" t="s">
        <v>2036</v>
      </c>
      <c r="L46">
        <f>IF(G46="High",3,IF(G46="Medium",2,1))</f>
        <v>1</v>
      </c>
    </row>
    <row r="47" spans="1:12">
      <c r="A47" t="s">
        <v>2072</v>
      </c>
      <c r="B47" t="s">
        <v>635</v>
      </c>
      <c r="C47" t="s">
        <v>2000</v>
      </c>
      <c r="D47" t="s">
        <v>2045</v>
      </c>
      <c r="E47" t="s">
        <v>1971</v>
      </c>
      <c r="F47" t="s">
        <v>1971</v>
      </c>
      <c r="G47" t="str">
        <f>INDEX(Risk_Matrix!$B$2:$D$4,MATCH(E47,Risk_Matrix!$A$2:$A$4,0),MATCH(F47,Risk_Matrix!$B$1:$D$1,0))</f>
        <v>Medium</v>
      </c>
      <c r="H47" s="1">
        <v>46206</v>
      </c>
      <c r="I47" t="s">
        <v>2015</v>
      </c>
      <c r="J47" t="s">
        <v>2032</v>
      </c>
      <c r="K47" t="s">
        <v>1989</v>
      </c>
      <c r="L47">
        <f>IF(G47="High",3,IF(G47="Medium",2,1))</f>
        <v>2</v>
      </c>
    </row>
    <row r="48" spans="1:12">
      <c r="A48" t="s">
        <v>2073</v>
      </c>
      <c r="B48" t="s">
        <v>635</v>
      </c>
      <c r="C48" t="s">
        <v>2005</v>
      </c>
      <c r="D48" t="s">
        <v>2039</v>
      </c>
      <c r="E48" t="s">
        <v>47</v>
      </c>
      <c r="F48" t="s">
        <v>1971</v>
      </c>
      <c r="G48" t="str">
        <f>INDEX(Risk_Matrix!$B$2:$D$4,MATCH(E48,Risk_Matrix!$A$2:$A$4,0),MATCH(F48,Risk_Matrix!$B$1:$D$1,0))</f>
        <v>High</v>
      </c>
      <c r="H48" s="1">
        <v>46211</v>
      </c>
      <c r="I48" t="s">
        <v>2015</v>
      </c>
      <c r="J48" t="s">
        <v>2032</v>
      </c>
      <c r="K48" t="s">
        <v>1993</v>
      </c>
      <c r="L48">
        <f>IF(G48="High",3,IF(G48="Medium",2,1))</f>
        <v>3</v>
      </c>
    </row>
    <row r="49" spans="1:12">
      <c r="A49" t="s">
        <v>2074</v>
      </c>
      <c r="B49" t="s">
        <v>635</v>
      </c>
      <c r="C49" t="s">
        <v>2008</v>
      </c>
      <c r="D49" t="s">
        <v>2024</v>
      </c>
      <c r="E49" t="s">
        <v>1971</v>
      </c>
      <c r="F49" t="s">
        <v>1971</v>
      </c>
      <c r="G49" t="str">
        <f>INDEX(Risk_Matrix!$B$2:$D$4,MATCH(E49,Risk_Matrix!$A$2:$A$4,0),MATCH(F49,Risk_Matrix!$B$1:$D$1,0))</f>
        <v>Medium</v>
      </c>
      <c r="H49" s="1">
        <v>46210</v>
      </c>
      <c r="I49" t="s">
        <v>2015</v>
      </c>
      <c r="J49" t="s">
        <v>2016</v>
      </c>
      <c r="K49" t="s">
        <v>2010</v>
      </c>
      <c r="L49">
        <f>IF(G49="High",3,IF(G49="Medium",2,1))</f>
        <v>2</v>
      </c>
    </row>
    <row r="50" spans="1:12">
      <c r="A50" t="s">
        <v>2075</v>
      </c>
      <c r="B50" t="s">
        <v>638</v>
      </c>
      <c r="C50" t="s">
        <v>1985</v>
      </c>
      <c r="D50" t="s">
        <v>1986</v>
      </c>
      <c r="E50" t="s">
        <v>47</v>
      </c>
      <c r="F50" t="s">
        <v>57</v>
      </c>
      <c r="G50" t="str">
        <f>INDEX(Risk_Matrix!$B$2:$D$4,MATCH(E50,Risk_Matrix!$A$2:$A$4,0),MATCH(F50,Risk_Matrix!$B$1:$D$1,0))</f>
        <v>Medium</v>
      </c>
      <c r="H50" s="1">
        <v>46224</v>
      </c>
      <c r="I50" t="s">
        <v>2015</v>
      </c>
      <c r="J50" t="s">
        <v>2016</v>
      </c>
      <c r="K50" t="s">
        <v>1998</v>
      </c>
      <c r="L50">
        <f>IF(G50="High",3,IF(G50="Medium",2,1))</f>
        <v>2</v>
      </c>
    </row>
    <row r="51" spans="1:12">
      <c r="A51" t="s">
        <v>2076</v>
      </c>
      <c r="B51" t="s">
        <v>638</v>
      </c>
      <c r="C51" t="s">
        <v>1991</v>
      </c>
      <c r="D51" t="s">
        <v>2014</v>
      </c>
      <c r="E51" t="s">
        <v>47</v>
      </c>
      <c r="F51" t="s">
        <v>1971</v>
      </c>
      <c r="G51" t="str">
        <f>INDEX(Risk_Matrix!$B$2:$D$4,MATCH(E51,Risk_Matrix!$A$2:$A$4,0),MATCH(F51,Risk_Matrix!$B$1:$D$1,0))</f>
        <v>High</v>
      </c>
      <c r="H51" s="1">
        <v>46178</v>
      </c>
      <c r="I51" t="s">
        <v>2015</v>
      </c>
      <c r="J51" t="s">
        <v>2016</v>
      </c>
      <c r="K51" t="s">
        <v>2010</v>
      </c>
      <c r="L51">
        <f>IF(G51="High",3,IF(G51="Medium",2,1))</f>
        <v>3</v>
      </c>
    </row>
    <row r="52" spans="1:12">
      <c r="A52" t="s">
        <v>2077</v>
      </c>
      <c r="B52" t="s">
        <v>638</v>
      </c>
      <c r="C52" t="s">
        <v>1995</v>
      </c>
      <c r="D52" t="s">
        <v>2034</v>
      </c>
      <c r="E52" t="s">
        <v>1971</v>
      </c>
      <c r="F52" t="s">
        <v>57</v>
      </c>
      <c r="G52" t="str">
        <f>INDEX(Risk_Matrix!$B$2:$D$4,MATCH(E52,Risk_Matrix!$A$2:$A$4,0),MATCH(F52,Risk_Matrix!$B$1:$D$1,0))</f>
        <v>Low</v>
      </c>
      <c r="H52" s="1">
        <v>46061</v>
      </c>
      <c r="I52" t="s">
        <v>2025</v>
      </c>
      <c r="J52" t="s">
        <v>2026</v>
      </c>
      <c r="K52" t="s">
        <v>2036</v>
      </c>
      <c r="L52">
        <f>IF(G52="High",3,IF(G52="Medium",2,1))</f>
        <v>1</v>
      </c>
    </row>
    <row r="53" spans="1:12">
      <c r="A53" t="s">
        <v>2078</v>
      </c>
      <c r="B53" t="s">
        <v>638</v>
      </c>
      <c r="C53" t="s">
        <v>2000</v>
      </c>
      <c r="D53" t="s">
        <v>2045</v>
      </c>
      <c r="E53" t="s">
        <v>1971</v>
      </c>
      <c r="F53" t="s">
        <v>47</v>
      </c>
      <c r="G53" t="str">
        <f>INDEX(Risk_Matrix!$B$2:$D$4,MATCH(E53,Risk_Matrix!$A$2:$A$4,0),MATCH(F53,Risk_Matrix!$B$1:$D$1,0))</f>
        <v>High</v>
      </c>
      <c r="H53" s="1">
        <v>46120</v>
      </c>
      <c r="I53" t="s">
        <v>2025</v>
      </c>
      <c r="J53" t="s">
        <v>2035</v>
      </c>
      <c r="K53" t="s">
        <v>1989</v>
      </c>
      <c r="L53">
        <f>IF(G53="High",3,IF(G53="Medium",2,1))</f>
        <v>3</v>
      </c>
    </row>
    <row r="54" spans="1:12">
      <c r="A54" t="s">
        <v>2079</v>
      </c>
      <c r="B54" t="s">
        <v>638</v>
      </c>
      <c r="C54" t="s">
        <v>2005</v>
      </c>
      <c r="D54" t="s">
        <v>2039</v>
      </c>
      <c r="E54" t="s">
        <v>57</v>
      </c>
      <c r="F54" t="s">
        <v>57</v>
      </c>
      <c r="G54" t="str">
        <f>INDEX(Risk_Matrix!$B$2:$D$4,MATCH(E54,Risk_Matrix!$A$2:$A$4,0),MATCH(F54,Risk_Matrix!$B$1:$D$1,0))</f>
        <v>Low</v>
      </c>
      <c r="H54" s="1">
        <v>46088</v>
      </c>
      <c r="I54" t="s">
        <v>2025</v>
      </c>
      <c r="J54" t="s">
        <v>2026</v>
      </c>
      <c r="K54" t="s">
        <v>1993</v>
      </c>
      <c r="L54">
        <f>IF(G54="High",3,IF(G54="Medium",2,1))</f>
        <v>1</v>
      </c>
    </row>
    <row r="55" spans="1:12">
      <c r="A55" t="s">
        <v>2080</v>
      </c>
      <c r="B55" t="s">
        <v>638</v>
      </c>
      <c r="C55" t="s">
        <v>2008</v>
      </c>
      <c r="D55" t="s">
        <v>2024</v>
      </c>
      <c r="E55" t="s">
        <v>1971</v>
      </c>
      <c r="F55" t="s">
        <v>47</v>
      </c>
      <c r="G55" t="str">
        <f>INDEX(Risk_Matrix!$B$2:$D$4,MATCH(E55,Risk_Matrix!$A$2:$A$4,0),MATCH(F55,Risk_Matrix!$B$1:$D$1,0))</f>
        <v>High</v>
      </c>
      <c r="H55" s="1">
        <v>46175</v>
      </c>
      <c r="I55" t="s">
        <v>2015</v>
      </c>
      <c r="J55" t="s">
        <v>2032</v>
      </c>
      <c r="K55" t="s">
        <v>2010</v>
      </c>
      <c r="L55">
        <f>IF(G55="High",3,IF(G55="Medium",2,1))</f>
        <v>3</v>
      </c>
    </row>
    <row r="56" spans="1:12">
      <c r="A56" t="s">
        <v>2081</v>
      </c>
      <c r="B56" t="s">
        <v>641</v>
      </c>
      <c r="C56" t="s">
        <v>1985</v>
      </c>
      <c r="D56" t="s">
        <v>2012</v>
      </c>
      <c r="E56" t="s">
        <v>47</v>
      </c>
      <c r="F56" t="s">
        <v>1971</v>
      </c>
      <c r="G56" t="str">
        <f>INDEX(Risk_Matrix!$B$2:$D$4,MATCH(E56,Risk_Matrix!$A$2:$A$4,0),MATCH(F56,Risk_Matrix!$B$1:$D$1,0))</f>
        <v>High</v>
      </c>
      <c r="H56" s="1">
        <v>46218</v>
      </c>
      <c r="I56" t="s">
        <v>2015</v>
      </c>
      <c r="J56" t="s">
        <v>2016</v>
      </c>
      <c r="K56" t="s">
        <v>1998</v>
      </c>
      <c r="L56">
        <f>IF(G56="High",3,IF(G56="Medium",2,1))</f>
        <v>3</v>
      </c>
    </row>
    <row r="57" spans="1:12">
      <c r="A57" t="s">
        <v>2082</v>
      </c>
      <c r="B57" t="s">
        <v>641</v>
      </c>
      <c r="C57" t="s">
        <v>1991</v>
      </c>
      <c r="D57" t="s">
        <v>2064</v>
      </c>
      <c r="E57" t="s">
        <v>57</v>
      </c>
      <c r="F57" t="s">
        <v>57</v>
      </c>
      <c r="G57" t="str">
        <f>INDEX(Risk_Matrix!$B$2:$D$4,MATCH(E57,Risk_Matrix!$A$2:$A$4,0),MATCH(F57,Risk_Matrix!$B$1:$D$1,0))</f>
        <v>Low</v>
      </c>
      <c r="H57" s="1">
        <v>46106</v>
      </c>
      <c r="I57" t="s">
        <v>2025</v>
      </c>
      <c r="J57" t="s">
        <v>2026</v>
      </c>
      <c r="K57" t="s">
        <v>1993</v>
      </c>
      <c r="L57">
        <f>IF(G57="High",3,IF(G57="Medium",2,1))</f>
        <v>1</v>
      </c>
    </row>
    <row r="58" spans="1:12">
      <c r="A58" t="s">
        <v>2083</v>
      </c>
      <c r="B58" t="s">
        <v>641</v>
      </c>
      <c r="C58" t="s">
        <v>1995</v>
      </c>
      <c r="D58" t="s">
        <v>2034</v>
      </c>
      <c r="E58" t="s">
        <v>57</v>
      </c>
      <c r="F58" t="s">
        <v>57</v>
      </c>
      <c r="G58" t="str">
        <f>INDEX(Risk_Matrix!$B$2:$D$4,MATCH(E58,Risk_Matrix!$A$2:$A$4,0),MATCH(F58,Risk_Matrix!$B$1:$D$1,0))</f>
        <v>Low</v>
      </c>
      <c r="H58" s="1">
        <v>46069</v>
      </c>
      <c r="I58" t="s">
        <v>2025</v>
      </c>
      <c r="J58" t="s">
        <v>2026</v>
      </c>
      <c r="K58" t="s">
        <v>1998</v>
      </c>
      <c r="L58">
        <f>IF(G58="High",3,IF(G58="Medium",2,1))</f>
        <v>1</v>
      </c>
    </row>
    <row r="59" spans="1:12">
      <c r="A59" t="s">
        <v>2084</v>
      </c>
      <c r="B59" t="s">
        <v>641</v>
      </c>
      <c r="C59" t="s">
        <v>2000</v>
      </c>
      <c r="D59" t="s">
        <v>2020</v>
      </c>
      <c r="E59" t="s">
        <v>1971</v>
      </c>
      <c r="F59" t="s">
        <v>57</v>
      </c>
      <c r="G59" t="str">
        <f>INDEX(Risk_Matrix!$B$2:$D$4,MATCH(E59,Risk_Matrix!$A$2:$A$4,0),MATCH(F59,Risk_Matrix!$B$1:$D$1,0))</f>
        <v>Low</v>
      </c>
      <c r="H59" s="1">
        <v>46219</v>
      </c>
      <c r="I59" t="s">
        <v>2025</v>
      </c>
      <c r="J59" t="s">
        <v>2035</v>
      </c>
      <c r="K59" t="s">
        <v>1989</v>
      </c>
      <c r="L59">
        <f>IF(G59="High",3,IF(G59="Medium",2,1))</f>
        <v>1</v>
      </c>
    </row>
    <row r="60" spans="1:12">
      <c r="A60" t="s">
        <v>2085</v>
      </c>
      <c r="B60" t="s">
        <v>641</v>
      </c>
      <c r="C60" t="s">
        <v>2005</v>
      </c>
      <c r="D60" t="s">
        <v>2039</v>
      </c>
      <c r="E60" t="s">
        <v>1971</v>
      </c>
      <c r="F60" t="s">
        <v>1971</v>
      </c>
      <c r="G60" t="str">
        <f>INDEX(Risk_Matrix!$B$2:$D$4,MATCH(E60,Risk_Matrix!$A$2:$A$4,0),MATCH(F60,Risk_Matrix!$B$1:$D$1,0))</f>
        <v>Medium</v>
      </c>
      <c r="H60" s="1">
        <v>46161</v>
      </c>
      <c r="I60" t="s">
        <v>2015</v>
      </c>
      <c r="J60" t="s">
        <v>2032</v>
      </c>
      <c r="K60" t="s">
        <v>1993</v>
      </c>
      <c r="L60">
        <f>IF(G60="High",3,IF(G60="Medium",2,1))</f>
        <v>2</v>
      </c>
    </row>
    <row r="61" spans="1:12">
      <c r="A61" t="s">
        <v>2086</v>
      </c>
      <c r="B61" t="s">
        <v>641</v>
      </c>
      <c r="C61" t="s">
        <v>2008</v>
      </c>
      <c r="D61" t="s">
        <v>2009</v>
      </c>
      <c r="E61" t="s">
        <v>1971</v>
      </c>
      <c r="F61" t="s">
        <v>47</v>
      </c>
      <c r="G61" t="str">
        <f>INDEX(Risk_Matrix!$B$2:$D$4,MATCH(E61,Risk_Matrix!$A$2:$A$4,0),MATCH(F61,Risk_Matrix!$B$1:$D$1,0))</f>
        <v>High</v>
      </c>
      <c r="H61" s="1">
        <v>46208</v>
      </c>
      <c r="I61" t="s">
        <v>2015</v>
      </c>
      <c r="J61" t="s">
        <v>2032</v>
      </c>
      <c r="K61" t="s">
        <v>2010</v>
      </c>
      <c r="L61">
        <f>IF(G61="High",3,IF(G61="Medium",2,1))</f>
        <v>3</v>
      </c>
    </row>
    <row r="62" spans="1:12">
      <c r="A62" t="s">
        <v>2087</v>
      </c>
      <c r="B62" t="s">
        <v>643</v>
      </c>
      <c r="C62" t="s">
        <v>1985</v>
      </c>
      <c r="D62" t="s">
        <v>1986</v>
      </c>
      <c r="E62" t="s">
        <v>57</v>
      </c>
      <c r="F62" t="s">
        <v>57</v>
      </c>
      <c r="G62" t="str">
        <f>INDEX(Risk_Matrix!$B$2:$D$4,MATCH(E62,Risk_Matrix!$A$2:$A$4,0),MATCH(F62,Risk_Matrix!$B$1:$D$1,0))</f>
        <v>Low</v>
      </c>
      <c r="H62" s="1">
        <v>46095</v>
      </c>
      <c r="I62" t="s">
        <v>1987</v>
      </c>
      <c r="J62" t="s">
        <v>1997</v>
      </c>
      <c r="K62" t="s">
        <v>1998</v>
      </c>
      <c r="L62">
        <f>IF(G62="High",3,IF(G62="Medium",2,1))</f>
        <v>1</v>
      </c>
    </row>
    <row r="63" spans="1:12">
      <c r="A63" t="s">
        <v>2088</v>
      </c>
      <c r="B63" t="s">
        <v>643</v>
      </c>
      <c r="C63" t="s">
        <v>1991</v>
      </c>
      <c r="D63" t="s">
        <v>2014</v>
      </c>
      <c r="E63" t="s">
        <v>1971</v>
      </c>
      <c r="F63" t="s">
        <v>57</v>
      </c>
      <c r="G63" t="str">
        <f>INDEX(Risk_Matrix!$B$2:$D$4,MATCH(E63,Risk_Matrix!$A$2:$A$4,0),MATCH(F63,Risk_Matrix!$B$1:$D$1,0))</f>
        <v>Low</v>
      </c>
      <c r="H63" s="1">
        <v>46178</v>
      </c>
      <c r="I63" t="s">
        <v>1987</v>
      </c>
      <c r="J63" t="s">
        <v>1997</v>
      </c>
      <c r="K63" t="s">
        <v>1993</v>
      </c>
      <c r="L63">
        <f>IF(G63="High",3,IF(G63="Medium",2,1))</f>
        <v>1</v>
      </c>
    </row>
    <row r="64" spans="1:12">
      <c r="A64" t="s">
        <v>2089</v>
      </c>
      <c r="B64" t="s">
        <v>643</v>
      </c>
      <c r="C64" t="s">
        <v>1995</v>
      </c>
      <c r="D64" t="s">
        <v>2034</v>
      </c>
      <c r="E64" t="s">
        <v>57</v>
      </c>
      <c r="F64" t="s">
        <v>57</v>
      </c>
      <c r="G64" t="str">
        <f>INDEX(Risk_Matrix!$B$2:$D$4,MATCH(E64,Risk_Matrix!$A$2:$A$4,0),MATCH(F64,Risk_Matrix!$B$1:$D$1,0))</f>
        <v>Low</v>
      </c>
      <c r="H64" s="1">
        <v>46160</v>
      </c>
      <c r="I64" t="s">
        <v>2015</v>
      </c>
      <c r="J64" t="s">
        <v>2032</v>
      </c>
      <c r="K64" t="s">
        <v>2036</v>
      </c>
      <c r="L64">
        <f>IF(G64="High",3,IF(G64="Medium",2,1))</f>
        <v>1</v>
      </c>
    </row>
    <row r="65" spans="1:12">
      <c r="A65" t="s">
        <v>2090</v>
      </c>
      <c r="B65" t="s">
        <v>643</v>
      </c>
      <c r="C65" t="s">
        <v>2000</v>
      </c>
      <c r="D65" t="s">
        <v>2020</v>
      </c>
      <c r="E65" t="s">
        <v>57</v>
      </c>
      <c r="F65" t="s">
        <v>57</v>
      </c>
      <c r="G65" t="str">
        <f>INDEX(Risk_Matrix!$B$2:$D$4,MATCH(E65,Risk_Matrix!$A$2:$A$4,0),MATCH(F65,Risk_Matrix!$B$1:$D$1,0))</f>
        <v>Low</v>
      </c>
      <c r="H65" s="1">
        <v>46131</v>
      </c>
      <c r="I65" t="s">
        <v>1987</v>
      </c>
      <c r="J65" t="s">
        <v>1988</v>
      </c>
      <c r="K65" t="s">
        <v>1993</v>
      </c>
      <c r="L65">
        <f>IF(G65="High",3,IF(G65="Medium",2,1))</f>
        <v>1</v>
      </c>
    </row>
    <row r="66" spans="1:12">
      <c r="A66" t="s">
        <v>2091</v>
      </c>
      <c r="B66" t="s">
        <v>643</v>
      </c>
      <c r="C66" t="s">
        <v>2005</v>
      </c>
      <c r="D66" t="s">
        <v>2039</v>
      </c>
      <c r="E66" t="s">
        <v>47</v>
      </c>
      <c r="F66" t="s">
        <v>47</v>
      </c>
      <c r="G66" t="str">
        <f>INDEX(Risk_Matrix!$B$2:$D$4,MATCH(E66,Risk_Matrix!$A$2:$A$4,0),MATCH(F66,Risk_Matrix!$B$1:$D$1,0))</f>
        <v>High</v>
      </c>
      <c r="H66" s="1">
        <v>46221</v>
      </c>
      <c r="I66" t="s">
        <v>2015</v>
      </c>
      <c r="J66" t="s">
        <v>2032</v>
      </c>
      <c r="K66" t="s">
        <v>1993</v>
      </c>
      <c r="L66">
        <f>IF(G66="High",3,IF(G66="Medium",2,1))</f>
        <v>3</v>
      </c>
    </row>
    <row r="67" spans="1:12">
      <c r="A67" t="s">
        <v>2092</v>
      </c>
      <c r="B67" t="s">
        <v>643</v>
      </c>
      <c r="C67" t="s">
        <v>2008</v>
      </c>
      <c r="D67" t="s">
        <v>2054</v>
      </c>
      <c r="E67" t="s">
        <v>47</v>
      </c>
      <c r="F67" t="s">
        <v>47</v>
      </c>
      <c r="G67" t="str">
        <f>INDEX(Risk_Matrix!$B$2:$D$4,MATCH(E67,Risk_Matrix!$A$2:$A$4,0),MATCH(F67,Risk_Matrix!$B$1:$D$1,0))</f>
        <v>High</v>
      </c>
      <c r="H67" s="1">
        <v>46202</v>
      </c>
      <c r="I67" t="s">
        <v>2025</v>
      </c>
      <c r="J67" t="s">
        <v>2035</v>
      </c>
      <c r="K67" t="s">
        <v>2010</v>
      </c>
      <c r="L67">
        <f>IF(G67="High",3,IF(G67="Medium",2,1))</f>
        <v>3</v>
      </c>
    </row>
    <row r="68" spans="1:12">
      <c r="A68" t="s">
        <v>2093</v>
      </c>
      <c r="B68" t="s">
        <v>646</v>
      </c>
      <c r="C68" t="s">
        <v>1985</v>
      </c>
      <c r="D68" t="s">
        <v>2012</v>
      </c>
      <c r="E68" t="s">
        <v>1971</v>
      </c>
      <c r="F68" t="s">
        <v>1971</v>
      </c>
      <c r="G68" t="str">
        <f>INDEX(Risk_Matrix!$B$2:$D$4,MATCH(E68,Risk_Matrix!$A$2:$A$4,0),MATCH(F68,Risk_Matrix!$B$1:$D$1,0))</f>
        <v>Medium</v>
      </c>
      <c r="H68" s="1">
        <v>46116</v>
      </c>
      <c r="I68" t="s">
        <v>2025</v>
      </c>
      <c r="J68" t="s">
        <v>2026</v>
      </c>
      <c r="K68" t="s">
        <v>1989</v>
      </c>
      <c r="L68">
        <f>IF(G68="High",3,IF(G68="Medium",2,1))</f>
        <v>2</v>
      </c>
    </row>
    <row r="69" spans="1:12">
      <c r="A69" t="s">
        <v>2094</v>
      </c>
      <c r="B69" t="s">
        <v>646</v>
      </c>
      <c r="C69" t="s">
        <v>1991</v>
      </c>
      <c r="D69" t="s">
        <v>1992</v>
      </c>
      <c r="E69" t="s">
        <v>57</v>
      </c>
      <c r="F69" t="s">
        <v>57</v>
      </c>
      <c r="G69" t="str">
        <f>INDEX(Risk_Matrix!$B$2:$D$4,MATCH(E69,Risk_Matrix!$A$2:$A$4,0),MATCH(F69,Risk_Matrix!$B$1:$D$1,0))</f>
        <v>Low</v>
      </c>
      <c r="H69" s="1">
        <v>46216</v>
      </c>
      <c r="I69" t="s">
        <v>1987</v>
      </c>
      <c r="J69" t="s">
        <v>1997</v>
      </c>
      <c r="K69" t="s">
        <v>2010</v>
      </c>
      <c r="L69">
        <f>IF(G69="High",3,IF(G69="Medium",2,1))</f>
        <v>1</v>
      </c>
    </row>
    <row r="70" spans="1:12">
      <c r="A70" t="s">
        <v>2095</v>
      </c>
      <c r="B70" t="s">
        <v>646</v>
      </c>
      <c r="C70" t="s">
        <v>1995</v>
      </c>
      <c r="D70" t="s">
        <v>2034</v>
      </c>
      <c r="E70" t="s">
        <v>57</v>
      </c>
      <c r="F70" t="s">
        <v>47</v>
      </c>
      <c r="G70" t="str">
        <f>INDEX(Risk_Matrix!$B$2:$D$4,MATCH(E70,Risk_Matrix!$A$2:$A$4,0),MATCH(F70,Risk_Matrix!$B$1:$D$1,0))</f>
        <v>Medium</v>
      </c>
      <c r="H70" s="1">
        <v>46181</v>
      </c>
      <c r="I70" t="s">
        <v>2025</v>
      </c>
      <c r="J70" t="s">
        <v>2026</v>
      </c>
      <c r="K70" t="s">
        <v>1998</v>
      </c>
      <c r="L70">
        <f>IF(G70="High",3,IF(G70="Medium",2,1))</f>
        <v>2</v>
      </c>
    </row>
    <row r="71" spans="1:12">
      <c r="A71" t="s">
        <v>2096</v>
      </c>
      <c r="B71" t="s">
        <v>646</v>
      </c>
      <c r="C71" t="s">
        <v>2000</v>
      </c>
      <c r="D71" t="s">
        <v>2020</v>
      </c>
      <c r="E71" t="s">
        <v>57</v>
      </c>
      <c r="F71" t="s">
        <v>57</v>
      </c>
      <c r="G71" t="str">
        <f>INDEX(Risk_Matrix!$B$2:$D$4,MATCH(E71,Risk_Matrix!$A$2:$A$4,0),MATCH(F71,Risk_Matrix!$B$1:$D$1,0))</f>
        <v>Low</v>
      </c>
      <c r="H71" s="1">
        <v>46234</v>
      </c>
      <c r="I71" t="s">
        <v>1987</v>
      </c>
      <c r="J71" t="s">
        <v>1997</v>
      </c>
      <c r="K71" t="s">
        <v>1989</v>
      </c>
      <c r="L71">
        <f>IF(G71="High",3,IF(G71="Medium",2,1))</f>
        <v>1</v>
      </c>
    </row>
    <row r="72" spans="1:12">
      <c r="A72" t="s">
        <v>2097</v>
      </c>
      <c r="B72" t="s">
        <v>646</v>
      </c>
      <c r="C72" t="s">
        <v>2005</v>
      </c>
      <c r="D72" t="s">
        <v>2039</v>
      </c>
      <c r="E72" t="s">
        <v>47</v>
      </c>
      <c r="F72" t="s">
        <v>57</v>
      </c>
      <c r="G72" t="str">
        <f>INDEX(Risk_Matrix!$B$2:$D$4,MATCH(E72,Risk_Matrix!$A$2:$A$4,0),MATCH(F72,Risk_Matrix!$B$1:$D$1,0))</f>
        <v>Medium</v>
      </c>
      <c r="H72" s="1">
        <v>46184</v>
      </c>
      <c r="I72" t="s">
        <v>2015</v>
      </c>
      <c r="J72" t="s">
        <v>2016</v>
      </c>
      <c r="K72" t="s">
        <v>1993</v>
      </c>
      <c r="L72">
        <f>IF(G72="High",3,IF(G72="Medium",2,1))</f>
        <v>2</v>
      </c>
    </row>
    <row r="73" spans="1:12">
      <c r="A73" t="s">
        <v>2098</v>
      </c>
      <c r="B73" t="s">
        <v>646</v>
      </c>
      <c r="C73" t="s">
        <v>2008</v>
      </c>
      <c r="D73" t="s">
        <v>2024</v>
      </c>
      <c r="E73" t="s">
        <v>57</v>
      </c>
      <c r="F73" t="s">
        <v>47</v>
      </c>
      <c r="G73" t="str">
        <f>INDEX(Risk_Matrix!$B$2:$D$4,MATCH(E73,Risk_Matrix!$A$2:$A$4,0),MATCH(F73,Risk_Matrix!$B$1:$D$1,0))</f>
        <v>Medium</v>
      </c>
      <c r="H73" s="1">
        <v>46217</v>
      </c>
      <c r="I73" t="s">
        <v>2015</v>
      </c>
      <c r="J73" t="s">
        <v>2032</v>
      </c>
      <c r="K73" t="s">
        <v>2010</v>
      </c>
      <c r="L73">
        <f>IF(G73="High",3,IF(G73="Medium",2,1))</f>
        <v>2</v>
      </c>
    </row>
    <row r="74" spans="1:12">
      <c r="A74" t="s">
        <v>2099</v>
      </c>
      <c r="B74" t="s">
        <v>648</v>
      </c>
      <c r="C74" t="s">
        <v>1985</v>
      </c>
      <c r="D74" t="s">
        <v>2028</v>
      </c>
      <c r="E74" t="s">
        <v>47</v>
      </c>
      <c r="F74" t="s">
        <v>47</v>
      </c>
      <c r="G74" t="str">
        <f>INDEX(Risk_Matrix!$B$2:$D$4,MATCH(E74,Risk_Matrix!$A$2:$A$4,0),MATCH(F74,Risk_Matrix!$B$1:$D$1,0))</f>
        <v>High</v>
      </c>
      <c r="H74" s="1">
        <v>46117</v>
      </c>
      <c r="I74" t="s">
        <v>1987</v>
      </c>
      <c r="J74" t="s">
        <v>1988</v>
      </c>
      <c r="K74" t="s">
        <v>1998</v>
      </c>
      <c r="L74">
        <f>IF(G74="High",3,IF(G74="Medium",2,1))</f>
        <v>3</v>
      </c>
    </row>
    <row r="75" spans="1:12">
      <c r="A75" t="s">
        <v>2100</v>
      </c>
      <c r="B75" t="s">
        <v>648</v>
      </c>
      <c r="C75" t="s">
        <v>1991</v>
      </c>
      <c r="D75" t="s">
        <v>2064</v>
      </c>
      <c r="E75" t="s">
        <v>57</v>
      </c>
      <c r="F75" t="s">
        <v>57</v>
      </c>
      <c r="G75" t="str">
        <f>INDEX(Risk_Matrix!$B$2:$D$4,MATCH(E75,Risk_Matrix!$A$2:$A$4,0),MATCH(F75,Risk_Matrix!$B$1:$D$1,0))</f>
        <v>Low</v>
      </c>
      <c r="H75" s="1">
        <v>46105</v>
      </c>
      <c r="I75" t="s">
        <v>2025</v>
      </c>
      <c r="J75" t="s">
        <v>2035</v>
      </c>
      <c r="K75" t="s">
        <v>1993</v>
      </c>
      <c r="L75">
        <f>IF(G75="High",3,IF(G75="Medium",2,1))</f>
        <v>1</v>
      </c>
    </row>
    <row r="76" spans="1:12">
      <c r="A76" t="s">
        <v>2101</v>
      </c>
      <c r="B76" t="s">
        <v>648</v>
      </c>
      <c r="C76" t="s">
        <v>1995</v>
      </c>
      <c r="D76" t="s">
        <v>2034</v>
      </c>
      <c r="E76" t="s">
        <v>47</v>
      </c>
      <c r="F76" t="s">
        <v>57</v>
      </c>
      <c r="G76" t="str">
        <f>INDEX(Risk_Matrix!$B$2:$D$4,MATCH(E76,Risk_Matrix!$A$2:$A$4,0),MATCH(F76,Risk_Matrix!$B$1:$D$1,0))</f>
        <v>Medium</v>
      </c>
      <c r="H76" s="1">
        <v>46188</v>
      </c>
      <c r="I76" t="s">
        <v>2025</v>
      </c>
      <c r="J76" t="s">
        <v>2026</v>
      </c>
      <c r="K76" t="s">
        <v>2036</v>
      </c>
      <c r="L76">
        <f>IF(G76="High",3,IF(G76="Medium",2,1))</f>
        <v>2</v>
      </c>
    </row>
    <row r="77" spans="1:12">
      <c r="A77" t="s">
        <v>2102</v>
      </c>
      <c r="B77" t="s">
        <v>648</v>
      </c>
      <c r="C77" t="s">
        <v>2000</v>
      </c>
      <c r="D77" t="s">
        <v>2001</v>
      </c>
      <c r="E77" t="s">
        <v>57</v>
      </c>
      <c r="F77" t="s">
        <v>57</v>
      </c>
      <c r="G77" t="str">
        <f>INDEX(Risk_Matrix!$B$2:$D$4,MATCH(E77,Risk_Matrix!$A$2:$A$4,0),MATCH(F77,Risk_Matrix!$B$1:$D$1,0))</f>
        <v>Low</v>
      </c>
      <c r="H77" s="1">
        <v>46112</v>
      </c>
      <c r="I77" t="s">
        <v>2025</v>
      </c>
      <c r="J77" t="s">
        <v>2026</v>
      </c>
      <c r="K77" t="s">
        <v>1989</v>
      </c>
      <c r="L77">
        <f>IF(G77="High",3,IF(G77="Medium",2,1))</f>
        <v>1</v>
      </c>
    </row>
    <row r="78" spans="1:12">
      <c r="A78" t="s">
        <v>2103</v>
      </c>
      <c r="B78" t="s">
        <v>648</v>
      </c>
      <c r="C78" t="s">
        <v>2005</v>
      </c>
      <c r="D78" t="s">
        <v>2006</v>
      </c>
      <c r="E78" t="s">
        <v>47</v>
      </c>
      <c r="F78" t="s">
        <v>47</v>
      </c>
      <c r="G78" t="str">
        <f>INDEX(Risk_Matrix!$B$2:$D$4,MATCH(E78,Risk_Matrix!$A$2:$A$4,0),MATCH(F78,Risk_Matrix!$B$1:$D$1,0))</f>
        <v>High</v>
      </c>
      <c r="H78" s="1">
        <v>46233</v>
      </c>
      <c r="I78" t="s">
        <v>2025</v>
      </c>
      <c r="J78" t="s">
        <v>2035</v>
      </c>
      <c r="K78" t="s">
        <v>1993</v>
      </c>
      <c r="L78">
        <f>IF(G78="High",3,IF(G78="Medium",2,1))</f>
        <v>3</v>
      </c>
    </row>
    <row r="79" spans="1:12">
      <c r="A79" t="s">
        <v>2104</v>
      </c>
      <c r="B79" t="s">
        <v>648</v>
      </c>
      <c r="C79" t="s">
        <v>2008</v>
      </c>
      <c r="D79" t="s">
        <v>2054</v>
      </c>
      <c r="E79" t="s">
        <v>47</v>
      </c>
      <c r="F79" t="s">
        <v>57</v>
      </c>
      <c r="G79" t="str">
        <f>INDEX(Risk_Matrix!$B$2:$D$4,MATCH(E79,Risk_Matrix!$A$2:$A$4,0),MATCH(F79,Risk_Matrix!$B$1:$D$1,0))</f>
        <v>Medium</v>
      </c>
      <c r="H79" s="1">
        <v>46178</v>
      </c>
      <c r="I79" t="s">
        <v>2015</v>
      </c>
      <c r="J79" t="s">
        <v>2032</v>
      </c>
      <c r="K79" t="s">
        <v>1998</v>
      </c>
      <c r="L79">
        <f>IF(G79="High",3,IF(G79="Medium",2,1))</f>
        <v>2</v>
      </c>
    </row>
    <row r="80" spans="1:12">
      <c r="A80" t="s">
        <v>2105</v>
      </c>
      <c r="B80" t="s">
        <v>649</v>
      </c>
      <c r="C80" t="s">
        <v>1985</v>
      </c>
      <c r="D80" t="s">
        <v>1986</v>
      </c>
      <c r="E80" t="s">
        <v>57</v>
      </c>
      <c r="F80" t="s">
        <v>1971</v>
      </c>
      <c r="G80" t="str">
        <f>INDEX(Risk_Matrix!$B$2:$D$4,MATCH(E80,Risk_Matrix!$A$2:$A$4,0),MATCH(F80,Risk_Matrix!$B$1:$D$1,0))</f>
        <v>Low</v>
      </c>
      <c r="H80" s="1">
        <v>46226</v>
      </c>
      <c r="I80" t="s">
        <v>1987</v>
      </c>
      <c r="J80" t="s">
        <v>1988</v>
      </c>
      <c r="K80" t="s">
        <v>1989</v>
      </c>
      <c r="L80">
        <f>IF(G80="High",3,IF(G80="Medium",2,1))</f>
        <v>1</v>
      </c>
    </row>
    <row r="81" spans="1:12">
      <c r="A81" t="s">
        <v>2106</v>
      </c>
      <c r="B81" t="s">
        <v>649</v>
      </c>
      <c r="C81" t="s">
        <v>1991</v>
      </c>
      <c r="D81" t="s">
        <v>1992</v>
      </c>
      <c r="E81" t="s">
        <v>1971</v>
      </c>
      <c r="F81" t="s">
        <v>47</v>
      </c>
      <c r="G81" t="str">
        <f>INDEX(Risk_Matrix!$B$2:$D$4,MATCH(E81,Risk_Matrix!$A$2:$A$4,0),MATCH(F81,Risk_Matrix!$B$1:$D$1,0))</f>
        <v>High</v>
      </c>
      <c r="H81" s="1">
        <v>46087</v>
      </c>
      <c r="I81" t="s">
        <v>2025</v>
      </c>
      <c r="J81" t="s">
        <v>2035</v>
      </c>
      <c r="K81" t="s">
        <v>2010</v>
      </c>
      <c r="L81">
        <f>IF(G81="High",3,IF(G81="Medium",2,1))</f>
        <v>3</v>
      </c>
    </row>
    <row r="82" spans="1:12">
      <c r="A82" t="s">
        <v>2107</v>
      </c>
      <c r="B82" t="s">
        <v>649</v>
      </c>
      <c r="C82" t="s">
        <v>1995</v>
      </c>
      <c r="D82" t="s">
        <v>2034</v>
      </c>
      <c r="E82" t="s">
        <v>1971</v>
      </c>
      <c r="F82" t="s">
        <v>57</v>
      </c>
      <c r="G82" t="str">
        <f>INDEX(Risk_Matrix!$B$2:$D$4,MATCH(E82,Risk_Matrix!$A$2:$A$4,0),MATCH(F82,Risk_Matrix!$B$1:$D$1,0))</f>
        <v>Low</v>
      </c>
      <c r="H82" s="1">
        <v>46188</v>
      </c>
      <c r="I82" t="s">
        <v>2025</v>
      </c>
      <c r="J82" t="s">
        <v>2026</v>
      </c>
      <c r="K82" t="s">
        <v>1998</v>
      </c>
      <c r="L82">
        <f>IF(G82="High",3,IF(G82="Medium",2,1))</f>
        <v>1</v>
      </c>
    </row>
    <row r="83" spans="1:12">
      <c r="A83" t="s">
        <v>2108</v>
      </c>
      <c r="B83" t="s">
        <v>649</v>
      </c>
      <c r="C83" t="s">
        <v>2000</v>
      </c>
      <c r="D83" t="s">
        <v>2045</v>
      </c>
      <c r="E83" t="s">
        <v>1971</v>
      </c>
      <c r="F83" t="s">
        <v>57</v>
      </c>
      <c r="G83" t="str">
        <f>INDEX(Risk_Matrix!$B$2:$D$4,MATCH(E83,Risk_Matrix!$A$2:$A$4,0),MATCH(F83,Risk_Matrix!$B$1:$D$1,0))</f>
        <v>Low</v>
      </c>
      <c r="H83" s="1">
        <v>46149</v>
      </c>
      <c r="I83" t="s">
        <v>2002</v>
      </c>
      <c r="J83" t="s">
        <v>2029</v>
      </c>
      <c r="K83" t="s">
        <v>1993</v>
      </c>
      <c r="L83">
        <f>IF(G83="High",3,IF(G83="Medium",2,1))</f>
        <v>1</v>
      </c>
    </row>
    <row r="84" spans="1:12">
      <c r="A84" t="s">
        <v>2109</v>
      </c>
      <c r="B84" t="s">
        <v>649</v>
      </c>
      <c r="C84" t="s">
        <v>2005</v>
      </c>
      <c r="D84" t="s">
        <v>2039</v>
      </c>
      <c r="E84" t="s">
        <v>47</v>
      </c>
      <c r="F84" t="s">
        <v>1971</v>
      </c>
      <c r="G84" t="str">
        <f>INDEX(Risk_Matrix!$B$2:$D$4,MATCH(E84,Risk_Matrix!$A$2:$A$4,0),MATCH(F84,Risk_Matrix!$B$1:$D$1,0))</f>
        <v>High</v>
      </c>
      <c r="H84" s="1">
        <v>46194</v>
      </c>
      <c r="I84" t="s">
        <v>1987</v>
      </c>
      <c r="J84" t="s">
        <v>1997</v>
      </c>
      <c r="K84" t="s">
        <v>1993</v>
      </c>
      <c r="L84">
        <f>IF(G84="High",3,IF(G84="Medium",2,1))</f>
        <v>3</v>
      </c>
    </row>
    <row r="85" spans="1:12">
      <c r="A85" t="s">
        <v>2110</v>
      </c>
      <c r="B85" t="s">
        <v>649</v>
      </c>
      <c r="C85" t="s">
        <v>2008</v>
      </c>
      <c r="D85" t="s">
        <v>2054</v>
      </c>
      <c r="E85" t="s">
        <v>57</v>
      </c>
      <c r="F85" t="s">
        <v>57</v>
      </c>
      <c r="G85" t="str">
        <f>INDEX(Risk_Matrix!$B$2:$D$4,MATCH(E85,Risk_Matrix!$A$2:$A$4,0),MATCH(F85,Risk_Matrix!$B$1:$D$1,0))</f>
        <v>Low</v>
      </c>
      <c r="H85" s="1">
        <v>46057</v>
      </c>
      <c r="I85" t="s">
        <v>1987</v>
      </c>
      <c r="J85" t="s">
        <v>1997</v>
      </c>
      <c r="K85" t="s">
        <v>2010</v>
      </c>
      <c r="L85">
        <f>IF(G85="High",3,IF(G85="Medium",2,1))</f>
        <v>1</v>
      </c>
    </row>
    <row r="86" spans="1:12">
      <c r="A86" t="s">
        <v>2111</v>
      </c>
      <c r="B86" t="s">
        <v>652</v>
      </c>
      <c r="C86" t="s">
        <v>1985</v>
      </c>
      <c r="D86" t="s">
        <v>2028</v>
      </c>
      <c r="E86" t="s">
        <v>57</v>
      </c>
      <c r="F86" t="s">
        <v>1971</v>
      </c>
      <c r="G86" t="str">
        <f>INDEX(Risk_Matrix!$B$2:$D$4,MATCH(E86,Risk_Matrix!$A$2:$A$4,0),MATCH(F86,Risk_Matrix!$B$1:$D$1,0))</f>
        <v>Low</v>
      </c>
      <c r="H86" s="1">
        <v>46185</v>
      </c>
      <c r="I86" t="s">
        <v>2002</v>
      </c>
      <c r="J86" t="s">
        <v>2029</v>
      </c>
      <c r="K86" t="s">
        <v>1989</v>
      </c>
      <c r="L86">
        <f>IF(G86="High",3,IF(G86="Medium",2,1))</f>
        <v>1</v>
      </c>
    </row>
    <row r="87" spans="1:12">
      <c r="A87" t="s">
        <v>2112</v>
      </c>
      <c r="B87" t="s">
        <v>652</v>
      </c>
      <c r="C87" t="s">
        <v>1991</v>
      </c>
      <c r="D87" t="s">
        <v>2031</v>
      </c>
      <c r="E87" t="s">
        <v>47</v>
      </c>
      <c r="F87" t="s">
        <v>47</v>
      </c>
      <c r="G87" t="str">
        <f>INDEX(Risk_Matrix!$B$2:$D$4,MATCH(E87,Risk_Matrix!$A$2:$A$4,0),MATCH(F87,Risk_Matrix!$B$1:$D$1,0))</f>
        <v>High</v>
      </c>
      <c r="H87" s="1">
        <v>46188</v>
      </c>
      <c r="I87" t="s">
        <v>1987</v>
      </c>
      <c r="J87" t="s">
        <v>1997</v>
      </c>
      <c r="K87" t="s">
        <v>1993</v>
      </c>
      <c r="L87">
        <f>IF(G87="High",3,IF(G87="Medium",2,1))</f>
        <v>3</v>
      </c>
    </row>
    <row r="88" spans="1:12">
      <c r="A88" t="s">
        <v>2113</v>
      </c>
      <c r="B88" t="s">
        <v>652</v>
      </c>
      <c r="C88" t="s">
        <v>1995</v>
      </c>
      <c r="D88" t="s">
        <v>2034</v>
      </c>
      <c r="E88" t="s">
        <v>1971</v>
      </c>
      <c r="F88" t="s">
        <v>57</v>
      </c>
      <c r="G88" t="str">
        <f>INDEX(Risk_Matrix!$B$2:$D$4,MATCH(E88,Risk_Matrix!$A$2:$A$4,0),MATCH(F88,Risk_Matrix!$B$1:$D$1,0))</f>
        <v>Low</v>
      </c>
      <c r="H88" s="1">
        <v>46116</v>
      </c>
      <c r="I88" t="s">
        <v>1987</v>
      </c>
      <c r="J88" t="s">
        <v>1997</v>
      </c>
      <c r="K88" t="s">
        <v>1998</v>
      </c>
      <c r="L88">
        <f>IF(G88="High",3,IF(G88="Medium",2,1))</f>
        <v>1</v>
      </c>
    </row>
    <row r="89" spans="1:12">
      <c r="A89" t="s">
        <v>2114</v>
      </c>
      <c r="B89" t="s">
        <v>652</v>
      </c>
      <c r="C89" t="s">
        <v>2000</v>
      </c>
      <c r="D89" t="s">
        <v>2045</v>
      </c>
      <c r="E89" t="s">
        <v>47</v>
      </c>
      <c r="F89" t="s">
        <v>47</v>
      </c>
      <c r="G89" t="str">
        <f>INDEX(Risk_Matrix!$B$2:$D$4,MATCH(E89,Risk_Matrix!$A$2:$A$4,0),MATCH(F89,Risk_Matrix!$B$1:$D$1,0))</f>
        <v>High</v>
      </c>
      <c r="H89" s="1">
        <v>46202</v>
      </c>
      <c r="I89" t="s">
        <v>2015</v>
      </c>
      <c r="J89" t="s">
        <v>2032</v>
      </c>
      <c r="K89" t="s">
        <v>1989</v>
      </c>
      <c r="L89">
        <f>IF(G89="High",3,IF(G89="Medium",2,1))</f>
        <v>3</v>
      </c>
    </row>
    <row r="90" spans="1:12">
      <c r="A90" t="s">
        <v>2115</v>
      </c>
      <c r="B90" t="s">
        <v>652</v>
      </c>
      <c r="C90" t="s">
        <v>2005</v>
      </c>
      <c r="D90" t="s">
        <v>2022</v>
      </c>
      <c r="E90" t="s">
        <v>1971</v>
      </c>
      <c r="F90" t="s">
        <v>1971</v>
      </c>
      <c r="G90" t="str">
        <f>INDEX(Risk_Matrix!$B$2:$D$4,MATCH(E90,Risk_Matrix!$A$2:$A$4,0),MATCH(F90,Risk_Matrix!$B$1:$D$1,0))</f>
        <v>Medium</v>
      </c>
      <c r="H90" s="1">
        <v>46156</v>
      </c>
      <c r="I90" t="s">
        <v>2015</v>
      </c>
      <c r="J90" t="s">
        <v>2032</v>
      </c>
      <c r="K90" t="s">
        <v>1993</v>
      </c>
      <c r="L90">
        <f>IF(G90="High",3,IF(G90="Medium",2,1))</f>
        <v>2</v>
      </c>
    </row>
    <row r="91" spans="1:12">
      <c r="A91" t="s">
        <v>2116</v>
      </c>
      <c r="B91" t="s">
        <v>652</v>
      </c>
      <c r="C91" t="s">
        <v>2008</v>
      </c>
      <c r="D91" t="s">
        <v>2009</v>
      </c>
      <c r="E91" t="s">
        <v>1971</v>
      </c>
      <c r="F91" t="s">
        <v>47</v>
      </c>
      <c r="G91" t="str">
        <f>INDEX(Risk_Matrix!$B$2:$D$4,MATCH(E91,Risk_Matrix!$A$2:$A$4,0),MATCH(F91,Risk_Matrix!$B$1:$D$1,0))</f>
        <v>High</v>
      </c>
      <c r="H91" s="1">
        <v>46152</v>
      </c>
      <c r="I91" t="s">
        <v>2015</v>
      </c>
      <c r="J91" t="s">
        <v>2032</v>
      </c>
      <c r="K91" t="s">
        <v>1998</v>
      </c>
      <c r="L91">
        <f>IF(G91="High",3,IF(G91="Medium",2,1))</f>
        <v>3</v>
      </c>
    </row>
    <row r="92" spans="1:12">
      <c r="A92" t="s">
        <v>2117</v>
      </c>
      <c r="B92" t="s">
        <v>653</v>
      </c>
      <c r="C92" t="s">
        <v>1985</v>
      </c>
      <c r="D92" t="s">
        <v>1986</v>
      </c>
      <c r="E92" t="s">
        <v>1971</v>
      </c>
      <c r="F92" t="s">
        <v>1971</v>
      </c>
      <c r="G92" t="str">
        <f>INDEX(Risk_Matrix!$B$2:$D$4,MATCH(E92,Risk_Matrix!$A$2:$A$4,0),MATCH(F92,Risk_Matrix!$B$1:$D$1,0))</f>
        <v>Medium</v>
      </c>
      <c r="H92" s="1">
        <v>46108</v>
      </c>
      <c r="I92" t="s">
        <v>1987</v>
      </c>
      <c r="J92" t="s">
        <v>1997</v>
      </c>
      <c r="K92" t="s">
        <v>1989</v>
      </c>
      <c r="L92">
        <f>IF(G92="High",3,IF(G92="Medium",2,1))</f>
        <v>2</v>
      </c>
    </row>
    <row r="93" spans="1:12">
      <c r="A93" t="s">
        <v>2118</v>
      </c>
      <c r="B93" t="s">
        <v>653</v>
      </c>
      <c r="C93" t="s">
        <v>1991</v>
      </c>
      <c r="D93" t="s">
        <v>2014</v>
      </c>
      <c r="E93" t="s">
        <v>1971</v>
      </c>
      <c r="F93" t="s">
        <v>1971</v>
      </c>
      <c r="G93" t="str">
        <f>INDEX(Risk_Matrix!$B$2:$D$4,MATCH(E93,Risk_Matrix!$A$2:$A$4,0),MATCH(F93,Risk_Matrix!$B$1:$D$1,0))</f>
        <v>Medium</v>
      </c>
      <c r="H93" s="1">
        <v>46088</v>
      </c>
      <c r="I93" t="s">
        <v>2025</v>
      </c>
      <c r="J93" t="s">
        <v>2035</v>
      </c>
      <c r="K93" t="s">
        <v>1993</v>
      </c>
      <c r="L93">
        <f>IF(G93="High",3,IF(G93="Medium",2,1))</f>
        <v>2</v>
      </c>
    </row>
    <row r="94" spans="1:12">
      <c r="A94" t="s">
        <v>2119</v>
      </c>
      <c r="B94" t="s">
        <v>653</v>
      </c>
      <c r="C94" t="s">
        <v>1995</v>
      </c>
      <c r="D94" t="s">
        <v>2018</v>
      </c>
      <c r="E94" t="s">
        <v>1971</v>
      </c>
      <c r="F94" t="s">
        <v>1971</v>
      </c>
      <c r="G94" t="str">
        <f>INDEX(Risk_Matrix!$B$2:$D$4,MATCH(E94,Risk_Matrix!$A$2:$A$4,0),MATCH(F94,Risk_Matrix!$B$1:$D$1,0))</f>
        <v>Medium</v>
      </c>
      <c r="H94" s="1">
        <v>46176</v>
      </c>
      <c r="I94" t="s">
        <v>2015</v>
      </c>
      <c r="J94" t="s">
        <v>2016</v>
      </c>
      <c r="K94" t="s">
        <v>2036</v>
      </c>
      <c r="L94">
        <f>IF(G94="High",3,IF(G94="Medium",2,1))</f>
        <v>2</v>
      </c>
    </row>
    <row r="95" spans="1:12">
      <c r="A95" t="s">
        <v>2120</v>
      </c>
      <c r="B95" t="s">
        <v>653</v>
      </c>
      <c r="C95" t="s">
        <v>2000</v>
      </c>
      <c r="D95" t="s">
        <v>2020</v>
      </c>
      <c r="E95" t="s">
        <v>57</v>
      </c>
      <c r="F95" t="s">
        <v>1971</v>
      </c>
      <c r="G95" t="str">
        <f>INDEX(Risk_Matrix!$B$2:$D$4,MATCH(E95,Risk_Matrix!$A$2:$A$4,0),MATCH(F95,Risk_Matrix!$B$1:$D$1,0))</f>
        <v>Low</v>
      </c>
      <c r="H95" s="1">
        <v>46105</v>
      </c>
      <c r="I95" t="s">
        <v>2025</v>
      </c>
      <c r="J95" t="s">
        <v>2035</v>
      </c>
      <c r="K95" t="s">
        <v>1993</v>
      </c>
      <c r="L95">
        <f>IF(G95="High",3,IF(G95="Medium",2,1))</f>
        <v>1</v>
      </c>
    </row>
    <row r="96" spans="1:12">
      <c r="A96" t="s">
        <v>2121</v>
      </c>
      <c r="B96" t="s">
        <v>653</v>
      </c>
      <c r="C96" t="s">
        <v>2005</v>
      </c>
      <c r="D96" t="s">
        <v>2022</v>
      </c>
      <c r="E96" t="s">
        <v>1971</v>
      </c>
      <c r="F96" t="s">
        <v>47</v>
      </c>
      <c r="G96" t="str">
        <f>INDEX(Risk_Matrix!$B$2:$D$4,MATCH(E96,Risk_Matrix!$A$2:$A$4,0),MATCH(F96,Risk_Matrix!$B$1:$D$1,0))</f>
        <v>High</v>
      </c>
      <c r="H96" s="1">
        <v>46188</v>
      </c>
      <c r="I96" t="s">
        <v>2025</v>
      </c>
      <c r="J96" t="s">
        <v>2035</v>
      </c>
      <c r="K96" t="s">
        <v>1993</v>
      </c>
      <c r="L96">
        <f>IF(G96="High",3,IF(G96="Medium",2,1))</f>
        <v>3</v>
      </c>
    </row>
    <row r="97" spans="1:12">
      <c r="A97" t="s">
        <v>2122</v>
      </c>
      <c r="B97" t="s">
        <v>653</v>
      </c>
      <c r="C97" t="s">
        <v>2008</v>
      </c>
      <c r="D97" t="s">
        <v>2054</v>
      </c>
      <c r="E97" t="s">
        <v>1971</v>
      </c>
      <c r="F97" t="s">
        <v>1971</v>
      </c>
      <c r="G97" t="str">
        <f>INDEX(Risk_Matrix!$B$2:$D$4,MATCH(E97,Risk_Matrix!$A$2:$A$4,0),MATCH(F97,Risk_Matrix!$B$1:$D$1,0))</f>
        <v>Medium</v>
      </c>
      <c r="H97" s="1">
        <v>46183</v>
      </c>
      <c r="I97" t="s">
        <v>2025</v>
      </c>
      <c r="J97" t="s">
        <v>2035</v>
      </c>
      <c r="K97" t="s">
        <v>2010</v>
      </c>
      <c r="L97">
        <f>IF(G97="High",3,IF(G97="Medium",2,1))</f>
        <v>2</v>
      </c>
    </row>
    <row r="98" spans="1:12">
      <c r="A98" t="s">
        <v>2123</v>
      </c>
      <c r="B98" t="s">
        <v>655</v>
      </c>
      <c r="C98" t="s">
        <v>1985</v>
      </c>
      <c r="D98" t="s">
        <v>1986</v>
      </c>
      <c r="E98" t="s">
        <v>1971</v>
      </c>
      <c r="F98" t="s">
        <v>47</v>
      </c>
      <c r="G98" t="str">
        <f>INDEX(Risk_Matrix!$B$2:$D$4,MATCH(E98,Risk_Matrix!$A$2:$A$4,0),MATCH(F98,Risk_Matrix!$B$1:$D$1,0))</f>
        <v>High</v>
      </c>
      <c r="H98" s="1">
        <v>46195</v>
      </c>
      <c r="I98" t="s">
        <v>2002</v>
      </c>
      <c r="J98" t="s">
        <v>2029</v>
      </c>
      <c r="K98" t="s">
        <v>1989</v>
      </c>
      <c r="L98">
        <f>IF(G98="High",3,IF(G98="Medium",2,1))</f>
        <v>3</v>
      </c>
    </row>
    <row r="99" spans="1:12">
      <c r="A99" t="s">
        <v>2124</v>
      </c>
      <c r="B99" t="s">
        <v>655</v>
      </c>
      <c r="C99" t="s">
        <v>1991</v>
      </c>
      <c r="D99" t="s">
        <v>1992</v>
      </c>
      <c r="E99" t="s">
        <v>57</v>
      </c>
      <c r="F99" t="s">
        <v>57</v>
      </c>
      <c r="G99" t="str">
        <f>INDEX(Risk_Matrix!$B$2:$D$4,MATCH(E99,Risk_Matrix!$A$2:$A$4,0),MATCH(F99,Risk_Matrix!$B$1:$D$1,0))</f>
        <v>Low</v>
      </c>
      <c r="H99" s="1">
        <v>46177</v>
      </c>
      <c r="I99" t="s">
        <v>2025</v>
      </c>
      <c r="J99" t="s">
        <v>2026</v>
      </c>
      <c r="K99" t="s">
        <v>1993</v>
      </c>
      <c r="L99">
        <f>IF(G99="High",3,IF(G99="Medium",2,1))</f>
        <v>1</v>
      </c>
    </row>
    <row r="100" spans="1:12">
      <c r="A100" t="s">
        <v>2125</v>
      </c>
      <c r="B100" t="s">
        <v>655</v>
      </c>
      <c r="C100" t="s">
        <v>1995</v>
      </c>
      <c r="D100" t="s">
        <v>2034</v>
      </c>
      <c r="E100" t="s">
        <v>57</v>
      </c>
      <c r="F100" t="s">
        <v>57</v>
      </c>
      <c r="G100" t="str">
        <f>INDEX(Risk_Matrix!$B$2:$D$4,MATCH(E100,Risk_Matrix!$A$2:$A$4,0),MATCH(F100,Risk_Matrix!$B$1:$D$1,0))</f>
        <v>Low</v>
      </c>
      <c r="H100" s="1">
        <v>46184</v>
      </c>
      <c r="I100" t="s">
        <v>2015</v>
      </c>
      <c r="J100" t="s">
        <v>2032</v>
      </c>
      <c r="K100" t="s">
        <v>2036</v>
      </c>
      <c r="L100">
        <f>IF(G100="High",3,IF(G100="Medium",2,1))</f>
        <v>1</v>
      </c>
    </row>
    <row r="101" spans="1:12">
      <c r="A101" t="s">
        <v>2126</v>
      </c>
      <c r="B101" t="s">
        <v>655</v>
      </c>
      <c r="C101" t="s">
        <v>2000</v>
      </c>
      <c r="D101" t="s">
        <v>2045</v>
      </c>
      <c r="E101" t="s">
        <v>57</v>
      </c>
      <c r="F101" t="s">
        <v>1971</v>
      </c>
      <c r="G101" t="str">
        <f>INDEX(Risk_Matrix!$B$2:$D$4,MATCH(E101,Risk_Matrix!$A$2:$A$4,0),MATCH(F101,Risk_Matrix!$B$1:$D$1,0))</f>
        <v>Low</v>
      </c>
      <c r="H101" s="1">
        <v>46229</v>
      </c>
      <c r="I101" t="s">
        <v>2002</v>
      </c>
      <c r="J101" t="s">
        <v>2029</v>
      </c>
      <c r="K101" t="s">
        <v>1989</v>
      </c>
      <c r="L101">
        <f>IF(G101="High",3,IF(G101="Medium",2,1))</f>
        <v>1</v>
      </c>
    </row>
    <row r="102" spans="1:12">
      <c r="A102" t="s">
        <v>2127</v>
      </c>
      <c r="B102" t="s">
        <v>655</v>
      </c>
      <c r="C102" t="s">
        <v>2005</v>
      </c>
      <c r="D102" t="s">
        <v>2022</v>
      </c>
      <c r="E102" t="s">
        <v>1971</v>
      </c>
      <c r="F102" t="s">
        <v>1971</v>
      </c>
      <c r="G102" t="str">
        <f>INDEX(Risk_Matrix!$B$2:$D$4,MATCH(E102,Risk_Matrix!$A$2:$A$4,0),MATCH(F102,Risk_Matrix!$B$1:$D$1,0))</f>
        <v>Medium</v>
      </c>
      <c r="H102" s="1">
        <v>46206</v>
      </c>
      <c r="I102" t="s">
        <v>1987</v>
      </c>
      <c r="J102" t="s">
        <v>1997</v>
      </c>
      <c r="K102" t="s">
        <v>1993</v>
      </c>
      <c r="L102">
        <f>IF(G102="High",3,IF(G102="Medium",2,1))</f>
        <v>2</v>
      </c>
    </row>
    <row r="103" spans="1:12">
      <c r="A103" t="s">
        <v>2128</v>
      </c>
      <c r="B103" t="s">
        <v>655</v>
      </c>
      <c r="C103" t="s">
        <v>2008</v>
      </c>
      <c r="D103" t="s">
        <v>2024</v>
      </c>
      <c r="E103" t="s">
        <v>47</v>
      </c>
      <c r="F103" t="s">
        <v>47</v>
      </c>
      <c r="G103" t="str">
        <f>INDEX(Risk_Matrix!$B$2:$D$4,MATCH(E103,Risk_Matrix!$A$2:$A$4,0),MATCH(F103,Risk_Matrix!$B$1:$D$1,0))</f>
        <v>High</v>
      </c>
      <c r="H103" s="1">
        <v>46203</v>
      </c>
      <c r="I103" t="s">
        <v>2025</v>
      </c>
      <c r="J103" t="s">
        <v>2035</v>
      </c>
      <c r="K103" t="s">
        <v>2010</v>
      </c>
      <c r="L103">
        <f>IF(G103="High",3,IF(G103="Medium",2,1))</f>
        <v>3</v>
      </c>
    </row>
    <row r="104" spans="1:12">
      <c r="A104" t="s">
        <v>2129</v>
      </c>
      <c r="B104" t="s">
        <v>657</v>
      </c>
      <c r="C104" t="s">
        <v>1985</v>
      </c>
      <c r="D104" t="s">
        <v>2062</v>
      </c>
      <c r="E104" t="s">
        <v>57</v>
      </c>
      <c r="F104" t="s">
        <v>57</v>
      </c>
      <c r="G104" t="str">
        <f>INDEX(Risk_Matrix!$B$2:$D$4,MATCH(E104,Risk_Matrix!$A$2:$A$4,0),MATCH(F104,Risk_Matrix!$B$1:$D$1,0))</f>
        <v>Low</v>
      </c>
      <c r="H104" s="1">
        <v>46167</v>
      </c>
      <c r="I104" t="s">
        <v>2015</v>
      </c>
      <c r="J104" t="s">
        <v>2032</v>
      </c>
      <c r="K104" t="s">
        <v>1989</v>
      </c>
      <c r="L104">
        <f>IF(G104="High",3,IF(G104="Medium",2,1))</f>
        <v>1</v>
      </c>
    </row>
    <row r="105" spans="1:12">
      <c r="A105" t="s">
        <v>2130</v>
      </c>
      <c r="B105" t="s">
        <v>657</v>
      </c>
      <c r="C105" t="s">
        <v>1991</v>
      </c>
      <c r="D105" t="s">
        <v>2064</v>
      </c>
      <c r="E105" t="s">
        <v>57</v>
      </c>
      <c r="F105" t="s">
        <v>1971</v>
      </c>
      <c r="G105" t="str">
        <f>INDEX(Risk_Matrix!$B$2:$D$4,MATCH(E105,Risk_Matrix!$A$2:$A$4,0),MATCH(F105,Risk_Matrix!$B$1:$D$1,0))</f>
        <v>Low</v>
      </c>
      <c r="H105" s="1">
        <v>46147</v>
      </c>
      <c r="I105" t="s">
        <v>2002</v>
      </c>
      <c r="J105" t="s">
        <v>2003</v>
      </c>
      <c r="K105" t="s">
        <v>1993</v>
      </c>
      <c r="L105">
        <f>IF(G105="High",3,IF(G105="Medium",2,1))</f>
        <v>1</v>
      </c>
    </row>
    <row r="106" spans="1:12">
      <c r="A106" t="s">
        <v>2131</v>
      </c>
      <c r="B106" t="s">
        <v>657</v>
      </c>
      <c r="C106" t="s">
        <v>1995</v>
      </c>
      <c r="D106" t="s">
        <v>1996</v>
      </c>
      <c r="E106" t="s">
        <v>57</v>
      </c>
      <c r="F106" t="s">
        <v>1971</v>
      </c>
      <c r="G106" t="str">
        <f>INDEX(Risk_Matrix!$B$2:$D$4,MATCH(E106,Risk_Matrix!$A$2:$A$4,0),MATCH(F106,Risk_Matrix!$B$1:$D$1,0))</f>
        <v>Low</v>
      </c>
      <c r="H106" s="1">
        <v>46184</v>
      </c>
      <c r="I106" t="s">
        <v>1987</v>
      </c>
      <c r="J106" t="s">
        <v>1988</v>
      </c>
      <c r="K106" t="s">
        <v>1998</v>
      </c>
      <c r="L106">
        <f>IF(G106="High",3,IF(G106="Medium",2,1))</f>
        <v>1</v>
      </c>
    </row>
    <row r="107" spans="1:12">
      <c r="A107" t="s">
        <v>2132</v>
      </c>
      <c r="B107" t="s">
        <v>657</v>
      </c>
      <c r="C107" t="s">
        <v>2000</v>
      </c>
      <c r="D107" t="s">
        <v>2045</v>
      </c>
      <c r="E107" t="s">
        <v>57</v>
      </c>
      <c r="F107" t="s">
        <v>57</v>
      </c>
      <c r="G107" t="str">
        <f>INDEX(Risk_Matrix!$B$2:$D$4,MATCH(E107,Risk_Matrix!$A$2:$A$4,0),MATCH(F107,Risk_Matrix!$B$1:$D$1,0))</f>
        <v>Low</v>
      </c>
      <c r="H107" s="1">
        <v>46177</v>
      </c>
      <c r="I107" t="s">
        <v>2002</v>
      </c>
      <c r="J107" t="s">
        <v>2003</v>
      </c>
      <c r="K107" t="s">
        <v>1993</v>
      </c>
      <c r="L107">
        <f>IF(G107="High",3,IF(G107="Medium",2,1))</f>
        <v>1</v>
      </c>
    </row>
    <row r="108" spans="1:12">
      <c r="A108" t="s">
        <v>2133</v>
      </c>
      <c r="B108" t="s">
        <v>657</v>
      </c>
      <c r="C108" t="s">
        <v>2005</v>
      </c>
      <c r="D108" t="s">
        <v>2006</v>
      </c>
      <c r="E108" t="s">
        <v>47</v>
      </c>
      <c r="F108" t="s">
        <v>57</v>
      </c>
      <c r="G108" t="str">
        <f>INDEX(Risk_Matrix!$B$2:$D$4,MATCH(E108,Risk_Matrix!$A$2:$A$4,0),MATCH(F108,Risk_Matrix!$B$1:$D$1,0))</f>
        <v>Medium</v>
      </c>
      <c r="H108" s="1">
        <v>46172</v>
      </c>
      <c r="I108" t="s">
        <v>2025</v>
      </c>
      <c r="J108" t="s">
        <v>2035</v>
      </c>
      <c r="K108" t="s">
        <v>1993</v>
      </c>
      <c r="L108">
        <f>IF(G108="High",3,IF(G108="Medium",2,1))</f>
        <v>2</v>
      </c>
    </row>
    <row r="109" spans="1:12">
      <c r="A109" t="s">
        <v>2134</v>
      </c>
      <c r="B109" t="s">
        <v>657</v>
      </c>
      <c r="C109" t="s">
        <v>2008</v>
      </c>
      <c r="D109" t="s">
        <v>2024</v>
      </c>
      <c r="E109" t="s">
        <v>1971</v>
      </c>
      <c r="F109" t="s">
        <v>57</v>
      </c>
      <c r="G109" t="str">
        <f>INDEX(Risk_Matrix!$B$2:$D$4,MATCH(E109,Risk_Matrix!$A$2:$A$4,0),MATCH(F109,Risk_Matrix!$B$1:$D$1,0))</f>
        <v>Low</v>
      </c>
      <c r="H109" s="1">
        <v>46082</v>
      </c>
      <c r="I109" t="s">
        <v>2025</v>
      </c>
      <c r="J109" t="s">
        <v>2035</v>
      </c>
      <c r="K109" t="s">
        <v>2010</v>
      </c>
      <c r="L109">
        <f>IF(G109="High",3,IF(G109="Medium",2,1))</f>
        <v>1</v>
      </c>
    </row>
    <row r="110" spans="1:12">
      <c r="A110" t="s">
        <v>2135</v>
      </c>
      <c r="B110" t="s">
        <v>659</v>
      </c>
      <c r="C110" t="s">
        <v>1985</v>
      </c>
      <c r="D110" t="s">
        <v>2028</v>
      </c>
      <c r="E110" t="s">
        <v>1971</v>
      </c>
      <c r="F110" t="s">
        <v>57</v>
      </c>
      <c r="G110" t="str">
        <f>INDEX(Risk_Matrix!$B$2:$D$4,MATCH(E110,Risk_Matrix!$A$2:$A$4,0),MATCH(F110,Risk_Matrix!$B$1:$D$1,0))</f>
        <v>Low</v>
      </c>
      <c r="H110" s="1">
        <v>46120</v>
      </c>
      <c r="I110" t="s">
        <v>2002</v>
      </c>
      <c r="J110" t="s">
        <v>2029</v>
      </c>
      <c r="K110" t="s">
        <v>1989</v>
      </c>
      <c r="L110">
        <f>IF(G110="High",3,IF(G110="Medium",2,1))</f>
        <v>1</v>
      </c>
    </row>
    <row r="111" spans="1:12">
      <c r="A111" t="s">
        <v>2136</v>
      </c>
      <c r="B111" t="s">
        <v>659</v>
      </c>
      <c r="C111" t="s">
        <v>1991</v>
      </c>
      <c r="D111" t="s">
        <v>2064</v>
      </c>
      <c r="E111" t="s">
        <v>1971</v>
      </c>
      <c r="F111" t="s">
        <v>1971</v>
      </c>
      <c r="G111" t="str">
        <f>INDEX(Risk_Matrix!$B$2:$D$4,MATCH(E111,Risk_Matrix!$A$2:$A$4,0),MATCH(F111,Risk_Matrix!$B$1:$D$1,0))</f>
        <v>Medium</v>
      </c>
      <c r="H111" s="1">
        <v>46057</v>
      </c>
      <c r="I111" t="s">
        <v>2025</v>
      </c>
      <c r="J111" t="s">
        <v>2026</v>
      </c>
      <c r="K111" t="s">
        <v>1993</v>
      </c>
      <c r="L111">
        <f>IF(G111="High",3,IF(G111="Medium",2,1))</f>
        <v>2</v>
      </c>
    </row>
    <row r="112" spans="1:12">
      <c r="A112" t="s">
        <v>2137</v>
      </c>
      <c r="B112" t="s">
        <v>659</v>
      </c>
      <c r="C112" t="s">
        <v>1995</v>
      </c>
      <c r="D112" t="s">
        <v>2018</v>
      </c>
      <c r="E112" t="s">
        <v>57</v>
      </c>
      <c r="F112" t="s">
        <v>1971</v>
      </c>
      <c r="G112" t="str">
        <f>INDEX(Risk_Matrix!$B$2:$D$4,MATCH(E112,Risk_Matrix!$A$2:$A$4,0),MATCH(F112,Risk_Matrix!$B$1:$D$1,0))</f>
        <v>Low</v>
      </c>
      <c r="H112" s="1">
        <v>46151</v>
      </c>
      <c r="I112" t="s">
        <v>2015</v>
      </c>
      <c r="J112" t="s">
        <v>2032</v>
      </c>
      <c r="K112" t="s">
        <v>1998</v>
      </c>
      <c r="L112">
        <f>IF(G112="High",3,IF(G112="Medium",2,1))</f>
        <v>1</v>
      </c>
    </row>
    <row r="113" spans="1:12">
      <c r="A113" t="s">
        <v>2138</v>
      </c>
      <c r="B113" t="s">
        <v>659</v>
      </c>
      <c r="C113" t="s">
        <v>2000</v>
      </c>
      <c r="D113" t="s">
        <v>2020</v>
      </c>
      <c r="E113" t="s">
        <v>57</v>
      </c>
      <c r="F113" t="s">
        <v>47</v>
      </c>
      <c r="G113" t="str">
        <f>INDEX(Risk_Matrix!$B$2:$D$4,MATCH(E113,Risk_Matrix!$A$2:$A$4,0),MATCH(F113,Risk_Matrix!$B$1:$D$1,0))</f>
        <v>Medium</v>
      </c>
      <c r="H113" s="1">
        <v>46187</v>
      </c>
      <c r="I113" t="s">
        <v>2025</v>
      </c>
      <c r="J113" t="s">
        <v>2035</v>
      </c>
      <c r="K113" t="s">
        <v>1993</v>
      </c>
      <c r="L113">
        <f>IF(G113="High",3,IF(G113="Medium",2,1))</f>
        <v>2</v>
      </c>
    </row>
    <row r="114" spans="1:12">
      <c r="A114" t="s">
        <v>2139</v>
      </c>
      <c r="B114" t="s">
        <v>659</v>
      </c>
      <c r="C114" t="s">
        <v>2005</v>
      </c>
      <c r="D114" t="s">
        <v>2039</v>
      </c>
      <c r="E114" t="s">
        <v>47</v>
      </c>
      <c r="F114" t="s">
        <v>1971</v>
      </c>
      <c r="G114" t="str">
        <f>INDEX(Risk_Matrix!$B$2:$D$4,MATCH(E114,Risk_Matrix!$A$2:$A$4,0),MATCH(F114,Risk_Matrix!$B$1:$D$1,0))</f>
        <v>High</v>
      </c>
      <c r="H114" s="1">
        <v>46200</v>
      </c>
      <c r="I114" t="s">
        <v>2015</v>
      </c>
      <c r="J114" t="s">
        <v>2016</v>
      </c>
      <c r="K114" t="s">
        <v>1993</v>
      </c>
      <c r="L114">
        <f>IF(G114="High",3,IF(G114="Medium",2,1))</f>
        <v>3</v>
      </c>
    </row>
    <row r="115" spans="1:12">
      <c r="A115" t="s">
        <v>2140</v>
      </c>
      <c r="B115" t="s">
        <v>659</v>
      </c>
      <c r="C115" t="s">
        <v>2008</v>
      </c>
      <c r="D115" t="s">
        <v>2024</v>
      </c>
      <c r="E115" t="s">
        <v>47</v>
      </c>
      <c r="F115" t="s">
        <v>47</v>
      </c>
      <c r="G115" t="str">
        <f>INDEX(Risk_Matrix!$B$2:$D$4,MATCH(E115,Risk_Matrix!$A$2:$A$4,0),MATCH(F115,Risk_Matrix!$B$1:$D$1,0))</f>
        <v>High</v>
      </c>
      <c r="H115" s="1">
        <v>46190</v>
      </c>
      <c r="I115" t="s">
        <v>2015</v>
      </c>
      <c r="J115" t="s">
        <v>2032</v>
      </c>
      <c r="K115" t="s">
        <v>2010</v>
      </c>
      <c r="L115">
        <f>IF(G115="High",3,IF(G115="Medium",2,1))</f>
        <v>3</v>
      </c>
    </row>
    <row r="116" spans="1:12">
      <c r="A116" t="s">
        <v>2141</v>
      </c>
      <c r="B116" t="s">
        <v>661</v>
      </c>
      <c r="C116" t="s">
        <v>1985</v>
      </c>
      <c r="D116" t="s">
        <v>2028</v>
      </c>
      <c r="E116" t="s">
        <v>57</v>
      </c>
      <c r="F116" t="s">
        <v>57</v>
      </c>
      <c r="G116" t="str">
        <f>INDEX(Risk_Matrix!$B$2:$D$4,MATCH(E116,Risk_Matrix!$A$2:$A$4,0),MATCH(F116,Risk_Matrix!$B$1:$D$1,0))</f>
        <v>Low</v>
      </c>
      <c r="H116" s="1">
        <v>46171</v>
      </c>
      <c r="I116" t="s">
        <v>2002</v>
      </c>
      <c r="J116" t="s">
        <v>2003</v>
      </c>
      <c r="K116" t="s">
        <v>1998</v>
      </c>
      <c r="L116">
        <f>IF(G116="High",3,IF(G116="Medium",2,1))</f>
        <v>1</v>
      </c>
    </row>
    <row r="117" spans="1:12">
      <c r="A117" t="s">
        <v>2142</v>
      </c>
      <c r="B117" t="s">
        <v>661</v>
      </c>
      <c r="C117" t="s">
        <v>1991</v>
      </c>
      <c r="D117" t="s">
        <v>2031</v>
      </c>
      <c r="E117" t="s">
        <v>57</v>
      </c>
      <c r="F117" t="s">
        <v>1971</v>
      </c>
      <c r="G117" t="str">
        <f>INDEX(Risk_Matrix!$B$2:$D$4,MATCH(E117,Risk_Matrix!$A$2:$A$4,0),MATCH(F117,Risk_Matrix!$B$1:$D$1,0))</f>
        <v>Low</v>
      </c>
      <c r="H117" s="1">
        <v>46196</v>
      </c>
      <c r="I117" t="s">
        <v>1987</v>
      </c>
      <c r="J117" t="s">
        <v>1988</v>
      </c>
      <c r="K117" t="s">
        <v>2010</v>
      </c>
      <c r="L117">
        <f>IF(G117="High",3,IF(G117="Medium",2,1))</f>
        <v>1</v>
      </c>
    </row>
    <row r="118" spans="1:12">
      <c r="A118" t="s">
        <v>2143</v>
      </c>
      <c r="B118" t="s">
        <v>661</v>
      </c>
      <c r="C118" t="s">
        <v>1995</v>
      </c>
      <c r="D118" t="s">
        <v>2018</v>
      </c>
      <c r="E118" t="s">
        <v>1971</v>
      </c>
      <c r="F118" t="s">
        <v>1971</v>
      </c>
      <c r="G118" t="str">
        <f>INDEX(Risk_Matrix!$B$2:$D$4,MATCH(E118,Risk_Matrix!$A$2:$A$4,0),MATCH(F118,Risk_Matrix!$B$1:$D$1,0))</f>
        <v>Medium</v>
      </c>
      <c r="H118" s="1">
        <v>46218</v>
      </c>
      <c r="I118" t="s">
        <v>2015</v>
      </c>
      <c r="J118" t="s">
        <v>2032</v>
      </c>
      <c r="K118" t="s">
        <v>2036</v>
      </c>
      <c r="L118">
        <f>IF(G118="High",3,IF(G118="Medium",2,1))</f>
        <v>2</v>
      </c>
    </row>
    <row r="119" spans="1:12">
      <c r="A119" t="s">
        <v>2144</v>
      </c>
      <c r="B119" t="s">
        <v>661</v>
      </c>
      <c r="C119" t="s">
        <v>2000</v>
      </c>
      <c r="D119" t="s">
        <v>2001</v>
      </c>
      <c r="E119" t="s">
        <v>1971</v>
      </c>
      <c r="F119" t="s">
        <v>57</v>
      </c>
      <c r="G119" t="str">
        <f>INDEX(Risk_Matrix!$B$2:$D$4,MATCH(E119,Risk_Matrix!$A$2:$A$4,0),MATCH(F119,Risk_Matrix!$B$1:$D$1,0))</f>
        <v>Low</v>
      </c>
      <c r="H119" s="1">
        <v>46080</v>
      </c>
      <c r="I119" t="s">
        <v>2002</v>
      </c>
      <c r="J119" t="s">
        <v>2029</v>
      </c>
      <c r="K119" t="s">
        <v>1989</v>
      </c>
      <c r="L119">
        <f>IF(G119="High",3,IF(G119="Medium",2,1))</f>
        <v>1</v>
      </c>
    </row>
    <row r="120" spans="1:12">
      <c r="A120" t="s">
        <v>2145</v>
      </c>
      <c r="B120" t="s">
        <v>661</v>
      </c>
      <c r="C120" t="s">
        <v>2005</v>
      </c>
      <c r="D120" t="s">
        <v>2022</v>
      </c>
      <c r="E120" t="s">
        <v>1971</v>
      </c>
      <c r="F120" t="s">
        <v>57</v>
      </c>
      <c r="G120" t="str">
        <f>INDEX(Risk_Matrix!$B$2:$D$4,MATCH(E120,Risk_Matrix!$A$2:$A$4,0),MATCH(F120,Risk_Matrix!$B$1:$D$1,0))</f>
        <v>Low</v>
      </c>
      <c r="H120" s="1">
        <v>46176</v>
      </c>
      <c r="I120" t="s">
        <v>2002</v>
      </c>
      <c r="J120" t="s">
        <v>2029</v>
      </c>
      <c r="K120" t="s">
        <v>2036</v>
      </c>
      <c r="L120">
        <f>IF(G120="High",3,IF(G120="Medium",2,1))</f>
        <v>1</v>
      </c>
    </row>
    <row r="121" spans="1:12">
      <c r="A121" t="s">
        <v>2146</v>
      </c>
      <c r="B121" t="s">
        <v>661</v>
      </c>
      <c r="C121" t="s">
        <v>2008</v>
      </c>
      <c r="D121" t="s">
        <v>2024</v>
      </c>
      <c r="E121" t="s">
        <v>57</v>
      </c>
      <c r="F121" t="s">
        <v>57</v>
      </c>
      <c r="G121" t="str">
        <f>INDEX(Risk_Matrix!$B$2:$D$4,MATCH(E121,Risk_Matrix!$A$2:$A$4,0),MATCH(F121,Risk_Matrix!$B$1:$D$1,0))</f>
        <v>Low</v>
      </c>
      <c r="H121" s="1">
        <v>46196</v>
      </c>
      <c r="I121" t="s">
        <v>2025</v>
      </c>
      <c r="J121" t="s">
        <v>2026</v>
      </c>
      <c r="K121" t="s">
        <v>2010</v>
      </c>
      <c r="L121">
        <f>IF(G121="High",3,IF(G121="Medium",2,1))</f>
        <v>1</v>
      </c>
    </row>
    <row r="122" spans="1:12">
      <c r="A122" t="s">
        <v>2147</v>
      </c>
      <c r="B122" t="s">
        <v>663</v>
      </c>
      <c r="C122" t="s">
        <v>1985</v>
      </c>
      <c r="D122" t="s">
        <v>1986</v>
      </c>
      <c r="E122" t="s">
        <v>1971</v>
      </c>
      <c r="F122" t="s">
        <v>57</v>
      </c>
      <c r="G122" t="str">
        <f>INDEX(Risk_Matrix!$B$2:$D$4,MATCH(E122,Risk_Matrix!$A$2:$A$4,0),MATCH(F122,Risk_Matrix!$B$1:$D$1,0))</f>
        <v>Low</v>
      </c>
      <c r="H122" s="1">
        <v>46141</v>
      </c>
      <c r="I122" t="s">
        <v>2025</v>
      </c>
      <c r="J122" t="s">
        <v>2035</v>
      </c>
      <c r="K122" t="s">
        <v>1998</v>
      </c>
      <c r="L122">
        <f>IF(G122="High",3,IF(G122="Medium",2,1))</f>
        <v>1</v>
      </c>
    </row>
    <row r="123" spans="1:12">
      <c r="A123" t="s">
        <v>2148</v>
      </c>
      <c r="B123" t="s">
        <v>663</v>
      </c>
      <c r="C123" t="s">
        <v>1991</v>
      </c>
      <c r="D123" t="s">
        <v>2064</v>
      </c>
      <c r="E123" t="s">
        <v>57</v>
      </c>
      <c r="F123" t="s">
        <v>57</v>
      </c>
      <c r="G123" t="str">
        <f>INDEX(Risk_Matrix!$B$2:$D$4,MATCH(E123,Risk_Matrix!$A$2:$A$4,0),MATCH(F123,Risk_Matrix!$B$1:$D$1,0))</f>
        <v>Low</v>
      </c>
      <c r="H123" s="1">
        <v>46132</v>
      </c>
      <c r="I123" t="s">
        <v>1987</v>
      </c>
      <c r="J123" t="s">
        <v>1997</v>
      </c>
      <c r="K123" t="s">
        <v>1993</v>
      </c>
      <c r="L123">
        <f>IF(G123="High",3,IF(G123="Medium",2,1))</f>
        <v>1</v>
      </c>
    </row>
    <row r="124" spans="1:12">
      <c r="A124" t="s">
        <v>2149</v>
      </c>
      <c r="B124" t="s">
        <v>663</v>
      </c>
      <c r="C124" t="s">
        <v>1995</v>
      </c>
      <c r="D124" t="s">
        <v>2150</v>
      </c>
      <c r="E124" t="s">
        <v>57</v>
      </c>
      <c r="F124" t="s">
        <v>57</v>
      </c>
      <c r="G124" t="str">
        <f>INDEX(Risk_Matrix!$B$2:$D$4,MATCH(E124,Risk_Matrix!$A$2:$A$4,0),MATCH(F124,Risk_Matrix!$B$1:$D$1,0))</f>
        <v>Low</v>
      </c>
      <c r="H124" s="1">
        <v>46131</v>
      </c>
      <c r="I124" t="s">
        <v>2002</v>
      </c>
      <c r="J124" t="s">
        <v>2003</v>
      </c>
      <c r="K124" t="s">
        <v>1998</v>
      </c>
      <c r="L124">
        <f>IF(G124="High",3,IF(G124="Medium",2,1))</f>
        <v>1</v>
      </c>
    </row>
    <row r="125" spans="1:12">
      <c r="A125" t="s">
        <v>2151</v>
      </c>
      <c r="B125" t="s">
        <v>663</v>
      </c>
      <c r="C125" t="s">
        <v>2000</v>
      </c>
      <c r="D125" t="s">
        <v>2001</v>
      </c>
      <c r="E125" t="s">
        <v>57</v>
      </c>
      <c r="F125" t="s">
        <v>57</v>
      </c>
      <c r="G125" t="str">
        <f>INDEX(Risk_Matrix!$B$2:$D$4,MATCH(E125,Risk_Matrix!$A$2:$A$4,0),MATCH(F125,Risk_Matrix!$B$1:$D$1,0))</f>
        <v>Low</v>
      </c>
      <c r="H125" s="1">
        <v>46141</v>
      </c>
      <c r="I125" t="s">
        <v>2002</v>
      </c>
      <c r="J125" t="s">
        <v>2003</v>
      </c>
      <c r="K125" t="s">
        <v>1993</v>
      </c>
      <c r="L125">
        <f>IF(G125="High",3,IF(G125="Medium",2,1))</f>
        <v>1</v>
      </c>
    </row>
    <row r="126" spans="1:12">
      <c r="A126" t="s">
        <v>2152</v>
      </c>
      <c r="B126" t="s">
        <v>663</v>
      </c>
      <c r="C126" t="s">
        <v>2005</v>
      </c>
      <c r="D126" t="s">
        <v>2022</v>
      </c>
      <c r="E126" t="s">
        <v>47</v>
      </c>
      <c r="F126" t="s">
        <v>1971</v>
      </c>
      <c r="G126" t="str">
        <f>INDEX(Risk_Matrix!$B$2:$D$4,MATCH(E126,Risk_Matrix!$A$2:$A$4,0),MATCH(F126,Risk_Matrix!$B$1:$D$1,0))</f>
        <v>High</v>
      </c>
      <c r="H126" s="1">
        <v>46166</v>
      </c>
      <c r="I126" t="s">
        <v>2015</v>
      </c>
      <c r="J126" t="s">
        <v>2032</v>
      </c>
      <c r="K126" t="s">
        <v>2036</v>
      </c>
      <c r="L126">
        <f>IF(G126="High",3,IF(G126="Medium",2,1))</f>
        <v>3</v>
      </c>
    </row>
    <row r="127" spans="1:12">
      <c r="A127" t="s">
        <v>2153</v>
      </c>
      <c r="B127" t="s">
        <v>663</v>
      </c>
      <c r="C127" t="s">
        <v>2008</v>
      </c>
      <c r="D127" t="s">
        <v>2054</v>
      </c>
      <c r="E127" t="s">
        <v>57</v>
      </c>
      <c r="F127" t="s">
        <v>57</v>
      </c>
      <c r="G127" t="str">
        <f>INDEX(Risk_Matrix!$B$2:$D$4,MATCH(E127,Risk_Matrix!$A$2:$A$4,0),MATCH(F127,Risk_Matrix!$B$1:$D$1,0))</f>
        <v>Low</v>
      </c>
      <c r="H127" s="1">
        <v>46172</v>
      </c>
      <c r="I127" t="s">
        <v>2025</v>
      </c>
      <c r="J127" t="s">
        <v>2035</v>
      </c>
      <c r="K127" t="s">
        <v>2010</v>
      </c>
      <c r="L127">
        <f>IF(G127="High",3,IF(G127="Medium",2,1))</f>
        <v>1</v>
      </c>
    </row>
    <row r="128" spans="1:12">
      <c r="A128" t="s">
        <v>2154</v>
      </c>
      <c r="B128" t="s">
        <v>665</v>
      </c>
      <c r="C128" t="s">
        <v>1985</v>
      </c>
      <c r="D128" t="s">
        <v>2028</v>
      </c>
      <c r="E128" t="s">
        <v>47</v>
      </c>
      <c r="F128" t="s">
        <v>47</v>
      </c>
      <c r="G128" t="str">
        <f>INDEX(Risk_Matrix!$B$2:$D$4,MATCH(E128,Risk_Matrix!$A$2:$A$4,0),MATCH(F128,Risk_Matrix!$B$1:$D$1,0))</f>
        <v>High</v>
      </c>
      <c r="H128" s="1">
        <v>46185</v>
      </c>
      <c r="I128" t="s">
        <v>2025</v>
      </c>
      <c r="J128" t="s">
        <v>2035</v>
      </c>
      <c r="K128" t="s">
        <v>1989</v>
      </c>
      <c r="L128">
        <f>IF(G128="High",3,IF(G128="Medium",2,1))</f>
        <v>3</v>
      </c>
    </row>
    <row r="129" spans="1:12">
      <c r="A129" t="s">
        <v>2155</v>
      </c>
      <c r="B129" t="s">
        <v>665</v>
      </c>
      <c r="C129" t="s">
        <v>1991</v>
      </c>
      <c r="D129" t="s">
        <v>2014</v>
      </c>
      <c r="E129" t="s">
        <v>1971</v>
      </c>
      <c r="F129" t="s">
        <v>57</v>
      </c>
      <c r="G129" t="str">
        <f>INDEX(Risk_Matrix!$B$2:$D$4,MATCH(E129,Risk_Matrix!$A$2:$A$4,0),MATCH(F129,Risk_Matrix!$B$1:$D$1,0))</f>
        <v>Low</v>
      </c>
      <c r="H129" s="1">
        <v>46125</v>
      </c>
      <c r="I129" t="s">
        <v>2002</v>
      </c>
      <c r="J129" t="s">
        <v>2029</v>
      </c>
      <c r="K129" t="s">
        <v>1993</v>
      </c>
      <c r="L129">
        <f>IF(G129="High",3,IF(G129="Medium",2,1))</f>
        <v>1</v>
      </c>
    </row>
    <row r="130" spans="1:12">
      <c r="A130" t="s">
        <v>2156</v>
      </c>
      <c r="B130" t="s">
        <v>665</v>
      </c>
      <c r="C130" t="s">
        <v>1995</v>
      </c>
      <c r="D130" t="s">
        <v>1996</v>
      </c>
      <c r="E130" t="s">
        <v>57</v>
      </c>
      <c r="F130" t="s">
        <v>1971</v>
      </c>
      <c r="G130" t="str">
        <f>INDEX(Risk_Matrix!$B$2:$D$4,MATCH(E130,Risk_Matrix!$A$2:$A$4,0),MATCH(F130,Risk_Matrix!$B$1:$D$1,0))</f>
        <v>Low</v>
      </c>
      <c r="H130" s="1">
        <v>46082</v>
      </c>
      <c r="I130" t="s">
        <v>1987</v>
      </c>
      <c r="J130" t="s">
        <v>1988</v>
      </c>
      <c r="K130" t="s">
        <v>2036</v>
      </c>
      <c r="L130">
        <f>IF(G130="High",3,IF(G130="Medium",2,1))</f>
        <v>1</v>
      </c>
    </row>
    <row r="131" spans="1:12">
      <c r="A131" t="s">
        <v>2157</v>
      </c>
      <c r="B131" t="s">
        <v>665</v>
      </c>
      <c r="C131" t="s">
        <v>2000</v>
      </c>
      <c r="D131" t="s">
        <v>2045</v>
      </c>
      <c r="E131" t="s">
        <v>1971</v>
      </c>
      <c r="F131" t="s">
        <v>1971</v>
      </c>
      <c r="G131" t="str">
        <f>INDEX(Risk_Matrix!$B$2:$D$4,MATCH(E131,Risk_Matrix!$A$2:$A$4,0),MATCH(F131,Risk_Matrix!$B$1:$D$1,0))</f>
        <v>Medium</v>
      </c>
      <c r="H131" s="1">
        <v>46187</v>
      </c>
      <c r="I131" t="s">
        <v>2015</v>
      </c>
      <c r="J131" t="s">
        <v>2016</v>
      </c>
      <c r="K131" t="s">
        <v>1993</v>
      </c>
      <c r="L131">
        <f>IF(G131="High",3,IF(G131="Medium",2,1))</f>
        <v>2</v>
      </c>
    </row>
    <row r="132" spans="1:12">
      <c r="A132" t="s">
        <v>2158</v>
      </c>
      <c r="B132" t="s">
        <v>665</v>
      </c>
      <c r="C132" t="s">
        <v>2005</v>
      </c>
      <c r="D132" t="s">
        <v>2022</v>
      </c>
      <c r="E132" t="s">
        <v>57</v>
      </c>
      <c r="F132" t="s">
        <v>1971</v>
      </c>
      <c r="G132" t="str">
        <f>INDEX(Risk_Matrix!$B$2:$D$4,MATCH(E132,Risk_Matrix!$A$2:$A$4,0),MATCH(F132,Risk_Matrix!$B$1:$D$1,0))</f>
        <v>Low</v>
      </c>
      <c r="H132" s="1">
        <v>46161</v>
      </c>
      <c r="I132" t="s">
        <v>2025</v>
      </c>
      <c r="J132" t="s">
        <v>2026</v>
      </c>
      <c r="K132" t="s">
        <v>1993</v>
      </c>
      <c r="L132">
        <f>IF(G132="High",3,IF(G132="Medium",2,1))</f>
        <v>1</v>
      </c>
    </row>
    <row r="133" spans="1:12">
      <c r="A133" t="s">
        <v>2159</v>
      </c>
      <c r="B133" t="s">
        <v>665</v>
      </c>
      <c r="C133" t="s">
        <v>2008</v>
      </c>
      <c r="D133" t="s">
        <v>2024</v>
      </c>
      <c r="E133" t="s">
        <v>1971</v>
      </c>
      <c r="F133" t="s">
        <v>47</v>
      </c>
      <c r="G133" t="str">
        <f>INDEX(Risk_Matrix!$B$2:$D$4,MATCH(E133,Risk_Matrix!$A$2:$A$4,0),MATCH(F133,Risk_Matrix!$B$1:$D$1,0))</f>
        <v>High</v>
      </c>
      <c r="H133" s="1">
        <v>46211</v>
      </c>
      <c r="I133" t="s">
        <v>2015</v>
      </c>
      <c r="J133" t="s">
        <v>2032</v>
      </c>
      <c r="K133" t="s">
        <v>2010</v>
      </c>
      <c r="L133">
        <f>IF(G133="High",3,IF(G133="Medium",2,1))</f>
        <v>3</v>
      </c>
    </row>
    <row r="134" spans="1:12">
      <c r="A134" t="s">
        <v>2160</v>
      </c>
      <c r="B134" t="s">
        <v>667</v>
      </c>
      <c r="C134" t="s">
        <v>1985</v>
      </c>
      <c r="D134" t="s">
        <v>2062</v>
      </c>
      <c r="E134" t="s">
        <v>47</v>
      </c>
      <c r="F134" t="s">
        <v>57</v>
      </c>
      <c r="G134" t="str">
        <f>INDEX(Risk_Matrix!$B$2:$D$4,MATCH(E134,Risk_Matrix!$A$2:$A$4,0),MATCH(F134,Risk_Matrix!$B$1:$D$1,0))</f>
        <v>Medium</v>
      </c>
      <c r="H134" s="1">
        <v>46089</v>
      </c>
      <c r="I134" t="s">
        <v>2002</v>
      </c>
      <c r="J134" t="s">
        <v>2029</v>
      </c>
      <c r="K134" t="s">
        <v>1998</v>
      </c>
      <c r="L134">
        <f>IF(G134="High",3,IF(G134="Medium",2,1))</f>
        <v>2</v>
      </c>
    </row>
    <row r="135" spans="1:12">
      <c r="A135" t="s">
        <v>2161</v>
      </c>
      <c r="B135" t="s">
        <v>667</v>
      </c>
      <c r="C135" t="s">
        <v>1991</v>
      </c>
      <c r="D135" t="s">
        <v>1992</v>
      </c>
      <c r="E135" t="s">
        <v>1971</v>
      </c>
      <c r="F135" t="s">
        <v>47</v>
      </c>
      <c r="G135" t="str">
        <f>INDEX(Risk_Matrix!$B$2:$D$4,MATCH(E135,Risk_Matrix!$A$2:$A$4,0),MATCH(F135,Risk_Matrix!$B$1:$D$1,0))</f>
        <v>High</v>
      </c>
      <c r="H135" s="1">
        <v>46215</v>
      </c>
      <c r="I135" t="s">
        <v>2015</v>
      </c>
      <c r="J135" t="s">
        <v>2032</v>
      </c>
      <c r="K135" t="s">
        <v>2010</v>
      </c>
      <c r="L135">
        <f>IF(G135="High",3,IF(G135="Medium",2,1))</f>
        <v>3</v>
      </c>
    </row>
    <row r="136" spans="1:12">
      <c r="A136" t="s">
        <v>2162</v>
      </c>
      <c r="B136" t="s">
        <v>667</v>
      </c>
      <c r="C136" t="s">
        <v>1995</v>
      </c>
      <c r="D136" t="s">
        <v>1996</v>
      </c>
      <c r="E136" t="s">
        <v>57</v>
      </c>
      <c r="F136" t="s">
        <v>57</v>
      </c>
      <c r="G136" t="str">
        <f>INDEX(Risk_Matrix!$B$2:$D$4,MATCH(E136,Risk_Matrix!$A$2:$A$4,0),MATCH(F136,Risk_Matrix!$B$1:$D$1,0))</f>
        <v>Low</v>
      </c>
      <c r="H136" s="1">
        <v>46105</v>
      </c>
      <c r="I136" t="s">
        <v>1987</v>
      </c>
      <c r="J136" t="s">
        <v>1988</v>
      </c>
      <c r="K136" t="s">
        <v>1998</v>
      </c>
      <c r="L136">
        <f>IF(G136="High",3,IF(G136="Medium",2,1))</f>
        <v>1</v>
      </c>
    </row>
    <row r="137" spans="1:12">
      <c r="A137" t="s">
        <v>2163</v>
      </c>
      <c r="B137" t="s">
        <v>667</v>
      </c>
      <c r="C137" t="s">
        <v>2000</v>
      </c>
      <c r="D137" t="s">
        <v>2045</v>
      </c>
      <c r="E137" t="s">
        <v>57</v>
      </c>
      <c r="F137" t="s">
        <v>57</v>
      </c>
      <c r="G137" t="str">
        <f>INDEX(Risk_Matrix!$B$2:$D$4,MATCH(E137,Risk_Matrix!$A$2:$A$4,0),MATCH(F137,Risk_Matrix!$B$1:$D$1,0))</f>
        <v>Low</v>
      </c>
      <c r="H137" s="1">
        <v>46231</v>
      </c>
      <c r="I137" t="s">
        <v>2025</v>
      </c>
      <c r="J137" t="s">
        <v>2035</v>
      </c>
      <c r="K137" t="s">
        <v>1993</v>
      </c>
      <c r="L137">
        <f>IF(G137="High",3,IF(G137="Medium",2,1))</f>
        <v>1</v>
      </c>
    </row>
    <row r="138" spans="1:12">
      <c r="A138" t="s">
        <v>2164</v>
      </c>
      <c r="B138" t="s">
        <v>667</v>
      </c>
      <c r="C138" t="s">
        <v>2005</v>
      </c>
      <c r="D138" t="s">
        <v>2039</v>
      </c>
      <c r="E138" t="s">
        <v>1971</v>
      </c>
      <c r="F138" t="s">
        <v>47</v>
      </c>
      <c r="G138" t="str">
        <f>INDEX(Risk_Matrix!$B$2:$D$4,MATCH(E138,Risk_Matrix!$A$2:$A$4,0),MATCH(F138,Risk_Matrix!$B$1:$D$1,0))</f>
        <v>High</v>
      </c>
      <c r="H138" s="1">
        <v>46208</v>
      </c>
      <c r="I138" t="s">
        <v>2025</v>
      </c>
      <c r="J138" t="s">
        <v>2035</v>
      </c>
      <c r="K138" t="s">
        <v>1993</v>
      </c>
      <c r="L138">
        <f>IF(G138="High",3,IF(G138="Medium",2,1))</f>
        <v>3</v>
      </c>
    </row>
    <row r="139" spans="1:12">
      <c r="A139" t="s">
        <v>2165</v>
      </c>
      <c r="B139" t="s">
        <v>667</v>
      </c>
      <c r="C139" t="s">
        <v>2008</v>
      </c>
      <c r="D139" t="s">
        <v>2024</v>
      </c>
      <c r="E139" t="s">
        <v>47</v>
      </c>
      <c r="F139" t="s">
        <v>47</v>
      </c>
      <c r="G139" t="str">
        <f>INDEX(Risk_Matrix!$B$2:$D$4,MATCH(E139,Risk_Matrix!$A$2:$A$4,0),MATCH(F139,Risk_Matrix!$B$1:$D$1,0))</f>
        <v>High</v>
      </c>
      <c r="H139" s="1">
        <v>46173</v>
      </c>
      <c r="I139" t="s">
        <v>2015</v>
      </c>
      <c r="J139" t="s">
        <v>2016</v>
      </c>
      <c r="K139" t="s">
        <v>2010</v>
      </c>
      <c r="L139">
        <f>IF(G139="High",3,IF(G139="Medium",2,1))</f>
        <v>3</v>
      </c>
    </row>
    <row r="140" spans="1:12">
      <c r="A140" t="s">
        <v>2166</v>
      </c>
      <c r="B140" t="s">
        <v>669</v>
      </c>
      <c r="C140" t="s">
        <v>1985</v>
      </c>
      <c r="D140" t="s">
        <v>2028</v>
      </c>
      <c r="E140" t="s">
        <v>1971</v>
      </c>
      <c r="F140" t="s">
        <v>57</v>
      </c>
      <c r="G140" t="str">
        <f>INDEX(Risk_Matrix!$B$2:$D$4,MATCH(E140,Risk_Matrix!$A$2:$A$4,0),MATCH(F140,Risk_Matrix!$B$1:$D$1,0))</f>
        <v>Low</v>
      </c>
      <c r="H140" s="1">
        <v>46234</v>
      </c>
      <c r="I140" t="s">
        <v>2002</v>
      </c>
      <c r="J140" t="s">
        <v>2029</v>
      </c>
      <c r="K140" t="s">
        <v>1998</v>
      </c>
      <c r="L140">
        <f>IF(G140="High",3,IF(G140="Medium",2,1))</f>
        <v>1</v>
      </c>
    </row>
    <row r="141" spans="1:12">
      <c r="A141" t="s">
        <v>2167</v>
      </c>
      <c r="B141" t="s">
        <v>669</v>
      </c>
      <c r="C141" t="s">
        <v>1991</v>
      </c>
      <c r="D141" t="s">
        <v>2014</v>
      </c>
      <c r="E141" t="s">
        <v>57</v>
      </c>
      <c r="F141" t="s">
        <v>57</v>
      </c>
      <c r="G141" t="str">
        <f>INDEX(Risk_Matrix!$B$2:$D$4,MATCH(E141,Risk_Matrix!$A$2:$A$4,0),MATCH(F141,Risk_Matrix!$B$1:$D$1,0))</f>
        <v>Low</v>
      </c>
      <c r="H141" s="1">
        <v>46223</v>
      </c>
      <c r="I141" t="s">
        <v>2025</v>
      </c>
      <c r="J141" t="s">
        <v>2026</v>
      </c>
      <c r="K141" t="s">
        <v>2010</v>
      </c>
      <c r="L141">
        <f>IF(G141="High",3,IF(G141="Medium",2,1))</f>
        <v>1</v>
      </c>
    </row>
    <row r="142" spans="1:12">
      <c r="A142" t="s">
        <v>2168</v>
      </c>
      <c r="B142" t="s">
        <v>669</v>
      </c>
      <c r="C142" t="s">
        <v>1995</v>
      </c>
      <c r="D142" t="s">
        <v>2018</v>
      </c>
      <c r="E142" t="s">
        <v>57</v>
      </c>
      <c r="F142" t="s">
        <v>57</v>
      </c>
      <c r="G142" t="str">
        <f>INDEX(Risk_Matrix!$B$2:$D$4,MATCH(E142,Risk_Matrix!$A$2:$A$4,0),MATCH(F142,Risk_Matrix!$B$1:$D$1,0))</f>
        <v>Low</v>
      </c>
      <c r="H142" s="1">
        <v>46199</v>
      </c>
      <c r="I142" t="s">
        <v>2015</v>
      </c>
      <c r="J142" t="s">
        <v>2016</v>
      </c>
      <c r="K142" t="s">
        <v>2036</v>
      </c>
      <c r="L142">
        <f>IF(G142="High",3,IF(G142="Medium",2,1))</f>
        <v>1</v>
      </c>
    </row>
    <row r="143" spans="1:12">
      <c r="A143" t="s">
        <v>2169</v>
      </c>
      <c r="B143" t="s">
        <v>669</v>
      </c>
      <c r="C143" t="s">
        <v>2000</v>
      </c>
      <c r="D143" t="s">
        <v>2001</v>
      </c>
      <c r="E143" t="s">
        <v>57</v>
      </c>
      <c r="F143" t="s">
        <v>1971</v>
      </c>
      <c r="G143" t="str">
        <f>INDEX(Risk_Matrix!$B$2:$D$4,MATCH(E143,Risk_Matrix!$A$2:$A$4,0),MATCH(F143,Risk_Matrix!$B$1:$D$1,0))</f>
        <v>Low</v>
      </c>
      <c r="H143" s="1">
        <v>46229</v>
      </c>
      <c r="I143" t="s">
        <v>2002</v>
      </c>
      <c r="J143" t="s">
        <v>2003</v>
      </c>
      <c r="K143" t="s">
        <v>1989</v>
      </c>
      <c r="L143">
        <f>IF(G143="High",3,IF(G143="Medium",2,1))</f>
        <v>1</v>
      </c>
    </row>
    <row r="144" spans="1:12">
      <c r="A144" t="s">
        <v>2170</v>
      </c>
      <c r="B144" t="s">
        <v>669</v>
      </c>
      <c r="C144" t="s">
        <v>2005</v>
      </c>
      <c r="D144" t="s">
        <v>2022</v>
      </c>
      <c r="E144" t="s">
        <v>47</v>
      </c>
      <c r="F144" t="s">
        <v>47</v>
      </c>
      <c r="G144" t="str">
        <f>INDEX(Risk_Matrix!$B$2:$D$4,MATCH(E144,Risk_Matrix!$A$2:$A$4,0),MATCH(F144,Risk_Matrix!$B$1:$D$1,0))</f>
        <v>High</v>
      </c>
      <c r="H144" s="1">
        <v>46100</v>
      </c>
      <c r="I144" t="s">
        <v>2025</v>
      </c>
      <c r="J144" t="s">
        <v>2035</v>
      </c>
      <c r="K144" t="s">
        <v>1993</v>
      </c>
      <c r="L144">
        <f>IF(G144="High",3,IF(G144="Medium",2,1))</f>
        <v>3</v>
      </c>
    </row>
    <row r="145" spans="1:12">
      <c r="A145" t="s">
        <v>2171</v>
      </c>
      <c r="B145" t="s">
        <v>669</v>
      </c>
      <c r="C145" t="s">
        <v>2008</v>
      </c>
      <c r="D145" t="s">
        <v>2024</v>
      </c>
      <c r="E145" t="s">
        <v>57</v>
      </c>
      <c r="F145" t="s">
        <v>57</v>
      </c>
      <c r="G145" t="str">
        <f>INDEX(Risk_Matrix!$B$2:$D$4,MATCH(E145,Risk_Matrix!$A$2:$A$4,0),MATCH(F145,Risk_Matrix!$B$1:$D$1,0))</f>
        <v>Low</v>
      </c>
      <c r="H145" s="1">
        <v>46210</v>
      </c>
      <c r="I145" t="s">
        <v>2015</v>
      </c>
      <c r="J145" t="s">
        <v>2032</v>
      </c>
      <c r="K145" t="s">
        <v>2010</v>
      </c>
      <c r="L145">
        <f>IF(G145="High",3,IF(G145="Medium",2,1))</f>
        <v>1</v>
      </c>
    </row>
    <row r="146" spans="1:12">
      <c r="A146" t="s">
        <v>2172</v>
      </c>
      <c r="B146" t="s">
        <v>671</v>
      </c>
      <c r="C146" t="s">
        <v>1985</v>
      </c>
      <c r="D146" t="s">
        <v>2012</v>
      </c>
      <c r="E146" t="s">
        <v>1971</v>
      </c>
      <c r="F146" t="s">
        <v>47</v>
      </c>
      <c r="G146" t="str">
        <f>INDEX(Risk_Matrix!$B$2:$D$4,MATCH(E146,Risk_Matrix!$A$2:$A$4,0),MATCH(F146,Risk_Matrix!$B$1:$D$1,0))</f>
        <v>High</v>
      </c>
      <c r="H146" s="1">
        <v>46236</v>
      </c>
      <c r="I146" t="s">
        <v>2025</v>
      </c>
      <c r="J146" t="s">
        <v>2035</v>
      </c>
      <c r="K146" t="s">
        <v>1989</v>
      </c>
      <c r="L146">
        <f>IF(G146="High",3,IF(G146="Medium",2,1))</f>
        <v>3</v>
      </c>
    </row>
    <row r="147" spans="1:12">
      <c r="A147" t="s">
        <v>2173</v>
      </c>
      <c r="B147" t="s">
        <v>671</v>
      </c>
      <c r="C147" t="s">
        <v>1991</v>
      </c>
      <c r="D147" t="s">
        <v>2014</v>
      </c>
      <c r="E147" t="s">
        <v>57</v>
      </c>
      <c r="F147" t="s">
        <v>47</v>
      </c>
      <c r="G147" t="str">
        <f>INDEX(Risk_Matrix!$B$2:$D$4,MATCH(E147,Risk_Matrix!$A$2:$A$4,0),MATCH(F147,Risk_Matrix!$B$1:$D$1,0))</f>
        <v>Medium</v>
      </c>
      <c r="H147" s="1">
        <v>46188</v>
      </c>
      <c r="I147" t="s">
        <v>2015</v>
      </c>
      <c r="J147" t="s">
        <v>2016</v>
      </c>
      <c r="K147" t="s">
        <v>1993</v>
      </c>
      <c r="L147">
        <f>IF(G147="High",3,IF(G147="Medium",2,1))</f>
        <v>2</v>
      </c>
    </row>
    <row r="148" spans="1:12">
      <c r="A148" t="s">
        <v>2174</v>
      </c>
      <c r="B148" t="s">
        <v>671</v>
      </c>
      <c r="C148" t="s">
        <v>1995</v>
      </c>
      <c r="D148" t="s">
        <v>1996</v>
      </c>
      <c r="E148" t="s">
        <v>57</v>
      </c>
      <c r="F148" t="s">
        <v>57</v>
      </c>
      <c r="G148" t="str">
        <f>INDEX(Risk_Matrix!$B$2:$D$4,MATCH(E148,Risk_Matrix!$A$2:$A$4,0),MATCH(F148,Risk_Matrix!$B$1:$D$1,0))</f>
        <v>Low</v>
      </c>
      <c r="H148" s="1">
        <v>46149</v>
      </c>
      <c r="I148" t="s">
        <v>2002</v>
      </c>
      <c r="J148" t="s">
        <v>2003</v>
      </c>
      <c r="K148" t="s">
        <v>2036</v>
      </c>
      <c r="L148">
        <f>IF(G148="High",3,IF(G148="Medium",2,1))</f>
        <v>1</v>
      </c>
    </row>
    <row r="149" spans="1:12">
      <c r="A149" t="s">
        <v>2175</v>
      </c>
      <c r="B149" t="s">
        <v>671</v>
      </c>
      <c r="C149" t="s">
        <v>2000</v>
      </c>
      <c r="D149" t="s">
        <v>2045</v>
      </c>
      <c r="E149" t="s">
        <v>1971</v>
      </c>
      <c r="F149" t="s">
        <v>57</v>
      </c>
      <c r="G149" t="str">
        <f>INDEX(Risk_Matrix!$B$2:$D$4,MATCH(E149,Risk_Matrix!$A$2:$A$4,0),MATCH(F149,Risk_Matrix!$B$1:$D$1,0))</f>
        <v>Low</v>
      </c>
      <c r="H149" s="1">
        <v>46228</v>
      </c>
      <c r="I149" t="s">
        <v>2015</v>
      </c>
      <c r="J149" t="s">
        <v>2032</v>
      </c>
      <c r="K149" t="s">
        <v>1989</v>
      </c>
      <c r="L149">
        <f>IF(G149="High",3,IF(G149="Medium",2,1))</f>
        <v>1</v>
      </c>
    </row>
    <row r="150" spans="1:12">
      <c r="A150" t="s">
        <v>2176</v>
      </c>
      <c r="B150" t="s">
        <v>671</v>
      </c>
      <c r="C150" t="s">
        <v>2005</v>
      </c>
      <c r="D150" t="s">
        <v>2006</v>
      </c>
      <c r="E150" t="s">
        <v>47</v>
      </c>
      <c r="F150" t="s">
        <v>1971</v>
      </c>
      <c r="G150" t="str">
        <f>INDEX(Risk_Matrix!$B$2:$D$4,MATCH(E150,Risk_Matrix!$A$2:$A$4,0),MATCH(F150,Risk_Matrix!$B$1:$D$1,0))</f>
        <v>High</v>
      </c>
      <c r="H150" s="1">
        <v>46155</v>
      </c>
      <c r="I150" t="s">
        <v>2025</v>
      </c>
      <c r="J150" t="s">
        <v>2026</v>
      </c>
      <c r="K150" t="s">
        <v>1993</v>
      </c>
      <c r="L150">
        <f>IF(G150="High",3,IF(G150="Medium",2,1))</f>
        <v>3</v>
      </c>
    </row>
    <row r="151" spans="1:12">
      <c r="A151" t="s">
        <v>2177</v>
      </c>
      <c r="B151" t="s">
        <v>671</v>
      </c>
      <c r="C151" t="s">
        <v>2008</v>
      </c>
      <c r="D151" t="s">
        <v>2054</v>
      </c>
      <c r="E151" t="s">
        <v>57</v>
      </c>
      <c r="F151" t="s">
        <v>57</v>
      </c>
      <c r="G151" t="str">
        <f>INDEX(Risk_Matrix!$B$2:$D$4,MATCH(E151,Risk_Matrix!$A$2:$A$4,0),MATCH(F151,Risk_Matrix!$B$1:$D$1,0))</f>
        <v>Low</v>
      </c>
      <c r="H151" s="1">
        <v>46162</v>
      </c>
      <c r="I151" t="s">
        <v>2015</v>
      </c>
      <c r="J151" t="s">
        <v>2016</v>
      </c>
      <c r="K151" t="s">
        <v>2010</v>
      </c>
      <c r="L151">
        <f>IF(G151="High",3,IF(G151="Medium",2,1))</f>
        <v>1</v>
      </c>
    </row>
    <row r="152" spans="1:12">
      <c r="A152" t="s">
        <v>2178</v>
      </c>
      <c r="B152" t="s">
        <v>674</v>
      </c>
      <c r="C152" t="s">
        <v>1985</v>
      </c>
      <c r="D152" t="s">
        <v>1986</v>
      </c>
      <c r="E152" t="s">
        <v>1971</v>
      </c>
      <c r="F152" t="s">
        <v>1971</v>
      </c>
      <c r="G152" t="str">
        <f>INDEX(Risk_Matrix!$B$2:$D$4,MATCH(E152,Risk_Matrix!$A$2:$A$4,0),MATCH(F152,Risk_Matrix!$B$1:$D$1,0))</f>
        <v>Medium</v>
      </c>
      <c r="H152" s="1">
        <v>46151</v>
      </c>
      <c r="I152" t="s">
        <v>2025</v>
      </c>
      <c r="J152" t="s">
        <v>2026</v>
      </c>
      <c r="K152" t="s">
        <v>1998</v>
      </c>
      <c r="L152">
        <f>IF(G152="High",3,IF(G152="Medium",2,1))</f>
        <v>2</v>
      </c>
    </row>
    <row r="153" spans="1:12">
      <c r="A153" t="s">
        <v>2179</v>
      </c>
      <c r="B153" t="s">
        <v>674</v>
      </c>
      <c r="C153" t="s">
        <v>1991</v>
      </c>
      <c r="D153" t="s">
        <v>2064</v>
      </c>
      <c r="E153" t="s">
        <v>47</v>
      </c>
      <c r="F153" t="s">
        <v>57</v>
      </c>
      <c r="G153" t="str">
        <f>INDEX(Risk_Matrix!$B$2:$D$4,MATCH(E153,Risk_Matrix!$A$2:$A$4,0),MATCH(F153,Risk_Matrix!$B$1:$D$1,0))</f>
        <v>Medium</v>
      </c>
      <c r="H153" s="1">
        <v>46124</v>
      </c>
      <c r="I153" t="s">
        <v>2025</v>
      </c>
      <c r="J153" t="s">
        <v>2035</v>
      </c>
      <c r="K153" t="s">
        <v>2010</v>
      </c>
      <c r="L153">
        <f>IF(G153="High",3,IF(G153="Medium",2,1))</f>
        <v>2</v>
      </c>
    </row>
    <row r="154" spans="1:12">
      <c r="A154" t="s">
        <v>2180</v>
      </c>
      <c r="B154" t="s">
        <v>674</v>
      </c>
      <c r="C154" t="s">
        <v>1995</v>
      </c>
      <c r="D154" t="s">
        <v>2034</v>
      </c>
      <c r="E154" t="s">
        <v>57</v>
      </c>
      <c r="F154" t="s">
        <v>57</v>
      </c>
      <c r="G154" t="str">
        <f>INDEX(Risk_Matrix!$B$2:$D$4,MATCH(E154,Risk_Matrix!$A$2:$A$4,0),MATCH(F154,Risk_Matrix!$B$1:$D$1,0))</f>
        <v>Low</v>
      </c>
      <c r="H154" s="1">
        <v>46115</v>
      </c>
      <c r="I154" t="s">
        <v>1987</v>
      </c>
      <c r="J154" t="s">
        <v>1997</v>
      </c>
      <c r="K154" t="s">
        <v>2036</v>
      </c>
      <c r="L154">
        <f>IF(G154="High",3,IF(G154="Medium",2,1))</f>
        <v>1</v>
      </c>
    </row>
    <row r="155" spans="1:12">
      <c r="A155" t="s">
        <v>2181</v>
      </c>
      <c r="B155" t="s">
        <v>674</v>
      </c>
      <c r="C155" t="s">
        <v>2000</v>
      </c>
      <c r="D155" t="s">
        <v>2001</v>
      </c>
      <c r="E155" t="s">
        <v>57</v>
      </c>
      <c r="F155" t="s">
        <v>57</v>
      </c>
      <c r="G155" t="str">
        <f>INDEX(Risk_Matrix!$B$2:$D$4,MATCH(E155,Risk_Matrix!$A$2:$A$4,0),MATCH(F155,Risk_Matrix!$B$1:$D$1,0))</f>
        <v>Low</v>
      </c>
      <c r="H155" s="1">
        <v>46192</v>
      </c>
      <c r="I155" t="s">
        <v>2025</v>
      </c>
      <c r="J155" t="s">
        <v>2035</v>
      </c>
      <c r="K155" t="s">
        <v>1993</v>
      </c>
      <c r="L155">
        <f>IF(G155="High",3,IF(G155="Medium",2,1))</f>
        <v>1</v>
      </c>
    </row>
    <row r="156" spans="1:12">
      <c r="A156" t="s">
        <v>2182</v>
      </c>
      <c r="B156" t="s">
        <v>674</v>
      </c>
      <c r="C156" t="s">
        <v>2005</v>
      </c>
      <c r="D156" t="s">
        <v>2022</v>
      </c>
      <c r="E156" t="s">
        <v>57</v>
      </c>
      <c r="F156" t="s">
        <v>57</v>
      </c>
      <c r="G156" t="str">
        <f>INDEX(Risk_Matrix!$B$2:$D$4,MATCH(E156,Risk_Matrix!$A$2:$A$4,0),MATCH(F156,Risk_Matrix!$B$1:$D$1,0))</f>
        <v>Low</v>
      </c>
      <c r="H156" s="1">
        <v>46208</v>
      </c>
      <c r="I156" t="s">
        <v>2015</v>
      </c>
      <c r="J156" t="s">
        <v>2032</v>
      </c>
      <c r="K156" t="s">
        <v>2036</v>
      </c>
      <c r="L156">
        <f>IF(G156="High",3,IF(G156="Medium",2,1))</f>
        <v>1</v>
      </c>
    </row>
    <row r="157" spans="1:12">
      <c r="A157" t="s">
        <v>2183</v>
      </c>
      <c r="B157" t="s">
        <v>674</v>
      </c>
      <c r="C157" t="s">
        <v>2008</v>
      </c>
      <c r="D157" t="s">
        <v>2024</v>
      </c>
      <c r="E157" t="s">
        <v>47</v>
      </c>
      <c r="F157" t="s">
        <v>47</v>
      </c>
      <c r="G157" t="str">
        <f>INDEX(Risk_Matrix!$B$2:$D$4,MATCH(E157,Risk_Matrix!$A$2:$A$4,0),MATCH(F157,Risk_Matrix!$B$1:$D$1,0))</f>
        <v>High</v>
      </c>
      <c r="H157" s="1">
        <v>46057</v>
      </c>
      <c r="I157" t="s">
        <v>2025</v>
      </c>
      <c r="J157" t="s">
        <v>2026</v>
      </c>
      <c r="K157" t="s">
        <v>2010</v>
      </c>
      <c r="L157">
        <f>IF(G157="High",3,IF(G157="Medium",2,1))</f>
        <v>3</v>
      </c>
    </row>
    <row r="158" spans="1:12">
      <c r="A158" t="s">
        <v>2184</v>
      </c>
      <c r="B158" t="s">
        <v>677</v>
      </c>
      <c r="C158" t="s">
        <v>1985</v>
      </c>
      <c r="D158" t="s">
        <v>1986</v>
      </c>
      <c r="E158" t="s">
        <v>1971</v>
      </c>
      <c r="F158" t="s">
        <v>1971</v>
      </c>
      <c r="G158" t="str">
        <f>INDEX(Risk_Matrix!$B$2:$D$4,MATCH(E158,Risk_Matrix!$A$2:$A$4,0),MATCH(F158,Risk_Matrix!$B$1:$D$1,0))</f>
        <v>Medium</v>
      </c>
      <c r="H158" s="1">
        <v>46163</v>
      </c>
      <c r="I158" t="s">
        <v>2015</v>
      </c>
      <c r="J158" t="s">
        <v>2032</v>
      </c>
      <c r="K158" t="s">
        <v>1989</v>
      </c>
      <c r="L158">
        <f>IF(G158="High",3,IF(G158="Medium",2,1))</f>
        <v>2</v>
      </c>
    </row>
    <row r="159" spans="1:12">
      <c r="A159" t="s">
        <v>2185</v>
      </c>
      <c r="B159" t="s">
        <v>677</v>
      </c>
      <c r="C159" t="s">
        <v>1991</v>
      </c>
      <c r="D159" t="s">
        <v>1992</v>
      </c>
      <c r="E159" t="s">
        <v>47</v>
      </c>
      <c r="F159" t="s">
        <v>1971</v>
      </c>
      <c r="G159" t="str">
        <f>INDEX(Risk_Matrix!$B$2:$D$4,MATCH(E159,Risk_Matrix!$A$2:$A$4,0),MATCH(F159,Risk_Matrix!$B$1:$D$1,0))</f>
        <v>High</v>
      </c>
      <c r="H159" s="1">
        <v>46230</v>
      </c>
      <c r="I159" t="s">
        <v>2025</v>
      </c>
      <c r="J159" t="s">
        <v>2035</v>
      </c>
      <c r="K159" t="s">
        <v>1993</v>
      </c>
      <c r="L159">
        <f>IF(G159="High",3,IF(G159="Medium",2,1))</f>
        <v>3</v>
      </c>
    </row>
    <row r="160" spans="1:12">
      <c r="A160" t="s">
        <v>2186</v>
      </c>
      <c r="B160" t="s">
        <v>677</v>
      </c>
      <c r="C160" t="s">
        <v>1995</v>
      </c>
      <c r="D160" t="s">
        <v>2018</v>
      </c>
      <c r="E160" t="s">
        <v>57</v>
      </c>
      <c r="F160" t="s">
        <v>1971</v>
      </c>
      <c r="G160" t="str">
        <f>INDEX(Risk_Matrix!$B$2:$D$4,MATCH(E160,Risk_Matrix!$A$2:$A$4,0),MATCH(F160,Risk_Matrix!$B$1:$D$1,0))</f>
        <v>Low</v>
      </c>
      <c r="H160" s="1">
        <v>46179</v>
      </c>
      <c r="I160" t="s">
        <v>2025</v>
      </c>
      <c r="J160" t="s">
        <v>2026</v>
      </c>
      <c r="K160" t="s">
        <v>2036</v>
      </c>
      <c r="L160">
        <f>IF(G160="High",3,IF(G160="Medium",2,1))</f>
        <v>1</v>
      </c>
    </row>
    <row r="161" spans="1:12">
      <c r="A161" t="s">
        <v>2187</v>
      </c>
      <c r="B161" t="s">
        <v>677</v>
      </c>
      <c r="C161" t="s">
        <v>2000</v>
      </c>
      <c r="D161" t="s">
        <v>2045</v>
      </c>
      <c r="E161" t="s">
        <v>1971</v>
      </c>
      <c r="F161" t="s">
        <v>1971</v>
      </c>
      <c r="G161" t="str">
        <f>INDEX(Risk_Matrix!$B$2:$D$4,MATCH(E161,Risk_Matrix!$A$2:$A$4,0),MATCH(F161,Risk_Matrix!$B$1:$D$1,0))</f>
        <v>Medium</v>
      </c>
      <c r="H161" s="1">
        <v>46087</v>
      </c>
      <c r="I161" t="s">
        <v>1987</v>
      </c>
      <c r="J161" t="s">
        <v>1997</v>
      </c>
      <c r="K161" t="s">
        <v>1989</v>
      </c>
      <c r="L161">
        <f>IF(G161="High",3,IF(G161="Medium",2,1))</f>
        <v>2</v>
      </c>
    </row>
    <row r="162" spans="1:12">
      <c r="A162" t="s">
        <v>2188</v>
      </c>
      <c r="B162" t="s">
        <v>677</v>
      </c>
      <c r="C162" t="s">
        <v>2005</v>
      </c>
      <c r="D162" t="s">
        <v>2022</v>
      </c>
      <c r="E162" t="s">
        <v>1971</v>
      </c>
      <c r="F162" t="s">
        <v>47</v>
      </c>
      <c r="G162" t="str">
        <f>INDEX(Risk_Matrix!$B$2:$D$4,MATCH(E162,Risk_Matrix!$A$2:$A$4,0),MATCH(F162,Risk_Matrix!$B$1:$D$1,0))</f>
        <v>High</v>
      </c>
      <c r="H162" s="1">
        <v>46184</v>
      </c>
      <c r="I162" t="s">
        <v>2015</v>
      </c>
      <c r="J162" t="s">
        <v>2032</v>
      </c>
      <c r="K162" t="s">
        <v>1993</v>
      </c>
      <c r="L162">
        <f>IF(G162="High",3,IF(G162="Medium",2,1))</f>
        <v>3</v>
      </c>
    </row>
    <row r="163" spans="1:12">
      <c r="A163" t="s">
        <v>2189</v>
      </c>
      <c r="B163" t="s">
        <v>677</v>
      </c>
      <c r="C163" t="s">
        <v>2008</v>
      </c>
      <c r="D163" t="s">
        <v>2024</v>
      </c>
      <c r="E163" t="s">
        <v>1971</v>
      </c>
      <c r="F163" t="s">
        <v>57</v>
      </c>
      <c r="G163" t="str">
        <f>INDEX(Risk_Matrix!$B$2:$D$4,MATCH(E163,Risk_Matrix!$A$2:$A$4,0),MATCH(F163,Risk_Matrix!$B$1:$D$1,0))</f>
        <v>Low</v>
      </c>
      <c r="H163" s="1">
        <v>46104</v>
      </c>
      <c r="I163" t="s">
        <v>2025</v>
      </c>
      <c r="J163" t="s">
        <v>2026</v>
      </c>
      <c r="K163" t="s">
        <v>2010</v>
      </c>
      <c r="L163">
        <f>IF(G163="High",3,IF(G163="Medium",2,1))</f>
        <v>1</v>
      </c>
    </row>
    <row r="164" spans="1:12">
      <c r="A164" t="s">
        <v>2190</v>
      </c>
      <c r="B164" t="s">
        <v>680</v>
      </c>
      <c r="C164" t="s">
        <v>1985</v>
      </c>
      <c r="D164" t="s">
        <v>2012</v>
      </c>
      <c r="E164" t="s">
        <v>57</v>
      </c>
      <c r="F164" t="s">
        <v>1971</v>
      </c>
      <c r="G164" t="str">
        <f>INDEX(Risk_Matrix!$B$2:$D$4,MATCH(E164,Risk_Matrix!$A$2:$A$4,0),MATCH(F164,Risk_Matrix!$B$1:$D$1,0))</f>
        <v>Low</v>
      </c>
      <c r="H164" s="1">
        <v>46107</v>
      </c>
      <c r="I164" t="s">
        <v>2002</v>
      </c>
      <c r="J164" t="s">
        <v>2003</v>
      </c>
      <c r="K164" t="s">
        <v>1989</v>
      </c>
      <c r="L164">
        <f>IF(G164="High",3,IF(G164="Medium",2,1))</f>
        <v>1</v>
      </c>
    </row>
    <row r="165" spans="1:12">
      <c r="A165" t="s">
        <v>2191</v>
      </c>
      <c r="B165" t="s">
        <v>680</v>
      </c>
      <c r="C165" t="s">
        <v>1991</v>
      </c>
      <c r="D165" t="s">
        <v>2014</v>
      </c>
      <c r="E165" t="s">
        <v>57</v>
      </c>
      <c r="F165" t="s">
        <v>57</v>
      </c>
      <c r="G165" t="str">
        <f>INDEX(Risk_Matrix!$B$2:$D$4,MATCH(E165,Risk_Matrix!$A$2:$A$4,0),MATCH(F165,Risk_Matrix!$B$1:$D$1,0))</f>
        <v>Low</v>
      </c>
      <c r="H165" s="1">
        <v>46169</v>
      </c>
      <c r="I165" t="s">
        <v>2015</v>
      </c>
      <c r="J165" t="s">
        <v>2032</v>
      </c>
      <c r="K165" t="s">
        <v>1993</v>
      </c>
      <c r="L165">
        <f>IF(G165="High",3,IF(G165="Medium",2,1))</f>
        <v>1</v>
      </c>
    </row>
    <row r="166" spans="1:12">
      <c r="A166" t="s">
        <v>2192</v>
      </c>
      <c r="B166" t="s">
        <v>680</v>
      </c>
      <c r="C166" t="s">
        <v>1995</v>
      </c>
      <c r="D166" t="s">
        <v>1996</v>
      </c>
      <c r="E166" t="s">
        <v>57</v>
      </c>
      <c r="F166" t="s">
        <v>57</v>
      </c>
      <c r="G166" t="str">
        <f>INDEX(Risk_Matrix!$B$2:$D$4,MATCH(E166,Risk_Matrix!$A$2:$A$4,0),MATCH(F166,Risk_Matrix!$B$1:$D$1,0))</f>
        <v>Low</v>
      </c>
      <c r="H166" s="1">
        <v>46216</v>
      </c>
      <c r="I166" t="s">
        <v>1987</v>
      </c>
      <c r="J166" t="s">
        <v>1988</v>
      </c>
      <c r="K166" t="s">
        <v>2036</v>
      </c>
      <c r="L166">
        <f>IF(G166="High",3,IF(G166="Medium",2,1))</f>
        <v>1</v>
      </c>
    </row>
    <row r="167" spans="1:12">
      <c r="A167" t="s">
        <v>2193</v>
      </c>
      <c r="B167" t="s">
        <v>680</v>
      </c>
      <c r="C167" t="s">
        <v>2000</v>
      </c>
      <c r="D167" t="s">
        <v>2020</v>
      </c>
      <c r="E167" t="s">
        <v>57</v>
      </c>
      <c r="F167" t="s">
        <v>1971</v>
      </c>
      <c r="G167" t="str">
        <f>INDEX(Risk_Matrix!$B$2:$D$4,MATCH(E167,Risk_Matrix!$A$2:$A$4,0),MATCH(F167,Risk_Matrix!$B$1:$D$1,0))</f>
        <v>Low</v>
      </c>
      <c r="H167" s="1">
        <v>46147</v>
      </c>
      <c r="I167" t="s">
        <v>1987</v>
      </c>
      <c r="J167" t="s">
        <v>1988</v>
      </c>
      <c r="K167" t="s">
        <v>1993</v>
      </c>
      <c r="L167">
        <f>IF(G167="High",3,IF(G167="Medium",2,1))</f>
        <v>1</v>
      </c>
    </row>
    <row r="168" spans="1:12">
      <c r="A168" t="s">
        <v>2194</v>
      </c>
      <c r="B168" t="s">
        <v>680</v>
      </c>
      <c r="C168" t="s">
        <v>2005</v>
      </c>
      <c r="D168" t="s">
        <v>2022</v>
      </c>
      <c r="E168" t="s">
        <v>1971</v>
      </c>
      <c r="F168" t="s">
        <v>1971</v>
      </c>
      <c r="G168" t="str">
        <f>INDEX(Risk_Matrix!$B$2:$D$4,MATCH(E168,Risk_Matrix!$A$2:$A$4,0),MATCH(F168,Risk_Matrix!$B$1:$D$1,0))</f>
        <v>Medium</v>
      </c>
      <c r="H168" s="1">
        <v>46214</v>
      </c>
      <c r="I168" t="s">
        <v>2015</v>
      </c>
      <c r="J168" t="s">
        <v>2016</v>
      </c>
      <c r="K168" t="s">
        <v>1993</v>
      </c>
      <c r="L168">
        <f>IF(G168="High",3,IF(G168="Medium",2,1))</f>
        <v>2</v>
      </c>
    </row>
    <row r="169" spans="1:12">
      <c r="A169" t="s">
        <v>2195</v>
      </c>
      <c r="B169" t="s">
        <v>680</v>
      </c>
      <c r="C169" t="s">
        <v>2008</v>
      </c>
      <c r="D169" t="s">
        <v>2009</v>
      </c>
      <c r="E169" t="s">
        <v>1971</v>
      </c>
      <c r="F169" t="s">
        <v>57</v>
      </c>
      <c r="G169" t="str">
        <f>INDEX(Risk_Matrix!$B$2:$D$4,MATCH(E169,Risk_Matrix!$A$2:$A$4,0),MATCH(F169,Risk_Matrix!$B$1:$D$1,0))</f>
        <v>Low</v>
      </c>
      <c r="H169" s="1">
        <v>46189</v>
      </c>
      <c r="I169" t="s">
        <v>1987</v>
      </c>
      <c r="J169" t="s">
        <v>1997</v>
      </c>
      <c r="K169" t="s">
        <v>2010</v>
      </c>
      <c r="L169">
        <f>IF(G169="High",3,IF(G169="Medium",2,1))</f>
        <v>1</v>
      </c>
    </row>
    <row r="170" spans="1:12">
      <c r="A170" t="s">
        <v>2196</v>
      </c>
      <c r="B170" t="s">
        <v>683</v>
      </c>
      <c r="C170" t="s">
        <v>1985</v>
      </c>
      <c r="D170" t="s">
        <v>2028</v>
      </c>
      <c r="E170" t="s">
        <v>47</v>
      </c>
      <c r="F170" t="s">
        <v>47</v>
      </c>
      <c r="G170" t="str">
        <f>INDEX(Risk_Matrix!$B$2:$D$4,MATCH(E170,Risk_Matrix!$A$2:$A$4,0),MATCH(F170,Risk_Matrix!$B$1:$D$1,0))</f>
        <v>High</v>
      </c>
      <c r="H170" s="1">
        <v>46159</v>
      </c>
      <c r="I170" t="s">
        <v>2025</v>
      </c>
      <c r="J170" t="s">
        <v>2035</v>
      </c>
      <c r="K170" t="s">
        <v>1989</v>
      </c>
      <c r="L170">
        <f>IF(G170="High",3,IF(G170="Medium",2,1))</f>
        <v>3</v>
      </c>
    </row>
    <row r="171" spans="1:12">
      <c r="A171" t="s">
        <v>2197</v>
      </c>
      <c r="B171" t="s">
        <v>683</v>
      </c>
      <c r="C171" t="s">
        <v>1991</v>
      </c>
      <c r="D171" t="s">
        <v>2014</v>
      </c>
      <c r="E171" t="s">
        <v>1971</v>
      </c>
      <c r="F171" t="s">
        <v>57</v>
      </c>
      <c r="G171" t="str">
        <f>INDEX(Risk_Matrix!$B$2:$D$4,MATCH(E171,Risk_Matrix!$A$2:$A$4,0),MATCH(F171,Risk_Matrix!$B$1:$D$1,0))</f>
        <v>Low</v>
      </c>
      <c r="H171" s="1">
        <v>46094</v>
      </c>
      <c r="I171" t="s">
        <v>1987</v>
      </c>
      <c r="J171" t="s">
        <v>1988</v>
      </c>
      <c r="K171" t="s">
        <v>2010</v>
      </c>
      <c r="L171">
        <f>IF(G171="High",3,IF(G171="Medium",2,1))</f>
        <v>1</v>
      </c>
    </row>
    <row r="172" spans="1:12">
      <c r="A172" t="s">
        <v>2198</v>
      </c>
      <c r="B172" t="s">
        <v>683</v>
      </c>
      <c r="C172" t="s">
        <v>1995</v>
      </c>
      <c r="D172" t="s">
        <v>1996</v>
      </c>
      <c r="E172" t="s">
        <v>57</v>
      </c>
      <c r="F172" t="s">
        <v>1971</v>
      </c>
      <c r="G172" t="str">
        <f>INDEX(Risk_Matrix!$B$2:$D$4,MATCH(E172,Risk_Matrix!$A$2:$A$4,0),MATCH(F172,Risk_Matrix!$B$1:$D$1,0))</f>
        <v>Low</v>
      </c>
      <c r="H172" s="1">
        <v>46119</v>
      </c>
      <c r="I172" t="s">
        <v>2002</v>
      </c>
      <c r="J172" t="s">
        <v>2029</v>
      </c>
      <c r="K172" t="s">
        <v>2036</v>
      </c>
      <c r="L172">
        <f>IF(G172="High",3,IF(G172="Medium",2,1))</f>
        <v>1</v>
      </c>
    </row>
    <row r="173" spans="1:12">
      <c r="A173" t="s">
        <v>2199</v>
      </c>
      <c r="B173" t="s">
        <v>683</v>
      </c>
      <c r="C173" t="s">
        <v>2000</v>
      </c>
      <c r="D173" t="s">
        <v>2020</v>
      </c>
      <c r="E173" t="s">
        <v>47</v>
      </c>
      <c r="F173" t="s">
        <v>47</v>
      </c>
      <c r="G173" t="str">
        <f>INDEX(Risk_Matrix!$B$2:$D$4,MATCH(E173,Risk_Matrix!$A$2:$A$4,0),MATCH(F173,Risk_Matrix!$B$1:$D$1,0))</f>
        <v>High</v>
      </c>
      <c r="H173" s="1">
        <v>46212</v>
      </c>
      <c r="I173" t="s">
        <v>2015</v>
      </c>
      <c r="J173" t="s">
        <v>2016</v>
      </c>
      <c r="K173" t="s">
        <v>1989</v>
      </c>
      <c r="L173">
        <f>IF(G173="High",3,IF(G173="Medium",2,1))</f>
        <v>3</v>
      </c>
    </row>
    <row r="174" spans="1:12">
      <c r="A174" t="s">
        <v>2200</v>
      </c>
      <c r="B174" t="s">
        <v>683</v>
      </c>
      <c r="C174" t="s">
        <v>2005</v>
      </c>
      <c r="D174" t="s">
        <v>2006</v>
      </c>
      <c r="E174" t="s">
        <v>57</v>
      </c>
      <c r="F174" t="s">
        <v>1971</v>
      </c>
      <c r="G174" t="str">
        <f>INDEX(Risk_Matrix!$B$2:$D$4,MATCH(E174,Risk_Matrix!$A$2:$A$4,0),MATCH(F174,Risk_Matrix!$B$1:$D$1,0))</f>
        <v>Low</v>
      </c>
      <c r="H174" s="1">
        <v>46083</v>
      </c>
      <c r="I174" t="s">
        <v>1987</v>
      </c>
      <c r="J174" t="s">
        <v>1997</v>
      </c>
      <c r="K174" t="s">
        <v>2036</v>
      </c>
      <c r="L174">
        <f>IF(G174="High",3,IF(G174="Medium",2,1))</f>
        <v>1</v>
      </c>
    </row>
    <row r="175" spans="1:12">
      <c r="A175" t="s">
        <v>2201</v>
      </c>
      <c r="B175" t="s">
        <v>683</v>
      </c>
      <c r="C175" t="s">
        <v>2008</v>
      </c>
      <c r="D175" t="s">
        <v>2009</v>
      </c>
      <c r="E175" t="s">
        <v>1971</v>
      </c>
      <c r="F175" t="s">
        <v>1971</v>
      </c>
      <c r="G175" t="str">
        <f>INDEX(Risk_Matrix!$B$2:$D$4,MATCH(E175,Risk_Matrix!$A$2:$A$4,0),MATCH(F175,Risk_Matrix!$B$1:$D$1,0))</f>
        <v>Medium</v>
      </c>
      <c r="H175" s="1">
        <v>46180</v>
      </c>
      <c r="I175" t="s">
        <v>1987</v>
      </c>
      <c r="J175" t="s">
        <v>1988</v>
      </c>
      <c r="K175" t="s">
        <v>2010</v>
      </c>
      <c r="L175">
        <f>IF(G175="High",3,IF(G175="Medium",2,1))</f>
        <v>2</v>
      </c>
    </row>
    <row r="176" spans="1:12">
      <c r="A176" t="s">
        <v>2202</v>
      </c>
      <c r="B176" t="s">
        <v>685</v>
      </c>
      <c r="C176" t="s">
        <v>1985</v>
      </c>
      <c r="D176" t="s">
        <v>2028</v>
      </c>
      <c r="E176" t="s">
        <v>47</v>
      </c>
      <c r="F176" t="s">
        <v>57</v>
      </c>
      <c r="G176" t="str">
        <f>INDEX(Risk_Matrix!$B$2:$D$4,MATCH(E176,Risk_Matrix!$A$2:$A$4,0),MATCH(F176,Risk_Matrix!$B$1:$D$1,0))</f>
        <v>Medium</v>
      </c>
      <c r="H176" s="1">
        <v>46204</v>
      </c>
      <c r="I176" t="s">
        <v>2015</v>
      </c>
      <c r="J176" t="s">
        <v>2032</v>
      </c>
      <c r="K176" t="s">
        <v>1998</v>
      </c>
      <c r="L176">
        <f>IF(G176="High",3,IF(G176="Medium",2,1))</f>
        <v>2</v>
      </c>
    </row>
    <row r="177" spans="1:12">
      <c r="A177" t="s">
        <v>2203</v>
      </c>
      <c r="B177" t="s">
        <v>685</v>
      </c>
      <c r="C177" t="s">
        <v>1991</v>
      </c>
      <c r="D177" t="s">
        <v>2064</v>
      </c>
      <c r="E177" t="s">
        <v>47</v>
      </c>
      <c r="F177" t="s">
        <v>57</v>
      </c>
      <c r="G177" t="str">
        <f>INDEX(Risk_Matrix!$B$2:$D$4,MATCH(E177,Risk_Matrix!$A$2:$A$4,0),MATCH(F177,Risk_Matrix!$B$1:$D$1,0))</f>
        <v>Medium</v>
      </c>
      <c r="H177" s="1">
        <v>46134</v>
      </c>
      <c r="I177" t="s">
        <v>2002</v>
      </c>
      <c r="J177" t="s">
        <v>2003</v>
      </c>
      <c r="K177" t="s">
        <v>1993</v>
      </c>
      <c r="L177">
        <f>IF(G177="High",3,IF(G177="Medium",2,1))</f>
        <v>2</v>
      </c>
    </row>
    <row r="178" spans="1:12">
      <c r="A178" t="s">
        <v>2204</v>
      </c>
      <c r="B178" t="s">
        <v>685</v>
      </c>
      <c r="C178" t="s">
        <v>1995</v>
      </c>
      <c r="D178" t="s">
        <v>2150</v>
      </c>
      <c r="E178" t="s">
        <v>47</v>
      </c>
      <c r="F178" t="s">
        <v>57</v>
      </c>
      <c r="G178" t="str">
        <f>INDEX(Risk_Matrix!$B$2:$D$4,MATCH(E178,Risk_Matrix!$A$2:$A$4,0),MATCH(F178,Risk_Matrix!$B$1:$D$1,0))</f>
        <v>Medium</v>
      </c>
      <c r="H178" s="1">
        <v>46206</v>
      </c>
      <c r="I178" t="s">
        <v>2025</v>
      </c>
      <c r="J178" t="s">
        <v>2035</v>
      </c>
      <c r="K178" t="s">
        <v>1998</v>
      </c>
      <c r="L178">
        <f>IF(G178="High",3,IF(G178="Medium",2,1))</f>
        <v>2</v>
      </c>
    </row>
    <row r="179" spans="1:12">
      <c r="A179" t="s">
        <v>2205</v>
      </c>
      <c r="B179" t="s">
        <v>685</v>
      </c>
      <c r="C179" t="s">
        <v>2000</v>
      </c>
      <c r="D179" t="s">
        <v>2020</v>
      </c>
      <c r="E179" t="s">
        <v>57</v>
      </c>
      <c r="F179" t="s">
        <v>57</v>
      </c>
      <c r="G179" t="str">
        <f>INDEX(Risk_Matrix!$B$2:$D$4,MATCH(E179,Risk_Matrix!$A$2:$A$4,0),MATCH(F179,Risk_Matrix!$B$1:$D$1,0))</f>
        <v>Low</v>
      </c>
      <c r="H179" s="1">
        <v>46166</v>
      </c>
      <c r="I179" t="s">
        <v>2002</v>
      </c>
      <c r="J179" t="s">
        <v>2029</v>
      </c>
      <c r="K179" t="s">
        <v>1993</v>
      </c>
      <c r="L179">
        <f>IF(G179="High",3,IF(G179="Medium",2,1))</f>
        <v>1</v>
      </c>
    </row>
    <row r="180" spans="1:12">
      <c r="A180" t="s">
        <v>2206</v>
      </c>
      <c r="B180" t="s">
        <v>685</v>
      </c>
      <c r="C180" t="s">
        <v>2005</v>
      </c>
      <c r="D180" t="s">
        <v>2022</v>
      </c>
      <c r="E180" t="s">
        <v>47</v>
      </c>
      <c r="F180" t="s">
        <v>57</v>
      </c>
      <c r="G180" t="str">
        <f>INDEX(Risk_Matrix!$B$2:$D$4,MATCH(E180,Risk_Matrix!$A$2:$A$4,0),MATCH(F180,Risk_Matrix!$B$1:$D$1,0))</f>
        <v>Medium</v>
      </c>
      <c r="H180" s="1">
        <v>46175</v>
      </c>
      <c r="I180" t="s">
        <v>2002</v>
      </c>
      <c r="J180" t="s">
        <v>2029</v>
      </c>
      <c r="K180" t="s">
        <v>1993</v>
      </c>
      <c r="L180">
        <f>IF(G180="High",3,IF(G180="Medium",2,1))</f>
        <v>2</v>
      </c>
    </row>
    <row r="181" spans="1:12">
      <c r="A181" t="s">
        <v>2207</v>
      </c>
      <c r="B181" t="s">
        <v>685</v>
      </c>
      <c r="C181" t="s">
        <v>2008</v>
      </c>
      <c r="D181" t="s">
        <v>2024</v>
      </c>
      <c r="E181" t="s">
        <v>1971</v>
      </c>
      <c r="F181" t="s">
        <v>47</v>
      </c>
      <c r="G181" t="str">
        <f>INDEX(Risk_Matrix!$B$2:$D$4,MATCH(E181,Risk_Matrix!$A$2:$A$4,0),MATCH(F181,Risk_Matrix!$B$1:$D$1,0))</f>
        <v>High</v>
      </c>
      <c r="H181" s="1">
        <v>46167</v>
      </c>
      <c r="I181" t="s">
        <v>2015</v>
      </c>
      <c r="J181" t="s">
        <v>2032</v>
      </c>
      <c r="K181" t="s">
        <v>2010</v>
      </c>
      <c r="L181">
        <f>IF(G181="High",3,IF(G181="Medium",2,1))</f>
        <v>3</v>
      </c>
    </row>
    <row r="182" spans="1:12">
      <c r="A182" t="s">
        <v>2208</v>
      </c>
      <c r="B182" t="s">
        <v>688</v>
      </c>
      <c r="C182" t="s">
        <v>1985</v>
      </c>
      <c r="D182" t="s">
        <v>2012</v>
      </c>
      <c r="E182" t="s">
        <v>1971</v>
      </c>
      <c r="F182" t="s">
        <v>57</v>
      </c>
      <c r="G182" t="str">
        <f>INDEX(Risk_Matrix!$B$2:$D$4,MATCH(E182,Risk_Matrix!$A$2:$A$4,0),MATCH(F182,Risk_Matrix!$B$1:$D$1,0))</f>
        <v>Low</v>
      </c>
      <c r="H182" s="1">
        <v>46173</v>
      </c>
      <c r="I182" t="s">
        <v>1987</v>
      </c>
      <c r="J182" t="s">
        <v>1997</v>
      </c>
      <c r="K182" t="s">
        <v>1989</v>
      </c>
      <c r="L182">
        <f>IF(G182="High",3,IF(G182="Medium",2,1))</f>
        <v>1</v>
      </c>
    </row>
    <row r="183" spans="1:12">
      <c r="A183" t="s">
        <v>2209</v>
      </c>
      <c r="B183" t="s">
        <v>688</v>
      </c>
      <c r="C183" t="s">
        <v>1991</v>
      </c>
      <c r="D183" t="s">
        <v>2064</v>
      </c>
      <c r="E183" t="s">
        <v>57</v>
      </c>
      <c r="F183" t="s">
        <v>47</v>
      </c>
      <c r="G183" t="str">
        <f>INDEX(Risk_Matrix!$B$2:$D$4,MATCH(E183,Risk_Matrix!$A$2:$A$4,0),MATCH(F183,Risk_Matrix!$B$1:$D$1,0))</f>
        <v>Medium</v>
      </c>
      <c r="H183" s="1">
        <v>46178</v>
      </c>
      <c r="I183" t="s">
        <v>2015</v>
      </c>
      <c r="J183" t="s">
        <v>2016</v>
      </c>
      <c r="K183" t="s">
        <v>1993</v>
      </c>
      <c r="L183">
        <f>IF(G183="High",3,IF(G183="Medium",2,1))</f>
        <v>2</v>
      </c>
    </row>
    <row r="184" spans="1:12">
      <c r="A184" t="s">
        <v>2210</v>
      </c>
      <c r="B184" t="s">
        <v>688</v>
      </c>
      <c r="C184" t="s">
        <v>1995</v>
      </c>
      <c r="D184" t="s">
        <v>2150</v>
      </c>
      <c r="E184" t="s">
        <v>1971</v>
      </c>
      <c r="F184" t="s">
        <v>1971</v>
      </c>
      <c r="G184" t="str">
        <f>INDEX(Risk_Matrix!$B$2:$D$4,MATCH(E184,Risk_Matrix!$A$2:$A$4,0),MATCH(F184,Risk_Matrix!$B$1:$D$1,0))</f>
        <v>Medium</v>
      </c>
      <c r="H184" s="1">
        <v>46196</v>
      </c>
      <c r="I184" t="s">
        <v>1987</v>
      </c>
      <c r="J184" t="s">
        <v>1997</v>
      </c>
      <c r="K184" t="s">
        <v>1998</v>
      </c>
      <c r="L184">
        <f>IF(G184="High",3,IF(G184="Medium",2,1))</f>
        <v>2</v>
      </c>
    </row>
    <row r="185" spans="1:12">
      <c r="A185" t="s">
        <v>2211</v>
      </c>
      <c r="B185" t="s">
        <v>688</v>
      </c>
      <c r="C185" t="s">
        <v>2000</v>
      </c>
      <c r="D185" t="s">
        <v>2045</v>
      </c>
      <c r="E185" t="s">
        <v>57</v>
      </c>
      <c r="F185" t="s">
        <v>57</v>
      </c>
      <c r="G185" t="str">
        <f>INDEX(Risk_Matrix!$B$2:$D$4,MATCH(E185,Risk_Matrix!$A$2:$A$4,0),MATCH(F185,Risk_Matrix!$B$1:$D$1,0))</f>
        <v>Low</v>
      </c>
      <c r="H185" s="1">
        <v>46159</v>
      </c>
      <c r="I185" t="s">
        <v>2025</v>
      </c>
      <c r="J185" t="s">
        <v>2035</v>
      </c>
      <c r="K185" t="s">
        <v>1989</v>
      </c>
      <c r="L185">
        <f>IF(G185="High",3,IF(G185="Medium",2,1))</f>
        <v>1</v>
      </c>
    </row>
    <row r="186" spans="1:12">
      <c r="A186" t="s">
        <v>2212</v>
      </c>
      <c r="B186" t="s">
        <v>688</v>
      </c>
      <c r="C186" t="s">
        <v>2005</v>
      </c>
      <c r="D186" t="s">
        <v>2039</v>
      </c>
      <c r="E186" t="s">
        <v>57</v>
      </c>
      <c r="F186" t="s">
        <v>1971</v>
      </c>
      <c r="G186" t="str">
        <f>INDEX(Risk_Matrix!$B$2:$D$4,MATCH(E186,Risk_Matrix!$A$2:$A$4,0),MATCH(F186,Risk_Matrix!$B$1:$D$1,0))</f>
        <v>Low</v>
      </c>
      <c r="H186" s="1">
        <v>46135</v>
      </c>
      <c r="I186" t="s">
        <v>2002</v>
      </c>
      <c r="J186" t="s">
        <v>2029</v>
      </c>
      <c r="K186" t="s">
        <v>1993</v>
      </c>
      <c r="L186">
        <f>IF(G186="High",3,IF(G186="Medium",2,1))</f>
        <v>1</v>
      </c>
    </row>
    <row r="187" spans="1:12">
      <c r="A187" t="s">
        <v>2213</v>
      </c>
      <c r="B187" t="s">
        <v>688</v>
      </c>
      <c r="C187" t="s">
        <v>2008</v>
      </c>
      <c r="D187" t="s">
        <v>2009</v>
      </c>
      <c r="E187" t="s">
        <v>1971</v>
      </c>
      <c r="F187" t="s">
        <v>57</v>
      </c>
      <c r="G187" t="str">
        <f>INDEX(Risk_Matrix!$B$2:$D$4,MATCH(E187,Risk_Matrix!$A$2:$A$4,0),MATCH(F187,Risk_Matrix!$B$1:$D$1,0))</f>
        <v>Low</v>
      </c>
      <c r="H187" s="1">
        <v>46069</v>
      </c>
      <c r="I187" t="s">
        <v>2002</v>
      </c>
      <c r="J187" t="s">
        <v>2029</v>
      </c>
      <c r="K187" t="s">
        <v>2010</v>
      </c>
      <c r="L187">
        <f>IF(G187="High",3,IF(G187="Medium",2,1))</f>
        <v>1</v>
      </c>
    </row>
    <row r="188" spans="1:12">
      <c r="A188" t="s">
        <v>2214</v>
      </c>
      <c r="B188" t="s">
        <v>690</v>
      </c>
      <c r="C188" t="s">
        <v>1985</v>
      </c>
      <c r="D188" t="s">
        <v>2062</v>
      </c>
      <c r="E188" t="s">
        <v>57</v>
      </c>
      <c r="F188" t="s">
        <v>1971</v>
      </c>
      <c r="G188" t="str">
        <f>INDEX(Risk_Matrix!$B$2:$D$4,MATCH(E188,Risk_Matrix!$A$2:$A$4,0),MATCH(F188,Risk_Matrix!$B$1:$D$1,0))</f>
        <v>Low</v>
      </c>
      <c r="H188" s="1">
        <v>46144</v>
      </c>
      <c r="I188" t="s">
        <v>2025</v>
      </c>
      <c r="J188" t="s">
        <v>2026</v>
      </c>
      <c r="K188" t="s">
        <v>1989</v>
      </c>
      <c r="L188">
        <f>IF(G188="High",3,IF(G188="Medium",2,1))</f>
        <v>1</v>
      </c>
    </row>
    <row r="189" spans="1:12">
      <c r="A189" t="s">
        <v>2215</v>
      </c>
      <c r="B189" t="s">
        <v>690</v>
      </c>
      <c r="C189" t="s">
        <v>1991</v>
      </c>
      <c r="D189" t="s">
        <v>2064</v>
      </c>
      <c r="E189" t="s">
        <v>57</v>
      </c>
      <c r="F189" t="s">
        <v>57</v>
      </c>
      <c r="G189" t="str">
        <f>INDEX(Risk_Matrix!$B$2:$D$4,MATCH(E189,Risk_Matrix!$A$2:$A$4,0),MATCH(F189,Risk_Matrix!$B$1:$D$1,0))</f>
        <v>Low</v>
      </c>
      <c r="H189" s="1">
        <v>46154</v>
      </c>
      <c r="I189" t="s">
        <v>2025</v>
      </c>
      <c r="J189" t="s">
        <v>2026</v>
      </c>
      <c r="K189" t="s">
        <v>2010</v>
      </c>
      <c r="L189">
        <f>IF(G189="High",3,IF(G189="Medium",2,1))</f>
        <v>1</v>
      </c>
    </row>
    <row r="190" spans="1:12">
      <c r="A190" t="s">
        <v>2216</v>
      </c>
      <c r="B190" t="s">
        <v>690</v>
      </c>
      <c r="C190" t="s">
        <v>1995</v>
      </c>
      <c r="D190" t="s">
        <v>2150</v>
      </c>
      <c r="E190" t="s">
        <v>1971</v>
      </c>
      <c r="F190" t="s">
        <v>57</v>
      </c>
      <c r="G190" t="str">
        <f>INDEX(Risk_Matrix!$B$2:$D$4,MATCH(E190,Risk_Matrix!$A$2:$A$4,0),MATCH(F190,Risk_Matrix!$B$1:$D$1,0))</f>
        <v>Low</v>
      </c>
      <c r="H190" s="1">
        <v>46179</v>
      </c>
      <c r="I190" t="s">
        <v>2025</v>
      </c>
      <c r="J190" t="s">
        <v>2026</v>
      </c>
      <c r="K190" t="s">
        <v>1998</v>
      </c>
      <c r="L190">
        <f>IF(G190="High",3,IF(G190="Medium",2,1))</f>
        <v>1</v>
      </c>
    </row>
    <row r="191" spans="1:12">
      <c r="A191" t="s">
        <v>2217</v>
      </c>
      <c r="B191" t="s">
        <v>690</v>
      </c>
      <c r="C191" t="s">
        <v>2000</v>
      </c>
      <c r="D191" t="s">
        <v>2020</v>
      </c>
      <c r="E191" t="s">
        <v>1971</v>
      </c>
      <c r="F191" t="s">
        <v>57</v>
      </c>
      <c r="G191" t="str">
        <f>INDEX(Risk_Matrix!$B$2:$D$4,MATCH(E191,Risk_Matrix!$A$2:$A$4,0),MATCH(F191,Risk_Matrix!$B$1:$D$1,0))</f>
        <v>Low</v>
      </c>
      <c r="H191" s="1">
        <v>46186</v>
      </c>
      <c r="I191" t="s">
        <v>2025</v>
      </c>
      <c r="J191" t="s">
        <v>2026</v>
      </c>
      <c r="K191" t="s">
        <v>1989</v>
      </c>
      <c r="L191">
        <f>IF(G191="High",3,IF(G191="Medium",2,1))</f>
        <v>1</v>
      </c>
    </row>
    <row r="192" spans="1:12">
      <c r="A192" t="s">
        <v>2218</v>
      </c>
      <c r="B192" t="s">
        <v>690</v>
      </c>
      <c r="C192" t="s">
        <v>2005</v>
      </c>
      <c r="D192" t="s">
        <v>2039</v>
      </c>
      <c r="E192" t="s">
        <v>47</v>
      </c>
      <c r="F192" t="s">
        <v>47</v>
      </c>
      <c r="G192" t="str">
        <f>INDEX(Risk_Matrix!$B$2:$D$4,MATCH(E192,Risk_Matrix!$A$2:$A$4,0),MATCH(F192,Risk_Matrix!$B$1:$D$1,0))</f>
        <v>High</v>
      </c>
      <c r="H192" s="1">
        <v>46110</v>
      </c>
      <c r="I192" t="s">
        <v>1987</v>
      </c>
      <c r="J192" t="s">
        <v>1997</v>
      </c>
      <c r="K192" t="s">
        <v>1993</v>
      </c>
      <c r="L192">
        <f>IF(G192="High",3,IF(G192="Medium",2,1))</f>
        <v>3</v>
      </c>
    </row>
    <row r="193" spans="1:12">
      <c r="A193" t="s">
        <v>2219</v>
      </c>
      <c r="B193" t="s">
        <v>690</v>
      </c>
      <c r="C193" t="s">
        <v>2008</v>
      </c>
      <c r="D193" t="s">
        <v>2054</v>
      </c>
      <c r="E193" t="s">
        <v>57</v>
      </c>
      <c r="F193" t="s">
        <v>57</v>
      </c>
      <c r="G193" t="str">
        <f>INDEX(Risk_Matrix!$B$2:$D$4,MATCH(E193,Risk_Matrix!$A$2:$A$4,0),MATCH(F193,Risk_Matrix!$B$1:$D$1,0))</f>
        <v>Low</v>
      </c>
      <c r="H193" s="1">
        <v>46221</v>
      </c>
      <c r="I193" t="s">
        <v>2002</v>
      </c>
      <c r="J193" t="s">
        <v>2003</v>
      </c>
      <c r="K193" t="s">
        <v>2010</v>
      </c>
      <c r="L193">
        <f>IF(G193="High",3,IF(G193="Medium",2,1))</f>
        <v>1</v>
      </c>
    </row>
    <row r="194" spans="1:12">
      <c r="A194" t="s">
        <v>2220</v>
      </c>
      <c r="B194" t="s">
        <v>692</v>
      </c>
      <c r="C194" t="s">
        <v>1985</v>
      </c>
      <c r="D194" t="s">
        <v>2062</v>
      </c>
      <c r="E194" t="s">
        <v>57</v>
      </c>
      <c r="F194" t="s">
        <v>57</v>
      </c>
      <c r="G194" t="str">
        <f>INDEX(Risk_Matrix!$B$2:$D$4,MATCH(E194,Risk_Matrix!$A$2:$A$4,0),MATCH(F194,Risk_Matrix!$B$1:$D$1,0))</f>
        <v>Low</v>
      </c>
      <c r="H194" s="1">
        <v>46118</v>
      </c>
      <c r="I194" t="s">
        <v>1987</v>
      </c>
      <c r="J194" t="s">
        <v>1988</v>
      </c>
      <c r="K194" t="s">
        <v>1989</v>
      </c>
      <c r="L194">
        <f>IF(G194="High",3,IF(G194="Medium",2,1))</f>
        <v>1</v>
      </c>
    </row>
    <row r="195" spans="1:12">
      <c r="A195" t="s">
        <v>2221</v>
      </c>
      <c r="B195" t="s">
        <v>692</v>
      </c>
      <c r="C195" t="s">
        <v>1991</v>
      </c>
      <c r="D195" t="s">
        <v>1992</v>
      </c>
      <c r="E195" t="s">
        <v>57</v>
      </c>
      <c r="F195" t="s">
        <v>47</v>
      </c>
      <c r="G195" t="str">
        <f>INDEX(Risk_Matrix!$B$2:$D$4,MATCH(E195,Risk_Matrix!$A$2:$A$4,0),MATCH(F195,Risk_Matrix!$B$1:$D$1,0))</f>
        <v>Medium</v>
      </c>
      <c r="H195" s="1">
        <v>46236</v>
      </c>
      <c r="I195" t="s">
        <v>1987</v>
      </c>
      <c r="J195" t="s">
        <v>1988</v>
      </c>
      <c r="K195" t="s">
        <v>1993</v>
      </c>
      <c r="L195">
        <f>IF(G195="High",3,IF(G195="Medium",2,1))</f>
        <v>2</v>
      </c>
    </row>
    <row r="196" spans="1:12">
      <c r="A196" t="s">
        <v>2222</v>
      </c>
      <c r="B196" t="s">
        <v>692</v>
      </c>
      <c r="C196" t="s">
        <v>1995</v>
      </c>
      <c r="D196" t="s">
        <v>2034</v>
      </c>
      <c r="E196" t="s">
        <v>1971</v>
      </c>
      <c r="F196" t="s">
        <v>1971</v>
      </c>
      <c r="G196" t="str">
        <f>INDEX(Risk_Matrix!$B$2:$D$4,MATCH(E196,Risk_Matrix!$A$2:$A$4,0),MATCH(F196,Risk_Matrix!$B$1:$D$1,0))</f>
        <v>Medium</v>
      </c>
      <c r="H196" s="1">
        <v>46191</v>
      </c>
      <c r="I196" t="s">
        <v>2025</v>
      </c>
      <c r="J196" t="s">
        <v>2035</v>
      </c>
      <c r="K196" t="s">
        <v>1998</v>
      </c>
      <c r="L196">
        <f>IF(G196="High",3,IF(G196="Medium",2,1))</f>
        <v>2</v>
      </c>
    </row>
    <row r="197" spans="1:12">
      <c r="A197" t="s">
        <v>2223</v>
      </c>
      <c r="B197" t="s">
        <v>692</v>
      </c>
      <c r="C197" t="s">
        <v>2000</v>
      </c>
      <c r="D197" t="s">
        <v>2045</v>
      </c>
      <c r="E197" t="s">
        <v>47</v>
      </c>
      <c r="F197" t="s">
        <v>1971</v>
      </c>
      <c r="G197" t="str">
        <f>INDEX(Risk_Matrix!$B$2:$D$4,MATCH(E197,Risk_Matrix!$A$2:$A$4,0),MATCH(F197,Risk_Matrix!$B$1:$D$1,0))</f>
        <v>High</v>
      </c>
      <c r="H197" s="1">
        <v>46218</v>
      </c>
      <c r="I197" t="s">
        <v>2015</v>
      </c>
      <c r="J197" t="s">
        <v>2032</v>
      </c>
      <c r="K197" t="s">
        <v>1989</v>
      </c>
      <c r="L197">
        <f>IF(G197="High",3,IF(G197="Medium",2,1))</f>
        <v>3</v>
      </c>
    </row>
    <row r="198" spans="1:12">
      <c r="A198" t="s">
        <v>2224</v>
      </c>
      <c r="B198" t="s">
        <v>692</v>
      </c>
      <c r="C198" t="s">
        <v>2005</v>
      </c>
      <c r="D198" t="s">
        <v>2039</v>
      </c>
      <c r="E198" t="s">
        <v>1971</v>
      </c>
      <c r="F198" t="s">
        <v>57</v>
      </c>
      <c r="G198" t="str">
        <f>INDEX(Risk_Matrix!$B$2:$D$4,MATCH(E198,Risk_Matrix!$A$2:$A$4,0),MATCH(F198,Risk_Matrix!$B$1:$D$1,0))</f>
        <v>Low</v>
      </c>
      <c r="H198" s="1">
        <v>46089</v>
      </c>
      <c r="I198" t="s">
        <v>2002</v>
      </c>
      <c r="J198" t="s">
        <v>2003</v>
      </c>
      <c r="K198" t="s">
        <v>1993</v>
      </c>
      <c r="L198">
        <f>IF(G198="High",3,IF(G198="Medium",2,1))</f>
        <v>1</v>
      </c>
    </row>
    <row r="199" spans="1:12">
      <c r="A199" t="s">
        <v>2225</v>
      </c>
      <c r="B199" t="s">
        <v>692</v>
      </c>
      <c r="C199" t="s">
        <v>2008</v>
      </c>
      <c r="D199" t="s">
        <v>2024</v>
      </c>
      <c r="E199" t="s">
        <v>57</v>
      </c>
      <c r="F199" t="s">
        <v>57</v>
      </c>
      <c r="G199" t="str">
        <f>INDEX(Risk_Matrix!$B$2:$D$4,MATCH(E199,Risk_Matrix!$A$2:$A$4,0),MATCH(F199,Risk_Matrix!$B$1:$D$1,0))</f>
        <v>Low</v>
      </c>
      <c r="H199" s="1">
        <v>46114</v>
      </c>
      <c r="I199" t="s">
        <v>2025</v>
      </c>
      <c r="J199" t="s">
        <v>2026</v>
      </c>
      <c r="K199" t="s">
        <v>2010</v>
      </c>
      <c r="L199">
        <f>IF(G199="High",3,IF(G199="Medium",2,1))</f>
        <v>1</v>
      </c>
    </row>
    <row r="200" spans="1:12">
      <c r="A200" t="s">
        <v>2226</v>
      </c>
      <c r="B200" t="s">
        <v>694</v>
      </c>
      <c r="C200" t="s">
        <v>1985</v>
      </c>
      <c r="D200" t="s">
        <v>2028</v>
      </c>
      <c r="E200" t="s">
        <v>47</v>
      </c>
      <c r="F200" t="s">
        <v>47</v>
      </c>
      <c r="G200" t="str">
        <f>INDEX(Risk_Matrix!$B$2:$D$4,MATCH(E200,Risk_Matrix!$A$2:$A$4,0),MATCH(F200,Risk_Matrix!$B$1:$D$1,0))</f>
        <v>High</v>
      </c>
      <c r="H200" s="1">
        <v>46151</v>
      </c>
      <c r="I200" t="s">
        <v>2015</v>
      </c>
      <c r="J200" t="s">
        <v>2016</v>
      </c>
      <c r="K200" t="s">
        <v>1989</v>
      </c>
      <c r="L200">
        <f>IF(G200="High",3,IF(G200="Medium",2,1))</f>
        <v>3</v>
      </c>
    </row>
    <row r="201" spans="1:12">
      <c r="A201" t="s">
        <v>2227</v>
      </c>
      <c r="B201" t="s">
        <v>694</v>
      </c>
      <c r="C201" t="s">
        <v>1991</v>
      </c>
      <c r="D201" t="s">
        <v>1992</v>
      </c>
      <c r="E201" t="s">
        <v>47</v>
      </c>
      <c r="F201" t="s">
        <v>47</v>
      </c>
      <c r="G201" t="str">
        <f>INDEX(Risk_Matrix!$B$2:$D$4,MATCH(E201,Risk_Matrix!$A$2:$A$4,0),MATCH(F201,Risk_Matrix!$B$1:$D$1,0))</f>
        <v>High</v>
      </c>
      <c r="H201" s="1">
        <v>46063</v>
      </c>
      <c r="I201" t="s">
        <v>2025</v>
      </c>
      <c r="J201" t="s">
        <v>2026</v>
      </c>
      <c r="K201" t="s">
        <v>2010</v>
      </c>
      <c r="L201">
        <f>IF(G201="High",3,IF(G201="Medium",2,1))</f>
        <v>3</v>
      </c>
    </row>
    <row r="202" spans="1:12">
      <c r="A202" t="s">
        <v>2228</v>
      </c>
      <c r="B202" t="s">
        <v>694</v>
      </c>
      <c r="C202" t="s">
        <v>1995</v>
      </c>
      <c r="D202" t="s">
        <v>2150</v>
      </c>
      <c r="E202" t="s">
        <v>1971</v>
      </c>
      <c r="F202" t="s">
        <v>1971</v>
      </c>
      <c r="G202" t="str">
        <f>INDEX(Risk_Matrix!$B$2:$D$4,MATCH(E202,Risk_Matrix!$A$2:$A$4,0),MATCH(F202,Risk_Matrix!$B$1:$D$1,0))</f>
        <v>Medium</v>
      </c>
      <c r="H202" s="1">
        <v>46128</v>
      </c>
      <c r="I202" t="s">
        <v>1987</v>
      </c>
      <c r="J202" t="s">
        <v>1988</v>
      </c>
      <c r="K202" t="s">
        <v>2036</v>
      </c>
      <c r="L202">
        <f>IF(G202="High",3,IF(G202="Medium",2,1))</f>
        <v>2</v>
      </c>
    </row>
    <row r="203" spans="1:12">
      <c r="A203" t="s">
        <v>2229</v>
      </c>
      <c r="B203" t="s">
        <v>694</v>
      </c>
      <c r="C203" t="s">
        <v>2000</v>
      </c>
      <c r="D203" t="s">
        <v>2020</v>
      </c>
      <c r="E203" t="s">
        <v>1971</v>
      </c>
      <c r="F203" t="s">
        <v>1971</v>
      </c>
      <c r="G203" t="str">
        <f>INDEX(Risk_Matrix!$B$2:$D$4,MATCH(E203,Risk_Matrix!$A$2:$A$4,0),MATCH(F203,Risk_Matrix!$B$1:$D$1,0))</f>
        <v>Medium</v>
      </c>
      <c r="H203" s="1">
        <v>46117</v>
      </c>
      <c r="I203" t="s">
        <v>2025</v>
      </c>
      <c r="J203" t="s">
        <v>2026</v>
      </c>
      <c r="K203" t="s">
        <v>1993</v>
      </c>
      <c r="L203">
        <f>IF(G203="High",3,IF(G203="Medium",2,1))</f>
        <v>2</v>
      </c>
    </row>
    <row r="204" spans="1:12">
      <c r="A204" t="s">
        <v>2230</v>
      </c>
      <c r="B204" t="s">
        <v>694</v>
      </c>
      <c r="C204" t="s">
        <v>2005</v>
      </c>
      <c r="D204" t="s">
        <v>2006</v>
      </c>
      <c r="E204" t="s">
        <v>57</v>
      </c>
      <c r="F204" t="s">
        <v>57</v>
      </c>
      <c r="G204" t="str">
        <f>INDEX(Risk_Matrix!$B$2:$D$4,MATCH(E204,Risk_Matrix!$A$2:$A$4,0),MATCH(F204,Risk_Matrix!$B$1:$D$1,0))</f>
        <v>Low</v>
      </c>
      <c r="H204" s="1">
        <v>46237</v>
      </c>
      <c r="I204" t="s">
        <v>2025</v>
      </c>
      <c r="J204" t="s">
        <v>2035</v>
      </c>
      <c r="K204" t="s">
        <v>1993</v>
      </c>
      <c r="L204">
        <f>IF(G204="High",3,IF(G204="Medium",2,1))</f>
        <v>1</v>
      </c>
    </row>
    <row r="205" spans="1:12">
      <c r="A205" t="s">
        <v>2231</v>
      </c>
      <c r="B205" t="s">
        <v>694</v>
      </c>
      <c r="C205" t="s">
        <v>2008</v>
      </c>
      <c r="D205" t="s">
        <v>2024</v>
      </c>
      <c r="E205" t="s">
        <v>47</v>
      </c>
      <c r="F205" t="s">
        <v>47</v>
      </c>
      <c r="G205" t="str">
        <f>INDEX(Risk_Matrix!$B$2:$D$4,MATCH(E205,Risk_Matrix!$A$2:$A$4,0),MATCH(F205,Risk_Matrix!$B$1:$D$1,0))</f>
        <v>High</v>
      </c>
      <c r="H205" s="1">
        <v>46067</v>
      </c>
      <c r="I205" t="s">
        <v>2025</v>
      </c>
      <c r="J205" t="s">
        <v>2026</v>
      </c>
      <c r="K205" t="s">
        <v>2010</v>
      </c>
      <c r="L205">
        <f>IF(G205="High",3,IF(G205="Medium",2,1))</f>
        <v>3</v>
      </c>
    </row>
    <row r="206" spans="1:12">
      <c r="A206" t="s">
        <v>2232</v>
      </c>
      <c r="B206" t="s">
        <v>696</v>
      </c>
      <c r="C206" t="s">
        <v>1985</v>
      </c>
      <c r="D206" t="s">
        <v>2062</v>
      </c>
      <c r="E206" t="s">
        <v>47</v>
      </c>
      <c r="F206" t="s">
        <v>47</v>
      </c>
      <c r="G206" t="str">
        <f>INDEX(Risk_Matrix!$B$2:$D$4,MATCH(E206,Risk_Matrix!$A$2:$A$4,0),MATCH(F206,Risk_Matrix!$B$1:$D$1,0))</f>
        <v>High</v>
      </c>
      <c r="H206" s="1">
        <v>46121</v>
      </c>
      <c r="I206" t="s">
        <v>2025</v>
      </c>
      <c r="J206" t="s">
        <v>2035</v>
      </c>
      <c r="K206" t="s">
        <v>1989</v>
      </c>
      <c r="L206">
        <f>IF(G206="High",3,IF(G206="Medium",2,1))</f>
        <v>3</v>
      </c>
    </row>
    <row r="207" spans="1:12">
      <c r="A207" t="s">
        <v>2233</v>
      </c>
      <c r="B207" t="s">
        <v>696</v>
      </c>
      <c r="C207" t="s">
        <v>1991</v>
      </c>
      <c r="D207" t="s">
        <v>2014</v>
      </c>
      <c r="E207" t="s">
        <v>1971</v>
      </c>
      <c r="F207" t="s">
        <v>1971</v>
      </c>
      <c r="G207" t="str">
        <f>INDEX(Risk_Matrix!$B$2:$D$4,MATCH(E207,Risk_Matrix!$A$2:$A$4,0),MATCH(F207,Risk_Matrix!$B$1:$D$1,0))</f>
        <v>Medium</v>
      </c>
      <c r="H207" s="1">
        <v>46169</v>
      </c>
      <c r="I207" t="s">
        <v>2015</v>
      </c>
      <c r="J207" t="s">
        <v>2032</v>
      </c>
      <c r="K207" t="s">
        <v>2010</v>
      </c>
      <c r="L207">
        <f>IF(G207="High",3,IF(G207="Medium",2,1))</f>
        <v>2</v>
      </c>
    </row>
    <row r="208" spans="1:12">
      <c r="A208" t="s">
        <v>2234</v>
      </c>
      <c r="B208" t="s">
        <v>696</v>
      </c>
      <c r="C208" t="s">
        <v>1995</v>
      </c>
      <c r="D208" t="s">
        <v>2034</v>
      </c>
      <c r="E208" t="s">
        <v>47</v>
      </c>
      <c r="F208" t="s">
        <v>47</v>
      </c>
      <c r="G208" t="str">
        <f>INDEX(Risk_Matrix!$B$2:$D$4,MATCH(E208,Risk_Matrix!$A$2:$A$4,0),MATCH(F208,Risk_Matrix!$B$1:$D$1,0))</f>
        <v>High</v>
      </c>
      <c r="H208" s="1">
        <v>46161</v>
      </c>
      <c r="I208" t="s">
        <v>2015</v>
      </c>
      <c r="J208" t="s">
        <v>2016</v>
      </c>
      <c r="K208" t="s">
        <v>2036</v>
      </c>
      <c r="L208">
        <f>IF(G208="High",3,IF(G208="Medium",2,1))</f>
        <v>3</v>
      </c>
    </row>
    <row r="209" spans="1:12">
      <c r="A209" t="s">
        <v>2235</v>
      </c>
      <c r="B209" t="s">
        <v>696</v>
      </c>
      <c r="C209" t="s">
        <v>2000</v>
      </c>
      <c r="D209" t="s">
        <v>2045</v>
      </c>
      <c r="E209" t="s">
        <v>47</v>
      </c>
      <c r="F209" t="s">
        <v>1971</v>
      </c>
      <c r="G209" t="str">
        <f>INDEX(Risk_Matrix!$B$2:$D$4,MATCH(E209,Risk_Matrix!$A$2:$A$4,0),MATCH(F209,Risk_Matrix!$B$1:$D$1,0))</f>
        <v>High</v>
      </c>
      <c r="H209" s="1">
        <v>46167</v>
      </c>
      <c r="I209" t="s">
        <v>2015</v>
      </c>
      <c r="J209" t="s">
        <v>2016</v>
      </c>
      <c r="K209" t="s">
        <v>1989</v>
      </c>
      <c r="L209">
        <f>IF(G209="High",3,IF(G209="Medium",2,1))</f>
        <v>3</v>
      </c>
    </row>
    <row r="210" spans="1:12">
      <c r="A210" t="s">
        <v>2236</v>
      </c>
      <c r="B210" t="s">
        <v>696</v>
      </c>
      <c r="C210" t="s">
        <v>2005</v>
      </c>
      <c r="D210" t="s">
        <v>2022</v>
      </c>
      <c r="E210" t="s">
        <v>1971</v>
      </c>
      <c r="F210" t="s">
        <v>1971</v>
      </c>
      <c r="G210" t="str">
        <f>INDEX(Risk_Matrix!$B$2:$D$4,MATCH(E210,Risk_Matrix!$A$2:$A$4,0),MATCH(F210,Risk_Matrix!$B$1:$D$1,0))</f>
        <v>Medium</v>
      </c>
      <c r="H210" s="1">
        <v>46161</v>
      </c>
      <c r="I210" t="s">
        <v>2015</v>
      </c>
      <c r="J210" t="s">
        <v>2032</v>
      </c>
      <c r="K210" t="s">
        <v>1993</v>
      </c>
      <c r="L210">
        <f>IF(G210="High",3,IF(G210="Medium",2,1))</f>
        <v>2</v>
      </c>
    </row>
    <row r="211" spans="1:12">
      <c r="A211" t="s">
        <v>2237</v>
      </c>
      <c r="B211" t="s">
        <v>696</v>
      </c>
      <c r="C211" t="s">
        <v>2008</v>
      </c>
      <c r="D211" t="s">
        <v>2024</v>
      </c>
      <c r="E211" t="s">
        <v>57</v>
      </c>
      <c r="F211" t="s">
        <v>57</v>
      </c>
      <c r="G211" t="str">
        <f>INDEX(Risk_Matrix!$B$2:$D$4,MATCH(E211,Risk_Matrix!$A$2:$A$4,0),MATCH(F211,Risk_Matrix!$B$1:$D$1,0))</f>
        <v>Low</v>
      </c>
      <c r="H211" s="1">
        <v>46064</v>
      </c>
      <c r="I211" t="s">
        <v>2002</v>
      </c>
      <c r="J211" t="s">
        <v>2029</v>
      </c>
      <c r="K211" t="s">
        <v>2010</v>
      </c>
      <c r="L211">
        <f>IF(G211="High",3,IF(G211="Medium",2,1))</f>
        <v>1</v>
      </c>
    </row>
    <row r="212" spans="1:12">
      <c r="A212" t="s">
        <v>2238</v>
      </c>
      <c r="B212" t="s">
        <v>698</v>
      </c>
      <c r="C212" t="s">
        <v>1985</v>
      </c>
      <c r="D212" t="s">
        <v>1986</v>
      </c>
      <c r="E212" t="s">
        <v>57</v>
      </c>
      <c r="F212" t="s">
        <v>1971</v>
      </c>
      <c r="G212" t="str">
        <f>INDEX(Risk_Matrix!$B$2:$D$4,MATCH(E212,Risk_Matrix!$A$2:$A$4,0),MATCH(F212,Risk_Matrix!$B$1:$D$1,0))</f>
        <v>Low</v>
      </c>
      <c r="H212" s="1">
        <v>46141</v>
      </c>
      <c r="I212" t="s">
        <v>2025</v>
      </c>
      <c r="J212" t="s">
        <v>2035</v>
      </c>
      <c r="K212" t="s">
        <v>1998</v>
      </c>
      <c r="L212">
        <f>IF(G212="High",3,IF(G212="Medium",2,1))</f>
        <v>1</v>
      </c>
    </row>
    <row r="213" spans="1:12">
      <c r="A213" t="s">
        <v>2239</v>
      </c>
      <c r="B213" t="s">
        <v>698</v>
      </c>
      <c r="C213" t="s">
        <v>1991</v>
      </c>
      <c r="D213" t="s">
        <v>1992</v>
      </c>
      <c r="E213" t="s">
        <v>57</v>
      </c>
      <c r="F213" t="s">
        <v>57</v>
      </c>
      <c r="G213" t="str">
        <f>INDEX(Risk_Matrix!$B$2:$D$4,MATCH(E213,Risk_Matrix!$A$2:$A$4,0),MATCH(F213,Risk_Matrix!$B$1:$D$1,0))</f>
        <v>Low</v>
      </c>
      <c r="H213" s="1">
        <v>46173</v>
      </c>
      <c r="I213" t="s">
        <v>2015</v>
      </c>
      <c r="J213" t="s">
        <v>2016</v>
      </c>
      <c r="K213" t="s">
        <v>1993</v>
      </c>
      <c r="L213">
        <f>IF(G213="High",3,IF(G213="Medium",2,1))</f>
        <v>1</v>
      </c>
    </row>
    <row r="214" spans="1:12">
      <c r="A214" t="s">
        <v>2240</v>
      </c>
      <c r="B214" t="s">
        <v>698</v>
      </c>
      <c r="C214" t="s">
        <v>1995</v>
      </c>
      <c r="D214" t="s">
        <v>2034</v>
      </c>
      <c r="E214" t="s">
        <v>47</v>
      </c>
      <c r="F214" t="s">
        <v>1971</v>
      </c>
      <c r="G214" t="str">
        <f>INDEX(Risk_Matrix!$B$2:$D$4,MATCH(E214,Risk_Matrix!$A$2:$A$4,0),MATCH(F214,Risk_Matrix!$B$1:$D$1,0))</f>
        <v>High</v>
      </c>
      <c r="H214" s="1">
        <v>46201</v>
      </c>
      <c r="I214" t="s">
        <v>2015</v>
      </c>
      <c r="J214" t="s">
        <v>2032</v>
      </c>
      <c r="K214" t="s">
        <v>1998</v>
      </c>
      <c r="L214">
        <f>IF(G214="High",3,IF(G214="Medium",2,1))</f>
        <v>3</v>
      </c>
    </row>
    <row r="215" spans="1:12">
      <c r="A215" t="s">
        <v>2241</v>
      </c>
      <c r="B215" t="s">
        <v>698</v>
      </c>
      <c r="C215" t="s">
        <v>2000</v>
      </c>
      <c r="D215" t="s">
        <v>2020</v>
      </c>
      <c r="E215" t="s">
        <v>47</v>
      </c>
      <c r="F215" t="s">
        <v>57</v>
      </c>
      <c r="G215" t="str">
        <f>INDEX(Risk_Matrix!$B$2:$D$4,MATCH(E215,Risk_Matrix!$A$2:$A$4,0),MATCH(F215,Risk_Matrix!$B$1:$D$1,0))</f>
        <v>Medium</v>
      </c>
      <c r="H215" s="1">
        <v>46151</v>
      </c>
      <c r="I215" t="s">
        <v>1987</v>
      </c>
      <c r="J215" t="s">
        <v>1997</v>
      </c>
      <c r="K215" t="s">
        <v>1993</v>
      </c>
      <c r="L215">
        <f>IF(G215="High",3,IF(G215="Medium",2,1))</f>
        <v>2</v>
      </c>
    </row>
    <row r="216" spans="1:12">
      <c r="A216" t="s">
        <v>2242</v>
      </c>
      <c r="B216" t="s">
        <v>698</v>
      </c>
      <c r="C216" t="s">
        <v>2005</v>
      </c>
      <c r="D216" t="s">
        <v>2022</v>
      </c>
      <c r="E216" t="s">
        <v>57</v>
      </c>
      <c r="F216" t="s">
        <v>1971</v>
      </c>
      <c r="G216" t="str">
        <f>INDEX(Risk_Matrix!$B$2:$D$4,MATCH(E216,Risk_Matrix!$A$2:$A$4,0),MATCH(F216,Risk_Matrix!$B$1:$D$1,0))</f>
        <v>Low</v>
      </c>
      <c r="H216" s="1">
        <v>46137</v>
      </c>
      <c r="I216" t="s">
        <v>1987</v>
      </c>
      <c r="J216" t="s">
        <v>1988</v>
      </c>
      <c r="K216" t="s">
        <v>2036</v>
      </c>
      <c r="L216">
        <f>IF(G216="High",3,IF(G216="Medium",2,1))</f>
        <v>1</v>
      </c>
    </row>
    <row r="217" spans="1:12">
      <c r="A217" t="s">
        <v>2243</v>
      </c>
      <c r="B217" t="s">
        <v>698</v>
      </c>
      <c r="C217" t="s">
        <v>2008</v>
      </c>
      <c r="D217" t="s">
        <v>2054</v>
      </c>
      <c r="E217" t="s">
        <v>47</v>
      </c>
      <c r="F217" t="s">
        <v>1971</v>
      </c>
      <c r="G217" t="str">
        <f>INDEX(Risk_Matrix!$B$2:$D$4,MATCH(E217,Risk_Matrix!$A$2:$A$4,0),MATCH(F217,Risk_Matrix!$B$1:$D$1,0))</f>
        <v>High</v>
      </c>
      <c r="H217" s="1">
        <v>46210</v>
      </c>
      <c r="I217" t="s">
        <v>2015</v>
      </c>
      <c r="J217" t="s">
        <v>2032</v>
      </c>
      <c r="K217" t="s">
        <v>2010</v>
      </c>
      <c r="L217">
        <f>IF(G217="High",3,IF(G217="Medium",2,1))</f>
        <v>3</v>
      </c>
    </row>
    <row r="218" spans="1:12">
      <c r="A218" t="s">
        <v>2244</v>
      </c>
      <c r="B218" t="s">
        <v>700</v>
      </c>
      <c r="C218" t="s">
        <v>1985</v>
      </c>
      <c r="D218" t="s">
        <v>2062</v>
      </c>
      <c r="E218" t="s">
        <v>47</v>
      </c>
      <c r="F218" t="s">
        <v>57</v>
      </c>
      <c r="G218" t="str">
        <f>INDEX(Risk_Matrix!$B$2:$D$4,MATCH(E218,Risk_Matrix!$A$2:$A$4,0),MATCH(F218,Risk_Matrix!$B$1:$D$1,0))</f>
        <v>Medium</v>
      </c>
      <c r="H218" s="1">
        <v>46131</v>
      </c>
      <c r="I218" t="s">
        <v>2002</v>
      </c>
      <c r="J218" t="s">
        <v>2029</v>
      </c>
      <c r="K218" t="s">
        <v>1998</v>
      </c>
      <c r="L218">
        <f>IF(G218="High",3,IF(G218="Medium",2,1))</f>
        <v>2</v>
      </c>
    </row>
    <row r="219" spans="1:12">
      <c r="A219" t="s">
        <v>2245</v>
      </c>
      <c r="B219" t="s">
        <v>700</v>
      </c>
      <c r="C219" t="s">
        <v>1991</v>
      </c>
      <c r="D219" t="s">
        <v>2064</v>
      </c>
      <c r="E219" t="s">
        <v>1971</v>
      </c>
      <c r="F219" t="s">
        <v>47</v>
      </c>
      <c r="G219" t="str">
        <f>INDEX(Risk_Matrix!$B$2:$D$4,MATCH(E219,Risk_Matrix!$A$2:$A$4,0),MATCH(F219,Risk_Matrix!$B$1:$D$1,0))</f>
        <v>High</v>
      </c>
      <c r="H219" s="1">
        <v>46208</v>
      </c>
      <c r="I219" t="s">
        <v>2015</v>
      </c>
      <c r="J219" t="s">
        <v>2032</v>
      </c>
      <c r="K219" t="s">
        <v>1993</v>
      </c>
      <c r="L219">
        <f>IF(G219="High",3,IF(G219="Medium",2,1))</f>
        <v>3</v>
      </c>
    </row>
    <row r="220" spans="1:12">
      <c r="A220" t="s">
        <v>2246</v>
      </c>
      <c r="B220" t="s">
        <v>700</v>
      </c>
      <c r="C220" t="s">
        <v>1995</v>
      </c>
      <c r="D220" t="s">
        <v>2018</v>
      </c>
      <c r="E220" t="s">
        <v>57</v>
      </c>
      <c r="F220" t="s">
        <v>57</v>
      </c>
      <c r="G220" t="str">
        <f>INDEX(Risk_Matrix!$B$2:$D$4,MATCH(E220,Risk_Matrix!$A$2:$A$4,0),MATCH(F220,Risk_Matrix!$B$1:$D$1,0))</f>
        <v>Low</v>
      </c>
      <c r="H220" s="1">
        <v>46115</v>
      </c>
      <c r="I220" t="s">
        <v>2002</v>
      </c>
      <c r="J220" t="s">
        <v>2029</v>
      </c>
      <c r="K220" t="s">
        <v>1998</v>
      </c>
      <c r="L220">
        <f>IF(G220="High",3,IF(G220="Medium",2,1))</f>
        <v>1</v>
      </c>
    </row>
    <row r="221" spans="1:12">
      <c r="A221" t="s">
        <v>2247</v>
      </c>
      <c r="B221" t="s">
        <v>700</v>
      </c>
      <c r="C221" t="s">
        <v>2000</v>
      </c>
      <c r="D221" t="s">
        <v>2045</v>
      </c>
      <c r="E221" t="s">
        <v>57</v>
      </c>
      <c r="F221" t="s">
        <v>1971</v>
      </c>
      <c r="G221" t="str">
        <f>INDEX(Risk_Matrix!$B$2:$D$4,MATCH(E221,Risk_Matrix!$A$2:$A$4,0),MATCH(F221,Risk_Matrix!$B$1:$D$1,0))</f>
        <v>Low</v>
      </c>
      <c r="H221" s="1">
        <v>46184</v>
      </c>
      <c r="I221" t="s">
        <v>2015</v>
      </c>
      <c r="J221" t="s">
        <v>2016</v>
      </c>
      <c r="K221" t="s">
        <v>1989</v>
      </c>
      <c r="L221">
        <f>IF(G221="High",3,IF(G221="Medium",2,1))</f>
        <v>1</v>
      </c>
    </row>
    <row r="222" spans="1:12">
      <c r="A222" t="s">
        <v>2248</v>
      </c>
      <c r="B222" t="s">
        <v>700</v>
      </c>
      <c r="C222" t="s">
        <v>2005</v>
      </c>
      <c r="D222" t="s">
        <v>2006</v>
      </c>
      <c r="E222" t="s">
        <v>57</v>
      </c>
      <c r="F222" t="s">
        <v>1971</v>
      </c>
      <c r="G222" t="str">
        <f>INDEX(Risk_Matrix!$B$2:$D$4,MATCH(E222,Risk_Matrix!$A$2:$A$4,0),MATCH(F222,Risk_Matrix!$B$1:$D$1,0))</f>
        <v>Low</v>
      </c>
      <c r="H222" s="1">
        <v>46105</v>
      </c>
      <c r="I222" t="s">
        <v>2002</v>
      </c>
      <c r="J222" t="s">
        <v>2029</v>
      </c>
      <c r="K222" t="s">
        <v>2036</v>
      </c>
      <c r="L222">
        <f>IF(G222="High",3,IF(G222="Medium",2,1))</f>
        <v>1</v>
      </c>
    </row>
    <row r="223" spans="1:12">
      <c r="A223" t="s">
        <v>2249</v>
      </c>
      <c r="B223" t="s">
        <v>700</v>
      </c>
      <c r="C223" t="s">
        <v>2008</v>
      </c>
      <c r="D223" t="s">
        <v>2054</v>
      </c>
      <c r="E223" t="s">
        <v>57</v>
      </c>
      <c r="F223" t="s">
        <v>57</v>
      </c>
      <c r="G223" t="str">
        <f>INDEX(Risk_Matrix!$B$2:$D$4,MATCH(E223,Risk_Matrix!$A$2:$A$4,0),MATCH(F223,Risk_Matrix!$B$1:$D$1,0))</f>
        <v>Low</v>
      </c>
      <c r="H223" s="1">
        <v>46201</v>
      </c>
      <c r="I223" t="s">
        <v>1987</v>
      </c>
      <c r="J223" t="s">
        <v>1997</v>
      </c>
      <c r="K223" t="s">
        <v>2010</v>
      </c>
      <c r="L223">
        <f>IF(G223="High",3,IF(G223="Medium",2,1))</f>
        <v>1</v>
      </c>
    </row>
    <row r="224" spans="1:12">
      <c r="A224" t="s">
        <v>2250</v>
      </c>
      <c r="B224" t="s">
        <v>702</v>
      </c>
      <c r="C224" t="s">
        <v>1985</v>
      </c>
      <c r="D224" t="s">
        <v>2062</v>
      </c>
      <c r="E224" t="s">
        <v>47</v>
      </c>
      <c r="F224" t="s">
        <v>1971</v>
      </c>
      <c r="G224" t="str">
        <f>INDEX(Risk_Matrix!$B$2:$D$4,MATCH(E224,Risk_Matrix!$A$2:$A$4,0),MATCH(F224,Risk_Matrix!$B$1:$D$1,0))</f>
        <v>High</v>
      </c>
      <c r="H224" s="1">
        <v>46163</v>
      </c>
      <c r="I224" t="s">
        <v>2015</v>
      </c>
      <c r="J224" t="s">
        <v>2016</v>
      </c>
      <c r="K224" t="s">
        <v>1989</v>
      </c>
      <c r="L224">
        <f>IF(G224="High",3,IF(G224="Medium",2,1))</f>
        <v>3</v>
      </c>
    </row>
    <row r="225" spans="1:12">
      <c r="A225" t="s">
        <v>2251</v>
      </c>
      <c r="B225" t="s">
        <v>702</v>
      </c>
      <c r="C225" t="s">
        <v>1991</v>
      </c>
      <c r="D225" t="s">
        <v>1992</v>
      </c>
      <c r="E225" t="s">
        <v>57</v>
      </c>
      <c r="F225" t="s">
        <v>57</v>
      </c>
      <c r="G225" t="str">
        <f>INDEX(Risk_Matrix!$B$2:$D$4,MATCH(E225,Risk_Matrix!$A$2:$A$4,0),MATCH(F225,Risk_Matrix!$B$1:$D$1,0))</f>
        <v>Low</v>
      </c>
      <c r="H225" s="1">
        <v>46235</v>
      </c>
      <c r="I225" t="s">
        <v>2002</v>
      </c>
      <c r="J225" t="s">
        <v>2003</v>
      </c>
      <c r="K225" t="s">
        <v>2010</v>
      </c>
      <c r="L225">
        <f>IF(G225="High",3,IF(G225="Medium",2,1))</f>
        <v>1</v>
      </c>
    </row>
    <row r="226" spans="1:12">
      <c r="A226" t="s">
        <v>2252</v>
      </c>
      <c r="B226" t="s">
        <v>702</v>
      </c>
      <c r="C226" t="s">
        <v>1995</v>
      </c>
      <c r="D226" t="s">
        <v>2034</v>
      </c>
      <c r="E226" t="s">
        <v>1971</v>
      </c>
      <c r="F226" t="s">
        <v>57</v>
      </c>
      <c r="G226" t="str">
        <f>INDEX(Risk_Matrix!$B$2:$D$4,MATCH(E226,Risk_Matrix!$A$2:$A$4,0),MATCH(F226,Risk_Matrix!$B$1:$D$1,0))</f>
        <v>Low</v>
      </c>
      <c r="H226" s="1">
        <v>46185</v>
      </c>
      <c r="I226" t="s">
        <v>2015</v>
      </c>
      <c r="J226" t="s">
        <v>2032</v>
      </c>
      <c r="K226" t="s">
        <v>2036</v>
      </c>
      <c r="L226">
        <f>IF(G226="High",3,IF(G226="Medium",2,1))</f>
        <v>1</v>
      </c>
    </row>
    <row r="227" spans="1:12">
      <c r="A227" t="s">
        <v>2253</v>
      </c>
      <c r="B227" t="s">
        <v>702</v>
      </c>
      <c r="C227" t="s">
        <v>2000</v>
      </c>
      <c r="D227" t="s">
        <v>2001</v>
      </c>
      <c r="E227" t="s">
        <v>47</v>
      </c>
      <c r="F227" t="s">
        <v>47</v>
      </c>
      <c r="G227" t="str">
        <f>INDEX(Risk_Matrix!$B$2:$D$4,MATCH(E227,Risk_Matrix!$A$2:$A$4,0),MATCH(F227,Risk_Matrix!$B$1:$D$1,0))</f>
        <v>High</v>
      </c>
      <c r="H227" s="1">
        <v>46191</v>
      </c>
      <c r="I227" t="s">
        <v>2025</v>
      </c>
      <c r="J227" t="s">
        <v>2035</v>
      </c>
      <c r="K227" t="s">
        <v>1989</v>
      </c>
      <c r="L227">
        <f>IF(G227="High",3,IF(G227="Medium",2,1))</f>
        <v>3</v>
      </c>
    </row>
    <row r="228" spans="1:12">
      <c r="A228" t="s">
        <v>2254</v>
      </c>
      <c r="B228" t="s">
        <v>702</v>
      </c>
      <c r="C228" t="s">
        <v>2005</v>
      </c>
      <c r="D228" t="s">
        <v>2022</v>
      </c>
      <c r="E228" t="s">
        <v>1971</v>
      </c>
      <c r="F228" t="s">
        <v>57</v>
      </c>
      <c r="G228" t="str">
        <f>INDEX(Risk_Matrix!$B$2:$D$4,MATCH(E228,Risk_Matrix!$A$2:$A$4,0),MATCH(F228,Risk_Matrix!$B$1:$D$1,0))</f>
        <v>Low</v>
      </c>
      <c r="H228" s="1">
        <v>46184</v>
      </c>
      <c r="I228" t="s">
        <v>2025</v>
      </c>
      <c r="J228" t="s">
        <v>2035</v>
      </c>
      <c r="K228" t="s">
        <v>1993</v>
      </c>
      <c r="L228">
        <f>IF(G228="High",3,IF(G228="Medium",2,1))</f>
        <v>1</v>
      </c>
    </row>
    <row r="229" spans="1:12">
      <c r="A229" t="s">
        <v>2255</v>
      </c>
      <c r="B229" t="s">
        <v>702</v>
      </c>
      <c r="C229" t="s">
        <v>2008</v>
      </c>
      <c r="D229" t="s">
        <v>2024</v>
      </c>
      <c r="E229" t="s">
        <v>57</v>
      </c>
      <c r="F229" t="s">
        <v>57</v>
      </c>
      <c r="G229" t="str">
        <f>INDEX(Risk_Matrix!$B$2:$D$4,MATCH(E229,Risk_Matrix!$A$2:$A$4,0),MATCH(F229,Risk_Matrix!$B$1:$D$1,0))</f>
        <v>Low</v>
      </c>
      <c r="H229" s="1">
        <v>46073</v>
      </c>
      <c r="I229" t="s">
        <v>2025</v>
      </c>
      <c r="J229" t="s">
        <v>2026</v>
      </c>
      <c r="K229" t="s">
        <v>2010</v>
      </c>
      <c r="L229">
        <f>IF(G229="High",3,IF(G229="Medium",2,1))</f>
        <v>1</v>
      </c>
    </row>
    <row r="230" spans="1:12">
      <c r="A230" t="s">
        <v>2256</v>
      </c>
      <c r="B230" t="s">
        <v>704</v>
      </c>
      <c r="C230" t="s">
        <v>1985</v>
      </c>
      <c r="D230" t="s">
        <v>2028</v>
      </c>
      <c r="E230" t="s">
        <v>47</v>
      </c>
      <c r="F230" t="s">
        <v>1971</v>
      </c>
      <c r="G230" t="str">
        <f>INDEX(Risk_Matrix!$B$2:$D$4,MATCH(E230,Risk_Matrix!$A$2:$A$4,0),MATCH(F230,Risk_Matrix!$B$1:$D$1,0))</f>
        <v>High</v>
      </c>
      <c r="H230" s="1">
        <v>46136</v>
      </c>
      <c r="I230" t="s">
        <v>2025</v>
      </c>
      <c r="J230" t="s">
        <v>2035</v>
      </c>
      <c r="K230" t="s">
        <v>1989</v>
      </c>
      <c r="L230">
        <f>IF(G230="High",3,IF(G230="Medium",2,1))</f>
        <v>3</v>
      </c>
    </row>
    <row r="231" spans="1:12">
      <c r="A231" t="s">
        <v>2257</v>
      </c>
      <c r="B231" t="s">
        <v>704</v>
      </c>
      <c r="C231" t="s">
        <v>1991</v>
      </c>
      <c r="D231" t="s">
        <v>2014</v>
      </c>
      <c r="E231" t="s">
        <v>47</v>
      </c>
      <c r="F231" t="s">
        <v>47</v>
      </c>
      <c r="G231" t="str">
        <f>INDEX(Risk_Matrix!$B$2:$D$4,MATCH(E231,Risk_Matrix!$A$2:$A$4,0),MATCH(F231,Risk_Matrix!$B$1:$D$1,0))</f>
        <v>High</v>
      </c>
      <c r="H231" s="1">
        <v>46162</v>
      </c>
      <c r="I231" t="s">
        <v>2002</v>
      </c>
      <c r="J231" t="s">
        <v>2003</v>
      </c>
      <c r="K231" t="s">
        <v>1993</v>
      </c>
      <c r="L231">
        <f>IF(G231="High",3,IF(G231="Medium",2,1))</f>
        <v>3</v>
      </c>
    </row>
    <row r="232" spans="1:12">
      <c r="A232" t="s">
        <v>2258</v>
      </c>
      <c r="B232" t="s">
        <v>704</v>
      </c>
      <c r="C232" t="s">
        <v>1995</v>
      </c>
      <c r="D232" t="s">
        <v>1996</v>
      </c>
      <c r="E232" t="s">
        <v>47</v>
      </c>
      <c r="F232" t="s">
        <v>57</v>
      </c>
      <c r="G232" t="str">
        <f>INDEX(Risk_Matrix!$B$2:$D$4,MATCH(E232,Risk_Matrix!$A$2:$A$4,0),MATCH(F232,Risk_Matrix!$B$1:$D$1,0))</f>
        <v>Medium</v>
      </c>
      <c r="H232" s="1">
        <v>46194</v>
      </c>
      <c r="I232" t="s">
        <v>2015</v>
      </c>
      <c r="J232" t="s">
        <v>2016</v>
      </c>
      <c r="K232" t="s">
        <v>1998</v>
      </c>
      <c r="L232">
        <f>IF(G232="High",3,IF(G232="Medium",2,1))</f>
        <v>2</v>
      </c>
    </row>
    <row r="233" spans="1:12">
      <c r="A233" t="s">
        <v>2259</v>
      </c>
      <c r="B233" t="s">
        <v>704</v>
      </c>
      <c r="C233" t="s">
        <v>2000</v>
      </c>
      <c r="D233" t="s">
        <v>2001</v>
      </c>
      <c r="E233" t="s">
        <v>57</v>
      </c>
      <c r="F233" t="s">
        <v>1971</v>
      </c>
      <c r="G233" t="str">
        <f>INDEX(Risk_Matrix!$B$2:$D$4,MATCH(E233,Risk_Matrix!$A$2:$A$4,0),MATCH(F233,Risk_Matrix!$B$1:$D$1,0))</f>
        <v>Low</v>
      </c>
      <c r="H233" s="1">
        <v>46163</v>
      </c>
      <c r="I233" t="s">
        <v>2025</v>
      </c>
      <c r="J233" t="s">
        <v>2035</v>
      </c>
      <c r="K233" t="s">
        <v>1989</v>
      </c>
      <c r="L233">
        <f>IF(G233="High",3,IF(G233="Medium",2,1))</f>
        <v>1</v>
      </c>
    </row>
    <row r="234" spans="1:12">
      <c r="A234" t="s">
        <v>2260</v>
      </c>
      <c r="B234" t="s">
        <v>704</v>
      </c>
      <c r="C234" t="s">
        <v>2005</v>
      </c>
      <c r="D234" t="s">
        <v>2039</v>
      </c>
      <c r="E234" t="s">
        <v>47</v>
      </c>
      <c r="F234" t="s">
        <v>57</v>
      </c>
      <c r="G234" t="str">
        <f>INDEX(Risk_Matrix!$B$2:$D$4,MATCH(E234,Risk_Matrix!$A$2:$A$4,0),MATCH(F234,Risk_Matrix!$B$1:$D$1,0))</f>
        <v>Medium</v>
      </c>
      <c r="H234" s="1">
        <v>46175</v>
      </c>
      <c r="I234" t="s">
        <v>2015</v>
      </c>
      <c r="J234" t="s">
        <v>2032</v>
      </c>
      <c r="K234" t="s">
        <v>2036</v>
      </c>
      <c r="L234">
        <f>IF(G234="High",3,IF(G234="Medium",2,1))</f>
        <v>2</v>
      </c>
    </row>
    <row r="235" spans="1:12">
      <c r="A235" t="s">
        <v>2261</v>
      </c>
      <c r="B235" t="s">
        <v>704</v>
      </c>
      <c r="C235" t="s">
        <v>2008</v>
      </c>
      <c r="D235" t="s">
        <v>2024</v>
      </c>
      <c r="E235" t="s">
        <v>47</v>
      </c>
      <c r="F235" t="s">
        <v>47</v>
      </c>
      <c r="G235" t="str">
        <f>INDEX(Risk_Matrix!$B$2:$D$4,MATCH(E235,Risk_Matrix!$A$2:$A$4,0),MATCH(F235,Risk_Matrix!$B$1:$D$1,0))</f>
        <v>High</v>
      </c>
      <c r="H235" s="1">
        <v>46170</v>
      </c>
      <c r="I235" t="s">
        <v>2015</v>
      </c>
      <c r="J235" t="s">
        <v>2016</v>
      </c>
      <c r="K235" t="s">
        <v>2010</v>
      </c>
      <c r="L235">
        <f>IF(G235="High",3,IF(G235="Medium",2,1))</f>
        <v>3</v>
      </c>
    </row>
    <row r="236" spans="1:12">
      <c r="A236" t="s">
        <v>2262</v>
      </c>
      <c r="B236" t="s">
        <v>706</v>
      </c>
      <c r="C236" t="s">
        <v>1985</v>
      </c>
      <c r="D236" t="s">
        <v>2062</v>
      </c>
      <c r="E236" t="s">
        <v>57</v>
      </c>
      <c r="F236" t="s">
        <v>57</v>
      </c>
      <c r="G236" t="str">
        <f>INDEX(Risk_Matrix!$B$2:$D$4,MATCH(E236,Risk_Matrix!$A$2:$A$4,0),MATCH(F236,Risk_Matrix!$B$1:$D$1,0))</f>
        <v>Low</v>
      </c>
      <c r="H236" s="1">
        <v>46227</v>
      </c>
      <c r="I236" t="s">
        <v>2025</v>
      </c>
      <c r="J236" t="s">
        <v>2026</v>
      </c>
      <c r="K236" t="s">
        <v>1989</v>
      </c>
      <c r="L236">
        <f>IF(G236="High",3,IF(G236="Medium",2,1))</f>
        <v>1</v>
      </c>
    </row>
    <row r="237" spans="1:12">
      <c r="A237" t="s">
        <v>2263</v>
      </c>
      <c r="B237" t="s">
        <v>706</v>
      </c>
      <c r="C237" t="s">
        <v>1991</v>
      </c>
      <c r="D237" t="s">
        <v>2014</v>
      </c>
      <c r="E237" t="s">
        <v>47</v>
      </c>
      <c r="F237" t="s">
        <v>1971</v>
      </c>
      <c r="G237" t="str">
        <f>INDEX(Risk_Matrix!$B$2:$D$4,MATCH(E237,Risk_Matrix!$A$2:$A$4,0),MATCH(F237,Risk_Matrix!$B$1:$D$1,0))</f>
        <v>High</v>
      </c>
      <c r="H237" s="1">
        <v>46236</v>
      </c>
      <c r="I237" t="s">
        <v>2015</v>
      </c>
      <c r="J237" t="s">
        <v>2032</v>
      </c>
      <c r="K237" t="s">
        <v>1993</v>
      </c>
      <c r="L237">
        <f>IF(G237="High",3,IF(G237="Medium",2,1))</f>
        <v>3</v>
      </c>
    </row>
    <row r="238" spans="1:12">
      <c r="A238" t="s">
        <v>2264</v>
      </c>
      <c r="B238" t="s">
        <v>706</v>
      </c>
      <c r="C238" t="s">
        <v>1995</v>
      </c>
      <c r="D238" t="s">
        <v>2018</v>
      </c>
      <c r="E238" t="s">
        <v>47</v>
      </c>
      <c r="F238" t="s">
        <v>1971</v>
      </c>
      <c r="G238" t="str">
        <f>INDEX(Risk_Matrix!$B$2:$D$4,MATCH(E238,Risk_Matrix!$A$2:$A$4,0),MATCH(F238,Risk_Matrix!$B$1:$D$1,0))</f>
        <v>High</v>
      </c>
      <c r="H238" s="1">
        <v>46211</v>
      </c>
      <c r="I238" t="s">
        <v>2015</v>
      </c>
      <c r="J238" t="s">
        <v>2032</v>
      </c>
      <c r="K238" t="s">
        <v>1998</v>
      </c>
      <c r="L238">
        <f>IF(G238="High",3,IF(G238="Medium",2,1))</f>
        <v>3</v>
      </c>
    </row>
    <row r="239" spans="1:12">
      <c r="A239" t="s">
        <v>2265</v>
      </c>
      <c r="B239" t="s">
        <v>706</v>
      </c>
      <c r="C239" t="s">
        <v>2000</v>
      </c>
      <c r="D239" t="s">
        <v>2045</v>
      </c>
      <c r="E239" t="s">
        <v>1971</v>
      </c>
      <c r="F239" t="s">
        <v>1971</v>
      </c>
      <c r="G239" t="str">
        <f>INDEX(Risk_Matrix!$B$2:$D$4,MATCH(E239,Risk_Matrix!$A$2:$A$4,0),MATCH(F239,Risk_Matrix!$B$1:$D$1,0))</f>
        <v>Medium</v>
      </c>
      <c r="H239" s="1">
        <v>46195</v>
      </c>
      <c r="I239" t="s">
        <v>2015</v>
      </c>
      <c r="J239" t="s">
        <v>2016</v>
      </c>
      <c r="K239" t="s">
        <v>1993</v>
      </c>
      <c r="L239">
        <f>IF(G239="High",3,IF(G239="Medium",2,1))</f>
        <v>2</v>
      </c>
    </row>
    <row r="240" spans="1:12">
      <c r="A240" t="s">
        <v>2266</v>
      </c>
      <c r="B240" t="s">
        <v>706</v>
      </c>
      <c r="C240" t="s">
        <v>2005</v>
      </c>
      <c r="D240" t="s">
        <v>2039</v>
      </c>
      <c r="E240" t="s">
        <v>57</v>
      </c>
      <c r="F240" t="s">
        <v>1971</v>
      </c>
      <c r="G240" t="str">
        <f>INDEX(Risk_Matrix!$B$2:$D$4,MATCH(E240,Risk_Matrix!$A$2:$A$4,0),MATCH(F240,Risk_Matrix!$B$1:$D$1,0))</f>
        <v>Low</v>
      </c>
      <c r="H240" s="1">
        <v>46073</v>
      </c>
      <c r="I240" t="s">
        <v>2025</v>
      </c>
      <c r="J240" t="s">
        <v>2035</v>
      </c>
      <c r="K240" t="s">
        <v>1993</v>
      </c>
      <c r="L240">
        <f>IF(G240="High",3,IF(G240="Medium",2,1))</f>
        <v>1</v>
      </c>
    </row>
    <row r="241" spans="1:12">
      <c r="A241" t="s">
        <v>2267</v>
      </c>
      <c r="B241" t="s">
        <v>706</v>
      </c>
      <c r="C241" t="s">
        <v>2008</v>
      </c>
      <c r="D241" t="s">
        <v>2024</v>
      </c>
      <c r="E241" t="s">
        <v>47</v>
      </c>
      <c r="F241" t="s">
        <v>1971</v>
      </c>
      <c r="G241" t="str">
        <f>INDEX(Risk_Matrix!$B$2:$D$4,MATCH(E241,Risk_Matrix!$A$2:$A$4,0),MATCH(F241,Risk_Matrix!$B$1:$D$1,0))</f>
        <v>High</v>
      </c>
      <c r="H241" s="1">
        <v>46159</v>
      </c>
      <c r="I241" t="s">
        <v>2015</v>
      </c>
      <c r="J241" t="s">
        <v>2032</v>
      </c>
      <c r="K241" t="s">
        <v>2010</v>
      </c>
      <c r="L241">
        <f>IF(G241="High",3,IF(G241="Medium",2,1))</f>
        <v>3</v>
      </c>
    </row>
    <row r="242" spans="1:12">
      <c r="A242" t="s">
        <v>2268</v>
      </c>
      <c r="B242" t="s">
        <v>708</v>
      </c>
      <c r="C242" t="s">
        <v>1985</v>
      </c>
      <c r="D242" t="s">
        <v>1986</v>
      </c>
      <c r="E242" t="s">
        <v>57</v>
      </c>
      <c r="F242" t="s">
        <v>1971</v>
      </c>
      <c r="G242" t="str">
        <f>INDEX(Risk_Matrix!$B$2:$D$4,MATCH(E242,Risk_Matrix!$A$2:$A$4,0),MATCH(F242,Risk_Matrix!$B$1:$D$1,0))</f>
        <v>Low</v>
      </c>
      <c r="H242" s="1">
        <v>46198</v>
      </c>
      <c r="I242" t="s">
        <v>2015</v>
      </c>
      <c r="J242" t="s">
        <v>2016</v>
      </c>
      <c r="K242" t="s">
        <v>1998</v>
      </c>
      <c r="L242">
        <f>IF(G242="High",3,IF(G242="Medium",2,1))</f>
        <v>1</v>
      </c>
    </row>
    <row r="243" spans="1:12">
      <c r="A243" t="s">
        <v>2269</v>
      </c>
      <c r="B243" t="s">
        <v>708</v>
      </c>
      <c r="C243" t="s">
        <v>1991</v>
      </c>
      <c r="D243" t="s">
        <v>2031</v>
      </c>
      <c r="E243" t="s">
        <v>1971</v>
      </c>
      <c r="F243" t="s">
        <v>57</v>
      </c>
      <c r="G243" t="str">
        <f>INDEX(Risk_Matrix!$B$2:$D$4,MATCH(E243,Risk_Matrix!$A$2:$A$4,0),MATCH(F243,Risk_Matrix!$B$1:$D$1,0))</f>
        <v>Low</v>
      </c>
      <c r="H243" s="1">
        <v>46083</v>
      </c>
      <c r="I243" t="s">
        <v>1987</v>
      </c>
      <c r="J243" t="s">
        <v>1988</v>
      </c>
      <c r="K243" t="s">
        <v>1993</v>
      </c>
      <c r="L243">
        <f>IF(G243="High",3,IF(G243="Medium",2,1))</f>
        <v>1</v>
      </c>
    </row>
    <row r="244" spans="1:12">
      <c r="A244" t="s">
        <v>2270</v>
      </c>
      <c r="B244" t="s">
        <v>708</v>
      </c>
      <c r="C244" t="s">
        <v>1995</v>
      </c>
      <c r="D244" t="s">
        <v>1996</v>
      </c>
      <c r="E244" t="s">
        <v>57</v>
      </c>
      <c r="F244" t="s">
        <v>57</v>
      </c>
      <c r="G244" t="str">
        <f>INDEX(Risk_Matrix!$B$2:$D$4,MATCH(E244,Risk_Matrix!$A$2:$A$4,0),MATCH(F244,Risk_Matrix!$B$1:$D$1,0))</f>
        <v>Low</v>
      </c>
      <c r="H244" s="1">
        <v>46226</v>
      </c>
      <c r="I244" t="s">
        <v>2025</v>
      </c>
      <c r="J244" t="s">
        <v>2035</v>
      </c>
      <c r="K244" t="s">
        <v>2036</v>
      </c>
      <c r="L244">
        <f>IF(G244="High",3,IF(G244="Medium",2,1))</f>
        <v>1</v>
      </c>
    </row>
    <row r="245" spans="1:12">
      <c r="A245" t="s">
        <v>2271</v>
      </c>
      <c r="B245" t="s">
        <v>708</v>
      </c>
      <c r="C245" t="s">
        <v>2000</v>
      </c>
      <c r="D245" t="s">
        <v>2020</v>
      </c>
      <c r="E245" t="s">
        <v>57</v>
      </c>
      <c r="F245" t="s">
        <v>57</v>
      </c>
      <c r="G245" t="str">
        <f>INDEX(Risk_Matrix!$B$2:$D$4,MATCH(E245,Risk_Matrix!$A$2:$A$4,0),MATCH(F245,Risk_Matrix!$B$1:$D$1,0))</f>
        <v>Low</v>
      </c>
      <c r="H245" s="1">
        <v>46184</v>
      </c>
      <c r="I245" t="s">
        <v>2015</v>
      </c>
      <c r="J245" t="s">
        <v>2032</v>
      </c>
      <c r="K245" t="s">
        <v>1993</v>
      </c>
      <c r="L245">
        <f>IF(G245="High",3,IF(G245="Medium",2,1))</f>
        <v>1</v>
      </c>
    </row>
    <row r="246" spans="1:12">
      <c r="A246" t="s">
        <v>2272</v>
      </c>
      <c r="B246" t="s">
        <v>708</v>
      </c>
      <c r="C246" t="s">
        <v>2005</v>
      </c>
      <c r="D246" t="s">
        <v>2006</v>
      </c>
      <c r="E246" t="s">
        <v>47</v>
      </c>
      <c r="F246" t="s">
        <v>47</v>
      </c>
      <c r="G246" t="str">
        <f>INDEX(Risk_Matrix!$B$2:$D$4,MATCH(E246,Risk_Matrix!$A$2:$A$4,0),MATCH(F246,Risk_Matrix!$B$1:$D$1,0))</f>
        <v>High</v>
      </c>
      <c r="H246" s="1">
        <v>46197</v>
      </c>
      <c r="I246" t="s">
        <v>2015</v>
      </c>
      <c r="J246" t="s">
        <v>2032</v>
      </c>
      <c r="K246" t="s">
        <v>2036</v>
      </c>
      <c r="L246">
        <f>IF(G246="High",3,IF(G246="Medium",2,1))</f>
        <v>3</v>
      </c>
    </row>
    <row r="247" spans="1:12">
      <c r="A247" t="s">
        <v>2273</v>
      </c>
      <c r="B247" t="s">
        <v>708</v>
      </c>
      <c r="C247" t="s">
        <v>2008</v>
      </c>
      <c r="D247" t="s">
        <v>2024</v>
      </c>
      <c r="E247" t="s">
        <v>57</v>
      </c>
      <c r="F247" t="s">
        <v>47</v>
      </c>
      <c r="G247" t="str">
        <f>INDEX(Risk_Matrix!$B$2:$D$4,MATCH(E247,Risk_Matrix!$A$2:$A$4,0),MATCH(F247,Risk_Matrix!$B$1:$D$1,0))</f>
        <v>Medium</v>
      </c>
      <c r="H247" s="1">
        <v>46235</v>
      </c>
      <c r="I247" t="s">
        <v>2015</v>
      </c>
      <c r="J247" t="s">
        <v>2016</v>
      </c>
      <c r="K247" t="s">
        <v>2010</v>
      </c>
      <c r="L247">
        <f>IF(G247="High",3,IF(G247="Medium",2,1))</f>
        <v>2</v>
      </c>
    </row>
    <row r="248" spans="1:12">
      <c r="A248" t="s">
        <v>2274</v>
      </c>
      <c r="B248" t="s">
        <v>710</v>
      </c>
      <c r="C248" t="s">
        <v>1985</v>
      </c>
      <c r="D248" t="s">
        <v>2062</v>
      </c>
      <c r="E248" t="s">
        <v>1971</v>
      </c>
      <c r="F248" t="s">
        <v>47</v>
      </c>
      <c r="G248" t="str">
        <f>INDEX(Risk_Matrix!$B$2:$D$4,MATCH(E248,Risk_Matrix!$A$2:$A$4,0),MATCH(F248,Risk_Matrix!$B$1:$D$1,0))</f>
        <v>High</v>
      </c>
      <c r="H248" s="1">
        <v>46062</v>
      </c>
      <c r="I248" t="s">
        <v>2025</v>
      </c>
      <c r="J248" t="s">
        <v>2035</v>
      </c>
      <c r="K248" t="s">
        <v>1998</v>
      </c>
      <c r="L248">
        <f>IF(G248="High",3,IF(G248="Medium",2,1))</f>
        <v>3</v>
      </c>
    </row>
    <row r="249" spans="1:12">
      <c r="A249" t="s">
        <v>2275</v>
      </c>
      <c r="B249" t="s">
        <v>710</v>
      </c>
      <c r="C249" t="s">
        <v>1991</v>
      </c>
      <c r="D249" t="s">
        <v>2064</v>
      </c>
      <c r="E249" t="s">
        <v>57</v>
      </c>
      <c r="F249" t="s">
        <v>1971</v>
      </c>
      <c r="G249" t="str">
        <f>INDEX(Risk_Matrix!$B$2:$D$4,MATCH(E249,Risk_Matrix!$A$2:$A$4,0),MATCH(F249,Risk_Matrix!$B$1:$D$1,0))</f>
        <v>Low</v>
      </c>
      <c r="H249" s="1">
        <v>46215</v>
      </c>
      <c r="I249" t="s">
        <v>2025</v>
      </c>
      <c r="J249" t="s">
        <v>2026</v>
      </c>
      <c r="K249" t="s">
        <v>1993</v>
      </c>
      <c r="L249">
        <f>IF(G249="High",3,IF(G249="Medium",2,1))</f>
        <v>1</v>
      </c>
    </row>
    <row r="250" spans="1:12">
      <c r="A250" t="s">
        <v>2276</v>
      </c>
      <c r="B250" t="s">
        <v>710</v>
      </c>
      <c r="C250" t="s">
        <v>1995</v>
      </c>
      <c r="D250" t="s">
        <v>1996</v>
      </c>
      <c r="E250" t="s">
        <v>57</v>
      </c>
      <c r="F250" t="s">
        <v>1971</v>
      </c>
      <c r="G250" t="str">
        <f>INDEX(Risk_Matrix!$B$2:$D$4,MATCH(E250,Risk_Matrix!$A$2:$A$4,0),MATCH(F250,Risk_Matrix!$B$1:$D$1,0))</f>
        <v>Low</v>
      </c>
      <c r="H250" s="1">
        <v>46172</v>
      </c>
      <c r="I250" t="s">
        <v>2015</v>
      </c>
      <c r="J250" t="s">
        <v>2032</v>
      </c>
      <c r="K250" t="s">
        <v>1998</v>
      </c>
      <c r="L250">
        <f>IF(G250="High",3,IF(G250="Medium",2,1))</f>
        <v>1</v>
      </c>
    </row>
    <row r="251" spans="1:12">
      <c r="A251" t="s">
        <v>2277</v>
      </c>
      <c r="B251" t="s">
        <v>710</v>
      </c>
      <c r="C251" t="s">
        <v>2000</v>
      </c>
      <c r="D251" t="s">
        <v>2020</v>
      </c>
      <c r="E251" t="s">
        <v>57</v>
      </c>
      <c r="F251" t="s">
        <v>57</v>
      </c>
      <c r="G251" t="str">
        <f>INDEX(Risk_Matrix!$B$2:$D$4,MATCH(E251,Risk_Matrix!$A$2:$A$4,0),MATCH(F251,Risk_Matrix!$B$1:$D$1,0))</f>
        <v>Low</v>
      </c>
      <c r="H251" s="1">
        <v>46173</v>
      </c>
      <c r="I251" t="s">
        <v>1987</v>
      </c>
      <c r="J251" t="s">
        <v>1997</v>
      </c>
      <c r="K251" t="s">
        <v>1989</v>
      </c>
      <c r="L251">
        <f>IF(G251="High",3,IF(G251="Medium",2,1))</f>
        <v>1</v>
      </c>
    </row>
    <row r="252" spans="1:12">
      <c r="A252" t="s">
        <v>2278</v>
      </c>
      <c r="B252" t="s">
        <v>710</v>
      </c>
      <c r="C252" t="s">
        <v>2005</v>
      </c>
      <c r="D252" t="s">
        <v>2039</v>
      </c>
      <c r="E252" t="s">
        <v>47</v>
      </c>
      <c r="F252" t="s">
        <v>1971</v>
      </c>
      <c r="G252" t="str">
        <f>INDEX(Risk_Matrix!$B$2:$D$4,MATCH(E252,Risk_Matrix!$A$2:$A$4,0),MATCH(F252,Risk_Matrix!$B$1:$D$1,0))</f>
        <v>High</v>
      </c>
      <c r="H252" s="1">
        <v>46173</v>
      </c>
      <c r="I252" t="s">
        <v>2015</v>
      </c>
      <c r="J252" t="s">
        <v>2032</v>
      </c>
      <c r="K252" t="s">
        <v>1993</v>
      </c>
      <c r="L252">
        <f>IF(G252="High",3,IF(G252="Medium",2,1))</f>
        <v>3</v>
      </c>
    </row>
    <row r="253" spans="1:12">
      <c r="A253" t="s">
        <v>2279</v>
      </c>
      <c r="B253" t="s">
        <v>710</v>
      </c>
      <c r="C253" t="s">
        <v>2008</v>
      </c>
      <c r="D253" t="s">
        <v>2024</v>
      </c>
      <c r="E253" t="s">
        <v>57</v>
      </c>
      <c r="F253" t="s">
        <v>57</v>
      </c>
      <c r="G253" t="str">
        <f>INDEX(Risk_Matrix!$B$2:$D$4,MATCH(E253,Risk_Matrix!$A$2:$A$4,0),MATCH(F253,Risk_Matrix!$B$1:$D$1,0))</f>
        <v>Low</v>
      </c>
      <c r="H253" s="1">
        <v>46196</v>
      </c>
      <c r="I253" t="s">
        <v>2015</v>
      </c>
      <c r="J253" t="s">
        <v>2032</v>
      </c>
      <c r="K253" t="s">
        <v>2010</v>
      </c>
      <c r="L253">
        <f>IF(G253="High",3,IF(G253="Medium",2,1))</f>
        <v>1</v>
      </c>
    </row>
    <row r="254" spans="1:12">
      <c r="A254" t="s">
        <v>2280</v>
      </c>
      <c r="B254" t="s">
        <v>712</v>
      </c>
      <c r="C254" t="s">
        <v>1985</v>
      </c>
      <c r="D254" t="s">
        <v>2012</v>
      </c>
      <c r="E254" t="s">
        <v>57</v>
      </c>
      <c r="F254" t="s">
        <v>47</v>
      </c>
      <c r="G254" t="str">
        <f>INDEX(Risk_Matrix!$B$2:$D$4,MATCH(E254,Risk_Matrix!$A$2:$A$4,0),MATCH(F254,Risk_Matrix!$B$1:$D$1,0))</f>
        <v>Medium</v>
      </c>
      <c r="H254" s="1">
        <v>46171</v>
      </c>
      <c r="I254" t="s">
        <v>2015</v>
      </c>
      <c r="J254" t="s">
        <v>2032</v>
      </c>
      <c r="K254" t="s">
        <v>1989</v>
      </c>
      <c r="L254">
        <f>IF(G254="High",3,IF(G254="Medium",2,1))</f>
        <v>2</v>
      </c>
    </row>
    <row r="255" spans="1:12">
      <c r="A255" t="s">
        <v>2281</v>
      </c>
      <c r="B255" t="s">
        <v>712</v>
      </c>
      <c r="C255" t="s">
        <v>1991</v>
      </c>
      <c r="D255" t="s">
        <v>2064</v>
      </c>
      <c r="E255" t="s">
        <v>1971</v>
      </c>
      <c r="F255" t="s">
        <v>47</v>
      </c>
      <c r="G255" t="str">
        <f>INDEX(Risk_Matrix!$B$2:$D$4,MATCH(E255,Risk_Matrix!$A$2:$A$4,0),MATCH(F255,Risk_Matrix!$B$1:$D$1,0))</f>
        <v>High</v>
      </c>
      <c r="H255" s="1">
        <v>46204</v>
      </c>
      <c r="I255" t="s">
        <v>2015</v>
      </c>
      <c r="J255" t="s">
        <v>2016</v>
      </c>
      <c r="K255" t="s">
        <v>2010</v>
      </c>
      <c r="L255">
        <f>IF(G255="High",3,IF(G255="Medium",2,1))</f>
        <v>3</v>
      </c>
    </row>
    <row r="256" spans="1:12">
      <c r="A256" t="s">
        <v>2282</v>
      </c>
      <c r="B256" t="s">
        <v>712</v>
      </c>
      <c r="C256" t="s">
        <v>1995</v>
      </c>
      <c r="D256" t="s">
        <v>2034</v>
      </c>
      <c r="E256" t="s">
        <v>1971</v>
      </c>
      <c r="F256" t="s">
        <v>1971</v>
      </c>
      <c r="G256" t="str">
        <f>INDEX(Risk_Matrix!$B$2:$D$4,MATCH(E256,Risk_Matrix!$A$2:$A$4,0),MATCH(F256,Risk_Matrix!$B$1:$D$1,0))</f>
        <v>Medium</v>
      </c>
      <c r="H256" s="1">
        <v>46204</v>
      </c>
      <c r="I256" t="s">
        <v>2025</v>
      </c>
      <c r="J256" t="s">
        <v>2026</v>
      </c>
      <c r="K256" t="s">
        <v>1998</v>
      </c>
      <c r="L256">
        <f>IF(G256="High",3,IF(G256="Medium",2,1))</f>
        <v>2</v>
      </c>
    </row>
    <row r="257" spans="1:12">
      <c r="A257" t="s">
        <v>2283</v>
      </c>
      <c r="B257" t="s">
        <v>712</v>
      </c>
      <c r="C257" t="s">
        <v>2000</v>
      </c>
      <c r="D257" t="s">
        <v>2045</v>
      </c>
      <c r="E257" t="s">
        <v>1971</v>
      </c>
      <c r="F257" t="s">
        <v>57</v>
      </c>
      <c r="G257" t="str">
        <f>INDEX(Risk_Matrix!$B$2:$D$4,MATCH(E257,Risk_Matrix!$A$2:$A$4,0),MATCH(F257,Risk_Matrix!$B$1:$D$1,0))</f>
        <v>Low</v>
      </c>
      <c r="H257" s="1">
        <v>46123</v>
      </c>
      <c r="I257" t="s">
        <v>1987</v>
      </c>
      <c r="J257" t="s">
        <v>1988</v>
      </c>
      <c r="K257" t="s">
        <v>1989</v>
      </c>
      <c r="L257">
        <f>IF(G257="High",3,IF(G257="Medium",2,1))</f>
        <v>1</v>
      </c>
    </row>
    <row r="258" spans="1:12">
      <c r="A258" t="s">
        <v>2284</v>
      </c>
      <c r="B258" t="s">
        <v>712</v>
      </c>
      <c r="C258" t="s">
        <v>2005</v>
      </c>
      <c r="D258" t="s">
        <v>2022</v>
      </c>
      <c r="E258" t="s">
        <v>47</v>
      </c>
      <c r="F258" t="s">
        <v>47</v>
      </c>
      <c r="G258" t="str">
        <f>INDEX(Risk_Matrix!$B$2:$D$4,MATCH(E258,Risk_Matrix!$A$2:$A$4,0),MATCH(F258,Risk_Matrix!$B$1:$D$1,0))</f>
        <v>High</v>
      </c>
      <c r="H258" s="1">
        <v>46230</v>
      </c>
      <c r="I258" t="s">
        <v>2015</v>
      </c>
      <c r="J258" t="s">
        <v>2016</v>
      </c>
      <c r="K258" t="s">
        <v>1993</v>
      </c>
      <c r="L258">
        <f>IF(G258="High",3,IF(G258="Medium",2,1))</f>
        <v>3</v>
      </c>
    </row>
    <row r="259" spans="1:12">
      <c r="A259" t="s">
        <v>2285</v>
      </c>
      <c r="B259" t="s">
        <v>712</v>
      </c>
      <c r="C259" t="s">
        <v>2008</v>
      </c>
      <c r="D259" t="s">
        <v>2024</v>
      </c>
      <c r="E259" t="s">
        <v>1971</v>
      </c>
      <c r="F259" t="s">
        <v>47</v>
      </c>
      <c r="G259" t="str">
        <f>INDEX(Risk_Matrix!$B$2:$D$4,MATCH(E259,Risk_Matrix!$A$2:$A$4,0),MATCH(F259,Risk_Matrix!$B$1:$D$1,0))</f>
        <v>High</v>
      </c>
      <c r="H259" s="1">
        <v>46181</v>
      </c>
      <c r="I259" t="s">
        <v>2015</v>
      </c>
      <c r="J259" t="s">
        <v>2032</v>
      </c>
      <c r="K259" t="s">
        <v>2010</v>
      </c>
      <c r="L259">
        <f>IF(G259="High",3,IF(G259="Medium",2,1))</f>
        <v>3</v>
      </c>
    </row>
    <row r="260" spans="1:12">
      <c r="A260" t="s">
        <v>2286</v>
      </c>
      <c r="B260" t="s">
        <v>714</v>
      </c>
      <c r="C260" t="s">
        <v>1985</v>
      </c>
      <c r="D260" t="s">
        <v>1986</v>
      </c>
      <c r="E260" t="s">
        <v>1971</v>
      </c>
      <c r="F260" t="s">
        <v>1971</v>
      </c>
      <c r="G260" t="str">
        <f>INDEX(Risk_Matrix!$B$2:$D$4,MATCH(E260,Risk_Matrix!$A$2:$A$4,0),MATCH(F260,Risk_Matrix!$B$1:$D$1,0))</f>
        <v>Medium</v>
      </c>
      <c r="H260" s="1">
        <v>46169</v>
      </c>
      <c r="I260" t="s">
        <v>1987</v>
      </c>
      <c r="J260" t="s">
        <v>1988</v>
      </c>
      <c r="K260" t="s">
        <v>1998</v>
      </c>
      <c r="L260">
        <f>IF(G260="High",3,IF(G260="Medium",2,1))</f>
        <v>2</v>
      </c>
    </row>
    <row r="261" spans="1:12">
      <c r="A261" t="s">
        <v>2287</v>
      </c>
      <c r="B261" t="s">
        <v>714</v>
      </c>
      <c r="C261" t="s">
        <v>1991</v>
      </c>
      <c r="D261" t="s">
        <v>2031</v>
      </c>
      <c r="E261" t="s">
        <v>57</v>
      </c>
      <c r="F261" t="s">
        <v>1971</v>
      </c>
      <c r="G261" t="str">
        <f>INDEX(Risk_Matrix!$B$2:$D$4,MATCH(E261,Risk_Matrix!$A$2:$A$4,0),MATCH(F261,Risk_Matrix!$B$1:$D$1,0))</f>
        <v>Low</v>
      </c>
      <c r="H261" s="1">
        <v>46184</v>
      </c>
      <c r="I261" t="s">
        <v>2002</v>
      </c>
      <c r="J261" t="s">
        <v>2029</v>
      </c>
      <c r="K261" t="s">
        <v>1993</v>
      </c>
      <c r="L261">
        <f>IF(G261="High",3,IF(G261="Medium",2,1))</f>
        <v>1</v>
      </c>
    </row>
    <row r="262" spans="1:12">
      <c r="A262" t="s">
        <v>2288</v>
      </c>
      <c r="B262" t="s">
        <v>714</v>
      </c>
      <c r="C262" t="s">
        <v>1995</v>
      </c>
      <c r="D262" t="s">
        <v>2034</v>
      </c>
      <c r="E262" t="s">
        <v>57</v>
      </c>
      <c r="F262" t="s">
        <v>47</v>
      </c>
      <c r="G262" t="str">
        <f>INDEX(Risk_Matrix!$B$2:$D$4,MATCH(E262,Risk_Matrix!$A$2:$A$4,0),MATCH(F262,Risk_Matrix!$B$1:$D$1,0))</f>
        <v>Medium</v>
      </c>
      <c r="H262" s="1">
        <v>46141</v>
      </c>
      <c r="I262" t="s">
        <v>2002</v>
      </c>
      <c r="J262" t="s">
        <v>2003</v>
      </c>
      <c r="K262" t="s">
        <v>1998</v>
      </c>
      <c r="L262">
        <f>IF(G262="High",3,IF(G262="Medium",2,1))</f>
        <v>2</v>
      </c>
    </row>
    <row r="263" spans="1:12">
      <c r="A263" t="s">
        <v>2289</v>
      </c>
      <c r="B263" t="s">
        <v>714</v>
      </c>
      <c r="C263" t="s">
        <v>2000</v>
      </c>
      <c r="D263" t="s">
        <v>2020</v>
      </c>
      <c r="E263" t="s">
        <v>1971</v>
      </c>
      <c r="F263" t="s">
        <v>57</v>
      </c>
      <c r="G263" t="str">
        <f>INDEX(Risk_Matrix!$B$2:$D$4,MATCH(E263,Risk_Matrix!$A$2:$A$4,0),MATCH(F263,Risk_Matrix!$B$1:$D$1,0))</f>
        <v>Low</v>
      </c>
      <c r="H263" s="1">
        <v>46206</v>
      </c>
      <c r="I263" t="s">
        <v>2002</v>
      </c>
      <c r="J263" t="s">
        <v>2029</v>
      </c>
      <c r="K263" t="s">
        <v>1989</v>
      </c>
      <c r="L263">
        <f>IF(G263="High",3,IF(G263="Medium",2,1))</f>
        <v>1</v>
      </c>
    </row>
    <row r="264" spans="1:12">
      <c r="A264" t="s">
        <v>2290</v>
      </c>
      <c r="B264" t="s">
        <v>714</v>
      </c>
      <c r="C264" t="s">
        <v>2005</v>
      </c>
      <c r="D264" t="s">
        <v>2022</v>
      </c>
      <c r="E264" t="s">
        <v>57</v>
      </c>
      <c r="F264" t="s">
        <v>47</v>
      </c>
      <c r="G264" t="str">
        <f>INDEX(Risk_Matrix!$B$2:$D$4,MATCH(E264,Risk_Matrix!$A$2:$A$4,0),MATCH(F264,Risk_Matrix!$B$1:$D$1,0))</f>
        <v>Medium</v>
      </c>
      <c r="H264" s="1">
        <v>46211</v>
      </c>
      <c r="I264" t="s">
        <v>2015</v>
      </c>
      <c r="J264" t="s">
        <v>2032</v>
      </c>
      <c r="K264" t="s">
        <v>1993</v>
      </c>
      <c r="L264">
        <f>IF(G264="High",3,IF(G264="Medium",2,1))</f>
        <v>2</v>
      </c>
    </row>
    <row r="265" spans="1:12">
      <c r="A265" t="s">
        <v>2291</v>
      </c>
      <c r="B265" t="s">
        <v>714</v>
      </c>
      <c r="C265" t="s">
        <v>2008</v>
      </c>
      <c r="D265" t="s">
        <v>2054</v>
      </c>
      <c r="E265" t="s">
        <v>47</v>
      </c>
      <c r="F265" t="s">
        <v>1971</v>
      </c>
      <c r="G265" t="str">
        <f>INDEX(Risk_Matrix!$B$2:$D$4,MATCH(E265,Risk_Matrix!$A$2:$A$4,0),MATCH(F265,Risk_Matrix!$B$1:$D$1,0))</f>
        <v>High</v>
      </c>
      <c r="H265" s="1">
        <v>46227</v>
      </c>
      <c r="I265" t="s">
        <v>2015</v>
      </c>
      <c r="J265" t="s">
        <v>2016</v>
      </c>
      <c r="K265" t="s">
        <v>2010</v>
      </c>
      <c r="L265">
        <f>IF(G265="High",3,IF(G265="Medium",2,1))</f>
        <v>3</v>
      </c>
    </row>
    <row r="266" spans="1:12">
      <c r="A266" t="s">
        <v>2292</v>
      </c>
      <c r="B266" t="s">
        <v>715</v>
      </c>
      <c r="C266" t="s">
        <v>1985</v>
      </c>
      <c r="D266" t="s">
        <v>1986</v>
      </c>
      <c r="E266" t="s">
        <v>1971</v>
      </c>
      <c r="F266" t="s">
        <v>57</v>
      </c>
      <c r="G266" t="str">
        <f>INDEX(Risk_Matrix!$B$2:$D$4,MATCH(E266,Risk_Matrix!$A$2:$A$4,0),MATCH(F266,Risk_Matrix!$B$1:$D$1,0))</f>
        <v>Low</v>
      </c>
      <c r="H266" s="1">
        <v>46219</v>
      </c>
      <c r="I266" t="s">
        <v>1987</v>
      </c>
      <c r="J266" t="s">
        <v>1988</v>
      </c>
      <c r="K266" t="s">
        <v>1998</v>
      </c>
      <c r="L266">
        <f>IF(G266="High",3,IF(G266="Medium",2,1))</f>
        <v>1</v>
      </c>
    </row>
    <row r="267" spans="1:12">
      <c r="A267" t="s">
        <v>2293</v>
      </c>
      <c r="B267" t="s">
        <v>715</v>
      </c>
      <c r="C267" t="s">
        <v>1991</v>
      </c>
      <c r="D267" t="s">
        <v>2064</v>
      </c>
      <c r="E267" t="s">
        <v>47</v>
      </c>
      <c r="F267" t="s">
        <v>1971</v>
      </c>
      <c r="G267" t="str">
        <f>INDEX(Risk_Matrix!$B$2:$D$4,MATCH(E267,Risk_Matrix!$A$2:$A$4,0),MATCH(F267,Risk_Matrix!$B$1:$D$1,0))</f>
        <v>High</v>
      </c>
      <c r="H267" s="1">
        <v>46195</v>
      </c>
      <c r="I267" t="s">
        <v>2015</v>
      </c>
      <c r="J267" t="s">
        <v>2016</v>
      </c>
      <c r="K267" t="s">
        <v>1993</v>
      </c>
      <c r="L267">
        <f>IF(G267="High",3,IF(G267="Medium",2,1))</f>
        <v>3</v>
      </c>
    </row>
    <row r="268" spans="1:12">
      <c r="A268" t="s">
        <v>2294</v>
      </c>
      <c r="B268" t="s">
        <v>715</v>
      </c>
      <c r="C268" t="s">
        <v>1995</v>
      </c>
      <c r="D268" t="s">
        <v>2034</v>
      </c>
      <c r="E268" t="s">
        <v>57</v>
      </c>
      <c r="F268" t="s">
        <v>57</v>
      </c>
      <c r="G268" t="str">
        <f>INDEX(Risk_Matrix!$B$2:$D$4,MATCH(E268,Risk_Matrix!$A$2:$A$4,0),MATCH(F268,Risk_Matrix!$B$1:$D$1,0))</f>
        <v>Low</v>
      </c>
      <c r="H268" s="1">
        <v>46123</v>
      </c>
      <c r="I268" t="s">
        <v>1987</v>
      </c>
      <c r="J268" t="s">
        <v>1997</v>
      </c>
      <c r="K268" t="s">
        <v>2036</v>
      </c>
      <c r="L268">
        <f>IF(G268="High",3,IF(G268="Medium",2,1))</f>
        <v>1</v>
      </c>
    </row>
    <row r="269" spans="1:12">
      <c r="A269" t="s">
        <v>2295</v>
      </c>
      <c r="B269" t="s">
        <v>715</v>
      </c>
      <c r="C269" t="s">
        <v>2000</v>
      </c>
      <c r="D269" t="s">
        <v>2020</v>
      </c>
      <c r="E269" t="s">
        <v>1971</v>
      </c>
      <c r="F269" t="s">
        <v>57</v>
      </c>
      <c r="G269" t="str">
        <f>INDEX(Risk_Matrix!$B$2:$D$4,MATCH(E269,Risk_Matrix!$A$2:$A$4,0),MATCH(F269,Risk_Matrix!$B$1:$D$1,0))</f>
        <v>Low</v>
      </c>
      <c r="H269" s="1">
        <v>46184</v>
      </c>
      <c r="I269" t="s">
        <v>2015</v>
      </c>
      <c r="J269" t="s">
        <v>2032</v>
      </c>
      <c r="K269" t="s">
        <v>1993</v>
      </c>
      <c r="L269">
        <f>IF(G269="High",3,IF(G269="Medium",2,1))</f>
        <v>1</v>
      </c>
    </row>
    <row r="270" spans="1:12">
      <c r="A270" t="s">
        <v>2296</v>
      </c>
      <c r="B270" t="s">
        <v>715</v>
      </c>
      <c r="C270" t="s">
        <v>2005</v>
      </c>
      <c r="D270" t="s">
        <v>2039</v>
      </c>
      <c r="E270" t="s">
        <v>47</v>
      </c>
      <c r="F270" t="s">
        <v>1971</v>
      </c>
      <c r="G270" t="str">
        <f>INDEX(Risk_Matrix!$B$2:$D$4,MATCH(E270,Risk_Matrix!$A$2:$A$4,0),MATCH(F270,Risk_Matrix!$B$1:$D$1,0))</f>
        <v>High</v>
      </c>
      <c r="H270" s="1">
        <v>46056</v>
      </c>
      <c r="I270" t="s">
        <v>2025</v>
      </c>
      <c r="J270" t="s">
        <v>2035</v>
      </c>
      <c r="K270" t="s">
        <v>1993</v>
      </c>
      <c r="L270">
        <f>IF(G270="High",3,IF(G270="Medium",2,1))</f>
        <v>3</v>
      </c>
    </row>
    <row r="271" spans="1:12">
      <c r="A271" t="s">
        <v>2297</v>
      </c>
      <c r="B271" t="s">
        <v>715</v>
      </c>
      <c r="C271" t="s">
        <v>2008</v>
      </c>
      <c r="D271" t="s">
        <v>2054</v>
      </c>
      <c r="E271" t="s">
        <v>57</v>
      </c>
      <c r="F271" t="s">
        <v>57</v>
      </c>
      <c r="G271" t="str">
        <f>INDEX(Risk_Matrix!$B$2:$D$4,MATCH(E271,Risk_Matrix!$A$2:$A$4,0),MATCH(F271,Risk_Matrix!$B$1:$D$1,0))</f>
        <v>Low</v>
      </c>
      <c r="H271" s="1">
        <v>46117</v>
      </c>
      <c r="I271" t="s">
        <v>2002</v>
      </c>
      <c r="J271" t="s">
        <v>2029</v>
      </c>
      <c r="K271" t="s">
        <v>2010</v>
      </c>
      <c r="L271">
        <f>IF(G271="High",3,IF(G271="Medium",2,1))</f>
        <v>1</v>
      </c>
    </row>
    <row r="272" spans="1:12">
      <c r="A272" t="s">
        <v>2298</v>
      </c>
      <c r="B272" t="s">
        <v>717</v>
      </c>
      <c r="C272" t="s">
        <v>1985</v>
      </c>
      <c r="D272" t="s">
        <v>2062</v>
      </c>
      <c r="E272" t="s">
        <v>47</v>
      </c>
      <c r="F272" t="s">
        <v>47</v>
      </c>
      <c r="G272" t="str">
        <f>INDEX(Risk_Matrix!$B$2:$D$4,MATCH(E272,Risk_Matrix!$A$2:$A$4,0),MATCH(F272,Risk_Matrix!$B$1:$D$1,0))</f>
        <v>High</v>
      </c>
      <c r="H272" s="1">
        <v>46224</v>
      </c>
      <c r="I272" t="s">
        <v>2025</v>
      </c>
      <c r="J272" t="s">
        <v>2026</v>
      </c>
      <c r="K272" t="s">
        <v>1998</v>
      </c>
      <c r="L272">
        <f>IF(G272="High",3,IF(G272="Medium",2,1))</f>
        <v>3</v>
      </c>
    </row>
    <row r="273" spans="1:12">
      <c r="A273" t="s">
        <v>2299</v>
      </c>
      <c r="B273" t="s">
        <v>717</v>
      </c>
      <c r="C273" t="s">
        <v>1991</v>
      </c>
      <c r="D273" t="s">
        <v>2064</v>
      </c>
      <c r="E273" t="s">
        <v>47</v>
      </c>
      <c r="F273" t="s">
        <v>1971</v>
      </c>
      <c r="G273" t="str">
        <f>INDEX(Risk_Matrix!$B$2:$D$4,MATCH(E273,Risk_Matrix!$A$2:$A$4,0),MATCH(F273,Risk_Matrix!$B$1:$D$1,0))</f>
        <v>High</v>
      </c>
      <c r="H273" s="1">
        <v>46063</v>
      </c>
      <c r="I273" t="s">
        <v>2025</v>
      </c>
      <c r="J273" t="s">
        <v>2035</v>
      </c>
      <c r="K273" t="s">
        <v>2010</v>
      </c>
      <c r="L273">
        <f>IF(G273="High",3,IF(G273="Medium",2,1))</f>
        <v>3</v>
      </c>
    </row>
    <row r="274" spans="1:12">
      <c r="A274" t="s">
        <v>2300</v>
      </c>
      <c r="B274" t="s">
        <v>717</v>
      </c>
      <c r="C274" t="s">
        <v>1995</v>
      </c>
      <c r="D274" t="s">
        <v>2018</v>
      </c>
      <c r="E274" t="s">
        <v>57</v>
      </c>
      <c r="F274" t="s">
        <v>1971</v>
      </c>
      <c r="G274" t="str">
        <f>INDEX(Risk_Matrix!$B$2:$D$4,MATCH(E274,Risk_Matrix!$A$2:$A$4,0),MATCH(F274,Risk_Matrix!$B$1:$D$1,0))</f>
        <v>Low</v>
      </c>
      <c r="H274" s="1">
        <v>46058</v>
      </c>
      <c r="I274" t="s">
        <v>2025</v>
      </c>
      <c r="J274" t="s">
        <v>2026</v>
      </c>
      <c r="K274" t="s">
        <v>1998</v>
      </c>
      <c r="L274">
        <f>IF(G274="High",3,IF(G274="Medium",2,1))</f>
        <v>1</v>
      </c>
    </row>
    <row r="275" spans="1:12">
      <c r="A275" t="s">
        <v>2301</v>
      </c>
      <c r="B275" t="s">
        <v>717</v>
      </c>
      <c r="C275" t="s">
        <v>2000</v>
      </c>
      <c r="D275" t="s">
        <v>2045</v>
      </c>
      <c r="E275" t="s">
        <v>47</v>
      </c>
      <c r="F275" t="s">
        <v>57</v>
      </c>
      <c r="G275" t="str">
        <f>INDEX(Risk_Matrix!$B$2:$D$4,MATCH(E275,Risk_Matrix!$A$2:$A$4,0),MATCH(F275,Risk_Matrix!$B$1:$D$1,0))</f>
        <v>Medium</v>
      </c>
      <c r="H275" s="1">
        <v>46233</v>
      </c>
      <c r="I275" t="s">
        <v>2015</v>
      </c>
      <c r="J275" t="s">
        <v>2016</v>
      </c>
      <c r="K275" t="s">
        <v>1989</v>
      </c>
      <c r="L275">
        <f>IF(G275="High",3,IF(G275="Medium",2,1))</f>
        <v>2</v>
      </c>
    </row>
    <row r="276" spans="1:12">
      <c r="A276" t="s">
        <v>2302</v>
      </c>
      <c r="B276" t="s">
        <v>717</v>
      </c>
      <c r="C276" t="s">
        <v>2005</v>
      </c>
      <c r="D276" t="s">
        <v>2022</v>
      </c>
      <c r="E276" t="s">
        <v>1971</v>
      </c>
      <c r="F276" t="s">
        <v>47</v>
      </c>
      <c r="G276" t="str">
        <f>INDEX(Risk_Matrix!$B$2:$D$4,MATCH(E276,Risk_Matrix!$A$2:$A$4,0),MATCH(F276,Risk_Matrix!$B$1:$D$1,0))</f>
        <v>High</v>
      </c>
      <c r="H276" s="1">
        <v>46216</v>
      </c>
      <c r="I276" t="s">
        <v>2025</v>
      </c>
      <c r="J276" t="s">
        <v>2026</v>
      </c>
      <c r="K276" t="s">
        <v>2036</v>
      </c>
      <c r="L276">
        <f>IF(G276="High",3,IF(G276="Medium",2,1))</f>
        <v>3</v>
      </c>
    </row>
    <row r="277" spans="1:12">
      <c r="A277" t="s">
        <v>2303</v>
      </c>
      <c r="B277" t="s">
        <v>717</v>
      </c>
      <c r="C277" t="s">
        <v>2008</v>
      </c>
      <c r="D277" t="s">
        <v>2024</v>
      </c>
      <c r="E277" t="s">
        <v>47</v>
      </c>
      <c r="F277" t="s">
        <v>57</v>
      </c>
      <c r="G277" t="str">
        <f>INDEX(Risk_Matrix!$B$2:$D$4,MATCH(E277,Risk_Matrix!$A$2:$A$4,0),MATCH(F277,Risk_Matrix!$B$1:$D$1,0))</f>
        <v>Medium</v>
      </c>
      <c r="H277" s="1">
        <v>46232</v>
      </c>
      <c r="I277" t="s">
        <v>1987</v>
      </c>
      <c r="J277" t="s">
        <v>1988</v>
      </c>
      <c r="K277" t="s">
        <v>2010</v>
      </c>
      <c r="L277">
        <f>IF(G277="High",3,IF(G277="Medium",2,1))</f>
        <v>2</v>
      </c>
    </row>
    <row r="278" spans="1:12">
      <c r="A278" t="s">
        <v>2304</v>
      </c>
      <c r="B278" t="s">
        <v>719</v>
      </c>
      <c r="C278" t="s">
        <v>1985</v>
      </c>
      <c r="D278" t="s">
        <v>1986</v>
      </c>
      <c r="E278" t="s">
        <v>47</v>
      </c>
      <c r="F278" t="s">
        <v>1971</v>
      </c>
      <c r="G278" t="str">
        <f>INDEX(Risk_Matrix!$B$2:$D$4,MATCH(E278,Risk_Matrix!$A$2:$A$4,0),MATCH(F278,Risk_Matrix!$B$1:$D$1,0))</f>
        <v>High</v>
      </c>
      <c r="H278" s="1">
        <v>46155</v>
      </c>
      <c r="I278" t="s">
        <v>2025</v>
      </c>
      <c r="J278" t="s">
        <v>2026</v>
      </c>
      <c r="K278" t="s">
        <v>1998</v>
      </c>
      <c r="L278">
        <f>IF(G278="High",3,IF(G278="Medium",2,1))</f>
        <v>3</v>
      </c>
    </row>
    <row r="279" spans="1:12">
      <c r="A279" t="s">
        <v>2305</v>
      </c>
      <c r="B279" t="s">
        <v>719</v>
      </c>
      <c r="C279" t="s">
        <v>1991</v>
      </c>
      <c r="D279" t="s">
        <v>2014</v>
      </c>
      <c r="E279" t="s">
        <v>1971</v>
      </c>
      <c r="F279" t="s">
        <v>1971</v>
      </c>
      <c r="G279" t="str">
        <f>INDEX(Risk_Matrix!$B$2:$D$4,MATCH(E279,Risk_Matrix!$A$2:$A$4,0),MATCH(F279,Risk_Matrix!$B$1:$D$1,0))</f>
        <v>Medium</v>
      </c>
      <c r="H279" s="1">
        <v>46174</v>
      </c>
      <c r="I279" t="s">
        <v>2015</v>
      </c>
      <c r="J279" t="s">
        <v>2032</v>
      </c>
      <c r="K279" t="s">
        <v>2010</v>
      </c>
      <c r="L279">
        <f>IF(G279="High",3,IF(G279="Medium",2,1))</f>
        <v>2</v>
      </c>
    </row>
    <row r="280" spans="1:12">
      <c r="A280" t="s">
        <v>2306</v>
      </c>
      <c r="B280" t="s">
        <v>719</v>
      </c>
      <c r="C280" t="s">
        <v>1995</v>
      </c>
      <c r="D280" t="s">
        <v>2018</v>
      </c>
      <c r="E280" t="s">
        <v>1971</v>
      </c>
      <c r="F280" t="s">
        <v>57</v>
      </c>
      <c r="G280" t="str">
        <f>INDEX(Risk_Matrix!$B$2:$D$4,MATCH(E280,Risk_Matrix!$A$2:$A$4,0),MATCH(F280,Risk_Matrix!$B$1:$D$1,0))</f>
        <v>Low</v>
      </c>
      <c r="H280" s="1">
        <v>46143</v>
      </c>
      <c r="I280" t="s">
        <v>1987</v>
      </c>
      <c r="J280" t="s">
        <v>1997</v>
      </c>
      <c r="K280" t="s">
        <v>2036</v>
      </c>
      <c r="L280">
        <f>IF(G280="High",3,IF(G280="Medium",2,1))</f>
        <v>1</v>
      </c>
    </row>
    <row r="281" spans="1:12">
      <c r="A281" t="s">
        <v>2307</v>
      </c>
      <c r="B281" t="s">
        <v>719</v>
      </c>
      <c r="C281" t="s">
        <v>2000</v>
      </c>
      <c r="D281" t="s">
        <v>2045</v>
      </c>
      <c r="E281" t="s">
        <v>1971</v>
      </c>
      <c r="F281" t="s">
        <v>57</v>
      </c>
      <c r="G281" t="str">
        <f>INDEX(Risk_Matrix!$B$2:$D$4,MATCH(E281,Risk_Matrix!$A$2:$A$4,0),MATCH(F281,Risk_Matrix!$B$1:$D$1,0))</f>
        <v>Low</v>
      </c>
      <c r="H281" s="1">
        <v>46205</v>
      </c>
      <c r="I281" t="s">
        <v>2025</v>
      </c>
      <c r="J281" t="s">
        <v>2035</v>
      </c>
      <c r="K281" t="s">
        <v>1993</v>
      </c>
      <c r="L281">
        <f>IF(G281="High",3,IF(G281="Medium",2,1))</f>
        <v>1</v>
      </c>
    </row>
    <row r="282" spans="1:12">
      <c r="A282" t="s">
        <v>2308</v>
      </c>
      <c r="B282" t="s">
        <v>719</v>
      </c>
      <c r="C282" t="s">
        <v>2005</v>
      </c>
      <c r="D282" t="s">
        <v>2006</v>
      </c>
      <c r="E282" t="s">
        <v>57</v>
      </c>
      <c r="F282" t="s">
        <v>1971</v>
      </c>
      <c r="G282" t="str">
        <f>INDEX(Risk_Matrix!$B$2:$D$4,MATCH(E282,Risk_Matrix!$A$2:$A$4,0),MATCH(F282,Risk_Matrix!$B$1:$D$1,0))</f>
        <v>Low</v>
      </c>
      <c r="H282" s="1">
        <v>46141</v>
      </c>
      <c r="I282" t="s">
        <v>2002</v>
      </c>
      <c r="J282" t="s">
        <v>2029</v>
      </c>
      <c r="K282" t="s">
        <v>1993</v>
      </c>
      <c r="L282">
        <f>IF(G282="High",3,IF(G282="Medium",2,1))</f>
        <v>1</v>
      </c>
    </row>
    <row r="283" spans="1:12">
      <c r="A283" t="s">
        <v>2309</v>
      </c>
      <c r="B283" t="s">
        <v>719</v>
      </c>
      <c r="C283" t="s">
        <v>2008</v>
      </c>
      <c r="D283" t="s">
        <v>2024</v>
      </c>
      <c r="E283" t="s">
        <v>47</v>
      </c>
      <c r="F283" t="s">
        <v>57</v>
      </c>
      <c r="G283" t="str">
        <f>INDEX(Risk_Matrix!$B$2:$D$4,MATCH(E283,Risk_Matrix!$A$2:$A$4,0),MATCH(F283,Risk_Matrix!$B$1:$D$1,0))</f>
        <v>Medium</v>
      </c>
      <c r="H283" s="1">
        <v>46144</v>
      </c>
      <c r="I283" t="s">
        <v>2025</v>
      </c>
      <c r="J283" t="s">
        <v>2026</v>
      </c>
      <c r="K283" t="s">
        <v>2010</v>
      </c>
      <c r="L283">
        <f>IF(G283="High",3,IF(G283="Medium",2,1))</f>
        <v>2</v>
      </c>
    </row>
    <row r="284" spans="1:12">
      <c r="A284" t="s">
        <v>2310</v>
      </c>
      <c r="B284" t="s">
        <v>721</v>
      </c>
      <c r="C284" t="s">
        <v>1985</v>
      </c>
      <c r="D284" t="s">
        <v>2062</v>
      </c>
      <c r="E284" t="s">
        <v>47</v>
      </c>
      <c r="F284" t="s">
        <v>1971</v>
      </c>
      <c r="G284" t="str">
        <f>INDEX(Risk_Matrix!$B$2:$D$4,MATCH(E284,Risk_Matrix!$A$2:$A$4,0),MATCH(F284,Risk_Matrix!$B$1:$D$1,0))</f>
        <v>High</v>
      </c>
      <c r="H284" s="1">
        <v>46174</v>
      </c>
      <c r="I284" t="s">
        <v>2015</v>
      </c>
      <c r="J284" t="s">
        <v>2016</v>
      </c>
      <c r="K284" t="s">
        <v>1989</v>
      </c>
      <c r="L284">
        <f>IF(G284="High",3,IF(G284="Medium",2,1))</f>
        <v>3</v>
      </c>
    </row>
    <row r="285" spans="1:12">
      <c r="A285" t="s">
        <v>2311</v>
      </c>
      <c r="B285" t="s">
        <v>721</v>
      </c>
      <c r="C285" t="s">
        <v>1991</v>
      </c>
      <c r="D285" t="s">
        <v>2014</v>
      </c>
      <c r="E285" t="s">
        <v>1971</v>
      </c>
      <c r="F285" t="s">
        <v>47</v>
      </c>
      <c r="G285" t="str">
        <f>INDEX(Risk_Matrix!$B$2:$D$4,MATCH(E285,Risk_Matrix!$A$2:$A$4,0),MATCH(F285,Risk_Matrix!$B$1:$D$1,0))</f>
        <v>High</v>
      </c>
      <c r="H285" s="1">
        <v>46126</v>
      </c>
      <c r="I285" t="s">
        <v>2025</v>
      </c>
      <c r="J285" t="s">
        <v>2026</v>
      </c>
      <c r="K285" t="s">
        <v>2010</v>
      </c>
      <c r="L285">
        <f>IF(G285="High",3,IF(G285="Medium",2,1))</f>
        <v>3</v>
      </c>
    </row>
    <row r="286" spans="1:12">
      <c r="A286" t="s">
        <v>2312</v>
      </c>
      <c r="B286" t="s">
        <v>721</v>
      </c>
      <c r="C286" t="s">
        <v>1995</v>
      </c>
      <c r="D286" t="s">
        <v>2034</v>
      </c>
      <c r="E286" t="s">
        <v>1971</v>
      </c>
      <c r="F286" t="s">
        <v>57</v>
      </c>
      <c r="G286" t="str">
        <f>INDEX(Risk_Matrix!$B$2:$D$4,MATCH(E286,Risk_Matrix!$A$2:$A$4,0),MATCH(F286,Risk_Matrix!$B$1:$D$1,0))</f>
        <v>Low</v>
      </c>
      <c r="H286" s="1">
        <v>46177</v>
      </c>
      <c r="I286" t="s">
        <v>2015</v>
      </c>
      <c r="J286" t="s">
        <v>2016</v>
      </c>
      <c r="K286" t="s">
        <v>1998</v>
      </c>
      <c r="L286">
        <f>IF(G286="High",3,IF(G286="Medium",2,1))</f>
        <v>1</v>
      </c>
    </row>
    <row r="287" spans="1:12">
      <c r="A287" t="s">
        <v>2313</v>
      </c>
      <c r="B287" t="s">
        <v>721</v>
      </c>
      <c r="C287" t="s">
        <v>2000</v>
      </c>
      <c r="D287" t="s">
        <v>2001</v>
      </c>
      <c r="E287" t="s">
        <v>1971</v>
      </c>
      <c r="F287" t="s">
        <v>1971</v>
      </c>
      <c r="G287" t="str">
        <f>INDEX(Risk_Matrix!$B$2:$D$4,MATCH(E287,Risk_Matrix!$A$2:$A$4,0),MATCH(F287,Risk_Matrix!$B$1:$D$1,0))</f>
        <v>Medium</v>
      </c>
      <c r="H287" s="1">
        <v>46177</v>
      </c>
      <c r="I287" t="s">
        <v>2025</v>
      </c>
      <c r="J287" t="s">
        <v>2026</v>
      </c>
      <c r="K287" t="s">
        <v>1993</v>
      </c>
      <c r="L287">
        <f>IF(G287="High",3,IF(G287="Medium",2,1))</f>
        <v>2</v>
      </c>
    </row>
    <row r="288" spans="1:12">
      <c r="A288" t="s">
        <v>2314</v>
      </c>
      <c r="B288" t="s">
        <v>721</v>
      </c>
      <c r="C288" t="s">
        <v>2005</v>
      </c>
      <c r="D288" t="s">
        <v>2039</v>
      </c>
      <c r="E288" t="s">
        <v>1971</v>
      </c>
      <c r="F288" t="s">
        <v>1971</v>
      </c>
      <c r="G288" t="str">
        <f>INDEX(Risk_Matrix!$B$2:$D$4,MATCH(E288,Risk_Matrix!$A$2:$A$4,0),MATCH(F288,Risk_Matrix!$B$1:$D$1,0))</f>
        <v>Medium</v>
      </c>
      <c r="H288" s="1">
        <v>46168</v>
      </c>
      <c r="I288" t="s">
        <v>2015</v>
      </c>
      <c r="J288" t="s">
        <v>2032</v>
      </c>
      <c r="K288" t="s">
        <v>1993</v>
      </c>
      <c r="L288">
        <f>IF(G288="High",3,IF(G288="Medium",2,1))</f>
        <v>2</v>
      </c>
    </row>
    <row r="289" spans="1:12">
      <c r="A289" t="s">
        <v>2315</v>
      </c>
      <c r="B289" t="s">
        <v>721</v>
      </c>
      <c r="C289" t="s">
        <v>2008</v>
      </c>
      <c r="D289" t="s">
        <v>2024</v>
      </c>
      <c r="E289" t="s">
        <v>57</v>
      </c>
      <c r="F289" t="s">
        <v>47</v>
      </c>
      <c r="G289" t="str">
        <f>INDEX(Risk_Matrix!$B$2:$D$4,MATCH(E289,Risk_Matrix!$A$2:$A$4,0),MATCH(F289,Risk_Matrix!$B$1:$D$1,0))</f>
        <v>Medium</v>
      </c>
      <c r="H289" s="1">
        <v>46184</v>
      </c>
      <c r="I289" t="s">
        <v>2025</v>
      </c>
      <c r="J289" t="s">
        <v>2035</v>
      </c>
      <c r="K289" t="s">
        <v>2010</v>
      </c>
      <c r="L289">
        <f>IF(G289="High",3,IF(G289="Medium",2,1))</f>
        <v>2</v>
      </c>
    </row>
    <row r="290" spans="1:12">
      <c r="A290" t="s">
        <v>2316</v>
      </c>
      <c r="B290" t="s">
        <v>723</v>
      </c>
      <c r="C290" t="s">
        <v>1985</v>
      </c>
      <c r="D290" t="s">
        <v>1986</v>
      </c>
      <c r="E290" t="s">
        <v>57</v>
      </c>
      <c r="F290" t="s">
        <v>47</v>
      </c>
      <c r="G290" t="str">
        <f>INDEX(Risk_Matrix!$B$2:$D$4,MATCH(E290,Risk_Matrix!$A$2:$A$4,0),MATCH(F290,Risk_Matrix!$B$1:$D$1,0))</f>
        <v>Medium</v>
      </c>
      <c r="H290" s="1">
        <v>46119</v>
      </c>
      <c r="I290" t="s">
        <v>2025</v>
      </c>
      <c r="J290" t="s">
        <v>2035</v>
      </c>
      <c r="K290" t="s">
        <v>1998</v>
      </c>
      <c r="L290">
        <f>IF(G290="High",3,IF(G290="Medium",2,1))</f>
        <v>2</v>
      </c>
    </row>
    <row r="291" spans="1:12">
      <c r="A291" t="s">
        <v>2317</v>
      </c>
      <c r="B291" t="s">
        <v>723</v>
      </c>
      <c r="C291" t="s">
        <v>1991</v>
      </c>
      <c r="D291" t="s">
        <v>2064</v>
      </c>
      <c r="E291" t="s">
        <v>57</v>
      </c>
      <c r="F291" t="s">
        <v>57</v>
      </c>
      <c r="G291" t="str">
        <f>INDEX(Risk_Matrix!$B$2:$D$4,MATCH(E291,Risk_Matrix!$A$2:$A$4,0),MATCH(F291,Risk_Matrix!$B$1:$D$1,0))</f>
        <v>Low</v>
      </c>
      <c r="H291" s="1">
        <v>46123</v>
      </c>
      <c r="I291" t="s">
        <v>1987</v>
      </c>
      <c r="J291" t="s">
        <v>1997</v>
      </c>
      <c r="K291" t="s">
        <v>2010</v>
      </c>
      <c r="L291">
        <f>IF(G291="High",3,IF(G291="Medium",2,1))</f>
        <v>1</v>
      </c>
    </row>
    <row r="292" spans="1:12">
      <c r="A292" t="s">
        <v>2318</v>
      </c>
      <c r="B292" t="s">
        <v>723</v>
      </c>
      <c r="C292" t="s">
        <v>1995</v>
      </c>
      <c r="D292" t="s">
        <v>2150</v>
      </c>
      <c r="E292" t="s">
        <v>57</v>
      </c>
      <c r="F292" t="s">
        <v>57</v>
      </c>
      <c r="G292" t="str">
        <f>INDEX(Risk_Matrix!$B$2:$D$4,MATCH(E292,Risk_Matrix!$A$2:$A$4,0),MATCH(F292,Risk_Matrix!$B$1:$D$1,0))</f>
        <v>Low</v>
      </c>
      <c r="H292" s="1">
        <v>46183</v>
      </c>
      <c r="I292" t="s">
        <v>2002</v>
      </c>
      <c r="J292" t="s">
        <v>2029</v>
      </c>
      <c r="K292" t="s">
        <v>2036</v>
      </c>
      <c r="L292">
        <f>IF(G292="High",3,IF(G292="Medium",2,1))</f>
        <v>1</v>
      </c>
    </row>
    <row r="293" spans="1:12">
      <c r="A293" t="s">
        <v>2319</v>
      </c>
      <c r="B293" t="s">
        <v>723</v>
      </c>
      <c r="C293" t="s">
        <v>2000</v>
      </c>
      <c r="D293" t="s">
        <v>2001</v>
      </c>
      <c r="E293" t="s">
        <v>57</v>
      </c>
      <c r="F293" t="s">
        <v>1971</v>
      </c>
      <c r="G293" t="str">
        <f>INDEX(Risk_Matrix!$B$2:$D$4,MATCH(E293,Risk_Matrix!$A$2:$A$4,0),MATCH(F293,Risk_Matrix!$B$1:$D$1,0))</f>
        <v>Low</v>
      </c>
      <c r="H293" s="1">
        <v>46113</v>
      </c>
      <c r="I293" t="s">
        <v>2025</v>
      </c>
      <c r="J293" t="s">
        <v>2026</v>
      </c>
      <c r="K293" t="s">
        <v>1989</v>
      </c>
      <c r="L293">
        <f>IF(G293="High",3,IF(G293="Medium",2,1))</f>
        <v>1</v>
      </c>
    </row>
    <row r="294" spans="1:12">
      <c r="A294" t="s">
        <v>2320</v>
      </c>
      <c r="B294" t="s">
        <v>723</v>
      </c>
      <c r="C294" t="s">
        <v>2005</v>
      </c>
      <c r="D294" t="s">
        <v>2039</v>
      </c>
      <c r="E294" t="s">
        <v>1971</v>
      </c>
      <c r="F294" t="s">
        <v>1971</v>
      </c>
      <c r="G294" t="str">
        <f>INDEX(Risk_Matrix!$B$2:$D$4,MATCH(E294,Risk_Matrix!$A$2:$A$4,0),MATCH(F294,Risk_Matrix!$B$1:$D$1,0))</f>
        <v>Medium</v>
      </c>
      <c r="H294" s="1">
        <v>46147</v>
      </c>
      <c r="I294" t="s">
        <v>1987</v>
      </c>
      <c r="J294" t="s">
        <v>1997</v>
      </c>
      <c r="K294" t="s">
        <v>1993</v>
      </c>
      <c r="L294">
        <f>IF(G294="High",3,IF(G294="Medium",2,1))</f>
        <v>2</v>
      </c>
    </row>
    <row r="295" spans="1:12">
      <c r="A295" t="s">
        <v>2321</v>
      </c>
      <c r="B295" t="s">
        <v>723</v>
      </c>
      <c r="C295" t="s">
        <v>2008</v>
      </c>
      <c r="D295" t="s">
        <v>2054</v>
      </c>
      <c r="E295" t="s">
        <v>57</v>
      </c>
      <c r="F295" t="s">
        <v>1971</v>
      </c>
      <c r="G295" t="str">
        <f>INDEX(Risk_Matrix!$B$2:$D$4,MATCH(E295,Risk_Matrix!$A$2:$A$4,0),MATCH(F295,Risk_Matrix!$B$1:$D$1,0))</f>
        <v>Low</v>
      </c>
      <c r="H295" s="1">
        <v>46235</v>
      </c>
      <c r="I295" t="s">
        <v>2015</v>
      </c>
      <c r="J295" t="s">
        <v>2032</v>
      </c>
      <c r="K295" t="s">
        <v>2010</v>
      </c>
      <c r="L295">
        <f>IF(G295="High",3,IF(G295="Medium",2,1))</f>
        <v>1</v>
      </c>
    </row>
    <row r="296" spans="1:12">
      <c r="A296" t="s">
        <v>2322</v>
      </c>
      <c r="B296" t="s">
        <v>726</v>
      </c>
      <c r="C296" t="s">
        <v>1985</v>
      </c>
      <c r="D296" t="s">
        <v>1986</v>
      </c>
      <c r="E296" t="s">
        <v>1971</v>
      </c>
      <c r="F296" t="s">
        <v>47</v>
      </c>
      <c r="G296" t="str">
        <f>INDEX(Risk_Matrix!$B$2:$D$4,MATCH(E296,Risk_Matrix!$A$2:$A$4,0),MATCH(F296,Risk_Matrix!$B$1:$D$1,0))</f>
        <v>High</v>
      </c>
      <c r="H296" s="1">
        <v>46181</v>
      </c>
      <c r="I296" t="s">
        <v>2015</v>
      </c>
      <c r="J296" t="s">
        <v>2016</v>
      </c>
      <c r="K296" t="s">
        <v>1998</v>
      </c>
      <c r="L296">
        <f>IF(G296="High",3,IF(G296="Medium",2,1))</f>
        <v>3</v>
      </c>
    </row>
    <row r="297" spans="1:12">
      <c r="A297" t="s">
        <v>2323</v>
      </c>
      <c r="B297" t="s">
        <v>726</v>
      </c>
      <c r="C297" t="s">
        <v>1991</v>
      </c>
      <c r="D297" t="s">
        <v>2031</v>
      </c>
      <c r="E297" t="s">
        <v>1971</v>
      </c>
      <c r="F297" t="s">
        <v>57</v>
      </c>
      <c r="G297" t="str">
        <f>INDEX(Risk_Matrix!$B$2:$D$4,MATCH(E297,Risk_Matrix!$A$2:$A$4,0),MATCH(F297,Risk_Matrix!$B$1:$D$1,0))</f>
        <v>Low</v>
      </c>
      <c r="H297" s="1">
        <v>46163</v>
      </c>
      <c r="I297" t="s">
        <v>1987</v>
      </c>
      <c r="J297" t="s">
        <v>1988</v>
      </c>
      <c r="K297" t="s">
        <v>1993</v>
      </c>
      <c r="L297">
        <f>IF(G297="High",3,IF(G297="Medium",2,1))</f>
        <v>1</v>
      </c>
    </row>
    <row r="298" spans="1:12">
      <c r="A298" t="s">
        <v>2324</v>
      </c>
      <c r="B298" t="s">
        <v>726</v>
      </c>
      <c r="C298" t="s">
        <v>1995</v>
      </c>
      <c r="D298" t="s">
        <v>2150</v>
      </c>
      <c r="E298" t="s">
        <v>1971</v>
      </c>
      <c r="F298" t="s">
        <v>47</v>
      </c>
      <c r="G298" t="str">
        <f>INDEX(Risk_Matrix!$B$2:$D$4,MATCH(E298,Risk_Matrix!$A$2:$A$4,0),MATCH(F298,Risk_Matrix!$B$1:$D$1,0))</f>
        <v>High</v>
      </c>
      <c r="H298" s="1">
        <v>46153</v>
      </c>
      <c r="I298" t="s">
        <v>2015</v>
      </c>
      <c r="J298" t="s">
        <v>2016</v>
      </c>
      <c r="K298" t="s">
        <v>2036</v>
      </c>
      <c r="L298">
        <f>IF(G298="High",3,IF(G298="Medium",2,1))</f>
        <v>3</v>
      </c>
    </row>
    <row r="299" spans="1:12">
      <c r="A299" t="s">
        <v>2325</v>
      </c>
      <c r="B299" t="s">
        <v>726</v>
      </c>
      <c r="C299" t="s">
        <v>2000</v>
      </c>
      <c r="D299" t="s">
        <v>2020</v>
      </c>
      <c r="E299" t="s">
        <v>57</v>
      </c>
      <c r="F299" t="s">
        <v>57</v>
      </c>
      <c r="G299" t="str">
        <f>INDEX(Risk_Matrix!$B$2:$D$4,MATCH(E299,Risk_Matrix!$A$2:$A$4,0),MATCH(F299,Risk_Matrix!$B$1:$D$1,0))</f>
        <v>Low</v>
      </c>
      <c r="H299" s="1">
        <v>46205</v>
      </c>
      <c r="I299" t="s">
        <v>2015</v>
      </c>
      <c r="J299" t="s">
        <v>2016</v>
      </c>
      <c r="K299" t="s">
        <v>1989</v>
      </c>
      <c r="L299">
        <f>IF(G299="High",3,IF(G299="Medium",2,1))</f>
        <v>1</v>
      </c>
    </row>
    <row r="300" spans="1:12">
      <c r="A300" t="s">
        <v>2326</v>
      </c>
      <c r="B300" t="s">
        <v>726</v>
      </c>
      <c r="C300" t="s">
        <v>2005</v>
      </c>
      <c r="D300" t="s">
        <v>2022</v>
      </c>
      <c r="E300" t="s">
        <v>47</v>
      </c>
      <c r="F300" t="s">
        <v>57</v>
      </c>
      <c r="G300" t="str">
        <f>INDEX(Risk_Matrix!$B$2:$D$4,MATCH(E300,Risk_Matrix!$A$2:$A$4,0),MATCH(F300,Risk_Matrix!$B$1:$D$1,0))</f>
        <v>Medium</v>
      </c>
      <c r="H300" s="1">
        <v>46186</v>
      </c>
      <c r="I300" t="s">
        <v>2015</v>
      </c>
      <c r="J300" t="s">
        <v>2016</v>
      </c>
      <c r="K300" t="s">
        <v>1993</v>
      </c>
      <c r="L300">
        <f>IF(G300="High",3,IF(G300="Medium",2,1))</f>
        <v>2</v>
      </c>
    </row>
    <row r="301" spans="1:12">
      <c r="A301" t="s">
        <v>2327</v>
      </c>
      <c r="B301" t="s">
        <v>726</v>
      </c>
      <c r="C301" t="s">
        <v>2008</v>
      </c>
      <c r="D301" t="s">
        <v>2024</v>
      </c>
      <c r="E301" t="s">
        <v>57</v>
      </c>
      <c r="F301" t="s">
        <v>57</v>
      </c>
      <c r="G301" t="str">
        <f>INDEX(Risk_Matrix!$B$2:$D$4,MATCH(E301,Risk_Matrix!$A$2:$A$4,0),MATCH(F301,Risk_Matrix!$B$1:$D$1,0))</f>
        <v>Low</v>
      </c>
      <c r="H301" s="1">
        <v>46173</v>
      </c>
      <c r="I301" t="s">
        <v>1987</v>
      </c>
      <c r="J301" t="s">
        <v>1997</v>
      </c>
      <c r="K301" t="s">
        <v>2010</v>
      </c>
      <c r="L301">
        <f>IF(G301="High",3,IF(G301="Medium",2,1))</f>
        <v>1</v>
      </c>
    </row>
    <row r="302" spans="1:12">
      <c r="A302" t="s">
        <v>2328</v>
      </c>
      <c r="B302" t="s">
        <v>728</v>
      </c>
      <c r="C302" t="s">
        <v>1985</v>
      </c>
      <c r="D302" t="s">
        <v>2012</v>
      </c>
      <c r="E302" t="s">
        <v>47</v>
      </c>
      <c r="F302" t="s">
        <v>1971</v>
      </c>
      <c r="G302" t="str">
        <f>INDEX(Risk_Matrix!$B$2:$D$4,MATCH(E302,Risk_Matrix!$A$2:$A$4,0),MATCH(F302,Risk_Matrix!$B$1:$D$1,0))</f>
        <v>High</v>
      </c>
      <c r="H302" s="1">
        <v>46080</v>
      </c>
      <c r="I302" t="s">
        <v>2025</v>
      </c>
      <c r="J302" t="s">
        <v>2026</v>
      </c>
      <c r="K302" t="s">
        <v>1998</v>
      </c>
      <c r="L302">
        <f>IF(G302="High",3,IF(G302="Medium",2,1))</f>
        <v>3</v>
      </c>
    </row>
    <row r="303" spans="1:12">
      <c r="A303" t="s">
        <v>2329</v>
      </c>
      <c r="B303" t="s">
        <v>728</v>
      </c>
      <c r="C303" t="s">
        <v>1991</v>
      </c>
      <c r="D303" t="s">
        <v>2031</v>
      </c>
      <c r="E303" t="s">
        <v>47</v>
      </c>
      <c r="F303" t="s">
        <v>47</v>
      </c>
      <c r="G303" t="str">
        <f>INDEX(Risk_Matrix!$B$2:$D$4,MATCH(E303,Risk_Matrix!$A$2:$A$4,0),MATCH(F303,Risk_Matrix!$B$1:$D$1,0))</f>
        <v>High</v>
      </c>
      <c r="H303" s="1">
        <v>46233</v>
      </c>
      <c r="I303" t="s">
        <v>2015</v>
      </c>
      <c r="J303" t="s">
        <v>2032</v>
      </c>
      <c r="K303" t="s">
        <v>1993</v>
      </c>
      <c r="L303">
        <f>IF(G303="High",3,IF(G303="Medium",2,1))</f>
        <v>3</v>
      </c>
    </row>
    <row r="304" spans="1:12">
      <c r="A304" t="s">
        <v>2330</v>
      </c>
      <c r="B304" t="s">
        <v>728</v>
      </c>
      <c r="C304" t="s">
        <v>1995</v>
      </c>
      <c r="D304" t="s">
        <v>2018</v>
      </c>
      <c r="E304" t="s">
        <v>1971</v>
      </c>
      <c r="F304" t="s">
        <v>57</v>
      </c>
      <c r="G304" t="str">
        <f>INDEX(Risk_Matrix!$B$2:$D$4,MATCH(E304,Risk_Matrix!$A$2:$A$4,0),MATCH(F304,Risk_Matrix!$B$1:$D$1,0))</f>
        <v>Low</v>
      </c>
      <c r="H304" s="1">
        <v>46151</v>
      </c>
      <c r="I304" t="s">
        <v>1987</v>
      </c>
      <c r="J304" t="s">
        <v>1988</v>
      </c>
      <c r="K304" t="s">
        <v>2036</v>
      </c>
      <c r="L304">
        <f>IF(G304="High",3,IF(G304="Medium",2,1))</f>
        <v>1</v>
      </c>
    </row>
    <row r="305" spans="1:12">
      <c r="A305" t="s">
        <v>2331</v>
      </c>
      <c r="B305" t="s">
        <v>728</v>
      </c>
      <c r="C305" t="s">
        <v>2000</v>
      </c>
      <c r="D305" t="s">
        <v>2020</v>
      </c>
      <c r="E305" t="s">
        <v>57</v>
      </c>
      <c r="F305" t="s">
        <v>57</v>
      </c>
      <c r="G305" t="str">
        <f>INDEX(Risk_Matrix!$B$2:$D$4,MATCH(E305,Risk_Matrix!$A$2:$A$4,0),MATCH(F305,Risk_Matrix!$B$1:$D$1,0))</f>
        <v>Low</v>
      </c>
      <c r="H305" s="1">
        <v>46070</v>
      </c>
      <c r="I305" t="s">
        <v>1987</v>
      </c>
      <c r="J305" t="s">
        <v>1988</v>
      </c>
      <c r="K305" t="s">
        <v>1989</v>
      </c>
      <c r="L305">
        <f>IF(G305="High",3,IF(G305="Medium",2,1))</f>
        <v>1</v>
      </c>
    </row>
    <row r="306" spans="1:12">
      <c r="A306" t="s">
        <v>2332</v>
      </c>
      <c r="B306" t="s">
        <v>728</v>
      </c>
      <c r="C306" t="s">
        <v>2005</v>
      </c>
      <c r="D306" t="s">
        <v>2006</v>
      </c>
      <c r="E306" t="s">
        <v>1971</v>
      </c>
      <c r="F306" t="s">
        <v>1971</v>
      </c>
      <c r="G306" t="str">
        <f>INDEX(Risk_Matrix!$B$2:$D$4,MATCH(E306,Risk_Matrix!$A$2:$A$4,0),MATCH(F306,Risk_Matrix!$B$1:$D$1,0))</f>
        <v>Medium</v>
      </c>
      <c r="H306" s="1">
        <v>46068</v>
      </c>
      <c r="I306" t="s">
        <v>1987</v>
      </c>
      <c r="J306" t="s">
        <v>1988</v>
      </c>
      <c r="K306" t="s">
        <v>1993</v>
      </c>
      <c r="L306">
        <f>IF(G306="High",3,IF(G306="Medium",2,1))</f>
        <v>2</v>
      </c>
    </row>
    <row r="307" spans="1:12">
      <c r="A307" t="s">
        <v>2333</v>
      </c>
      <c r="B307" t="s">
        <v>728</v>
      </c>
      <c r="C307" t="s">
        <v>2008</v>
      </c>
      <c r="D307" t="s">
        <v>2054</v>
      </c>
      <c r="E307" t="s">
        <v>57</v>
      </c>
      <c r="F307" t="s">
        <v>57</v>
      </c>
      <c r="G307" t="str">
        <f>INDEX(Risk_Matrix!$B$2:$D$4,MATCH(E307,Risk_Matrix!$A$2:$A$4,0),MATCH(F307,Risk_Matrix!$B$1:$D$1,0))</f>
        <v>Low</v>
      </c>
      <c r="H307" s="1">
        <v>46117</v>
      </c>
      <c r="I307" t="s">
        <v>1987</v>
      </c>
      <c r="J307" t="s">
        <v>1988</v>
      </c>
      <c r="K307" t="s">
        <v>2010</v>
      </c>
      <c r="L307">
        <f>IF(G307="High",3,IF(G307="Medium",2,1))</f>
        <v>1</v>
      </c>
    </row>
    <row r="308" spans="1:12">
      <c r="A308" t="s">
        <v>2334</v>
      </c>
      <c r="B308" t="s">
        <v>730</v>
      </c>
      <c r="C308" t="s">
        <v>1985</v>
      </c>
      <c r="D308" t="s">
        <v>2062</v>
      </c>
      <c r="E308" t="s">
        <v>57</v>
      </c>
      <c r="F308" t="s">
        <v>1971</v>
      </c>
      <c r="G308" t="str">
        <f>INDEX(Risk_Matrix!$B$2:$D$4,MATCH(E308,Risk_Matrix!$A$2:$A$4,0),MATCH(F308,Risk_Matrix!$B$1:$D$1,0))</f>
        <v>Low</v>
      </c>
      <c r="H308" s="1">
        <v>46207</v>
      </c>
      <c r="I308" t="s">
        <v>2025</v>
      </c>
      <c r="J308" t="s">
        <v>2026</v>
      </c>
      <c r="K308" t="s">
        <v>1998</v>
      </c>
      <c r="L308">
        <f>IF(G308="High",3,IF(G308="Medium",2,1))</f>
        <v>1</v>
      </c>
    </row>
    <row r="309" spans="1:12">
      <c r="A309" t="s">
        <v>2335</v>
      </c>
      <c r="B309" t="s">
        <v>730</v>
      </c>
      <c r="C309" t="s">
        <v>1991</v>
      </c>
      <c r="D309" t="s">
        <v>2014</v>
      </c>
      <c r="E309" t="s">
        <v>47</v>
      </c>
      <c r="F309" t="s">
        <v>47</v>
      </c>
      <c r="G309" t="str">
        <f>INDEX(Risk_Matrix!$B$2:$D$4,MATCH(E309,Risk_Matrix!$A$2:$A$4,0),MATCH(F309,Risk_Matrix!$B$1:$D$1,0))</f>
        <v>High</v>
      </c>
      <c r="H309" s="1">
        <v>46182</v>
      </c>
      <c r="I309" t="s">
        <v>2015</v>
      </c>
      <c r="J309" t="s">
        <v>2016</v>
      </c>
      <c r="K309" t="s">
        <v>2010</v>
      </c>
      <c r="L309">
        <f>IF(G309="High",3,IF(G309="Medium",2,1))</f>
        <v>3</v>
      </c>
    </row>
    <row r="310" spans="1:12">
      <c r="A310" t="s">
        <v>2336</v>
      </c>
      <c r="B310" t="s">
        <v>730</v>
      </c>
      <c r="C310" t="s">
        <v>1995</v>
      </c>
      <c r="D310" t="s">
        <v>2034</v>
      </c>
      <c r="E310" t="s">
        <v>57</v>
      </c>
      <c r="F310" t="s">
        <v>47</v>
      </c>
      <c r="G310" t="str">
        <f>INDEX(Risk_Matrix!$B$2:$D$4,MATCH(E310,Risk_Matrix!$A$2:$A$4,0),MATCH(F310,Risk_Matrix!$B$1:$D$1,0))</f>
        <v>Medium</v>
      </c>
      <c r="H310" s="1">
        <v>46164</v>
      </c>
      <c r="I310" t="s">
        <v>2002</v>
      </c>
      <c r="J310" t="s">
        <v>2029</v>
      </c>
      <c r="K310" t="s">
        <v>2036</v>
      </c>
      <c r="L310">
        <f>IF(G310="High",3,IF(G310="Medium",2,1))</f>
        <v>2</v>
      </c>
    </row>
    <row r="311" spans="1:12">
      <c r="A311" t="s">
        <v>2337</v>
      </c>
      <c r="B311" t="s">
        <v>730</v>
      </c>
      <c r="C311" t="s">
        <v>2000</v>
      </c>
      <c r="D311" t="s">
        <v>2020</v>
      </c>
      <c r="E311" t="s">
        <v>57</v>
      </c>
      <c r="F311" t="s">
        <v>1971</v>
      </c>
      <c r="G311" t="str">
        <f>INDEX(Risk_Matrix!$B$2:$D$4,MATCH(E311,Risk_Matrix!$A$2:$A$4,0),MATCH(F311,Risk_Matrix!$B$1:$D$1,0))</f>
        <v>Low</v>
      </c>
      <c r="H311" s="1">
        <v>46087</v>
      </c>
      <c r="I311" t="s">
        <v>2002</v>
      </c>
      <c r="J311" t="s">
        <v>2003</v>
      </c>
      <c r="K311" t="s">
        <v>1989</v>
      </c>
      <c r="L311">
        <f>IF(G311="High",3,IF(G311="Medium",2,1))</f>
        <v>1</v>
      </c>
    </row>
    <row r="312" spans="1:12">
      <c r="A312" t="s">
        <v>2338</v>
      </c>
      <c r="B312" t="s">
        <v>730</v>
      </c>
      <c r="C312" t="s">
        <v>2005</v>
      </c>
      <c r="D312" t="s">
        <v>2022</v>
      </c>
      <c r="E312" t="s">
        <v>47</v>
      </c>
      <c r="F312" t="s">
        <v>1971</v>
      </c>
      <c r="G312" t="str">
        <f>INDEX(Risk_Matrix!$B$2:$D$4,MATCH(E312,Risk_Matrix!$A$2:$A$4,0),MATCH(F312,Risk_Matrix!$B$1:$D$1,0))</f>
        <v>High</v>
      </c>
      <c r="H312" s="1">
        <v>46216</v>
      </c>
      <c r="I312" t="s">
        <v>2025</v>
      </c>
      <c r="J312" t="s">
        <v>2026</v>
      </c>
      <c r="K312" t="s">
        <v>1993</v>
      </c>
      <c r="L312">
        <f>IF(G312="High",3,IF(G312="Medium",2,1))</f>
        <v>3</v>
      </c>
    </row>
    <row r="313" spans="1:12">
      <c r="A313" t="s">
        <v>2339</v>
      </c>
      <c r="B313" t="s">
        <v>730</v>
      </c>
      <c r="C313" t="s">
        <v>2008</v>
      </c>
      <c r="D313" t="s">
        <v>2009</v>
      </c>
      <c r="E313" t="s">
        <v>1971</v>
      </c>
      <c r="F313" t="s">
        <v>47</v>
      </c>
      <c r="G313" t="str">
        <f>INDEX(Risk_Matrix!$B$2:$D$4,MATCH(E313,Risk_Matrix!$A$2:$A$4,0),MATCH(F313,Risk_Matrix!$B$1:$D$1,0))</f>
        <v>High</v>
      </c>
      <c r="H313" s="1">
        <v>46229</v>
      </c>
      <c r="I313" t="s">
        <v>2025</v>
      </c>
      <c r="J313" t="s">
        <v>2035</v>
      </c>
      <c r="K313" t="s">
        <v>2010</v>
      </c>
      <c r="L313">
        <f>IF(G313="High",3,IF(G313="Medium",2,1))</f>
        <v>3</v>
      </c>
    </row>
    <row r="314" spans="1:12">
      <c r="A314" t="s">
        <v>2340</v>
      </c>
      <c r="B314" t="s">
        <v>733</v>
      </c>
      <c r="C314" t="s">
        <v>1985</v>
      </c>
      <c r="D314" t="s">
        <v>2062</v>
      </c>
      <c r="E314" t="s">
        <v>1971</v>
      </c>
      <c r="F314" t="s">
        <v>47</v>
      </c>
      <c r="G314" t="str">
        <f>INDEX(Risk_Matrix!$B$2:$D$4,MATCH(E314,Risk_Matrix!$A$2:$A$4,0),MATCH(F314,Risk_Matrix!$B$1:$D$1,0))</f>
        <v>High</v>
      </c>
      <c r="H314" s="1">
        <v>46231</v>
      </c>
      <c r="I314" t="s">
        <v>2015</v>
      </c>
      <c r="J314" t="s">
        <v>2016</v>
      </c>
      <c r="K314" t="s">
        <v>1989</v>
      </c>
      <c r="L314">
        <f>IF(G314="High",3,IF(G314="Medium",2,1))</f>
        <v>3</v>
      </c>
    </row>
    <row r="315" spans="1:12">
      <c r="A315" t="s">
        <v>2341</v>
      </c>
      <c r="B315" t="s">
        <v>733</v>
      </c>
      <c r="C315" t="s">
        <v>1991</v>
      </c>
      <c r="D315" t="s">
        <v>1992</v>
      </c>
      <c r="E315" t="s">
        <v>1971</v>
      </c>
      <c r="F315" t="s">
        <v>1971</v>
      </c>
      <c r="G315" t="str">
        <f>INDEX(Risk_Matrix!$B$2:$D$4,MATCH(E315,Risk_Matrix!$A$2:$A$4,0),MATCH(F315,Risk_Matrix!$B$1:$D$1,0))</f>
        <v>Medium</v>
      </c>
      <c r="H315" s="1">
        <v>46204</v>
      </c>
      <c r="I315" t="s">
        <v>2015</v>
      </c>
      <c r="J315" t="s">
        <v>2032</v>
      </c>
      <c r="K315" t="s">
        <v>2010</v>
      </c>
      <c r="L315">
        <f>IF(G315="High",3,IF(G315="Medium",2,1))</f>
        <v>2</v>
      </c>
    </row>
    <row r="316" spans="1:12">
      <c r="A316" t="s">
        <v>2342</v>
      </c>
      <c r="B316" t="s">
        <v>733</v>
      </c>
      <c r="C316" t="s">
        <v>1995</v>
      </c>
      <c r="D316" t="s">
        <v>2034</v>
      </c>
      <c r="E316" t="s">
        <v>57</v>
      </c>
      <c r="F316" t="s">
        <v>1971</v>
      </c>
      <c r="G316" t="str">
        <f>INDEX(Risk_Matrix!$B$2:$D$4,MATCH(E316,Risk_Matrix!$A$2:$A$4,0),MATCH(F316,Risk_Matrix!$B$1:$D$1,0))</f>
        <v>Low</v>
      </c>
      <c r="H316" s="1">
        <v>46217</v>
      </c>
      <c r="I316" t="s">
        <v>2025</v>
      </c>
      <c r="J316" t="s">
        <v>2035</v>
      </c>
      <c r="K316" t="s">
        <v>2036</v>
      </c>
      <c r="L316">
        <f>IF(G316="High",3,IF(G316="Medium",2,1))</f>
        <v>1</v>
      </c>
    </row>
    <row r="317" spans="1:12">
      <c r="A317" t="s">
        <v>2343</v>
      </c>
      <c r="B317" t="s">
        <v>733</v>
      </c>
      <c r="C317" t="s">
        <v>2000</v>
      </c>
      <c r="D317" t="s">
        <v>2020</v>
      </c>
      <c r="E317" t="s">
        <v>57</v>
      </c>
      <c r="F317" t="s">
        <v>57</v>
      </c>
      <c r="G317" t="str">
        <f>INDEX(Risk_Matrix!$B$2:$D$4,MATCH(E317,Risk_Matrix!$A$2:$A$4,0),MATCH(F317,Risk_Matrix!$B$1:$D$1,0))</f>
        <v>Low</v>
      </c>
      <c r="H317" s="1">
        <v>46157</v>
      </c>
      <c r="I317" t="s">
        <v>2025</v>
      </c>
      <c r="J317" t="s">
        <v>2035</v>
      </c>
      <c r="K317" t="s">
        <v>1989</v>
      </c>
      <c r="L317">
        <f>IF(G317="High",3,IF(G317="Medium",2,1))</f>
        <v>1</v>
      </c>
    </row>
    <row r="318" spans="1:12">
      <c r="A318" t="s">
        <v>2344</v>
      </c>
      <c r="B318" t="s">
        <v>733</v>
      </c>
      <c r="C318" t="s">
        <v>2005</v>
      </c>
      <c r="D318" t="s">
        <v>2006</v>
      </c>
      <c r="E318" t="s">
        <v>57</v>
      </c>
      <c r="F318" t="s">
        <v>57</v>
      </c>
      <c r="G318" t="str">
        <f>INDEX(Risk_Matrix!$B$2:$D$4,MATCH(E318,Risk_Matrix!$A$2:$A$4,0),MATCH(F318,Risk_Matrix!$B$1:$D$1,0))</f>
        <v>Low</v>
      </c>
      <c r="H318" s="1">
        <v>46186</v>
      </c>
      <c r="I318" t="s">
        <v>2015</v>
      </c>
      <c r="J318" t="s">
        <v>2032</v>
      </c>
      <c r="K318" t="s">
        <v>2036</v>
      </c>
      <c r="L318">
        <f>IF(G318="High",3,IF(G318="Medium",2,1))</f>
        <v>1</v>
      </c>
    </row>
    <row r="319" spans="1:12">
      <c r="A319" t="s">
        <v>2345</v>
      </c>
      <c r="B319" t="s">
        <v>733</v>
      </c>
      <c r="C319" t="s">
        <v>2008</v>
      </c>
      <c r="D319" t="s">
        <v>2009</v>
      </c>
      <c r="E319" t="s">
        <v>57</v>
      </c>
      <c r="F319" t="s">
        <v>57</v>
      </c>
      <c r="G319" t="str">
        <f>INDEX(Risk_Matrix!$B$2:$D$4,MATCH(E319,Risk_Matrix!$A$2:$A$4,0),MATCH(F319,Risk_Matrix!$B$1:$D$1,0))</f>
        <v>Low</v>
      </c>
      <c r="H319" s="1">
        <v>46122</v>
      </c>
      <c r="I319" t="s">
        <v>2025</v>
      </c>
      <c r="J319" t="s">
        <v>2035</v>
      </c>
      <c r="K319" t="s">
        <v>2010</v>
      </c>
      <c r="L319">
        <f>IF(G319="High",3,IF(G319="Medium",2,1))</f>
        <v>1</v>
      </c>
    </row>
    <row r="320" spans="1:12">
      <c r="A320" t="s">
        <v>2346</v>
      </c>
      <c r="B320" t="s">
        <v>735</v>
      </c>
      <c r="C320" t="s">
        <v>1985</v>
      </c>
      <c r="D320" t="s">
        <v>2028</v>
      </c>
      <c r="E320" t="s">
        <v>1971</v>
      </c>
      <c r="F320" t="s">
        <v>1971</v>
      </c>
      <c r="G320" t="str">
        <f>INDEX(Risk_Matrix!$B$2:$D$4,MATCH(E320,Risk_Matrix!$A$2:$A$4,0),MATCH(F320,Risk_Matrix!$B$1:$D$1,0))</f>
        <v>Medium</v>
      </c>
      <c r="H320" s="1">
        <v>46155</v>
      </c>
      <c r="I320" t="s">
        <v>2025</v>
      </c>
      <c r="J320" t="s">
        <v>2026</v>
      </c>
      <c r="K320" t="s">
        <v>1989</v>
      </c>
      <c r="L320">
        <f>IF(G320="High",3,IF(G320="Medium",2,1))</f>
        <v>2</v>
      </c>
    </row>
    <row r="321" spans="1:12">
      <c r="A321" t="s">
        <v>2347</v>
      </c>
      <c r="B321" t="s">
        <v>735</v>
      </c>
      <c r="C321" t="s">
        <v>1991</v>
      </c>
      <c r="D321" t="s">
        <v>2014</v>
      </c>
      <c r="E321" t="s">
        <v>57</v>
      </c>
      <c r="F321" t="s">
        <v>47</v>
      </c>
      <c r="G321" t="str">
        <f>INDEX(Risk_Matrix!$B$2:$D$4,MATCH(E321,Risk_Matrix!$A$2:$A$4,0),MATCH(F321,Risk_Matrix!$B$1:$D$1,0))</f>
        <v>Medium</v>
      </c>
      <c r="H321" s="1">
        <v>46211</v>
      </c>
      <c r="I321" t="s">
        <v>2002</v>
      </c>
      <c r="J321" t="s">
        <v>2003</v>
      </c>
      <c r="K321" t="s">
        <v>2010</v>
      </c>
      <c r="L321">
        <f>IF(G321="High",3,IF(G321="Medium",2,1))</f>
        <v>2</v>
      </c>
    </row>
    <row r="322" spans="1:12">
      <c r="A322" t="s">
        <v>2348</v>
      </c>
      <c r="B322" t="s">
        <v>735</v>
      </c>
      <c r="C322" t="s">
        <v>1995</v>
      </c>
      <c r="D322" t="s">
        <v>2150</v>
      </c>
      <c r="E322" t="s">
        <v>1971</v>
      </c>
      <c r="F322" t="s">
        <v>57</v>
      </c>
      <c r="G322" t="str">
        <f>INDEX(Risk_Matrix!$B$2:$D$4,MATCH(E322,Risk_Matrix!$A$2:$A$4,0),MATCH(F322,Risk_Matrix!$B$1:$D$1,0))</f>
        <v>Low</v>
      </c>
      <c r="H322" s="1">
        <v>46118</v>
      </c>
      <c r="I322" t="s">
        <v>2025</v>
      </c>
      <c r="J322" t="s">
        <v>2035</v>
      </c>
      <c r="K322" t="s">
        <v>1998</v>
      </c>
      <c r="L322">
        <f>IF(G322="High",3,IF(G322="Medium",2,1))</f>
        <v>1</v>
      </c>
    </row>
    <row r="323" spans="1:12">
      <c r="A323" t="s">
        <v>2349</v>
      </c>
      <c r="B323" t="s">
        <v>735</v>
      </c>
      <c r="C323" t="s">
        <v>2000</v>
      </c>
      <c r="D323" t="s">
        <v>2045</v>
      </c>
      <c r="E323" t="s">
        <v>57</v>
      </c>
      <c r="F323" t="s">
        <v>57</v>
      </c>
      <c r="G323" t="str">
        <f>INDEX(Risk_Matrix!$B$2:$D$4,MATCH(E323,Risk_Matrix!$A$2:$A$4,0),MATCH(F323,Risk_Matrix!$B$1:$D$1,0))</f>
        <v>Low</v>
      </c>
      <c r="H323" s="1">
        <v>46066</v>
      </c>
      <c r="I323" t="s">
        <v>2025</v>
      </c>
      <c r="J323" t="s">
        <v>2035</v>
      </c>
      <c r="K323" t="s">
        <v>1989</v>
      </c>
      <c r="L323">
        <f>IF(G323="High",3,IF(G323="Medium",2,1))</f>
        <v>1</v>
      </c>
    </row>
    <row r="324" spans="1:12">
      <c r="A324" t="s">
        <v>2350</v>
      </c>
      <c r="B324" t="s">
        <v>735</v>
      </c>
      <c r="C324" t="s">
        <v>2005</v>
      </c>
      <c r="D324" t="s">
        <v>2039</v>
      </c>
      <c r="E324" t="s">
        <v>57</v>
      </c>
      <c r="F324" t="s">
        <v>47</v>
      </c>
      <c r="G324" t="str">
        <f>INDEX(Risk_Matrix!$B$2:$D$4,MATCH(E324,Risk_Matrix!$A$2:$A$4,0),MATCH(F324,Risk_Matrix!$B$1:$D$1,0))</f>
        <v>Medium</v>
      </c>
      <c r="H324" s="1">
        <v>46096</v>
      </c>
      <c r="I324" t="s">
        <v>1987</v>
      </c>
      <c r="J324" t="s">
        <v>1988</v>
      </c>
      <c r="K324" t="s">
        <v>2036</v>
      </c>
      <c r="L324">
        <f>IF(G324="High",3,IF(G324="Medium",2,1))</f>
        <v>2</v>
      </c>
    </row>
    <row r="325" spans="1:12">
      <c r="A325" t="s">
        <v>2351</v>
      </c>
      <c r="B325" t="s">
        <v>735</v>
      </c>
      <c r="C325" t="s">
        <v>2008</v>
      </c>
      <c r="D325" t="s">
        <v>2009</v>
      </c>
      <c r="E325" t="s">
        <v>57</v>
      </c>
      <c r="F325" t="s">
        <v>47</v>
      </c>
      <c r="G325" t="str">
        <f>INDEX(Risk_Matrix!$B$2:$D$4,MATCH(E325,Risk_Matrix!$A$2:$A$4,0),MATCH(F325,Risk_Matrix!$B$1:$D$1,0))</f>
        <v>Medium</v>
      </c>
      <c r="H325" s="1">
        <v>46198</v>
      </c>
      <c r="I325" t="s">
        <v>2015</v>
      </c>
      <c r="J325" t="s">
        <v>2032</v>
      </c>
      <c r="K325" t="s">
        <v>2010</v>
      </c>
      <c r="L325">
        <f>IF(G325="High",3,IF(G325="Medium",2,1))</f>
        <v>2</v>
      </c>
    </row>
    <row r="326" spans="1:12">
      <c r="A326" t="s">
        <v>2352</v>
      </c>
      <c r="B326" t="s">
        <v>737</v>
      </c>
      <c r="C326" t="s">
        <v>1985</v>
      </c>
      <c r="D326" t="s">
        <v>2028</v>
      </c>
      <c r="E326" t="s">
        <v>57</v>
      </c>
      <c r="F326" t="s">
        <v>57</v>
      </c>
      <c r="G326" t="str">
        <f>INDEX(Risk_Matrix!$B$2:$D$4,MATCH(E326,Risk_Matrix!$A$2:$A$4,0),MATCH(F326,Risk_Matrix!$B$1:$D$1,0))</f>
        <v>Low</v>
      </c>
      <c r="H326" s="1">
        <v>46209</v>
      </c>
      <c r="I326" t="s">
        <v>1987</v>
      </c>
      <c r="J326" t="s">
        <v>1997</v>
      </c>
      <c r="K326" t="s">
        <v>1989</v>
      </c>
      <c r="L326">
        <f>IF(G326="High",3,IF(G326="Medium",2,1))</f>
        <v>1</v>
      </c>
    </row>
    <row r="327" spans="1:12">
      <c r="A327" t="s">
        <v>2353</v>
      </c>
      <c r="B327" t="s">
        <v>737</v>
      </c>
      <c r="C327" t="s">
        <v>1991</v>
      </c>
      <c r="D327" t="s">
        <v>1992</v>
      </c>
      <c r="E327" t="s">
        <v>47</v>
      </c>
      <c r="F327" t="s">
        <v>47</v>
      </c>
      <c r="G327" t="str">
        <f>INDEX(Risk_Matrix!$B$2:$D$4,MATCH(E327,Risk_Matrix!$A$2:$A$4,0),MATCH(F327,Risk_Matrix!$B$1:$D$1,0))</f>
        <v>High</v>
      </c>
      <c r="H327" s="1">
        <v>46092</v>
      </c>
      <c r="I327" t="s">
        <v>2025</v>
      </c>
      <c r="J327" t="s">
        <v>2035</v>
      </c>
      <c r="K327" t="s">
        <v>2010</v>
      </c>
      <c r="L327">
        <f>IF(G327="High",3,IF(G327="Medium",2,1))</f>
        <v>3</v>
      </c>
    </row>
    <row r="328" spans="1:12">
      <c r="A328" t="s">
        <v>2354</v>
      </c>
      <c r="B328" t="s">
        <v>737</v>
      </c>
      <c r="C328" t="s">
        <v>1995</v>
      </c>
      <c r="D328" t="s">
        <v>2150</v>
      </c>
      <c r="E328" t="s">
        <v>57</v>
      </c>
      <c r="F328" t="s">
        <v>47</v>
      </c>
      <c r="G328" t="str">
        <f>INDEX(Risk_Matrix!$B$2:$D$4,MATCH(E328,Risk_Matrix!$A$2:$A$4,0),MATCH(F328,Risk_Matrix!$B$1:$D$1,0))</f>
        <v>Medium</v>
      </c>
      <c r="H328" s="1">
        <v>46232</v>
      </c>
      <c r="I328" t="s">
        <v>2015</v>
      </c>
      <c r="J328" t="s">
        <v>2032</v>
      </c>
      <c r="K328" t="s">
        <v>1998</v>
      </c>
      <c r="L328">
        <f>IF(G328="High",3,IF(G328="Medium",2,1))</f>
        <v>2</v>
      </c>
    </row>
    <row r="329" spans="1:12">
      <c r="A329" t="s">
        <v>2355</v>
      </c>
      <c r="B329" t="s">
        <v>737</v>
      </c>
      <c r="C329" t="s">
        <v>2000</v>
      </c>
      <c r="D329" t="s">
        <v>2020</v>
      </c>
      <c r="E329" t="s">
        <v>47</v>
      </c>
      <c r="F329" t="s">
        <v>1971</v>
      </c>
      <c r="G329" t="str">
        <f>INDEX(Risk_Matrix!$B$2:$D$4,MATCH(E329,Risk_Matrix!$A$2:$A$4,0),MATCH(F329,Risk_Matrix!$B$1:$D$1,0))</f>
        <v>High</v>
      </c>
      <c r="H329" s="1">
        <v>46188</v>
      </c>
      <c r="I329" t="s">
        <v>2015</v>
      </c>
      <c r="J329" t="s">
        <v>2016</v>
      </c>
      <c r="K329" t="s">
        <v>1993</v>
      </c>
      <c r="L329">
        <f>IF(G329="High",3,IF(G329="Medium",2,1))</f>
        <v>3</v>
      </c>
    </row>
    <row r="330" spans="1:12">
      <c r="A330" t="s">
        <v>2356</v>
      </c>
      <c r="B330" t="s">
        <v>737</v>
      </c>
      <c r="C330" t="s">
        <v>2005</v>
      </c>
      <c r="D330" t="s">
        <v>2039</v>
      </c>
      <c r="E330" t="s">
        <v>47</v>
      </c>
      <c r="F330" t="s">
        <v>57</v>
      </c>
      <c r="G330" t="str">
        <f>INDEX(Risk_Matrix!$B$2:$D$4,MATCH(E330,Risk_Matrix!$A$2:$A$4,0),MATCH(F330,Risk_Matrix!$B$1:$D$1,0))</f>
        <v>Medium</v>
      </c>
      <c r="H330" s="1">
        <v>46061</v>
      </c>
      <c r="I330" t="s">
        <v>2025</v>
      </c>
      <c r="J330" t="s">
        <v>2026</v>
      </c>
      <c r="K330" t="s">
        <v>1993</v>
      </c>
      <c r="L330">
        <f>IF(G330="High",3,IF(G330="Medium",2,1))</f>
        <v>2</v>
      </c>
    </row>
    <row r="331" spans="1:12">
      <c r="A331" t="s">
        <v>2357</v>
      </c>
      <c r="B331" t="s">
        <v>737</v>
      </c>
      <c r="C331" t="s">
        <v>2008</v>
      </c>
      <c r="D331" t="s">
        <v>2024</v>
      </c>
      <c r="E331" t="s">
        <v>47</v>
      </c>
      <c r="F331" t="s">
        <v>57</v>
      </c>
      <c r="G331" t="str">
        <f>INDEX(Risk_Matrix!$B$2:$D$4,MATCH(E331,Risk_Matrix!$A$2:$A$4,0),MATCH(F331,Risk_Matrix!$B$1:$D$1,0))</f>
        <v>Medium</v>
      </c>
      <c r="H331" s="1">
        <v>46232</v>
      </c>
      <c r="I331" t="s">
        <v>1987</v>
      </c>
      <c r="J331" t="s">
        <v>1997</v>
      </c>
      <c r="K331" t="s">
        <v>2010</v>
      </c>
      <c r="L331">
        <f>IF(G331="High",3,IF(G331="Medium",2,1))</f>
        <v>2</v>
      </c>
    </row>
    <row r="332" spans="1:12">
      <c r="A332" t="s">
        <v>2358</v>
      </c>
      <c r="B332" t="s">
        <v>739</v>
      </c>
      <c r="C332" t="s">
        <v>1985</v>
      </c>
      <c r="D332" t="s">
        <v>2012</v>
      </c>
      <c r="E332" t="s">
        <v>1971</v>
      </c>
      <c r="F332" t="s">
        <v>1971</v>
      </c>
      <c r="G332" t="str">
        <f>INDEX(Risk_Matrix!$B$2:$D$4,MATCH(E332,Risk_Matrix!$A$2:$A$4,0),MATCH(F332,Risk_Matrix!$B$1:$D$1,0))</f>
        <v>Medium</v>
      </c>
      <c r="H332" s="1">
        <v>46081</v>
      </c>
      <c r="I332" t="s">
        <v>2025</v>
      </c>
      <c r="J332" t="s">
        <v>2026</v>
      </c>
      <c r="K332" t="s">
        <v>1998</v>
      </c>
      <c r="L332">
        <f>IF(G332="High",3,IF(G332="Medium",2,1))</f>
        <v>2</v>
      </c>
    </row>
    <row r="333" spans="1:12">
      <c r="A333" t="s">
        <v>2359</v>
      </c>
      <c r="B333" t="s">
        <v>739</v>
      </c>
      <c r="C333" t="s">
        <v>1991</v>
      </c>
      <c r="D333" t="s">
        <v>2031</v>
      </c>
      <c r="E333" t="s">
        <v>57</v>
      </c>
      <c r="F333" t="s">
        <v>57</v>
      </c>
      <c r="G333" t="str">
        <f>INDEX(Risk_Matrix!$B$2:$D$4,MATCH(E333,Risk_Matrix!$A$2:$A$4,0),MATCH(F333,Risk_Matrix!$B$1:$D$1,0))</f>
        <v>Low</v>
      </c>
      <c r="H333" s="1">
        <v>46175</v>
      </c>
      <c r="I333" t="s">
        <v>2002</v>
      </c>
      <c r="J333" t="s">
        <v>2029</v>
      </c>
      <c r="K333" t="s">
        <v>2010</v>
      </c>
      <c r="L333">
        <f>IF(G333="High",3,IF(G333="Medium",2,1))</f>
        <v>1</v>
      </c>
    </row>
    <row r="334" spans="1:12">
      <c r="A334" t="s">
        <v>2360</v>
      </c>
      <c r="B334" t="s">
        <v>739</v>
      </c>
      <c r="C334" t="s">
        <v>1995</v>
      </c>
      <c r="D334" t="s">
        <v>1996</v>
      </c>
      <c r="E334" t="s">
        <v>47</v>
      </c>
      <c r="F334" t="s">
        <v>47</v>
      </c>
      <c r="G334" t="str">
        <f>INDEX(Risk_Matrix!$B$2:$D$4,MATCH(E334,Risk_Matrix!$A$2:$A$4,0),MATCH(F334,Risk_Matrix!$B$1:$D$1,0))</f>
        <v>High</v>
      </c>
      <c r="H334" s="1">
        <v>46185</v>
      </c>
      <c r="I334" t="s">
        <v>2015</v>
      </c>
      <c r="J334" t="s">
        <v>2032</v>
      </c>
      <c r="K334" t="s">
        <v>2036</v>
      </c>
      <c r="L334">
        <f>IF(G334="High",3,IF(G334="Medium",2,1))</f>
        <v>3</v>
      </c>
    </row>
    <row r="335" spans="1:12">
      <c r="A335" t="s">
        <v>2361</v>
      </c>
      <c r="B335" t="s">
        <v>739</v>
      </c>
      <c r="C335" t="s">
        <v>2000</v>
      </c>
      <c r="D335" t="s">
        <v>2020</v>
      </c>
      <c r="E335" t="s">
        <v>57</v>
      </c>
      <c r="F335" t="s">
        <v>47</v>
      </c>
      <c r="G335" t="str">
        <f>INDEX(Risk_Matrix!$B$2:$D$4,MATCH(E335,Risk_Matrix!$A$2:$A$4,0),MATCH(F335,Risk_Matrix!$B$1:$D$1,0))</f>
        <v>Medium</v>
      </c>
      <c r="H335" s="1">
        <v>46131</v>
      </c>
      <c r="I335" t="s">
        <v>2025</v>
      </c>
      <c r="J335" t="s">
        <v>2026</v>
      </c>
      <c r="K335" t="s">
        <v>1989</v>
      </c>
      <c r="L335">
        <f>IF(G335="High",3,IF(G335="Medium",2,1))</f>
        <v>2</v>
      </c>
    </row>
    <row r="336" spans="1:12">
      <c r="A336" t="s">
        <v>2362</v>
      </c>
      <c r="B336" t="s">
        <v>739</v>
      </c>
      <c r="C336" t="s">
        <v>2005</v>
      </c>
      <c r="D336" t="s">
        <v>2039</v>
      </c>
      <c r="E336" t="s">
        <v>57</v>
      </c>
      <c r="F336" t="s">
        <v>47</v>
      </c>
      <c r="G336" t="str">
        <f>INDEX(Risk_Matrix!$B$2:$D$4,MATCH(E336,Risk_Matrix!$A$2:$A$4,0),MATCH(F336,Risk_Matrix!$B$1:$D$1,0))</f>
        <v>Medium</v>
      </c>
      <c r="H336" s="1">
        <v>46176</v>
      </c>
      <c r="I336" t="s">
        <v>2015</v>
      </c>
      <c r="J336" t="s">
        <v>2032</v>
      </c>
      <c r="K336" t="s">
        <v>2036</v>
      </c>
      <c r="L336">
        <f>IF(G336="High",3,IF(G336="Medium",2,1))</f>
        <v>2</v>
      </c>
    </row>
    <row r="337" spans="1:12">
      <c r="A337" t="s">
        <v>2363</v>
      </c>
      <c r="B337" t="s">
        <v>739</v>
      </c>
      <c r="C337" t="s">
        <v>2008</v>
      </c>
      <c r="D337" t="s">
        <v>2054</v>
      </c>
      <c r="E337" t="s">
        <v>47</v>
      </c>
      <c r="F337" t="s">
        <v>47</v>
      </c>
      <c r="G337" t="str">
        <f>INDEX(Risk_Matrix!$B$2:$D$4,MATCH(E337,Risk_Matrix!$A$2:$A$4,0),MATCH(F337,Risk_Matrix!$B$1:$D$1,0))</f>
        <v>High</v>
      </c>
      <c r="H337" s="1">
        <v>46140</v>
      </c>
      <c r="I337" t="s">
        <v>2025</v>
      </c>
      <c r="J337" t="s">
        <v>2026</v>
      </c>
      <c r="K337" t="s">
        <v>2010</v>
      </c>
      <c r="L337">
        <f>IF(G337="High",3,IF(G337="Medium",2,1))</f>
        <v>3</v>
      </c>
    </row>
    <row r="338" spans="1:12">
      <c r="A338" t="s">
        <v>2364</v>
      </c>
      <c r="B338" t="s">
        <v>741</v>
      </c>
      <c r="C338" t="s">
        <v>1985</v>
      </c>
      <c r="D338" t="s">
        <v>2062</v>
      </c>
      <c r="E338" t="s">
        <v>47</v>
      </c>
      <c r="F338" t="s">
        <v>47</v>
      </c>
      <c r="G338" t="str">
        <f>INDEX(Risk_Matrix!$B$2:$D$4,MATCH(E338,Risk_Matrix!$A$2:$A$4,0),MATCH(F338,Risk_Matrix!$B$1:$D$1,0))</f>
        <v>High</v>
      </c>
      <c r="H338" s="1">
        <v>46162</v>
      </c>
      <c r="I338" t="s">
        <v>2015</v>
      </c>
      <c r="J338" t="s">
        <v>2016</v>
      </c>
      <c r="K338" t="s">
        <v>1998</v>
      </c>
      <c r="L338">
        <f>IF(G338="High",3,IF(G338="Medium",2,1))</f>
        <v>3</v>
      </c>
    </row>
    <row r="339" spans="1:12">
      <c r="A339" t="s">
        <v>2365</v>
      </c>
      <c r="B339" t="s">
        <v>741</v>
      </c>
      <c r="C339" t="s">
        <v>1991</v>
      </c>
      <c r="D339" t="s">
        <v>2014</v>
      </c>
      <c r="E339" t="s">
        <v>57</v>
      </c>
      <c r="F339" t="s">
        <v>1971</v>
      </c>
      <c r="G339" t="str">
        <f>INDEX(Risk_Matrix!$B$2:$D$4,MATCH(E339,Risk_Matrix!$A$2:$A$4,0),MATCH(F339,Risk_Matrix!$B$1:$D$1,0))</f>
        <v>Low</v>
      </c>
      <c r="H339" s="1">
        <v>46098</v>
      </c>
      <c r="I339" t="s">
        <v>2025</v>
      </c>
      <c r="J339" t="s">
        <v>2026</v>
      </c>
      <c r="K339" t="s">
        <v>1993</v>
      </c>
      <c r="L339">
        <f>IF(G339="High",3,IF(G339="Medium",2,1))</f>
        <v>1</v>
      </c>
    </row>
    <row r="340" spans="1:12">
      <c r="A340" t="s">
        <v>2366</v>
      </c>
      <c r="B340" t="s">
        <v>741</v>
      </c>
      <c r="C340" t="s">
        <v>1995</v>
      </c>
      <c r="D340" t="s">
        <v>2018</v>
      </c>
      <c r="E340" t="s">
        <v>57</v>
      </c>
      <c r="F340" t="s">
        <v>57</v>
      </c>
      <c r="G340" t="str">
        <f>INDEX(Risk_Matrix!$B$2:$D$4,MATCH(E340,Risk_Matrix!$A$2:$A$4,0),MATCH(F340,Risk_Matrix!$B$1:$D$1,0))</f>
        <v>Low</v>
      </c>
      <c r="H340" s="1">
        <v>46078</v>
      </c>
      <c r="I340" t="s">
        <v>2025</v>
      </c>
      <c r="J340" t="s">
        <v>2026</v>
      </c>
      <c r="K340" t="s">
        <v>1998</v>
      </c>
      <c r="L340">
        <f>IF(G340="High",3,IF(G340="Medium",2,1))</f>
        <v>1</v>
      </c>
    </row>
    <row r="341" spans="1:12">
      <c r="A341" t="s">
        <v>2367</v>
      </c>
      <c r="B341" t="s">
        <v>741</v>
      </c>
      <c r="C341" t="s">
        <v>2000</v>
      </c>
      <c r="D341" t="s">
        <v>2020</v>
      </c>
      <c r="E341" t="s">
        <v>1971</v>
      </c>
      <c r="F341" t="s">
        <v>47</v>
      </c>
      <c r="G341" t="str">
        <f>INDEX(Risk_Matrix!$B$2:$D$4,MATCH(E341,Risk_Matrix!$A$2:$A$4,0),MATCH(F341,Risk_Matrix!$B$1:$D$1,0))</f>
        <v>High</v>
      </c>
      <c r="H341" s="1">
        <v>46204</v>
      </c>
      <c r="I341" t="s">
        <v>2015</v>
      </c>
      <c r="J341" t="s">
        <v>2032</v>
      </c>
      <c r="K341" t="s">
        <v>1989</v>
      </c>
      <c r="L341">
        <f>IF(G341="High",3,IF(G341="Medium",2,1))</f>
        <v>3</v>
      </c>
    </row>
    <row r="342" spans="1:12">
      <c r="A342" t="s">
        <v>2368</v>
      </c>
      <c r="B342" t="s">
        <v>741</v>
      </c>
      <c r="C342" t="s">
        <v>2005</v>
      </c>
      <c r="D342" t="s">
        <v>2006</v>
      </c>
      <c r="E342" t="s">
        <v>47</v>
      </c>
      <c r="F342" t="s">
        <v>47</v>
      </c>
      <c r="G342" t="str">
        <f>INDEX(Risk_Matrix!$B$2:$D$4,MATCH(E342,Risk_Matrix!$A$2:$A$4,0),MATCH(F342,Risk_Matrix!$B$1:$D$1,0))</f>
        <v>High</v>
      </c>
      <c r="H342" s="1">
        <v>46095</v>
      </c>
      <c r="I342" t="s">
        <v>2025</v>
      </c>
      <c r="J342" t="s">
        <v>2035</v>
      </c>
      <c r="K342" t="s">
        <v>1993</v>
      </c>
      <c r="L342">
        <f>IF(G342="High",3,IF(G342="Medium",2,1))</f>
        <v>3</v>
      </c>
    </row>
    <row r="343" spans="1:12">
      <c r="A343" t="s">
        <v>2369</v>
      </c>
      <c r="B343" t="s">
        <v>741</v>
      </c>
      <c r="C343" t="s">
        <v>2008</v>
      </c>
      <c r="D343" t="s">
        <v>2009</v>
      </c>
      <c r="E343" t="s">
        <v>1971</v>
      </c>
      <c r="F343" t="s">
        <v>57</v>
      </c>
      <c r="G343" t="str">
        <f>INDEX(Risk_Matrix!$B$2:$D$4,MATCH(E343,Risk_Matrix!$A$2:$A$4,0),MATCH(F343,Risk_Matrix!$B$1:$D$1,0))</f>
        <v>Low</v>
      </c>
      <c r="H343" s="1">
        <v>46081</v>
      </c>
      <c r="I343" t="s">
        <v>2002</v>
      </c>
      <c r="J343" t="s">
        <v>2029</v>
      </c>
      <c r="K343" t="s">
        <v>2010</v>
      </c>
      <c r="L343">
        <f>IF(G343="High",3,IF(G343="Medium",2,1))</f>
        <v>1</v>
      </c>
    </row>
    <row r="344" spans="1:12">
      <c r="A344" t="s">
        <v>2370</v>
      </c>
      <c r="B344" t="s">
        <v>742</v>
      </c>
      <c r="C344" t="s">
        <v>1985</v>
      </c>
      <c r="D344" t="s">
        <v>2028</v>
      </c>
      <c r="E344" t="s">
        <v>57</v>
      </c>
      <c r="F344" t="s">
        <v>1971</v>
      </c>
      <c r="G344" t="str">
        <f>INDEX(Risk_Matrix!$B$2:$D$4,MATCH(E344,Risk_Matrix!$A$2:$A$4,0),MATCH(F344,Risk_Matrix!$B$1:$D$1,0))</f>
        <v>Low</v>
      </c>
      <c r="H344" s="1">
        <v>46101</v>
      </c>
      <c r="I344" t="s">
        <v>2002</v>
      </c>
      <c r="J344" t="s">
        <v>2029</v>
      </c>
      <c r="K344" t="s">
        <v>1998</v>
      </c>
      <c r="L344">
        <f>IF(G344="High",3,IF(G344="Medium",2,1))</f>
        <v>1</v>
      </c>
    </row>
    <row r="345" spans="1:12">
      <c r="A345" t="s">
        <v>2371</v>
      </c>
      <c r="B345" t="s">
        <v>742</v>
      </c>
      <c r="C345" t="s">
        <v>1991</v>
      </c>
      <c r="D345" t="s">
        <v>1992</v>
      </c>
      <c r="E345" t="s">
        <v>57</v>
      </c>
      <c r="F345" t="s">
        <v>57</v>
      </c>
      <c r="G345" t="str">
        <f>INDEX(Risk_Matrix!$B$2:$D$4,MATCH(E345,Risk_Matrix!$A$2:$A$4,0),MATCH(F345,Risk_Matrix!$B$1:$D$1,0))</f>
        <v>Low</v>
      </c>
      <c r="H345" s="1">
        <v>46145</v>
      </c>
      <c r="I345" t="s">
        <v>2025</v>
      </c>
      <c r="J345" t="s">
        <v>2035</v>
      </c>
      <c r="K345" t="s">
        <v>2010</v>
      </c>
      <c r="L345">
        <f>IF(G345="High",3,IF(G345="Medium",2,1))</f>
        <v>1</v>
      </c>
    </row>
    <row r="346" spans="1:12">
      <c r="A346" t="s">
        <v>2372</v>
      </c>
      <c r="B346" t="s">
        <v>742</v>
      </c>
      <c r="C346" t="s">
        <v>1995</v>
      </c>
      <c r="D346" t="s">
        <v>2150</v>
      </c>
      <c r="E346" t="s">
        <v>57</v>
      </c>
      <c r="F346" t="s">
        <v>57</v>
      </c>
      <c r="G346" t="str">
        <f>INDEX(Risk_Matrix!$B$2:$D$4,MATCH(E346,Risk_Matrix!$A$2:$A$4,0),MATCH(F346,Risk_Matrix!$B$1:$D$1,0))</f>
        <v>Low</v>
      </c>
      <c r="H346" s="1">
        <v>46205</v>
      </c>
      <c r="I346" t="s">
        <v>1987</v>
      </c>
      <c r="J346" t="s">
        <v>1988</v>
      </c>
      <c r="K346" t="s">
        <v>1998</v>
      </c>
      <c r="L346">
        <f>IF(G346="High",3,IF(G346="Medium",2,1))</f>
        <v>1</v>
      </c>
    </row>
    <row r="347" spans="1:12">
      <c r="A347" t="s">
        <v>2373</v>
      </c>
      <c r="B347" t="s">
        <v>742</v>
      </c>
      <c r="C347" t="s">
        <v>2000</v>
      </c>
      <c r="D347" t="s">
        <v>2020</v>
      </c>
      <c r="E347" t="s">
        <v>1971</v>
      </c>
      <c r="F347" t="s">
        <v>1971</v>
      </c>
      <c r="G347" t="str">
        <f>INDEX(Risk_Matrix!$B$2:$D$4,MATCH(E347,Risk_Matrix!$A$2:$A$4,0),MATCH(F347,Risk_Matrix!$B$1:$D$1,0))</f>
        <v>Medium</v>
      </c>
      <c r="H347" s="1">
        <v>46215</v>
      </c>
      <c r="I347" t="s">
        <v>2015</v>
      </c>
      <c r="J347" t="s">
        <v>2032</v>
      </c>
      <c r="K347" t="s">
        <v>1989</v>
      </c>
      <c r="L347">
        <f>IF(G347="High",3,IF(G347="Medium",2,1))</f>
        <v>2</v>
      </c>
    </row>
    <row r="348" spans="1:12">
      <c r="A348" t="s">
        <v>2374</v>
      </c>
      <c r="B348" t="s">
        <v>742</v>
      </c>
      <c r="C348" t="s">
        <v>2005</v>
      </c>
      <c r="D348" t="s">
        <v>2006</v>
      </c>
      <c r="E348" t="s">
        <v>47</v>
      </c>
      <c r="F348" t="s">
        <v>1971</v>
      </c>
      <c r="G348" t="str">
        <f>INDEX(Risk_Matrix!$B$2:$D$4,MATCH(E348,Risk_Matrix!$A$2:$A$4,0),MATCH(F348,Risk_Matrix!$B$1:$D$1,0))</f>
        <v>High</v>
      </c>
      <c r="H348" s="1">
        <v>46194</v>
      </c>
      <c r="I348" t="s">
        <v>2015</v>
      </c>
      <c r="J348" t="s">
        <v>2032</v>
      </c>
      <c r="K348" t="s">
        <v>2036</v>
      </c>
      <c r="L348">
        <f>IF(G348="High",3,IF(G348="Medium",2,1))</f>
        <v>3</v>
      </c>
    </row>
    <row r="349" spans="1:12">
      <c r="A349" t="s">
        <v>2375</v>
      </c>
      <c r="B349" t="s">
        <v>742</v>
      </c>
      <c r="C349" t="s">
        <v>2008</v>
      </c>
      <c r="D349" t="s">
        <v>2024</v>
      </c>
      <c r="E349" t="s">
        <v>57</v>
      </c>
      <c r="F349" t="s">
        <v>1971</v>
      </c>
      <c r="G349" t="str">
        <f>INDEX(Risk_Matrix!$B$2:$D$4,MATCH(E349,Risk_Matrix!$A$2:$A$4,0),MATCH(F349,Risk_Matrix!$B$1:$D$1,0))</f>
        <v>Low</v>
      </c>
      <c r="H349" s="1">
        <v>46154</v>
      </c>
      <c r="I349" t="s">
        <v>2002</v>
      </c>
      <c r="J349" t="s">
        <v>2029</v>
      </c>
      <c r="K349" t="s">
        <v>2010</v>
      </c>
      <c r="L349">
        <f>IF(G349="High",3,IF(G349="Medium",2,1))</f>
        <v>1</v>
      </c>
    </row>
    <row r="350" spans="1:12">
      <c r="A350" t="s">
        <v>2376</v>
      </c>
      <c r="B350" t="s">
        <v>743</v>
      </c>
      <c r="C350" t="s">
        <v>1985</v>
      </c>
      <c r="D350" t="s">
        <v>2028</v>
      </c>
      <c r="E350" t="s">
        <v>47</v>
      </c>
      <c r="F350" t="s">
        <v>1971</v>
      </c>
      <c r="G350" t="str">
        <f>INDEX(Risk_Matrix!$B$2:$D$4,MATCH(E350,Risk_Matrix!$A$2:$A$4,0),MATCH(F350,Risk_Matrix!$B$1:$D$1,0))</f>
        <v>High</v>
      </c>
      <c r="H350" s="1">
        <v>46160</v>
      </c>
      <c r="I350" t="s">
        <v>2015</v>
      </c>
      <c r="J350" t="s">
        <v>2032</v>
      </c>
      <c r="K350" t="s">
        <v>1989</v>
      </c>
      <c r="L350">
        <f>IF(G350="High",3,IF(G350="Medium",2,1))</f>
        <v>3</v>
      </c>
    </row>
    <row r="351" spans="1:12">
      <c r="A351" t="s">
        <v>2377</v>
      </c>
      <c r="B351" t="s">
        <v>743</v>
      </c>
      <c r="C351" t="s">
        <v>1991</v>
      </c>
      <c r="D351" t="s">
        <v>2014</v>
      </c>
      <c r="E351" t="s">
        <v>47</v>
      </c>
      <c r="F351" t="s">
        <v>1971</v>
      </c>
      <c r="G351" t="str">
        <f>INDEX(Risk_Matrix!$B$2:$D$4,MATCH(E351,Risk_Matrix!$A$2:$A$4,0),MATCH(F351,Risk_Matrix!$B$1:$D$1,0))</f>
        <v>High</v>
      </c>
      <c r="H351" s="1">
        <v>46056</v>
      </c>
      <c r="I351" t="s">
        <v>2025</v>
      </c>
      <c r="J351" t="s">
        <v>2026</v>
      </c>
      <c r="K351" t="s">
        <v>1993</v>
      </c>
      <c r="L351">
        <f>IF(G351="High",3,IF(G351="Medium",2,1))</f>
        <v>3</v>
      </c>
    </row>
    <row r="352" spans="1:12">
      <c r="A352" t="s">
        <v>2378</v>
      </c>
      <c r="B352" t="s">
        <v>743</v>
      </c>
      <c r="C352" t="s">
        <v>1995</v>
      </c>
      <c r="D352" t="s">
        <v>2150</v>
      </c>
      <c r="E352" t="s">
        <v>1971</v>
      </c>
      <c r="F352" t="s">
        <v>1971</v>
      </c>
      <c r="G352" t="str">
        <f>INDEX(Risk_Matrix!$B$2:$D$4,MATCH(E352,Risk_Matrix!$A$2:$A$4,0),MATCH(F352,Risk_Matrix!$B$1:$D$1,0))</f>
        <v>Medium</v>
      </c>
      <c r="H352" s="1">
        <v>46072</v>
      </c>
      <c r="I352" t="s">
        <v>2025</v>
      </c>
      <c r="J352" t="s">
        <v>2035</v>
      </c>
      <c r="K352" t="s">
        <v>1998</v>
      </c>
      <c r="L352">
        <f>IF(G352="High",3,IF(G352="Medium",2,1))</f>
        <v>2</v>
      </c>
    </row>
    <row r="353" spans="1:12">
      <c r="A353" t="s">
        <v>2379</v>
      </c>
      <c r="B353" t="s">
        <v>743</v>
      </c>
      <c r="C353" t="s">
        <v>2000</v>
      </c>
      <c r="D353" t="s">
        <v>2045</v>
      </c>
      <c r="E353" t="s">
        <v>1971</v>
      </c>
      <c r="F353" t="s">
        <v>1971</v>
      </c>
      <c r="G353" t="str">
        <f>INDEX(Risk_Matrix!$B$2:$D$4,MATCH(E353,Risk_Matrix!$A$2:$A$4,0),MATCH(F353,Risk_Matrix!$B$1:$D$1,0))</f>
        <v>Medium</v>
      </c>
      <c r="H353" s="1">
        <v>46217</v>
      </c>
      <c r="I353" t="s">
        <v>2025</v>
      </c>
      <c r="J353" t="s">
        <v>2026</v>
      </c>
      <c r="K353" t="s">
        <v>1989</v>
      </c>
      <c r="L353">
        <f>IF(G353="High",3,IF(G353="Medium",2,1))</f>
        <v>2</v>
      </c>
    </row>
    <row r="354" spans="1:12">
      <c r="A354" t="s">
        <v>2380</v>
      </c>
      <c r="B354" t="s">
        <v>743</v>
      </c>
      <c r="C354" t="s">
        <v>2005</v>
      </c>
      <c r="D354" t="s">
        <v>2039</v>
      </c>
      <c r="E354" t="s">
        <v>47</v>
      </c>
      <c r="F354" t="s">
        <v>1971</v>
      </c>
      <c r="G354" t="str">
        <f>INDEX(Risk_Matrix!$B$2:$D$4,MATCH(E354,Risk_Matrix!$A$2:$A$4,0),MATCH(F354,Risk_Matrix!$B$1:$D$1,0))</f>
        <v>High</v>
      </c>
      <c r="H354" s="1">
        <v>46188</v>
      </c>
      <c r="I354" t="s">
        <v>2015</v>
      </c>
      <c r="J354" t="s">
        <v>2032</v>
      </c>
      <c r="K354" t="s">
        <v>1993</v>
      </c>
      <c r="L354">
        <f>IF(G354="High",3,IF(G354="Medium",2,1))</f>
        <v>3</v>
      </c>
    </row>
    <row r="355" spans="1:12">
      <c r="A355" t="s">
        <v>2381</v>
      </c>
      <c r="B355" t="s">
        <v>743</v>
      </c>
      <c r="C355" t="s">
        <v>2008</v>
      </c>
      <c r="D355" t="s">
        <v>2009</v>
      </c>
      <c r="E355" t="s">
        <v>47</v>
      </c>
      <c r="F355" t="s">
        <v>1971</v>
      </c>
      <c r="G355" t="str">
        <f>INDEX(Risk_Matrix!$B$2:$D$4,MATCH(E355,Risk_Matrix!$A$2:$A$4,0),MATCH(F355,Risk_Matrix!$B$1:$D$1,0))</f>
        <v>High</v>
      </c>
      <c r="H355" s="1">
        <v>46200</v>
      </c>
      <c r="I355" t="s">
        <v>2002</v>
      </c>
      <c r="J355" t="s">
        <v>2003</v>
      </c>
      <c r="K355" t="s">
        <v>2010</v>
      </c>
      <c r="L355">
        <f>IF(G355="High",3,IF(G355="Medium",2,1))</f>
        <v>3</v>
      </c>
    </row>
    <row r="356" spans="1:12">
      <c r="A356" t="s">
        <v>2382</v>
      </c>
      <c r="B356" t="s">
        <v>744</v>
      </c>
      <c r="C356" t="s">
        <v>1985</v>
      </c>
      <c r="D356" t="s">
        <v>1986</v>
      </c>
      <c r="E356" t="s">
        <v>47</v>
      </c>
      <c r="F356" t="s">
        <v>47</v>
      </c>
      <c r="G356" t="str">
        <f>INDEX(Risk_Matrix!$B$2:$D$4,MATCH(E356,Risk_Matrix!$A$2:$A$4,0),MATCH(F356,Risk_Matrix!$B$1:$D$1,0))</f>
        <v>High</v>
      </c>
      <c r="H356" s="1">
        <v>46131</v>
      </c>
      <c r="I356" t="s">
        <v>2025</v>
      </c>
      <c r="J356" t="s">
        <v>2026</v>
      </c>
      <c r="K356" t="s">
        <v>1998</v>
      </c>
      <c r="L356">
        <f>IF(G356="High",3,IF(G356="Medium",2,1))</f>
        <v>3</v>
      </c>
    </row>
    <row r="357" spans="1:12">
      <c r="A357" t="s">
        <v>2383</v>
      </c>
      <c r="B357" t="s">
        <v>744</v>
      </c>
      <c r="C357" t="s">
        <v>1991</v>
      </c>
      <c r="D357" t="s">
        <v>1992</v>
      </c>
      <c r="E357" t="s">
        <v>47</v>
      </c>
      <c r="F357" t="s">
        <v>1971</v>
      </c>
      <c r="G357" t="str">
        <f>INDEX(Risk_Matrix!$B$2:$D$4,MATCH(E357,Risk_Matrix!$A$2:$A$4,0),MATCH(F357,Risk_Matrix!$B$1:$D$1,0))</f>
        <v>High</v>
      </c>
      <c r="H357" s="1">
        <v>46211</v>
      </c>
      <c r="I357" t="s">
        <v>2015</v>
      </c>
      <c r="J357" t="s">
        <v>2016</v>
      </c>
      <c r="K357" t="s">
        <v>2010</v>
      </c>
      <c r="L357">
        <f>IF(G357="High",3,IF(G357="Medium",2,1))</f>
        <v>3</v>
      </c>
    </row>
    <row r="358" spans="1:12">
      <c r="A358" t="s">
        <v>2384</v>
      </c>
      <c r="B358" t="s">
        <v>744</v>
      </c>
      <c r="C358" t="s">
        <v>1995</v>
      </c>
      <c r="D358" t="s">
        <v>2034</v>
      </c>
      <c r="E358" t="s">
        <v>57</v>
      </c>
      <c r="F358" t="s">
        <v>57</v>
      </c>
      <c r="G358" t="str">
        <f>INDEX(Risk_Matrix!$B$2:$D$4,MATCH(E358,Risk_Matrix!$A$2:$A$4,0),MATCH(F358,Risk_Matrix!$B$1:$D$1,0))</f>
        <v>Low</v>
      </c>
      <c r="H358" s="1">
        <v>46176</v>
      </c>
      <c r="I358" t="s">
        <v>2015</v>
      </c>
      <c r="J358" t="s">
        <v>2032</v>
      </c>
      <c r="K358" t="s">
        <v>1998</v>
      </c>
      <c r="L358">
        <f>IF(G358="High",3,IF(G358="Medium",2,1))</f>
        <v>1</v>
      </c>
    </row>
    <row r="359" spans="1:12">
      <c r="A359" t="s">
        <v>2385</v>
      </c>
      <c r="B359" t="s">
        <v>744</v>
      </c>
      <c r="C359" t="s">
        <v>2000</v>
      </c>
      <c r="D359" t="s">
        <v>2001</v>
      </c>
      <c r="E359" t="s">
        <v>57</v>
      </c>
      <c r="F359" t="s">
        <v>1971</v>
      </c>
      <c r="G359" t="str">
        <f>INDEX(Risk_Matrix!$B$2:$D$4,MATCH(E359,Risk_Matrix!$A$2:$A$4,0),MATCH(F359,Risk_Matrix!$B$1:$D$1,0))</f>
        <v>Low</v>
      </c>
      <c r="H359" s="1">
        <v>46225</v>
      </c>
      <c r="I359" t="s">
        <v>2025</v>
      </c>
      <c r="J359" t="s">
        <v>2035</v>
      </c>
      <c r="K359" t="s">
        <v>1989</v>
      </c>
      <c r="L359">
        <f>IF(G359="High",3,IF(G359="Medium",2,1))</f>
        <v>1</v>
      </c>
    </row>
    <row r="360" spans="1:12">
      <c r="A360" t="s">
        <v>2386</v>
      </c>
      <c r="B360" t="s">
        <v>744</v>
      </c>
      <c r="C360" t="s">
        <v>2005</v>
      </c>
      <c r="D360" t="s">
        <v>2039</v>
      </c>
      <c r="E360" t="s">
        <v>1971</v>
      </c>
      <c r="F360" t="s">
        <v>1971</v>
      </c>
      <c r="G360" t="str">
        <f>INDEX(Risk_Matrix!$B$2:$D$4,MATCH(E360,Risk_Matrix!$A$2:$A$4,0),MATCH(F360,Risk_Matrix!$B$1:$D$1,0))</f>
        <v>Medium</v>
      </c>
      <c r="H360" s="1">
        <v>46095</v>
      </c>
      <c r="I360" t="s">
        <v>2025</v>
      </c>
      <c r="J360" t="s">
        <v>2026</v>
      </c>
      <c r="K360" t="s">
        <v>1993</v>
      </c>
      <c r="L360">
        <f>IF(G360="High",3,IF(G360="Medium",2,1))</f>
        <v>2</v>
      </c>
    </row>
    <row r="361" spans="1:12">
      <c r="A361" t="s">
        <v>2387</v>
      </c>
      <c r="B361" t="s">
        <v>744</v>
      </c>
      <c r="C361" t="s">
        <v>2008</v>
      </c>
      <c r="D361" t="s">
        <v>2054</v>
      </c>
      <c r="E361" t="s">
        <v>47</v>
      </c>
      <c r="F361" t="s">
        <v>47</v>
      </c>
      <c r="G361" t="str">
        <f>INDEX(Risk_Matrix!$B$2:$D$4,MATCH(E361,Risk_Matrix!$A$2:$A$4,0),MATCH(F361,Risk_Matrix!$B$1:$D$1,0))</f>
        <v>High</v>
      </c>
      <c r="H361" s="1">
        <v>46215</v>
      </c>
      <c r="I361" t="s">
        <v>2015</v>
      </c>
      <c r="J361" t="s">
        <v>2016</v>
      </c>
      <c r="K361" t="s">
        <v>2010</v>
      </c>
      <c r="L361">
        <f>IF(G361="High",3,IF(G361="Medium",2,1))</f>
        <v>3</v>
      </c>
    </row>
    <row r="362" spans="1:12">
      <c r="A362" t="s">
        <v>2388</v>
      </c>
      <c r="B362" t="s">
        <v>746</v>
      </c>
      <c r="C362" t="s">
        <v>1985</v>
      </c>
      <c r="D362" t="s">
        <v>2028</v>
      </c>
      <c r="E362" t="s">
        <v>47</v>
      </c>
      <c r="F362" t="s">
        <v>1971</v>
      </c>
      <c r="G362" t="str">
        <f>INDEX(Risk_Matrix!$B$2:$D$4,MATCH(E362,Risk_Matrix!$A$2:$A$4,0),MATCH(F362,Risk_Matrix!$B$1:$D$1,0))</f>
        <v>High</v>
      </c>
      <c r="H362" s="1">
        <v>46217</v>
      </c>
      <c r="I362" t="s">
        <v>2015</v>
      </c>
      <c r="J362" t="s">
        <v>2032</v>
      </c>
      <c r="K362" t="s">
        <v>1989</v>
      </c>
      <c r="L362">
        <f>IF(G362="High",3,IF(G362="Medium",2,1))</f>
        <v>3</v>
      </c>
    </row>
    <row r="363" spans="1:12">
      <c r="A363" t="s">
        <v>2389</v>
      </c>
      <c r="B363" t="s">
        <v>746</v>
      </c>
      <c r="C363" t="s">
        <v>1991</v>
      </c>
      <c r="D363" t="s">
        <v>2031</v>
      </c>
      <c r="E363" t="s">
        <v>57</v>
      </c>
      <c r="F363" t="s">
        <v>57</v>
      </c>
      <c r="G363" t="str">
        <f>INDEX(Risk_Matrix!$B$2:$D$4,MATCH(E363,Risk_Matrix!$A$2:$A$4,0),MATCH(F363,Risk_Matrix!$B$1:$D$1,0))</f>
        <v>Low</v>
      </c>
      <c r="H363" s="1">
        <v>46155</v>
      </c>
      <c r="I363" t="s">
        <v>1987</v>
      </c>
      <c r="J363" t="s">
        <v>1997</v>
      </c>
      <c r="K363" t="s">
        <v>1993</v>
      </c>
      <c r="L363">
        <f>IF(G363="High",3,IF(G363="Medium",2,1))</f>
        <v>1</v>
      </c>
    </row>
    <row r="364" spans="1:12">
      <c r="A364" t="s">
        <v>2390</v>
      </c>
      <c r="B364" t="s">
        <v>746</v>
      </c>
      <c r="C364" t="s">
        <v>1995</v>
      </c>
      <c r="D364" t="s">
        <v>2034</v>
      </c>
      <c r="E364" t="s">
        <v>57</v>
      </c>
      <c r="F364" t="s">
        <v>1971</v>
      </c>
      <c r="G364" t="str">
        <f>INDEX(Risk_Matrix!$B$2:$D$4,MATCH(E364,Risk_Matrix!$A$2:$A$4,0),MATCH(F364,Risk_Matrix!$B$1:$D$1,0))</f>
        <v>Low</v>
      </c>
      <c r="H364" s="1">
        <v>46064</v>
      </c>
      <c r="I364" t="s">
        <v>2025</v>
      </c>
      <c r="J364" t="s">
        <v>2026</v>
      </c>
      <c r="K364" t="s">
        <v>2036</v>
      </c>
      <c r="L364">
        <f>IF(G364="High",3,IF(G364="Medium",2,1))</f>
        <v>1</v>
      </c>
    </row>
    <row r="365" spans="1:12">
      <c r="A365" t="s">
        <v>2391</v>
      </c>
      <c r="B365" t="s">
        <v>746</v>
      </c>
      <c r="C365" t="s">
        <v>2000</v>
      </c>
      <c r="D365" t="s">
        <v>2001</v>
      </c>
      <c r="E365" t="s">
        <v>57</v>
      </c>
      <c r="F365" t="s">
        <v>57</v>
      </c>
      <c r="G365" t="str">
        <f>INDEX(Risk_Matrix!$B$2:$D$4,MATCH(E365,Risk_Matrix!$A$2:$A$4,0),MATCH(F365,Risk_Matrix!$B$1:$D$1,0))</f>
        <v>Low</v>
      </c>
      <c r="H365" s="1">
        <v>46224</v>
      </c>
      <c r="I365" t="s">
        <v>2015</v>
      </c>
      <c r="J365" t="s">
        <v>2032</v>
      </c>
      <c r="K365" t="s">
        <v>1989</v>
      </c>
      <c r="L365">
        <f>IF(G365="High",3,IF(G365="Medium",2,1))</f>
        <v>1</v>
      </c>
    </row>
    <row r="366" spans="1:12">
      <c r="A366" t="s">
        <v>2392</v>
      </c>
      <c r="B366" t="s">
        <v>746</v>
      </c>
      <c r="C366" t="s">
        <v>2005</v>
      </c>
      <c r="D366" t="s">
        <v>2022</v>
      </c>
      <c r="E366" t="s">
        <v>47</v>
      </c>
      <c r="F366" t="s">
        <v>47</v>
      </c>
      <c r="G366" t="str">
        <f>INDEX(Risk_Matrix!$B$2:$D$4,MATCH(E366,Risk_Matrix!$A$2:$A$4,0),MATCH(F366,Risk_Matrix!$B$1:$D$1,0))</f>
        <v>High</v>
      </c>
      <c r="H366" s="1">
        <v>46166</v>
      </c>
      <c r="I366" t="s">
        <v>2015</v>
      </c>
      <c r="J366" t="s">
        <v>2032</v>
      </c>
      <c r="K366" t="s">
        <v>1993</v>
      </c>
      <c r="L366">
        <f>IF(G366="High",3,IF(G366="Medium",2,1))</f>
        <v>3</v>
      </c>
    </row>
    <row r="367" spans="1:12">
      <c r="A367" t="s">
        <v>2393</v>
      </c>
      <c r="B367" t="s">
        <v>746</v>
      </c>
      <c r="C367" t="s">
        <v>2008</v>
      </c>
      <c r="D367" t="s">
        <v>2009</v>
      </c>
      <c r="E367" t="s">
        <v>57</v>
      </c>
      <c r="F367" t="s">
        <v>1971</v>
      </c>
      <c r="G367" t="str">
        <f>INDEX(Risk_Matrix!$B$2:$D$4,MATCH(E367,Risk_Matrix!$A$2:$A$4,0),MATCH(F367,Risk_Matrix!$B$1:$D$1,0))</f>
        <v>Low</v>
      </c>
      <c r="H367" s="1">
        <v>46085</v>
      </c>
      <c r="I367" t="s">
        <v>1987</v>
      </c>
      <c r="J367" t="s">
        <v>1997</v>
      </c>
      <c r="K367" t="s">
        <v>2010</v>
      </c>
      <c r="L367">
        <f>IF(G367="High",3,IF(G367="Medium",2,1))</f>
        <v>1</v>
      </c>
    </row>
    <row r="368" spans="1:12">
      <c r="A368" t="s">
        <v>2394</v>
      </c>
      <c r="B368" t="s">
        <v>749</v>
      </c>
      <c r="C368" t="s">
        <v>1985</v>
      </c>
      <c r="D368" t="s">
        <v>2028</v>
      </c>
      <c r="E368" t="s">
        <v>1971</v>
      </c>
      <c r="F368" t="s">
        <v>47</v>
      </c>
      <c r="G368" t="str">
        <f>INDEX(Risk_Matrix!$B$2:$D$4,MATCH(E368,Risk_Matrix!$A$2:$A$4,0),MATCH(F368,Risk_Matrix!$B$1:$D$1,0))</f>
        <v>High</v>
      </c>
      <c r="H368" s="1">
        <v>46236</v>
      </c>
      <c r="I368" t="s">
        <v>2015</v>
      </c>
      <c r="J368" t="s">
        <v>2032</v>
      </c>
      <c r="K368" t="s">
        <v>1989</v>
      </c>
      <c r="L368">
        <f>IF(G368="High",3,IF(G368="Medium",2,1))</f>
        <v>3</v>
      </c>
    </row>
    <row r="369" spans="1:12">
      <c r="A369" t="s">
        <v>2395</v>
      </c>
      <c r="B369" t="s">
        <v>749</v>
      </c>
      <c r="C369" t="s">
        <v>1991</v>
      </c>
      <c r="D369" t="s">
        <v>2064</v>
      </c>
      <c r="E369" t="s">
        <v>1971</v>
      </c>
      <c r="F369" t="s">
        <v>47</v>
      </c>
      <c r="G369" t="str">
        <f>INDEX(Risk_Matrix!$B$2:$D$4,MATCH(E369,Risk_Matrix!$A$2:$A$4,0),MATCH(F369,Risk_Matrix!$B$1:$D$1,0))</f>
        <v>High</v>
      </c>
      <c r="H369" s="1">
        <v>46193</v>
      </c>
      <c r="I369" t="s">
        <v>2015</v>
      </c>
      <c r="J369" t="s">
        <v>2016</v>
      </c>
      <c r="K369" t="s">
        <v>1993</v>
      </c>
      <c r="L369">
        <f>IF(G369="High",3,IF(G369="Medium",2,1))</f>
        <v>3</v>
      </c>
    </row>
    <row r="370" spans="1:12">
      <c r="A370" t="s">
        <v>2396</v>
      </c>
      <c r="B370" t="s">
        <v>749</v>
      </c>
      <c r="C370" t="s">
        <v>1995</v>
      </c>
      <c r="D370" t="s">
        <v>2150</v>
      </c>
      <c r="E370" t="s">
        <v>57</v>
      </c>
      <c r="F370" t="s">
        <v>1971</v>
      </c>
      <c r="G370" t="str">
        <f>INDEX(Risk_Matrix!$B$2:$D$4,MATCH(E370,Risk_Matrix!$A$2:$A$4,0),MATCH(F370,Risk_Matrix!$B$1:$D$1,0))</f>
        <v>Low</v>
      </c>
      <c r="H370" s="1">
        <v>46070</v>
      </c>
      <c r="I370" t="s">
        <v>1987</v>
      </c>
      <c r="J370" t="s">
        <v>1997</v>
      </c>
      <c r="K370" t="s">
        <v>2036</v>
      </c>
      <c r="L370">
        <f>IF(G370="High",3,IF(G370="Medium",2,1))</f>
        <v>1</v>
      </c>
    </row>
    <row r="371" spans="1:12">
      <c r="A371" t="s">
        <v>2397</v>
      </c>
      <c r="B371" t="s">
        <v>749</v>
      </c>
      <c r="C371" t="s">
        <v>2000</v>
      </c>
      <c r="D371" t="s">
        <v>2001</v>
      </c>
      <c r="E371" t="s">
        <v>1971</v>
      </c>
      <c r="F371" t="s">
        <v>47</v>
      </c>
      <c r="G371" t="str">
        <f>INDEX(Risk_Matrix!$B$2:$D$4,MATCH(E371,Risk_Matrix!$A$2:$A$4,0),MATCH(F371,Risk_Matrix!$B$1:$D$1,0))</f>
        <v>High</v>
      </c>
      <c r="H371" s="1">
        <v>46208</v>
      </c>
      <c r="I371" t="s">
        <v>2015</v>
      </c>
      <c r="J371" t="s">
        <v>2032</v>
      </c>
      <c r="K371" t="s">
        <v>1989</v>
      </c>
      <c r="L371">
        <f>IF(G371="High",3,IF(G371="Medium",2,1))</f>
        <v>3</v>
      </c>
    </row>
    <row r="372" spans="1:12">
      <c r="A372" t="s">
        <v>2398</v>
      </c>
      <c r="B372" t="s">
        <v>749</v>
      </c>
      <c r="C372" t="s">
        <v>2005</v>
      </c>
      <c r="D372" t="s">
        <v>2006</v>
      </c>
      <c r="E372" t="s">
        <v>57</v>
      </c>
      <c r="F372" t="s">
        <v>57</v>
      </c>
      <c r="G372" t="str">
        <f>INDEX(Risk_Matrix!$B$2:$D$4,MATCH(E372,Risk_Matrix!$A$2:$A$4,0),MATCH(F372,Risk_Matrix!$B$1:$D$1,0))</f>
        <v>Low</v>
      </c>
      <c r="H372" s="1">
        <v>46121</v>
      </c>
      <c r="I372" t="s">
        <v>2025</v>
      </c>
      <c r="J372" t="s">
        <v>2035</v>
      </c>
      <c r="K372" t="s">
        <v>1993</v>
      </c>
      <c r="L372">
        <f>IF(G372="High",3,IF(G372="Medium",2,1))</f>
        <v>1</v>
      </c>
    </row>
    <row r="373" spans="1:12">
      <c r="A373" t="s">
        <v>2399</v>
      </c>
      <c r="B373" t="s">
        <v>749</v>
      </c>
      <c r="C373" t="s">
        <v>2008</v>
      </c>
      <c r="D373" t="s">
        <v>2009</v>
      </c>
      <c r="E373" t="s">
        <v>1971</v>
      </c>
      <c r="F373" t="s">
        <v>1971</v>
      </c>
      <c r="G373" t="str">
        <f>INDEX(Risk_Matrix!$B$2:$D$4,MATCH(E373,Risk_Matrix!$A$2:$A$4,0),MATCH(F373,Risk_Matrix!$B$1:$D$1,0))</f>
        <v>Medium</v>
      </c>
      <c r="H373" s="1">
        <v>46115</v>
      </c>
      <c r="I373" t="s">
        <v>1987</v>
      </c>
      <c r="J373" t="s">
        <v>1997</v>
      </c>
      <c r="K373" t="s">
        <v>1998</v>
      </c>
      <c r="L373">
        <f>IF(G373="High",3,IF(G373="Medium",2,1))</f>
        <v>2</v>
      </c>
    </row>
    <row r="374" spans="1:12">
      <c r="A374" t="s">
        <v>2400</v>
      </c>
      <c r="B374" t="s">
        <v>751</v>
      </c>
      <c r="C374" t="s">
        <v>1985</v>
      </c>
      <c r="D374" t="s">
        <v>2062</v>
      </c>
      <c r="E374" t="s">
        <v>57</v>
      </c>
      <c r="F374" t="s">
        <v>57</v>
      </c>
      <c r="G374" t="str">
        <f>INDEX(Risk_Matrix!$B$2:$D$4,MATCH(E374,Risk_Matrix!$A$2:$A$4,0),MATCH(F374,Risk_Matrix!$B$1:$D$1,0))</f>
        <v>Low</v>
      </c>
      <c r="H374" s="1">
        <v>46155</v>
      </c>
      <c r="I374" t="s">
        <v>2015</v>
      </c>
      <c r="J374" t="s">
        <v>2016</v>
      </c>
      <c r="K374" t="s">
        <v>1998</v>
      </c>
      <c r="L374">
        <f>IF(G374="High",3,IF(G374="Medium",2,1))</f>
        <v>1</v>
      </c>
    </row>
    <row r="375" spans="1:12">
      <c r="A375" t="s">
        <v>2401</v>
      </c>
      <c r="B375" t="s">
        <v>751</v>
      </c>
      <c r="C375" t="s">
        <v>1991</v>
      </c>
      <c r="D375" t="s">
        <v>2031</v>
      </c>
      <c r="E375" t="s">
        <v>1971</v>
      </c>
      <c r="F375" t="s">
        <v>47</v>
      </c>
      <c r="G375" t="str">
        <f>INDEX(Risk_Matrix!$B$2:$D$4,MATCH(E375,Risk_Matrix!$A$2:$A$4,0),MATCH(F375,Risk_Matrix!$B$1:$D$1,0))</f>
        <v>High</v>
      </c>
      <c r="H375" s="1">
        <v>46202</v>
      </c>
      <c r="I375" t="s">
        <v>2015</v>
      </c>
      <c r="J375" t="s">
        <v>2016</v>
      </c>
      <c r="K375" t="s">
        <v>2010</v>
      </c>
      <c r="L375">
        <f>IF(G375="High",3,IF(G375="Medium",2,1))</f>
        <v>3</v>
      </c>
    </row>
    <row r="376" spans="1:12">
      <c r="A376" t="s">
        <v>2402</v>
      </c>
      <c r="B376" t="s">
        <v>751</v>
      </c>
      <c r="C376" t="s">
        <v>1995</v>
      </c>
      <c r="D376" t="s">
        <v>2018</v>
      </c>
      <c r="E376" t="s">
        <v>57</v>
      </c>
      <c r="F376" t="s">
        <v>57</v>
      </c>
      <c r="G376" t="str">
        <f>INDEX(Risk_Matrix!$B$2:$D$4,MATCH(E376,Risk_Matrix!$A$2:$A$4,0),MATCH(F376,Risk_Matrix!$B$1:$D$1,0))</f>
        <v>Low</v>
      </c>
      <c r="H376" s="1">
        <v>46190</v>
      </c>
      <c r="I376" t="s">
        <v>2015</v>
      </c>
      <c r="J376" t="s">
        <v>2032</v>
      </c>
      <c r="K376" t="s">
        <v>2036</v>
      </c>
      <c r="L376">
        <f>IF(G376="High",3,IF(G376="Medium",2,1))</f>
        <v>1</v>
      </c>
    </row>
    <row r="377" spans="1:12">
      <c r="A377" t="s">
        <v>2403</v>
      </c>
      <c r="B377" t="s">
        <v>751</v>
      </c>
      <c r="C377" t="s">
        <v>2000</v>
      </c>
      <c r="D377" t="s">
        <v>2045</v>
      </c>
      <c r="E377" t="s">
        <v>47</v>
      </c>
      <c r="F377" t="s">
        <v>47</v>
      </c>
      <c r="G377" t="str">
        <f>INDEX(Risk_Matrix!$B$2:$D$4,MATCH(E377,Risk_Matrix!$A$2:$A$4,0),MATCH(F377,Risk_Matrix!$B$1:$D$1,0))</f>
        <v>High</v>
      </c>
      <c r="H377" s="1">
        <v>46164</v>
      </c>
      <c r="I377" t="s">
        <v>2015</v>
      </c>
      <c r="J377" t="s">
        <v>2016</v>
      </c>
      <c r="K377" t="s">
        <v>1989</v>
      </c>
      <c r="L377">
        <f>IF(G377="High",3,IF(G377="Medium",2,1))</f>
        <v>3</v>
      </c>
    </row>
    <row r="378" spans="1:12">
      <c r="A378" t="s">
        <v>2404</v>
      </c>
      <c r="B378" t="s">
        <v>751</v>
      </c>
      <c r="C378" t="s">
        <v>2005</v>
      </c>
      <c r="D378" t="s">
        <v>2006</v>
      </c>
      <c r="E378" t="s">
        <v>57</v>
      </c>
      <c r="F378" t="s">
        <v>47</v>
      </c>
      <c r="G378" t="str">
        <f>INDEX(Risk_Matrix!$B$2:$D$4,MATCH(E378,Risk_Matrix!$A$2:$A$4,0),MATCH(F378,Risk_Matrix!$B$1:$D$1,0))</f>
        <v>Medium</v>
      </c>
      <c r="H378" s="1">
        <v>46195</v>
      </c>
      <c r="I378" t="s">
        <v>2015</v>
      </c>
      <c r="J378" t="s">
        <v>2032</v>
      </c>
      <c r="K378" t="s">
        <v>2036</v>
      </c>
      <c r="L378">
        <f>IF(G378="High",3,IF(G378="Medium",2,1))</f>
        <v>2</v>
      </c>
    </row>
    <row r="379" spans="1:12">
      <c r="A379" t="s">
        <v>2405</v>
      </c>
      <c r="B379" t="s">
        <v>751</v>
      </c>
      <c r="C379" t="s">
        <v>2008</v>
      </c>
      <c r="D379" t="s">
        <v>2024</v>
      </c>
      <c r="E379" t="s">
        <v>57</v>
      </c>
      <c r="F379" t="s">
        <v>57</v>
      </c>
      <c r="G379" t="str">
        <f>INDEX(Risk_Matrix!$B$2:$D$4,MATCH(E379,Risk_Matrix!$A$2:$A$4,0),MATCH(F379,Risk_Matrix!$B$1:$D$1,0))</f>
        <v>Low</v>
      </c>
      <c r="H379" s="1">
        <v>46176</v>
      </c>
      <c r="I379" t="s">
        <v>2015</v>
      </c>
      <c r="J379" t="s">
        <v>2016</v>
      </c>
      <c r="K379" t="s">
        <v>2010</v>
      </c>
      <c r="L379">
        <f>IF(G379="High",3,IF(G379="Medium",2,1))</f>
        <v>1</v>
      </c>
    </row>
    <row r="380" spans="1:12">
      <c r="A380" t="s">
        <v>2406</v>
      </c>
      <c r="B380" t="s">
        <v>754</v>
      </c>
      <c r="C380" t="s">
        <v>1985</v>
      </c>
      <c r="D380" t="s">
        <v>2062</v>
      </c>
      <c r="E380" t="s">
        <v>57</v>
      </c>
      <c r="F380" t="s">
        <v>1971</v>
      </c>
      <c r="G380" t="str">
        <f>INDEX(Risk_Matrix!$B$2:$D$4,MATCH(E380,Risk_Matrix!$A$2:$A$4,0),MATCH(F380,Risk_Matrix!$B$1:$D$1,0))</f>
        <v>Low</v>
      </c>
      <c r="H380" s="1">
        <v>46112</v>
      </c>
      <c r="I380" t="s">
        <v>2025</v>
      </c>
      <c r="J380" t="s">
        <v>2035</v>
      </c>
      <c r="K380" t="s">
        <v>1989</v>
      </c>
      <c r="L380">
        <f>IF(G380="High",3,IF(G380="Medium",2,1))</f>
        <v>1</v>
      </c>
    </row>
    <row r="381" spans="1:12">
      <c r="A381" t="s">
        <v>2407</v>
      </c>
      <c r="B381" t="s">
        <v>754</v>
      </c>
      <c r="C381" t="s">
        <v>1991</v>
      </c>
      <c r="D381" t="s">
        <v>2014</v>
      </c>
      <c r="E381" t="s">
        <v>57</v>
      </c>
      <c r="F381" t="s">
        <v>1971</v>
      </c>
      <c r="G381" t="str">
        <f>INDEX(Risk_Matrix!$B$2:$D$4,MATCH(E381,Risk_Matrix!$A$2:$A$4,0),MATCH(F381,Risk_Matrix!$B$1:$D$1,0))</f>
        <v>Low</v>
      </c>
      <c r="H381" s="1">
        <v>46192</v>
      </c>
      <c r="I381" t="s">
        <v>2002</v>
      </c>
      <c r="J381" t="s">
        <v>2029</v>
      </c>
      <c r="K381" t="s">
        <v>1993</v>
      </c>
      <c r="L381">
        <f>IF(G381="High",3,IF(G381="Medium",2,1))</f>
        <v>1</v>
      </c>
    </row>
    <row r="382" spans="1:12">
      <c r="A382" t="s">
        <v>2408</v>
      </c>
      <c r="B382" t="s">
        <v>754</v>
      </c>
      <c r="C382" t="s">
        <v>1995</v>
      </c>
      <c r="D382" t="s">
        <v>2018</v>
      </c>
      <c r="E382" t="s">
        <v>57</v>
      </c>
      <c r="F382" t="s">
        <v>47</v>
      </c>
      <c r="G382" t="str">
        <f>INDEX(Risk_Matrix!$B$2:$D$4,MATCH(E382,Risk_Matrix!$A$2:$A$4,0),MATCH(F382,Risk_Matrix!$B$1:$D$1,0))</f>
        <v>Medium</v>
      </c>
      <c r="H382" s="1">
        <v>46214</v>
      </c>
      <c r="I382" t="s">
        <v>2015</v>
      </c>
      <c r="J382" t="s">
        <v>2016</v>
      </c>
      <c r="K382" t="s">
        <v>2036</v>
      </c>
      <c r="L382">
        <f>IF(G382="High",3,IF(G382="Medium",2,1))</f>
        <v>2</v>
      </c>
    </row>
    <row r="383" spans="1:12">
      <c r="A383" t="s">
        <v>2409</v>
      </c>
      <c r="B383" t="s">
        <v>754</v>
      </c>
      <c r="C383" t="s">
        <v>2000</v>
      </c>
      <c r="D383" t="s">
        <v>2020</v>
      </c>
      <c r="E383" t="s">
        <v>47</v>
      </c>
      <c r="F383" t="s">
        <v>47</v>
      </c>
      <c r="G383" t="str">
        <f>INDEX(Risk_Matrix!$B$2:$D$4,MATCH(E383,Risk_Matrix!$A$2:$A$4,0),MATCH(F383,Risk_Matrix!$B$1:$D$1,0))</f>
        <v>High</v>
      </c>
      <c r="H383" s="1">
        <v>46168</v>
      </c>
      <c r="I383" t="s">
        <v>2015</v>
      </c>
      <c r="J383" t="s">
        <v>2032</v>
      </c>
      <c r="K383" t="s">
        <v>1989</v>
      </c>
      <c r="L383">
        <f>IF(G383="High",3,IF(G383="Medium",2,1))</f>
        <v>3</v>
      </c>
    </row>
    <row r="384" spans="1:12">
      <c r="A384" t="s">
        <v>2410</v>
      </c>
      <c r="B384" t="s">
        <v>754</v>
      </c>
      <c r="C384" t="s">
        <v>2005</v>
      </c>
      <c r="D384" t="s">
        <v>2039</v>
      </c>
      <c r="E384" t="s">
        <v>57</v>
      </c>
      <c r="F384" t="s">
        <v>57</v>
      </c>
      <c r="G384" t="str">
        <f>INDEX(Risk_Matrix!$B$2:$D$4,MATCH(E384,Risk_Matrix!$A$2:$A$4,0),MATCH(F384,Risk_Matrix!$B$1:$D$1,0))</f>
        <v>Low</v>
      </c>
      <c r="H384" s="1">
        <v>46150</v>
      </c>
      <c r="I384" t="s">
        <v>2025</v>
      </c>
      <c r="J384" t="s">
        <v>2026</v>
      </c>
      <c r="K384" t="s">
        <v>2036</v>
      </c>
      <c r="L384">
        <f>IF(G384="High",3,IF(G384="Medium",2,1))</f>
        <v>1</v>
      </c>
    </row>
    <row r="385" spans="1:12">
      <c r="A385" t="s">
        <v>2411</v>
      </c>
      <c r="B385" t="s">
        <v>754</v>
      </c>
      <c r="C385" t="s">
        <v>2008</v>
      </c>
      <c r="D385" t="s">
        <v>2054</v>
      </c>
      <c r="E385" t="s">
        <v>57</v>
      </c>
      <c r="F385" t="s">
        <v>1971</v>
      </c>
      <c r="G385" t="str">
        <f>INDEX(Risk_Matrix!$B$2:$D$4,MATCH(E385,Risk_Matrix!$A$2:$A$4,0),MATCH(F385,Risk_Matrix!$B$1:$D$1,0))</f>
        <v>Low</v>
      </c>
      <c r="H385" s="1">
        <v>46197</v>
      </c>
      <c r="I385" t="s">
        <v>2015</v>
      </c>
      <c r="J385" t="s">
        <v>2032</v>
      </c>
      <c r="K385" t="s">
        <v>2010</v>
      </c>
      <c r="L385">
        <f>IF(G385="High",3,IF(G385="Medium",2,1))</f>
        <v>1</v>
      </c>
    </row>
    <row r="386" spans="1:12">
      <c r="A386" t="s">
        <v>2412</v>
      </c>
      <c r="B386" t="s">
        <v>757</v>
      </c>
      <c r="C386" t="s">
        <v>1985</v>
      </c>
      <c r="D386" t="s">
        <v>2062</v>
      </c>
      <c r="E386" t="s">
        <v>57</v>
      </c>
      <c r="F386" t="s">
        <v>57</v>
      </c>
      <c r="G386" t="str">
        <f>INDEX(Risk_Matrix!$B$2:$D$4,MATCH(E386,Risk_Matrix!$A$2:$A$4,0),MATCH(F386,Risk_Matrix!$B$1:$D$1,0))</f>
        <v>Low</v>
      </c>
      <c r="H386" s="1">
        <v>46055</v>
      </c>
      <c r="I386" t="s">
        <v>2002</v>
      </c>
      <c r="J386" t="s">
        <v>2029</v>
      </c>
      <c r="K386" t="s">
        <v>1998</v>
      </c>
      <c r="L386">
        <f>IF(G386="High",3,IF(G386="Medium",2,1))</f>
        <v>1</v>
      </c>
    </row>
    <row r="387" spans="1:12">
      <c r="A387" t="s">
        <v>2413</v>
      </c>
      <c r="B387" t="s">
        <v>757</v>
      </c>
      <c r="C387" t="s">
        <v>1991</v>
      </c>
      <c r="D387" t="s">
        <v>2014</v>
      </c>
      <c r="E387" t="s">
        <v>57</v>
      </c>
      <c r="F387" t="s">
        <v>57</v>
      </c>
      <c r="G387" t="str">
        <f>INDEX(Risk_Matrix!$B$2:$D$4,MATCH(E387,Risk_Matrix!$A$2:$A$4,0),MATCH(F387,Risk_Matrix!$B$1:$D$1,0))</f>
        <v>Low</v>
      </c>
      <c r="H387" s="1">
        <v>46178</v>
      </c>
      <c r="I387" t="s">
        <v>2015</v>
      </c>
      <c r="J387" t="s">
        <v>2032</v>
      </c>
      <c r="K387" t="s">
        <v>2010</v>
      </c>
      <c r="L387">
        <f>IF(G387="High",3,IF(G387="Medium",2,1))</f>
        <v>1</v>
      </c>
    </row>
    <row r="388" spans="1:12">
      <c r="A388" t="s">
        <v>2414</v>
      </c>
      <c r="B388" t="s">
        <v>757</v>
      </c>
      <c r="C388" t="s">
        <v>1995</v>
      </c>
      <c r="D388" t="s">
        <v>2034</v>
      </c>
      <c r="E388" t="s">
        <v>57</v>
      </c>
      <c r="F388" t="s">
        <v>57</v>
      </c>
      <c r="G388" t="str">
        <f>INDEX(Risk_Matrix!$B$2:$D$4,MATCH(E388,Risk_Matrix!$A$2:$A$4,0),MATCH(F388,Risk_Matrix!$B$1:$D$1,0))</f>
        <v>Low</v>
      </c>
      <c r="H388" s="1">
        <v>46164</v>
      </c>
      <c r="I388" t="s">
        <v>2002</v>
      </c>
      <c r="J388" t="s">
        <v>2003</v>
      </c>
      <c r="K388" t="s">
        <v>1998</v>
      </c>
      <c r="L388">
        <f>IF(G388="High",3,IF(G388="Medium",2,1))</f>
        <v>1</v>
      </c>
    </row>
    <row r="389" spans="1:12">
      <c r="A389" t="s">
        <v>2415</v>
      </c>
      <c r="B389" t="s">
        <v>757</v>
      </c>
      <c r="C389" t="s">
        <v>2000</v>
      </c>
      <c r="D389" t="s">
        <v>2020</v>
      </c>
      <c r="E389" t="s">
        <v>57</v>
      </c>
      <c r="F389" t="s">
        <v>57</v>
      </c>
      <c r="G389" t="str">
        <f>INDEX(Risk_Matrix!$B$2:$D$4,MATCH(E389,Risk_Matrix!$A$2:$A$4,0),MATCH(F389,Risk_Matrix!$B$1:$D$1,0))</f>
        <v>Low</v>
      </c>
      <c r="H389" s="1">
        <v>46094</v>
      </c>
      <c r="I389" t="s">
        <v>2002</v>
      </c>
      <c r="J389" t="s">
        <v>2003</v>
      </c>
      <c r="K389" t="s">
        <v>1993</v>
      </c>
      <c r="L389">
        <f>IF(G389="High",3,IF(G389="Medium",2,1))</f>
        <v>1</v>
      </c>
    </row>
    <row r="390" spans="1:12">
      <c r="A390" t="s">
        <v>2416</v>
      </c>
      <c r="B390" t="s">
        <v>757</v>
      </c>
      <c r="C390" t="s">
        <v>2005</v>
      </c>
      <c r="D390" t="s">
        <v>2022</v>
      </c>
      <c r="E390" t="s">
        <v>57</v>
      </c>
      <c r="F390" t="s">
        <v>1971</v>
      </c>
      <c r="G390" t="str">
        <f>INDEX(Risk_Matrix!$B$2:$D$4,MATCH(E390,Risk_Matrix!$A$2:$A$4,0),MATCH(F390,Risk_Matrix!$B$1:$D$1,0))</f>
        <v>Low</v>
      </c>
      <c r="H390" s="1">
        <v>46174</v>
      </c>
      <c r="I390" t="s">
        <v>2015</v>
      </c>
      <c r="J390" t="s">
        <v>2032</v>
      </c>
      <c r="K390" t="s">
        <v>1993</v>
      </c>
      <c r="L390">
        <f>IF(G390="High",3,IF(G390="Medium",2,1))</f>
        <v>1</v>
      </c>
    </row>
    <row r="391" spans="1:12">
      <c r="A391" t="s">
        <v>2417</v>
      </c>
      <c r="B391" t="s">
        <v>757</v>
      </c>
      <c r="C391" t="s">
        <v>2008</v>
      </c>
      <c r="D391" t="s">
        <v>2009</v>
      </c>
      <c r="E391" t="s">
        <v>47</v>
      </c>
      <c r="F391" t="s">
        <v>57</v>
      </c>
      <c r="G391" t="str">
        <f>INDEX(Risk_Matrix!$B$2:$D$4,MATCH(E391,Risk_Matrix!$A$2:$A$4,0),MATCH(F391,Risk_Matrix!$B$1:$D$1,0))</f>
        <v>Medium</v>
      </c>
      <c r="H391" s="1">
        <v>46180</v>
      </c>
      <c r="I391" t="s">
        <v>2015</v>
      </c>
      <c r="J391" t="s">
        <v>2032</v>
      </c>
      <c r="K391" t="s">
        <v>2010</v>
      </c>
      <c r="L391">
        <f>IF(G391="High",3,IF(G391="Medium",2,1))</f>
        <v>2</v>
      </c>
    </row>
    <row r="392" spans="1:12">
      <c r="A392" t="s">
        <v>2418</v>
      </c>
      <c r="B392" t="s">
        <v>759</v>
      </c>
      <c r="C392" t="s">
        <v>1985</v>
      </c>
      <c r="D392" t="s">
        <v>2062</v>
      </c>
      <c r="E392" t="s">
        <v>57</v>
      </c>
      <c r="F392" t="s">
        <v>57</v>
      </c>
      <c r="G392" t="str">
        <f>INDEX(Risk_Matrix!$B$2:$D$4,MATCH(E392,Risk_Matrix!$A$2:$A$4,0),MATCH(F392,Risk_Matrix!$B$1:$D$1,0))</f>
        <v>Low</v>
      </c>
      <c r="H392" s="1">
        <v>46056</v>
      </c>
      <c r="I392" t="s">
        <v>2025</v>
      </c>
      <c r="J392" t="s">
        <v>2035</v>
      </c>
      <c r="K392" t="s">
        <v>1998</v>
      </c>
      <c r="L392">
        <f>IF(G392="High",3,IF(G392="Medium",2,1))</f>
        <v>1</v>
      </c>
    </row>
    <row r="393" spans="1:12">
      <c r="A393" t="s">
        <v>2419</v>
      </c>
      <c r="B393" t="s">
        <v>759</v>
      </c>
      <c r="C393" t="s">
        <v>1991</v>
      </c>
      <c r="D393" t="s">
        <v>1992</v>
      </c>
      <c r="E393" t="s">
        <v>57</v>
      </c>
      <c r="F393" t="s">
        <v>57</v>
      </c>
      <c r="G393" t="str">
        <f>INDEX(Risk_Matrix!$B$2:$D$4,MATCH(E393,Risk_Matrix!$A$2:$A$4,0),MATCH(F393,Risk_Matrix!$B$1:$D$1,0))</f>
        <v>Low</v>
      </c>
      <c r="H393" s="1">
        <v>46183</v>
      </c>
      <c r="I393" t="s">
        <v>2015</v>
      </c>
      <c r="J393" t="s">
        <v>2032</v>
      </c>
      <c r="K393" t="s">
        <v>1993</v>
      </c>
      <c r="L393">
        <f>IF(G393="High",3,IF(G393="Medium",2,1))</f>
        <v>1</v>
      </c>
    </row>
    <row r="394" spans="1:12">
      <c r="A394" t="s">
        <v>2420</v>
      </c>
      <c r="B394" t="s">
        <v>759</v>
      </c>
      <c r="C394" t="s">
        <v>1995</v>
      </c>
      <c r="D394" t="s">
        <v>1996</v>
      </c>
      <c r="E394" t="s">
        <v>57</v>
      </c>
      <c r="F394" t="s">
        <v>57</v>
      </c>
      <c r="G394" t="str">
        <f>INDEX(Risk_Matrix!$B$2:$D$4,MATCH(E394,Risk_Matrix!$A$2:$A$4,0),MATCH(F394,Risk_Matrix!$B$1:$D$1,0))</f>
        <v>Low</v>
      </c>
      <c r="H394" s="1">
        <v>46188</v>
      </c>
      <c r="I394" t="s">
        <v>2025</v>
      </c>
      <c r="J394" t="s">
        <v>2026</v>
      </c>
      <c r="K394" t="s">
        <v>1998</v>
      </c>
      <c r="L394">
        <f>IF(G394="High",3,IF(G394="Medium",2,1))</f>
        <v>1</v>
      </c>
    </row>
    <row r="395" spans="1:12">
      <c r="A395" t="s">
        <v>2421</v>
      </c>
      <c r="B395" t="s">
        <v>759</v>
      </c>
      <c r="C395" t="s">
        <v>2000</v>
      </c>
      <c r="D395" t="s">
        <v>2001</v>
      </c>
      <c r="E395" t="s">
        <v>1971</v>
      </c>
      <c r="F395" t="s">
        <v>1971</v>
      </c>
      <c r="G395" t="str">
        <f>INDEX(Risk_Matrix!$B$2:$D$4,MATCH(E395,Risk_Matrix!$A$2:$A$4,0),MATCH(F395,Risk_Matrix!$B$1:$D$1,0))</f>
        <v>Medium</v>
      </c>
      <c r="H395" s="1">
        <v>46188</v>
      </c>
      <c r="I395" t="s">
        <v>2015</v>
      </c>
      <c r="J395" t="s">
        <v>2016</v>
      </c>
      <c r="K395" t="s">
        <v>1993</v>
      </c>
      <c r="L395">
        <f>IF(G395="High",3,IF(G395="Medium",2,1))</f>
        <v>2</v>
      </c>
    </row>
    <row r="396" spans="1:12">
      <c r="A396" t="s">
        <v>2422</v>
      </c>
      <c r="B396" t="s">
        <v>759</v>
      </c>
      <c r="C396" t="s">
        <v>2005</v>
      </c>
      <c r="D396" t="s">
        <v>2022</v>
      </c>
      <c r="E396" t="s">
        <v>1971</v>
      </c>
      <c r="F396" t="s">
        <v>1971</v>
      </c>
      <c r="G396" t="str">
        <f>INDEX(Risk_Matrix!$B$2:$D$4,MATCH(E396,Risk_Matrix!$A$2:$A$4,0),MATCH(F396,Risk_Matrix!$B$1:$D$1,0))</f>
        <v>Medium</v>
      </c>
      <c r="H396" s="1">
        <v>46179</v>
      </c>
      <c r="I396" t="s">
        <v>2015</v>
      </c>
      <c r="J396" t="s">
        <v>2016</v>
      </c>
      <c r="K396" t="s">
        <v>1993</v>
      </c>
      <c r="L396">
        <f>IF(G396="High",3,IF(G396="Medium",2,1))</f>
        <v>2</v>
      </c>
    </row>
    <row r="397" spans="1:12">
      <c r="A397" t="s">
        <v>2423</v>
      </c>
      <c r="B397" t="s">
        <v>759</v>
      </c>
      <c r="C397" t="s">
        <v>2008</v>
      </c>
      <c r="D397" t="s">
        <v>2009</v>
      </c>
      <c r="E397" t="s">
        <v>1971</v>
      </c>
      <c r="F397" t="s">
        <v>1971</v>
      </c>
      <c r="G397" t="str">
        <f>INDEX(Risk_Matrix!$B$2:$D$4,MATCH(E397,Risk_Matrix!$A$2:$A$4,0),MATCH(F397,Risk_Matrix!$B$1:$D$1,0))</f>
        <v>Medium</v>
      </c>
      <c r="H397" s="1">
        <v>46234</v>
      </c>
      <c r="I397" t="s">
        <v>2015</v>
      </c>
      <c r="J397" t="s">
        <v>2032</v>
      </c>
      <c r="K397" t="s">
        <v>2010</v>
      </c>
      <c r="L397">
        <f>IF(G397="High",3,IF(G397="Medium",2,1))</f>
        <v>2</v>
      </c>
    </row>
    <row r="398" spans="1:12">
      <c r="A398" t="s">
        <v>2424</v>
      </c>
      <c r="B398" t="s">
        <v>761</v>
      </c>
      <c r="C398" t="s">
        <v>1985</v>
      </c>
      <c r="D398" t="s">
        <v>2012</v>
      </c>
      <c r="E398" t="s">
        <v>1971</v>
      </c>
      <c r="F398" t="s">
        <v>57</v>
      </c>
      <c r="G398" t="str">
        <f>INDEX(Risk_Matrix!$B$2:$D$4,MATCH(E398,Risk_Matrix!$A$2:$A$4,0),MATCH(F398,Risk_Matrix!$B$1:$D$1,0))</f>
        <v>Low</v>
      </c>
      <c r="H398" s="1">
        <v>46191</v>
      </c>
      <c r="I398" t="s">
        <v>2015</v>
      </c>
      <c r="J398" t="s">
        <v>2016</v>
      </c>
      <c r="K398" t="s">
        <v>1989</v>
      </c>
      <c r="L398">
        <f>IF(G398="High",3,IF(G398="Medium",2,1))</f>
        <v>1</v>
      </c>
    </row>
    <row r="399" spans="1:12">
      <c r="A399" t="s">
        <v>2425</v>
      </c>
      <c r="B399" t="s">
        <v>761</v>
      </c>
      <c r="C399" t="s">
        <v>1991</v>
      </c>
      <c r="D399" t="s">
        <v>2014</v>
      </c>
      <c r="E399" t="s">
        <v>1971</v>
      </c>
      <c r="F399" t="s">
        <v>47</v>
      </c>
      <c r="G399" t="str">
        <f>INDEX(Risk_Matrix!$B$2:$D$4,MATCH(E399,Risk_Matrix!$A$2:$A$4,0),MATCH(F399,Risk_Matrix!$B$1:$D$1,0))</f>
        <v>High</v>
      </c>
      <c r="H399" s="1">
        <v>46111</v>
      </c>
      <c r="I399" t="s">
        <v>2025</v>
      </c>
      <c r="J399" t="s">
        <v>2026</v>
      </c>
      <c r="K399" t="s">
        <v>2010</v>
      </c>
      <c r="L399">
        <f>IF(G399="High",3,IF(G399="Medium",2,1))</f>
        <v>3</v>
      </c>
    </row>
    <row r="400" spans="1:12">
      <c r="A400" t="s">
        <v>2426</v>
      </c>
      <c r="B400" t="s">
        <v>761</v>
      </c>
      <c r="C400" t="s">
        <v>1995</v>
      </c>
      <c r="D400" t="s">
        <v>2018</v>
      </c>
      <c r="E400" t="s">
        <v>1971</v>
      </c>
      <c r="F400" t="s">
        <v>1971</v>
      </c>
      <c r="G400" t="str">
        <f>INDEX(Risk_Matrix!$B$2:$D$4,MATCH(E400,Risk_Matrix!$A$2:$A$4,0),MATCH(F400,Risk_Matrix!$B$1:$D$1,0))</f>
        <v>Medium</v>
      </c>
      <c r="H400" s="1">
        <v>46166</v>
      </c>
      <c r="I400" t="s">
        <v>2025</v>
      </c>
      <c r="J400" t="s">
        <v>2035</v>
      </c>
      <c r="K400" t="s">
        <v>2036</v>
      </c>
      <c r="L400">
        <f>IF(G400="High",3,IF(G400="Medium",2,1))</f>
        <v>2</v>
      </c>
    </row>
    <row r="401" spans="1:12">
      <c r="A401" t="s">
        <v>2427</v>
      </c>
      <c r="B401" t="s">
        <v>761</v>
      </c>
      <c r="C401" t="s">
        <v>2000</v>
      </c>
      <c r="D401" t="s">
        <v>2001</v>
      </c>
      <c r="E401" t="s">
        <v>1971</v>
      </c>
      <c r="F401" t="s">
        <v>57</v>
      </c>
      <c r="G401" t="str">
        <f>INDEX(Risk_Matrix!$B$2:$D$4,MATCH(E401,Risk_Matrix!$A$2:$A$4,0),MATCH(F401,Risk_Matrix!$B$1:$D$1,0))</f>
        <v>Low</v>
      </c>
      <c r="H401" s="1">
        <v>46145</v>
      </c>
      <c r="I401" t="s">
        <v>1987</v>
      </c>
      <c r="J401" t="s">
        <v>1988</v>
      </c>
      <c r="K401" t="s">
        <v>1989</v>
      </c>
      <c r="L401">
        <f>IF(G401="High",3,IF(G401="Medium",2,1))</f>
        <v>1</v>
      </c>
    </row>
    <row r="402" spans="1:12">
      <c r="A402" t="s">
        <v>2428</v>
      </c>
      <c r="B402" t="s">
        <v>761</v>
      </c>
      <c r="C402" t="s">
        <v>2005</v>
      </c>
      <c r="D402" t="s">
        <v>2039</v>
      </c>
      <c r="E402" t="s">
        <v>57</v>
      </c>
      <c r="F402" t="s">
        <v>57</v>
      </c>
      <c r="G402" t="str">
        <f>INDEX(Risk_Matrix!$B$2:$D$4,MATCH(E402,Risk_Matrix!$A$2:$A$4,0),MATCH(F402,Risk_Matrix!$B$1:$D$1,0))</f>
        <v>Low</v>
      </c>
      <c r="H402" s="1">
        <v>46216</v>
      </c>
      <c r="I402" t="s">
        <v>2002</v>
      </c>
      <c r="J402" t="s">
        <v>2029</v>
      </c>
      <c r="K402" t="s">
        <v>2036</v>
      </c>
      <c r="L402">
        <f>IF(G402="High",3,IF(G402="Medium",2,1))</f>
        <v>1</v>
      </c>
    </row>
    <row r="403" spans="1:12">
      <c r="A403" t="s">
        <v>2429</v>
      </c>
      <c r="B403" t="s">
        <v>761</v>
      </c>
      <c r="C403" t="s">
        <v>2008</v>
      </c>
      <c r="D403" t="s">
        <v>2054</v>
      </c>
      <c r="E403" t="s">
        <v>47</v>
      </c>
      <c r="F403" t="s">
        <v>1971</v>
      </c>
      <c r="G403" t="str">
        <f>INDEX(Risk_Matrix!$B$2:$D$4,MATCH(E403,Risk_Matrix!$A$2:$A$4,0),MATCH(F403,Risk_Matrix!$B$1:$D$1,0))</f>
        <v>High</v>
      </c>
      <c r="H403" s="1">
        <v>46097</v>
      </c>
      <c r="I403" t="s">
        <v>1987</v>
      </c>
      <c r="J403" t="s">
        <v>1997</v>
      </c>
      <c r="K403" t="s">
        <v>2010</v>
      </c>
      <c r="L403">
        <f>IF(G403="High",3,IF(G403="Medium",2,1))</f>
        <v>3</v>
      </c>
    </row>
    <row r="404" spans="1:12">
      <c r="A404" t="s">
        <v>2430</v>
      </c>
      <c r="B404" t="s">
        <v>763</v>
      </c>
      <c r="C404" t="s">
        <v>1985</v>
      </c>
      <c r="D404" t="s">
        <v>2062</v>
      </c>
      <c r="E404" t="s">
        <v>57</v>
      </c>
      <c r="F404" t="s">
        <v>1971</v>
      </c>
      <c r="G404" t="str">
        <f>INDEX(Risk_Matrix!$B$2:$D$4,MATCH(E404,Risk_Matrix!$A$2:$A$4,0),MATCH(F404,Risk_Matrix!$B$1:$D$1,0))</f>
        <v>Low</v>
      </c>
      <c r="H404" s="1">
        <v>46077</v>
      </c>
      <c r="I404" t="s">
        <v>1987</v>
      </c>
      <c r="J404" t="s">
        <v>1988</v>
      </c>
      <c r="K404" t="s">
        <v>1989</v>
      </c>
      <c r="L404">
        <f>IF(G404="High",3,IF(G404="Medium",2,1))</f>
        <v>1</v>
      </c>
    </row>
    <row r="405" spans="1:12">
      <c r="A405" t="s">
        <v>2431</v>
      </c>
      <c r="B405" t="s">
        <v>763</v>
      </c>
      <c r="C405" t="s">
        <v>1991</v>
      </c>
      <c r="D405" t="s">
        <v>2031</v>
      </c>
      <c r="E405" t="s">
        <v>57</v>
      </c>
      <c r="F405" t="s">
        <v>47</v>
      </c>
      <c r="G405" t="str">
        <f>INDEX(Risk_Matrix!$B$2:$D$4,MATCH(E405,Risk_Matrix!$A$2:$A$4,0),MATCH(F405,Risk_Matrix!$B$1:$D$1,0))</f>
        <v>Medium</v>
      </c>
      <c r="H405" s="1">
        <v>46208</v>
      </c>
      <c r="I405" t="s">
        <v>2002</v>
      </c>
      <c r="J405" t="s">
        <v>2029</v>
      </c>
      <c r="K405" t="s">
        <v>1993</v>
      </c>
      <c r="L405">
        <f>IF(G405="High",3,IF(G405="Medium",2,1))</f>
        <v>2</v>
      </c>
    </row>
    <row r="406" spans="1:12">
      <c r="A406" t="s">
        <v>2432</v>
      </c>
      <c r="B406" t="s">
        <v>763</v>
      </c>
      <c r="C406" t="s">
        <v>1995</v>
      </c>
      <c r="D406" t="s">
        <v>1996</v>
      </c>
      <c r="E406" t="s">
        <v>57</v>
      </c>
      <c r="F406" t="s">
        <v>1971</v>
      </c>
      <c r="G406" t="str">
        <f>INDEX(Risk_Matrix!$B$2:$D$4,MATCH(E406,Risk_Matrix!$A$2:$A$4,0),MATCH(F406,Risk_Matrix!$B$1:$D$1,0))</f>
        <v>Low</v>
      </c>
      <c r="H406" s="1">
        <v>46076</v>
      </c>
      <c r="I406" t="s">
        <v>1987</v>
      </c>
      <c r="J406" t="s">
        <v>1988</v>
      </c>
      <c r="K406" t="s">
        <v>1998</v>
      </c>
      <c r="L406">
        <f>IF(G406="High",3,IF(G406="Medium",2,1))</f>
        <v>1</v>
      </c>
    </row>
    <row r="407" spans="1:12">
      <c r="A407" t="s">
        <v>2433</v>
      </c>
      <c r="B407" t="s">
        <v>763</v>
      </c>
      <c r="C407" t="s">
        <v>2000</v>
      </c>
      <c r="D407" t="s">
        <v>2045</v>
      </c>
      <c r="E407" t="s">
        <v>1971</v>
      </c>
      <c r="F407" t="s">
        <v>47</v>
      </c>
      <c r="G407" t="str">
        <f>INDEX(Risk_Matrix!$B$2:$D$4,MATCH(E407,Risk_Matrix!$A$2:$A$4,0),MATCH(F407,Risk_Matrix!$B$1:$D$1,0))</f>
        <v>High</v>
      </c>
      <c r="H407" s="1">
        <v>46212</v>
      </c>
      <c r="I407" t="s">
        <v>2015</v>
      </c>
      <c r="J407" t="s">
        <v>2032</v>
      </c>
      <c r="K407" t="s">
        <v>1993</v>
      </c>
      <c r="L407">
        <f>IF(G407="High",3,IF(G407="Medium",2,1))</f>
        <v>3</v>
      </c>
    </row>
    <row r="408" spans="1:12">
      <c r="A408" t="s">
        <v>2434</v>
      </c>
      <c r="B408" t="s">
        <v>763</v>
      </c>
      <c r="C408" t="s">
        <v>2005</v>
      </c>
      <c r="D408" t="s">
        <v>2022</v>
      </c>
      <c r="E408" t="s">
        <v>1971</v>
      </c>
      <c r="F408" t="s">
        <v>47</v>
      </c>
      <c r="G408" t="str">
        <f>INDEX(Risk_Matrix!$B$2:$D$4,MATCH(E408,Risk_Matrix!$A$2:$A$4,0),MATCH(F408,Risk_Matrix!$B$1:$D$1,0))</f>
        <v>High</v>
      </c>
      <c r="H408" s="1">
        <v>46111</v>
      </c>
      <c r="I408" t="s">
        <v>2025</v>
      </c>
      <c r="J408" t="s">
        <v>2026</v>
      </c>
      <c r="K408" t="s">
        <v>1993</v>
      </c>
      <c r="L408">
        <f>IF(G408="High",3,IF(G408="Medium",2,1))</f>
        <v>3</v>
      </c>
    </row>
    <row r="409" spans="1:12">
      <c r="A409" t="s">
        <v>2435</v>
      </c>
      <c r="B409" t="s">
        <v>763</v>
      </c>
      <c r="C409" t="s">
        <v>2008</v>
      </c>
      <c r="D409" t="s">
        <v>2054</v>
      </c>
      <c r="E409" t="s">
        <v>47</v>
      </c>
      <c r="F409" t="s">
        <v>47</v>
      </c>
      <c r="G409" t="str">
        <f>INDEX(Risk_Matrix!$B$2:$D$4,MATCH(E409,Risk_Matrix!$A$2:$A$4,0),MATCH(F409,Risk_Matrix!$B$1:$D$1,0))</f>
        <v>High</v>
      </c>
      <c r="H409" s="1">
        <v>46198</v>
      </c>
      <c r="I409" t="s">
        <v>2015</v>
      </c>
      <c r="J409" t="s">
        <v>2032</v>
      </c>
      <c r="K409" t="s">
        <v>2010</v>
      </c>
      <c r="L409">
        <f>IF(G409="High",3,IF(G409="Medium",2,1))</f>
        <v>3</v>
      </c>
    </row>
    <row r="410" spans="1:12">
      <c r="A410" t="s">
        <v>2436</v>
      </c>
      <c r="B410" t="s">
        <v>766</v>
      </c>
      <c r="C410" t="s">
        <v>1985</v>
      </c>
      <c r="D410" t="s">
        <v>2012</v>
      </c>
      <c r="E410" t="s">
        <v>1971</v>
      </c>
      <c r="F410" t="s">
        <v>57</v>
      </c>
      <c r="G410" t="str">
        <f>INDEX(Risk_Matrix!$B$2:$D$4,MATCH(E410,Risk_Matrix!$A$2:$A$4,0),MATCH(F410,Risk_Matrix!$B$1:$D$1,0))</f>
        <v>Low</v>
      </c>
      <c r="H410" s="1">
        <v>46198</v>
      </c>
      <c r="I410" t="s">
        <v>2002</v>
      </c>
      <c r="J410" t="s">
        <v>2029</v>
      </c>
      <c r="K410" t="s">
        <v>1989</v>
      </c>
      <c r="L410">
        <f>IF(G410="High",3,IF(G410="Medium",2,1))</f>
        <v>1</v>
      </c>
    </row>
    <row r="411" spans="1:12">
      <c r="A411" t="s">
        <v>2437</v>
      </c>
      <c r="B411" t="s">
        <v>766</v>
      </c>
      <c r="C411" t="s">
        <v>1991</v>
      </c>
      <c r="D411" t="s">
        <v>2031</v>
      </c>
      <c r="E411" t="s">
        <v>1971</v>
      </c>
      <c r="F411" t="s">
        <v>47</v>
      </c>
      <c r="G411" t="str">
        <f>INDEX(Risk_Matrix!$B$2:$D$4,MATCH(E411,Risk_Matrix!$A$2:$A$4,0),MATCH(F411,Risk_Matrix!$B$1:$D$1,0))</f>
        <v>High</v>
      </c>
      <c r="H411" s="1">
        <v>46151</v>
      </c>
      <c r="I411" t="s">
        <v>2025</v>
      </c>
      <c r="J411" t="s">
        <v>2026</v>
      </c>
      <c r="K411" t="s">
        <v>1993</v>
      </c>
      <c r="L411">
        <f>IF(G411="High",3,IF(G411="Medium",2,1))</f>
        <v>3</v>
      </c>
    </row>
    <row r="412" spans="1:12">
      <c r="A412" t="s">
        <v>2438</v>
      </c>
      <c r="B412" t="s">
        <v>766</v>
      </c>
      <c r="C412" t="s">
        <v>1995</v>
      </c>
      <c r="D412" t="s">
        <v>2150</v>
      </c>
      <c r="E412" t="s">
        <v>1971</v>
      </c>
      <c r="F412" t="s">
        <v>1971</v>
      </c>
      <c r="G412" t="str">
        <f>INDEX(Risk_Matrix!$B$2:$D$4,MATCH(E412,Risk_Matrix!$A$2:$A$4,0),MATCH(F412,Risk_Matrix!$B$1:$D$1,0))</f>
        <v>Medium</v>
      </c>
      <c r="H412" s="1">
        <v>46151</v>
      </c>
      <c r="I412" t="s">
        <v>2015</v>
      </c>
      <c r="J412" t="s">
        <v>2016</v>
      </c>
      <c r="K412" t="s">
        <v>2036</v>
      </c>
      <c r="L412">
        <f>IF(G412="High",3,IF(G412="Medium",2,1))</f>
        <v>2</v>
      </c>
    </row>
    <row r="413" spans="1:12">
      <c r="A413" t="s">
        <v>2439</v>
      </c>
      <c r="B413" t="s">
        <v>766</v>
      </c>
      <c r="C413" t="s">
        <v>2000</v>
      </c>
      <c r="D413" t="s">
        <v>2020</v>
      </c>
      <c r="E413" t="s">
        <v>1971</v>
      </c>
      <c r="F413" t="s">
        <v>1971</v>
      </c>
      <c r="G413" t="str">
        <f>INDEX(Risk_Matrix!$B$2:$D$4,MATCH(E413,Risk_Matrix!$A$2:$A$4,0),MATCH(F413,Risk_Matrix!$B$1:$D$1,0))</f>
        <v>Medium</v>
      </c>
      <c r="H413" s="1">
        <v>46190</v>
      </c>
      <c r="I413" t="s">
        <v>1987</v>
      </c>
      <c r="J413" t="s">
        <v>1988</v>
      </c>
      <c r="K413" t="s">
        <v>1993</v>
      </c>
      <c r="L413">
        <f>IF(G413="High",3,IF(G413="Medium",2,1))</f>
        <v>2</v>
      </c>
    </row>
    <row r="414" spans="1:12">
      <c r="A414" t="s">
        <v>2440</v>
      </c>
      <c r="B414" t="s">
        <v>766</v>
      </c>
      <c r="C414" t="s">
        <v>2005</v>
      </c>
      <c r="D414" t="s">
        <v>2039</v>
      </c>
      <c r="E414" t="s">
        <v>57</v>
      </c>
      <c r="F414" t="s">
        <v>57</v>
      </c>
      <c r="G414" t="str">
        <f>INDEX(Risk_Matrix!$B$2:$D$4,MATCH(E414,Risk_Matrix!$A$2:$A$4,0),MATCH(F414,Risk_Matrix!$B$1:$D$1,0))</f>
        <v>Low</v>
      </c>
      <c r="H414" s="1">
        <v>46109</v>
      </c>
      <c r="I414" t="s">
        <v>2002</v>
      </c>
      <c r="J414" t="s">
        <v>2029</v>
      </c>
      <c r="K414" t="s">
        <v>1993</v>
      </c>
      <c r="L414">
        <f>IF(G414="High",3,IF(G414="Medium",2,1))</f>
        <v>1</v>
      </c>
    </row>
    <row r="415" spans="1:12">
      <c r="A415" t="s">
        <v>2441</v>
      </c>
      <c r="B415" t="s">
        <v>766</v>
      </c>
      <c r="C415" t="s">
        <v>2008</v>
      </c>
      <c r="D415" t="s">
        <v>2054</v>
      </c>
      <c r="E415" t="s">
        <v>57</v>
      </c>
      <c r="F415" t="s">
        <v>1971</v>
      </c>
      <c r="G415" t="str">
        <f>INDEX(Risk_Matrix!$B$2:$D$4,MATCH(E415,Risk_Matrix!$A$2:$A$4,0),MATCH(F415,Risk_Matrix!$B$1:$D$1,0))</f>
        <v>Low</v>
      </c>
      <c r="H415" s="1">
        <v>46057</v>
      </c>
      <c r="I415" t="s">
        <v>2002</v>
      </c>
      <c r="J415" t="s">
        <v>2029</v>
      </c>
      <c r="K415" t="s">
        <v>2010</v>
      </c>
      <c r="L415">
        <f>IF(G415="High",3,IF(G415="Medium",2,1))</f>
        <v>1</v>
      </c>
    </row>
    <row r="416" spans="1:12">
      <c r="A416" t="s">
        <v>2442</v>
      </c>
      <c r="B416" t="s">
        <v>768</v>
      </c>
      <c r="C416" t="s">
        <v>1985</v>
      </c>
      <c r="D416" t="s">
        <v>2028</v>
      </c>
      <c r="E416" t="s">
        <v>57</v>
      </c>
      <c r="F416" t="s">
        <v>1971</v>
      </c>
      <c r="G416" t="str">
        <f>INDEX(Risk_Matrix!$B$2:$D$4,MATCH(E416,Risk_Matrix!$A$2:$A$4,0),MATCH(F416,Risk_Matrix!$B$1:$D$1,0))</f>
        <v>Low</v>
      </c>
      <c r="H416" s="1">
        <v>46199</v>
      </c>
      <c r="I416" t="s">
        <v>2015</v>
      </c>
      <c r="J416" t="s">
        <v>2016</v>
      </c>
      <c r="K416" t="s">
        <v>1989</v>
      </c>
      <c r="L416">
        <f>IF(G416="High",3,IF(G416="Medium",2,1))</f>
        <v>1</v>
      </c>
    </row>
    <row r="417" spans="1:12">
      <c r="A417" t="s">
        <v>2443</v>
      </c>
      <c r="B417" t="s">
        <v>768</v>
      </c>
      <c r="C417" t="s">
        <v>1991</v>
      </c>
      <c r="D417" t="s">
        <v>1992</v>
      </c>
      <c r="E417" t="s">
        <v>57</v>
      </c>
      <c r="F417" t="s">
        <v>1971</v>
      </c>
      <c r="G417" t="str">
        <f>INDEX(Risk_Matrix!$B$2:$D$4,MATCH(E417,Risk_Matrix!$A$2:$A$4,0),MATCH(F417,Risk_Matrix!$B$1:$D$1,0))</f>
        <v>Low</v>
      </c>
      <c r="H417" s="1">
        <v>46214</v>
      </c>
      <c r="I417" t="s">
        <v>2025</v>
      </c>
      <c r="J417" t="s">
        <v>2035</v>
      </c>
      <c r="K417" t="s">
        <v>1993</v>
      </c>
      <c r="L417">
        <f>IF(G417="High",3,IF(G417="Medium",2,1))</f>
        <v>1</v>
      </c>
    </row>
    <row r="418" spans="1:12">
      <c r="A418" t="s">
        <v>2444</v>
      </c>
      <c r="B418" t="s">
        <v>768</v>
      </c>
      <c r="C418" t="s">
        <v>1995</v>
      </c>
      <c r="D418" t="s">
        <v>2150</v>
      </c>
      <c r="E418" t="s">
        <v>57</v>
      </c>
      <c r="F418" t="s">
        <v>47</v>
      </c>
      <c r="G418" t="str">
        <f>INDEX(Risk_Matrix!$B$2:$D$4,MATCH(E418,Risk_Matrix!$A$2:$A$4,0),MATCH(F418,Risk_Matrix!$B$1:$D$1,0))</f>
        <v>Medium</v>
      </c>
      <c r="H418" s="1">
        <v>46192</v>
      </c>
      <c r="I418" t="s">
        <v>2015</v>
      </c>
      <c r="J418" t="s">
        <v>2032</v>
      </c>
      <c r="K418" t="s">
        <v>2036</v>
      </c>
      <c r="L418">
        <f>IF(G418="High",3,IF(G418="Medium",2,1))</f>
        <v>2</v>
      </c>
    </row>
    <row r="419" spans="1:12">
      <c r="A419" t="s">
        <v>2445</v>
      </c>
      <c r="B419" t="s">
        <v>768</v>
      </c>
      <c r="C419" t="s">
        <v>2000</v>
      </c>
      <c r="D419" t="s">
        <v>2020</v>
      </c>
      <c r="E419" t="s">
        <v>1971</v>
      </c>
      <c r="F419" t="s">
        <v>1971</v>
      </c>
      <c r="G419" t="str">
        <f>INDEX(Risk_Matrix!$B$2:$D$4,MATCH(E419,Risk_Matrix!$A$2:$A$4,0),MATCH(F419,Risk_Matrix!$B$1:$D$1,0))</f>
        <v>Medium</v>
      </c>
      <c r="H419" s="1">
        <v>46155</v>
      </c>
      <c r="I419" t="s">
        <v>2025</v>
      </c>
      <c r="J419" t="s">
        <v>2035</v>
      </c>
      <c r="K419" t="s">
        <v>1989</v>
      </c>
      <c r="L419">
        <f>IF(G419="High",3,IF(G419="Medium",2,1))</f>
        <v>2</v>
      </c>
    </row>
    <row r="420" spans="1:12">
      <c r="A420" t="s">
        <v>2446</v>
      </c>
      <c r="B420" t="s">
        <v>768</v>
      </c>
      <c r="C420" t="s">
        <v>2005</v>
      </c>
      <c r="D420" t="s">
        <v>2039</v>
      </c>
      <c r="E420" t="s">
        <v>57</v>
      </c>
      <c r="F420" t="s">
        <v>57</v>
      </c>
      <c r="G420" t="str">
        <f>INDEX(Risk_Matrix!$B$2:$D$4,MATCH(E420,Risk_Matrix!$A$2:$A$4,0),MATCH(F420,Risk_Matrix!$B$1:$D$1,0))</f>
        <v>Low</v>
      </c>
      <c r="H420" s="1">
        <v>46166</v>
      </c>
      <c r="I420" t="s">
        <v>1987</v>
      </c>
      <c r="J420" t="s">
        <v>1997</v>
      </c>
      <c r="K420" t="s">
        <v>1993</v>
      </c>
      <c r="L420">
        <f>IF(G420="High",3,IF(G420="Medium",2,1))</f>
        <v>1</v>
      </c>
    </row>
    <row r="421" spans="1:12">
      <c r="A421" t="s">
        <v>2447</v>
      </c>
      <c r="B421" t="s">
        <v>768</v>
      </c>
      <c r="C421" t="s">
        <v>2008</v>
      </c>
      <c r="D421" t="s">
        <v>2054</v>
      </c>
      <c r="E421" t="s">
        <v>47</v>
      </c>
      <c r="F421" t="s">
        <v>57</v>
      </c>
      <c r="G421" t="str">
        <f>INDEX(Risk_Matrix!$B$2:$D$4,MATCH(E421,Risk_Matrix!$A$2:$A$4,0),MATCH(F421,Risk_Matrix!$B$1:$D$1,0))</f>
        <v>Medium</v>
      </c>
      <c r="H421" s="1">
        <v>46214</v>
      </c>
      <c r="I421" t="s">
        <v>2015</v>
      </c>
      <c r="J421" t="s">
        <v>2016</v>
      </c>
      <c r="K421" t="s">
        <v>2010</v>
      </c>
      <c r="L421">
        <f>IF(G421="High",3,IF(G421="Medium",2,1))</f>
        <v>2</v>
      </c>
    </row>
    <row r="422" spans="1:12">
      <c r="A422" t="s">
        <v>2448</v>
      </c>
      <c r="B422" t="s">
        <v>770</v>
      </c>
      <c r="C422" t="s">
        <v>1985</v>
      </c>
      <c r="D422" t="s">
        <v>2012</v>
      </c>
      <c r="E422" t="s">
        <v>1971</v>
      </c>
      <c r="F422" t="s">
        <v>1971</v>
      </c>
      <c r="G422" t="str">
        <f>INDEX(Risk_Matrix!$B$2:$D$4,MATCH(E422,Risk_Matrix!$A$2:$A$4,0),MATCH(F422,Risk_Matrix!$B$1:$D$1,0))</f>
        <v>Medium</v>
      </c>
      <c r="H422" s="1">
        <v>46155</v>
      </c>
      <c r="I422" t="s">
        <v>2015</v>
      </c>
      <c r="J422" t="s">
        <v>2016</v>
      </c>
      <c r="K422" t="s">
        <v>1989</v>
      </c>
      <c r="L422">
        <f>IF(G422="High",3,IF(G422="Medium",2,1))</f>
        <v>2</v>
      </c>
    </row>
    <row r="423" spans="1:12">
      <c r="A423" t="s">
        <v>2449</v>
      </c>
      <c r="B423" t="s">
        <v>770</v>
      </c>
      <c r="C423" t="s">
        <v>1991</v>
      </c>
      <c r="D423" t="s">
        <v>2014</v>
      </c>
      <c r="E423" t="s">
        <v>57</v>
      </c>
      <c r="F423" t="s">
        <v>47</v>
      </c>
      <c r="G423" t="str">
        <f>INDEX(Risk_Matrix!$B$2:$D$4,MATCH(E423,Risk_Matrix!$A$2:$A$4,0),MATCH(F423,Risk_Matrix!$B$1:$D$1,0))</f>
        <v>Medium</v>
      </c>
      <c r="H423" s="1">
        <v>46139</v>
      </c>
      <c r="I423" t="s">
        <v>2025</v>
      </c>
      <c r="J423" t="s">
        <v>2026</v>
      </c>
      <c r="K423" t="s">
        <v>1993</v>
      </c>
      <c r="L423">
        <f>IF(G423="High",3,IF(G423="Medium",2,1))</f>
        <v>2</v>
      </c>
    </row>
    <row r="424" spans="1:12">
      <c r="A424" t="s">
        <v>2450</v>
      </c>
      <c r="B424" t="s">
        <v>770</v>
      </c>
      <c r="C424" t="s">
        <v>1995</v>
      </c>
      <c r="D424" t="s">
        <v>2034</v>
      </c>
      <c r="E424" t="s">
        <v>57</v>
      </c>
      <c r="F424" t="s">
        <v>57</v>
      </c>
      <c r="G424" t="str">
        <f>INDEX(Risk_Matrix!$B$2:$D$4,MATCH(E424,Risk_Matrix!$A$2:$A$4,0),MATCH(F424,Risk_Matrix!$B$1:$D$1,0))</f>
        <v>Low</v>
      </c>
      <c r="H424" s="1">
        <v>46201</v>
      </c>
      <c r="I424" t="s">
        <v>2015</v>
      </c>
      <c r="J424" t="s">
        <v>2016</v>
      </c>
      <c r="K424" t="s">
        <v>1998</v>
      </c>
      <c r="L424">
        <f>IF(G424="High",3,IF(G424="Medium",2,1))</f>
        <v>1</v>
      </c>
    </row>
    <row r="425" spans="1:12">
      <c r="A425" t="s">
        <v>2451</v>
      </c>
      <c r="B425" t="s">
        <v>770</v>
      </c>
      <c r="C425" t="s">
        <v>2000</v>
      </c>
      <c r="D425" t="s">
        <v>2001</v>
      </c>
      <c r="E425" t="s">
        <v>57</v>
      </c>
      <c r="F425" t="s">
        <v>57</v>
      </c>
      <c r="G425" t="str">
        <f>INDEX(Risk_Matrix!$B$2:$D$4,MATCH(E425,Risk_Matrix!$A$2:$A$4,0),MATCH(F425,Risk_Matrix!$B$1:$D$1,0))</f>
        <v>Low</v>
      </c>
      <c r="H425" s="1">
        <v>46114</v>
      </c>
      <c r="I425" t="s">
        <v>1987</v>
      </c>
      <c r="J425" t="s">
        <v>1988</v>
      </c>
      <c r="K425" t="s">
        <v>1993</v>
      </c>
      <c r="L425">
        <f>IF(G425="High",3,IF(G425="Medium",2,1))</f>
        <v>1</v>
      </c>
    </row>
    <row r="426" spans="1:12">
      <c r="A426" t="s">
        <v>2452</v>
      </c>
      <c r="B426" t="s">
        <v>770</v>
      </c>
      <c r="C426" t="s">
        <v>2005</v>
      </c>
      <c r="D426" t="s">
        <v>2039</v>
      </c>
      <c r="E426" t="s">
        <v>57</v>
      </c>
      <c r="F426" t="s">
        <v>57</v>
      </c>
      <c r="G426" t="str">
        <f>INDEX(Risk_Matrix!$B$2:$D$4,MATCH(E426,Risk_Matrix!$A$2:$A$4,0),MATCH(F426,Risk_Matrix!$B$1:$D$1,0))</f>
        <v>Low</v>
      </c>
      <c r="H426" s="1">
        <v>46181</v>
      </c>
      <c r="I426" t="s">
        <v>2025</v>
      </c>
      <c r="J426" t="s">
        <v>2026</v>
      </c>
      <c r="K426" t="s">
        <v>1993</v>
      </c>
      <c r="L426">
        <f>IF(G426="High",3,IF(G426="Medium",2,1))</f>
        <v>1</v>
      </c>
    </row>
    <row r="427" spans="1:12">
      <c r="A427" t="s">
        <v>2453</v>
      </c>
      <c r="B427" t="s">
        <v>770</v>
      </c>
      <c r="C427" t="s">
        <v>2008</v>
      </c>
      <c r="D427" t="s">
        <v>2024</v>
      </c>
      <c r="E427" t="s">
        <v>57</v>
      </c>
      <c r="F427" t="s">
        <v>1971</v>
      </c>
      <c r="G427" t="str">
        <f>INDEX(Risk_Matrix!$B$2:$D$4,MATCH(E427,Risk_Matrix!$A$2:$A$4,0),MATCH(F427,Risk_Matrix!$B$1:$D$1,0))</f>
        <v>Low</v>
      </c>
      <c r="H427" s="1">
        <v>46171</v>
      </c>
      <c r="I427" t="s">
        <v>2002</v>
      </c>
      <c r="J427" t="s">
        <v>2003</v>
      </c>
      <c r="K427" t="s">
        <v>2010</v>
      </c>
      <c r="L427">
        <f>IF(G427="High",3,IF(G427="Medium",2,1))</f>
        <v>1</v>
      </c>
    </row>
    <row r="428" spans="1:12">
      <c r="A428" t="s">
        <v>2454</v>
      </c>
      <c r="B428" t="s">
        <v>773</v>
      </c>
      <c r="C428" t="s">
        <v>1985</v>
      </c>
      <c r="D428" t="s">
        <v>2062</v>
      </c>
      <c r="E428" t="s">
        <v>57</v>
      </c>
      <c r="F428" t="s">
        <v>1971</v>
      </c>
      <c r="G428" t="str">
        <f>INDEX(Risk_Matrix!$B$2:$D$4,MATCH(E428,Risk_Matrix!$A$2:$A$4,0),MATCH(F428,Risk_Matrix!$B$1:$D$1,0))</f>
        <v>Low</v>
      </c>
      <c r="H428" s="1">
        <v>46179</v>
      </c>
      <c r="I428" t="s">
        <v>1987</v>
      </c>
      <c r="J428" t="s">
        <v>1997</v>
      </c>
      <c r="K428" t="s">
        <v>1998</v>
      </c>
      <c r="L428">
        <f>IF(G428="High",3,IF(G428="Medium",2,1))</f>
        <v>1</v>
      </c>
    </row>
    <row r="429" spans="1:12">
      <c r="A429" t="s">
        <v>2455</v>
      </c>
      <c r="B429" t="s">
        <v>773</v>
      </c>
      <c r="C429" t="s">
        <v>1991</v>
      </c>
      <c r="D429" t="s">
        <v>2064</v>
      </c>
      <c r="E429" t="s">
        <v>47</v>
      </c>
      <c r="F429" t="s">
        <v>47</v>
      </c>
      <c r="G429" t="str">
        <f>INDEX(Risk_Matrix!$B$2:$D$4,MATCH(E429,Risk_Matrix!$A$2:$A$4,0),MATCH(F429,Risk_Matrix!$B$1:$D$1,0))</f>
        <v>High</v>
      </c>
      <c r="H429" s="1">
        <v>46154</v>
      </c>
      <c r="I429" t="s">
        <v>2015</v>
      </c>
      <c r="J429" t="s">
        <v>2016</v>
      </c>
      <c r="K429" t="s">
        <v>2010</v>
      </c>
      <c r="L429">
        <f>IF(G429="High",3,IF(G429="Medium",2,1))</f>
        <v>3</v>
      </c>
    </row>
    <row r="430" spans="1:12">
      <c r="A430" t="s">
        <v>2456</v>
      </c>
      <c r="B430" t="s">
        <v>773</v>
      </c>
      <c r="C430" t="s">
        <v>1995</v>
      </c>
      <c r="D430" t="s">
        <v>2150</v>
      </c>
      <c r="E430" t="s">
        <v>57</v>
      </c>
      <c r="F430" t="s">
        <v>1971</v>
      </c>
      <c r="G430" t="str">
        <f>INDEX(Risk_Matrix!$B$2:$D$4,MATCH(E430,Risk_Matrix!$A$2:$A$4,0),MATCH(F430,Risk_Matrix!$B$1:$D$1,0))</f>
        <v>Low</v>
      </c>
      <c r="H430" s="1">
        <v>46230</v>
      </c>
      <c r="I430" t="s">
        <v>1987</v>
      </c>
      <c r="J430" t="s">
        <v>1988</v>
      </c>
      <c r="K430" t="s">
        <v>2036</v>
      </c>
      <c r="L430">
        <f>IF(G430="High",3,IF(G430="Medium",2,1))</f>
        <v>1</v>
      </c>
    </row>
    <row r="431" spans="1:12">
      <c r="A431" t="s">
        <v>2457</v>
      </c>
      <c r="B431" t="s">
        <v>773</v>
      </c>
      <c r="C431" t="s">
        <v>2000</v>
      </c>
      <c r="D431" t="s">
        <v>2045</v>
      </c>
      <c r="E431" t="s">
        <v>47</v>
      </c>
      <c r="F431" t="s">
        <v>1971</v>
      </c>
      <c r="G431" t="str">
        <f>INDEX(Risk_Matrix!$B$2:$D$4,MATCH(E431,Risk_Matrix!$A$2:$A$4,0),MATCH(F431,Risk_Matrix!$B$1:$D$1,0))</f>
        <v>High</v>
      </c>
      <c r="H431" s="1">
        <v>46199</v>
      </c>
      <c r="I431" t="s">
        <v>2015</v>
      </c>
      <c r="J431" t="s">
        <v>2016</v>
      </c>
      <c r="K431" t="s">
        <v>1989</v>
      </c>
      <c r="L431">
        <f>IF(G431="High",3,IF(G431="Medium",2,1))</f>
        <v>3</v>
      </c>
    </row>
    <row r="432" spans="1:12">
      <c r="A432" t="s">
        <v>2458</v>
      </c>
      <c r="B432" t="s">
        <v>773</v>
      </c>
      <c r="C432" t="s">
        <v>2005</v>
      </c>
      <c r="D432" t="s">
        <v>2022</v>
      </c>
      <c r="E432" t="s">
        <v>57</v>
      </c>
      <c r="F432" t="s">
        <v>57</v>
      </c>
      <c r="G432" t="str">
        <f>INDEX(Risk_Matrix!$B$2:$D$4,MATCH(E432,Risk_Matrix!$A$2:$A$4,0),MATCH(F432,Risk_Matrix!$B$1:$D$1,0))</f>
        <v>Low</v>
      </c>
      <c r="H432" s="1">
        <v>46235</v>
      </c>
      <c r="I432" t="s">
        <v>2015</v>
      </c>
      <c r="J432" t="s">
        <v>2032</v>
      </c>
      <c r="K432" t="s">
        <v>1993</v>
      </c>
      <c r="L432">
        <f>IF(G432="High",3,IF(G432="Medium",2,1))</f>
        <v>1</v>
      </c>
    </row>
    <row r="433" spans="1:12">
      <c r="A433" t="s">
        <v>2459</v>
      </c>
      <c r="B433" t="s">
        <v>773</v>
      </c>
      <c r="C433" t="s">
        <v>2008</v>
      </c>
      <c r="D433" t="s">
        <v>2024</v>
      </c>
      <c r="E433" t="s">
        <v>47</v>
      </c>
      <c r="F433" t="s">
        <v>1971</v>
      </c>
      <c r="G433" t="str">
        <f>INDEX(Risk_Matrix!$B$2:$D$4,MATCH(E433,Risk_Matrix!$A$2:$A$4,0),MATCH(F433,Risk_Matrix!$B$1:$D$1,0))</f>
        <v>High</v>
      </c>
      <c r="H433" s="1">
        <v>46176</v>
      </c>
      <c r="I433" t="s">
        <v>2015</v>
      </c>
      <c r="J433" t="s">
        <v>2016</v>
      </c>
      <c r="K433" t="s">
        <v>2010</v>
      </c>
      <c r="L433">
        <f>IF(G433="High",3,IF(G433="Medium",2,1))</f>
        <v>3</v>
      </c>
    </row>
    <row r="434" spans="1:12">
      <c r="A434" t="s">
        <v>2460</v>
      </c>
      <c r="B434" t="s">
        <v>776</v>
      </c>
      <c r="C434" t="s">
        <v>1985</v>
      </c>
      <c r="D434" t="s">
        <v>2062</v>
      </c>
      <c r="E434" t="s">
        <v>57</v>
      </c>
      <c r="F434" t="s">
        <v>57</v>
      </c>
      <c r="G434" t="str">
        <f>INDEX(Risk_Matrix!$B$2:$D$4,MATCH(E434,Risk_Matrix!$A$2:$A$4,0),MATCH(F434,Risk_Matrix!$B$1:$D$1,0))</f>
        <v>Low</v>
      </c>
      <c r="H434" s="1">
        <v>46088</v>
      </c>
      <c r="I434" t="s">
        <v>1987</v>
      </c>
      <c r="J434" t="s">
        <v>1988</v>
      </c>
      <c r="K434" t="s">
        <v>1989</v>
      </c>
      <c r="L434">
        <f>IF(G434="High",3,IF(G434="Medium",2,1))</f>
        <v>1</v>
      </c>
    </row>
    <row r="435" spans="1:12">
      <c r="A435" t="s">
        <v>2461</v>
      </c>
      <c r="B435" t="s">
        <v>776</v>
      </c>
      <c r="C435" t="s">
        <v>1991</v>
      </c>
      <c r="D435" t="s">
        <v>2031</v>
      </c>
      <c r="E435" t="s">
        <v>1971</v>
      </c>
      <c r="F435" t="s">
        <v>1971</v>
      </c>
      <c r="G435" t="str">
        <f>INDEX(Risk_Matrix!$B$2:$D$4,MATCH(E435,Risk_Matrix!$A$2:$A$4,0),MATCH(F435,Risk_Matrix!$B$1:$D$1,0))</f>
        <v>Medium</v>
      </c>
      <c r="H435" s="1">
        <v>46219</v>
      </c>
      <c r="I435" t="s">
        <v>1987</v>
      </c>
      <c r="J435" t="s">
        <v>1988</v>
      </c>
      <c r="K435" t="s">
        <v>2010</v>
      </c>
      <c r="L435">
        <f>IF(G435="High",3,IF(G435="Medium",2,1))</f>
        <v>2</v>
      </c>
    </row>
    <row r="436" spans="1:12">
      <c r="A436" t="s">
        <v>2462</v>
      </c>
      <c r="B436" t="s">
        <v>776</v>
      </c>
      <c r="C436" t="s">
        <v>1995</v>
      </c>
      <c r="D436" t="s">
        <v>2034</v>
      </c>
      <c r="E436" t="s">
        <v>1971</v>
      </c>
      <c r="F436" t="s">
        <v>57</v>
      </c>
      <c r="G436" t="str">
        <f>INDEX(Risk_Matrix!$B$2:$D$4,MATCH(E436,Risk_Matrix!$A$2:$A$4,0),MATCH(F436,Risk_Matrix!$B$1:$D$1,0))</f>
        <v>Low</v>
      </c>
      <c r="H436" s="1">
        <v>46195</v>
      </c>
      <c r="I436" t="s">
        <v>2025</v>
      </c>
      <c r="J436" t="s">
        <v>2035</v>
      </c>
      <c r="K436" t="s">
        <v>1998</v>
      </c>
      <c r="L436">
        <f>IF(G436="High",3,IF(G436="Medium",2,1))</f>
        <v>1</v>
      </c>
    </row>
    <row r="437" spans="1:12">
      <c r="A437" t="s">
        <v>2463</v>
      </c>
      <c r="B437" t="s">
        <v>776</v>
      </c>
      <c r="C437" t="s">
        <v>2000</v>
      </c>
      <c r="D437" t="s">
        <v>2020</v>
      </c>
      <c r="E437" t="s">
        <v>1971</v>
      </c>
      <c r="F437" t="s">
        <v>57</v>
      </c>
      <c r="G437" t="str">
        <f>INDEX(Risk_Matrix!$B$2:$D$4,MATCH(E437,Risk_Matrix!$A$2:$A$4,0),MATCH(F437,Risk_Matrix!$B$1:$D$1,0))</f>
        <v>Low</v>
      </c>
      <c r="H437" s="1">
        <v>46061</v>
      </c>
      <c r="I437" t="s">
        <v>2002</v>
      </c>
      <c r="J437" t="s">
        <v>2003</v>
      </c>
      <c r="K437" t="s">
        <v>1989</v>
      </c>
      <c r="L437">
        <f>IF(G437="High",3,IF(G437="Medium",2,1))</f>
        <v>1</v>
      </c>
    </row>
    <row r="438" spans="1:12">
      <c r="A438" t="s">
        <v>2464</v>
      </c>
      <c r="B438" t="s">
        <v>776</v>
      </c>
      <c r="C438" t="s">
        <v>2005</v>
      </c>
      <c r="D438" t="s">
        <v>2022</v>
      </c>
      <c r="E438" t="s">
        <v>57</v>
      </c>
      <c r="F438" t="s">
        <v>1971</v>
      </c>
      <c r="G438" t="str">
        <f>INDEX(Risk_Matrix!$B$2:$D$4,MATCH(E438,Risk_Matrix!$A$2:$A$4,0),MATCH(F438,Risk_Matrix!$B$1:$D$1,0))</f>
        <v>Low</v>
      </c>
      <c r="H438" s="1">
        <v>46226</v>
      </c>
      <c r="I438" t="s">
        <v>1987</v>
      </c>
      <c r="J438" t="s">
        <v>1997</v>
      </c>
      <c r="K438" t="s">
        <v>1993</v>
      </c>
      <c r="L438">
        <f>IF(G438="High",3,IF(G438="Medium",2,1))</f>
        <v>1</v>
      </c>
    </row>
    <row r="439" spans="1:12">
      <c r="A439" t="s">
        <v>2465</v>
      </c>
      <c r="B439" t="s">
        <v>776</v>
      </c>
      <c r="C439" t="s">
        <v>2008</v>
      </c>
      <c r="D439" t="s">
        <v>2024</v>
      </c>
      <c r="E439" t="s">
        <v>57</v>
      </c>
      <c r="F439" t="s">
        <v>57</v>
      </c>
      <c r="G439" t="str">
        <f>INDEX(Risk_Matrix!$B$2:$D$4,MATCH(E439,Risk_Matrix!$A$2:$A$4,0),MATCH(F439,Risk_Matrix!$B$1:$D$1,0))</f>
        <v>Low</v>
      </c>
      <c r="H439" s="1">
        <v>46145</v>
      </c>
      <c r="I439" t="s">
        <v>2002</v>
      </c>
      <c r="J439" t="s">
        <v>2003</v>
      </c>
      <c r="K439" t="s">
        <v>2010</v>
      </c>
      <c r="L439">
        <f>IF(G439="High",3,IF(G439="Medium",2,1))</f>
        <v>1</v>
      </c>
    </row>
    <row r="440" spans="1:12">
      <c r="A440" t="s">
        <v>2466</v>
      </c>
      <c r="B440" t="s">
        <v>778</v>
      </c>
      <c r="C440" t="s">
        <v>1985</v>
      </c>
      <c r="D440" t="s">
        <v>1986</v>
      </c>
      <c r="E440" t="s">
        <v>57</v>
      </c>
      <c r="F440" t="s">
        <v>47</v>
      </c>
      <c r="G440" t="str">
        <f>INDEX(Risk_Matrix!$B$2:$D$4,MATCH(E440,Risk_Matrix!$A$2:$A$4,0),MATCH(F440,Risk_Matrix!$B$1:$D$1,0))</f>
        <v>Medium</v>
      </c>
      <c r="H440" s="1">
        <v>46202</v>
      </c>
      <c r="I440" t="s">
        <v>2015</v>
      </c>
      <c r="J440" t="s">
        <v>2016</v>
      </c>
      <c r="K440" t="s">
        <v>1989</v>
      </c>
      <c r="L440">
        <f>IF(G440="High",3,IF(G440="Medium",2,1))</f>
        <v>2</v>
      </c>
    </row>
    <row r="441" spans="1:12">
      <c r="A441" t="s">
        <v>2467</v>
      </c>
      <c r="B441" t="s">
        <v>778</v>
      </c>
      <c r="C441" t="s">
        <v>1991</v>
      </c>
      <c r="D441" t="s">
        <v>2031</v>
      </c>
      <c r="E441" t="s">
        <v>1971</v>
      </c>
      <c r="F441" t="s">
        <v>1971</v>
      </c>
      <c r="G441" t="str">
        <f>INDEX(Risk_Matrix!$B$2:$D$4,MATCH(E441,Risk_Matrix!$A$2:$A$4,0),MATCH(F441,Risk_Matrix!$B$1:$D$1,0))</f>
        <v>Medium</v>
      </c>
      <c r="H441" s="1">
        <v>46178</v>
      </c>
      <c r="I441" t="s">
        <v>2025</v>
      </c>
      <c r="J441" t="s">
        <v>2035</v>
      </c>
      <c r="K441" t="s">
        <v>1993</v>
      </c>
      <c r="L441">
        <f>IF(G441="High",3,IF(G441="Medium",2,1))</f>
        <v>2</v>
      </c>
    </row>
    <row r="442" spans="1:12">
      <c r="A442" t="s">
        <v>2468</v>
      </c>
      <c r="B442" t="s">
        <v>778</v>
      </c>
      <c r="C442" t="s">
        <v>1995</v>
      </c>
      <c r="D442" t="s">
        <v>1996</v>
      </c>
      <c r="E442" t="s">
        <v>1971</v>
      </c>
      <c r="F442" t="s">
        <v>47</v>
      </c>
      <c r="G442" t="str">
        <f>INDEX(Risk_Matrix!$B$2:$D$4,MATCH(E442,Risk_Matrix!$A$2:$A$4,0),MATCH(F442,Risk_Matrix!$B$1:$D$1,0))</f>
        <v>High</v>
      </c>
      <c r="H442" s="1">
        <v>46186</v>
      </c>
      <c r="I442" t="s">
        <v>2015</v>
      </c>
      <c r="J442" t="s">
        <v>2032</v>
      </c>
      <c r="K442" t="s">
        <v>1998</v>
      </c>
      <c r="L442">
        <f>IF(G442="High",3,IF(G442="Medium",2,1))</f>
        <v>3</v>
      </c>
    </row>
    <row r="443" spans="1:12">
      <c r="A443" t="s">
        <v>2469</v>
      </c>
      <c r="B443" t="s">
        <v>778</v>
      </c>
      <c r="C443" t="s">
        <v>2000</v>
      </c>
      <c r="D443" t="s">
        <v>2045</v>
      </c>
      <c r="E443" t="s">
        <v>47</v>
      </c>
      <c r="F443" t="s">
        <v>47</v>
      </c>
      <c r="G443" t="str">
        <f>INDEX(Risk_Matrix!$B$2:$D$4,MATCH(E443,Risk_Matrix!$A$2:$A$4,0),MATCH(F443,Risk_Matrix!$B$1:$D$1,0))</f>
        <v>High</v>
      </c>
      <c r="H443" s="1">
        <v>46168</v>
      </c>
      <c r="I443" t="s">
        <v>2015</v>
      </c>
      <c r="J443" t="s">
        <v>2016</v>
      </c>
      <c r="K443" t="s">
        <v>1993</v>
      </c>
      <c r="L443">
        <f>IF(G443="High",3,IF(G443="Medium",2,1))</f>
        <v>3</v>
      </c>
    </row>
    <row r="444" spans="1:12">
      <c r="A444" t="s">
        <v>2470</v>
      </c>
      <c r="B444" t="s">
        <v>778</v>
      </c>
      <c r="C444" t="s">
        <v>2005</v>
      </c>
      <c r="D444" t="s">
        <v>2039</v>
      </c>
      <c r="E444" t="s">
        <v>57</v>
      </c>
      <c r="F444" t="s">
        <v>57</v>
      </c>
      <c r="G444" t="str">
        <f>INDEX(Risk_Matrix!$B$2:$D$4,MATCH(E444,Risk_Matrix!$A$2:$A$4,0),MATCH(F444,Risk_Matrix!$B$1:$D$1,0))</f>
        <v>Low</v>
      </c>
      <c r="H444" s="1">
        <v>46151</v>
      </c>
      <c r="I444" t="s">
        <v>2015</v>
      </c>
      <c r="J444" t="s">
        <v>2016</v>
      </c>
      <c r="K444" t="s">
        <v>1993</v>
      </c>
      <c r="L444">
        <f>IF(G444="High",3,IF(G444="Medium",2,1))</f>
        <v>1</v>
      </c>
    </row>
    <row r="445" spans="1:12">
      <c r="A445" t="s">
        <v>2471</v>
      </c>
      <c r="B445" t="s">
        <v>778</v>
      </c>
      <c r="C445" t="s">
        <v>2008</v>
      </c>
      <c r="D445" t="s">
        <v>2009</v>
      </c>
      <c r="E445" t="s">
        <v>1971</v>
      </c>
      <c r="F445" t="s">
        <v>1971</v>
      </c>
      <c r="G445" t="str">
        <f>INDEX(Risk_Matrix!$B$2:$D$4,MATCH(E445,Risk_Matrix!$A$2:$A$4,0),MATCH(F445,Risk_Matrix!$B$1:$D$1,0))</f>
        <v>Medium</v>
      </c>
      <c r="H445" s="1">
        <v>46138</v>
      </c>
      <c r="I445" t="s">
        <v>2025</v>
      </c>
      <c r="J445" t="s">
        <v>2026</v>
      </c>
      <c r="K445" t="s">
        <v>2010</v>
      </c>
      <c r="L445">
        <f>IF(G445="High",3,IF(G445="Medium",2,1))</f>
        <v>2</v>
      </c>
    </row>
    <row r="446" spans="1:12">
      <c r="A446" t="s">
        <v>2472</v>
      </c>
      <c r="B446" t="s">
        <v>780</v>
      </c>
      <c r="C446" t="s">
        <v>1985</v>
      </c>
      <c r="D446" t="s">
        <v>2028</v>
      </c>
      <c r="E446" t="s">
        <v>1971</v>
      </c>
      <c r="F446" t="s">
        <v>57</v>
      </c>
      <c r="G446" t="str">
        <f>INDEX(Risk_Matrix!$B$2:$D$4,MATCH(E446,Risk_Matrix!$A$2:$A$4,0),MATCH(F446,Risk_Matrix!$B$1:$D$1,0))</f>
        <v>Low</v>
      </c>
      <c r="H446" s="1">
        <v>46064</v>
      </c>
      <c r="I446" t="s">
        <v>2002</v>
      </c>
      <c r="J446" t="s">
        <v>2003</v>
      </c>
      <c r="K446" t="s">
        <v>1989</v>
      </c>
      <c r="L446">
        <f>IF(G446="High",3,IF(G446="Medium",2,1))</f>
        <v>1</v>
      </c>
    </row>
    <row r="447" spans="1:12">
      <c r="A447" t="s">
        <v>2473</v>
      </c>
      <c r="B447" t="s">
        <v>780</v>
      </c>
      <c r="C447" t="s">
        <v>1991</v>
      </c>
      <c r="D447" t="s">
        <v>1992</v>
      </c>
      <c r="E447" t="s">
        <v>57</v>
      </c>
      <c r="F447" t="s">
        <v>57</v>
      </c>
      <c r="G447" t="str">
        <f>INDEX(Risk_Matrix!$B$2:$D$4,MATCH(E447,Risk_Matrix!$A$2:$A$4,0),MATCH(F447,Risk_Matrix!$B$1:$D$1,0))</f>
        <v>Low</v>
      </c>
      <c r="H447" s="1">
        <v>46111</v>
      </c>
      <c r="I447" t="s">
        <v>2002</v>
      </c>
      <c r="J447" t="s">
        <v>2003</v>
      </c>
      <c r="K447" t="s">
        <v>1993</v>
      </c>
      <c r="L447">
        <f>IF(G447="High",3,IF(G447="Medium",2,1))</f>
        <v>1</v>
      </c>
    </row>
    <row r="448" spans="1:12">
      <c r="A448" t="s">
        <v>2474</v>
      </c>
      <c r="B448" t="s">
        <v>780</v>
      </c>
      <c r="C448" t="s">
        <v>1995</v>
      </c>
      <c r="D448" t="s">
        <v>2034</v>
      </c>
      <c r="E448" t="s">
        <v>57</v>
      </c>
      <c r="F448" t="s">
        <v>57</v>
      </c>
      <c r="G448" t="str">
        <f>INDEX(Risk_Matrix!$B$2:$D$4,MATCH(E448,Risk_Matrix!$A$2:$A$4,0),MATCH(F448,Risk_Matrix!$B$1:$D$1,0))</f>
        <v>Low</v>
      </c>
      <c r="H448" s="1">
        <v>46103</v>
      </c>
      <c r="I448" t="s">
        <v>1987</v>
      </c>
      <c r="J448" t="s">
        <v>1988</v>
      </c>
      <c r="K448" t="s">
        <v>1998</v>
      </c>
      <c r="L448">
        <f>IF(G448="High",3,IF(G448="Medium",2,1))</f>
        <v>1</v>
      </c>
    </row>
    <row r="449" spans="1:12">
      <c r="A449" t="s">
        <v>2475</v>
      </c>
      <c r="B449" t="s">
        <v>780</v>
      </c>
      <c r="C449" t="s">
        <v>2000</v>
      </c>
      <c r="D449" t="s">
        <v>2045</v>
      </c>
      <c r="E449" t="s">
        <v>47</v>
      </c>
      <c r="F449" t="s">
        <v>57</v>
      </c>
      <c r="G449" t="str">
        <f>INDEX(Risk_Matrix!$B$2:$D$4,MATCH(E449,Risk_Matrix!$A$2:$A$4,0),MATCH(F449,Risk_Matrix!$B$1:$D$1,0))</f>
        <v>Medium</v>
      </c>
      <c r="H449" s="1">
        <v>46169</v>
      </c>
      <c r="I449" t="s">
        <v>2025</v>
      </c>
      <c r="J449" t="s">
        <v>2035</v>
      </c>
      <c r="K449" t="s">
        <v>1993</v>
      </c>
      <c r="L449">
        <f>IF(G449="High",3,IF(G449="Medium",2,1))</f>
        <v>2</v>
      </c>
    </row>
    <row r="450" spans="1:12">
      <c r="A450" t="s">
        <v>2476</v>
      </c>
      <c r="B450" t="s">
        <v>780</v>
      </c>
      <c r="C450" t="s">
        <v>2005</v>
      </c>
      <c r="D450" t="s">
        <v>2006</v>
      </c>
      <c r="E450" t="s">
        <v>1971</v>
      </c>
      <c r="F450" t="s">
        <v>57</v>
      </c>
      <c r="G450" t="str">
        <f>INDEX(Risk_Matrix!$B$2:$D$4,MATCH(E450,Risk_Matrix!$A$2:$A$4,0),MATCH(F450,Risk_Matrix!$B$1:$D$1,0))</f>
        <v>Low</v>
      </c>
      <c r="H450" s="1">
        <v>46163</v>
      </c>
      <c r="I450" t="s">
        <v>1987</v>
      </c>
      <c r="J450" t="s">
        <v>1997</v>
      </c>
      <c r="K450" t="s">
        <v>2036</v>
      </c>
      <c r="L450">
        <f>IF(G450="High",3,IF(G450="Medium",2,1))</f>
        <v>1</v>
      </c>
    </row>
    <row r="451" spans="1:12">
      <c r="A451" t="s">
        <v>2477</v>
      </c>
      <c r="B451" t="s">
        <v>780</v>
      </c>
      <c r="C451" t="s">
        <v>2008</v>
      </c>
      <c r="D451" t="s">
        <v>2009</v>
      </c>
      <c r="E451" t="s">
        <v>1971</v>
      </c>
      <c r="F451" t="s">
        <v>47</v>
      </c>
      <c r="G451" t="str">
        <f>INDEX(Risk_Matrix!$B$2:$D$4,MATCH(E451,Risk_Matrix!$A$2:$A$4,0),MATCH(F451,Risk_Matrix!$B$1:$D$1,0))</f>
        <v>High</v>
      </c>
      <c r="H451" s="1">
        <v>46157</v>
      </c>
      <c r="I451" t="s">
        <v>2015</v>
      </c>
      <c r="J451" t="s">
        <v>2016</v>
      </c>
      <c r="K451" t="s">
        <v>2010</v>
      </c>
      <c r="L451">
        <f>IF(G451="High",3,IF(G451="Medium",2,1))</f>
        <v>3</v>
      </c>
    </row>
    <row r="452" spans="1:12">
      <c r="A452" t="s">
        <v>2478</v>
      </c>
      <c r="B452" t="s">
        <v>783</v>
      </c>
      <c r="C452" t="s">
        <v>1985</v>
      </c>
      <c r="D452" t="s">
        <v>2028</v>
      </c>
      <c r="E452" t="s">
        <v>1971</v>
      </c>
      <c r="F452" t="s">
        <v>1971</v>
      </c>
      <c r="G452" t="str">
        <f>INDEX(Risk_Matrix!$B$2:$D$4,MATCH(E452,Risk_Matrix!$A$2:$A$4,0),MATCH(F452,Risk_Matrix!$B$1:$D$1,0))</f>
        <v>Medium</v>
      </c>
      <c r="H452" s="1">
        <v>46095</v>
      </c>
      <c r="I452" t="s">
        <v>2025</v>
      </c>
      <c r="J452" t="s">
        <v>2035</v>
      </c>
      <c r="K452" t="s">
        <v>1998</v>
      </c>
      <c r="L452">
        <f>IF(G452="High",3,IF(G452="Medium",2,1))</f>
        <v>2</v>
      </c>
    </row>
    <row r="453" spans="1:12">
      <c r="A453" t="s">
        <v>2479</v>
      </c>
      <c r="B453" t="s">
        <v>783</v>
      </c>
      <c r="C453" t="s">
        <v>1991</v>
      </c>
      <c r="D453" t="s">
        <v>2014</v>
      </c>
      <c r="E453" t="s">
        <v>1971</v>
      </c>
      <c r="F453" t="s">
        <v>57</v>
      </c>
      <c r="G453" t="str">
        <f>INDEX(Risk_Matrix!$B$2:$D$4,MATCH(E453,Risk_Matrix!$A$2:$A$4,0),MATCH(F453,Risk_Matrix!$B$1:$D$1,0))</f>
        <v>Low</v>
      </c>
      <c r="H453" s="1">
        <v>46160</v>
      </c>
      <c r="I453" t="s">
        <v>2002</v>
      </c>
      <c r="J453" t="s">
        <v>2003</v>
      </c>
      <c r="K453" t="s">
        <v>2010</v>
      </c>
      <c r="L453">
        <f>IF(G453="High",3,IF(G453="Medium",2,1))</f>
        <v>1</v>
      </c>
    </row>
    <row r="454" spans="1:12">
      <c r="A454" t="s">
        <v>2480</v>
      </c>
      <c r="B454" t="s">
        <v>783</v>
      </c>
      <c r="C454" t="s">
        <v>1995</v>
      </c>
      <c r="D454" t="s">
        <v>2018</v>
      </c>
      <c r="E454" t="s">
        <v>57</v>
      </c>
      <c r="F454" t="s">
        <v>47</v>
      </c>
      <c r="G454" t="str">
        <f>INDEX(Risk_Matrix!$B$2:$D$4,MATCH(E454,Risk_Matrix!$A$2:$A$4,0),MATCH(F454,Risk_Matrix!$B$1:$D$1,0))</f>
        <v>Medium</v>
      </c>
      <c r="H454" s="1">
        <v>46225</v>
      </c>
      <c r="I454" t="s">
        <v>2002</v>
      </c>
      <c r="J454" t="s">
        <v>2003</v>
      </c>
      <c r="K454" t="s">
        <v>2036</v>
      </c>
      <c r="L454">
        <f>IF(G454="High",3,IF(G454="Medium",2,1))</f>
        <v>2</v>
      </c>
    </row>
    <row r="455" spans="1:12">
      <c r="A455" t="s">
        <v>2481</v>
      </c>
      <c r="B455" t="s">
        <v>783</v>
      </c>
      <c r="C455" t="s">
        <v>2000</v>
      </c>
      <c r="D455" t="s">
        <v>2020</v>
      </c>
      <c r="E455" t="s">
        <v>47</v>
      </c>
      <c r="F455" t="s">
        <v>57</v>
      </c>
      <c r="G455" t="str">
        <f>INDEX(Risk_Matrix!$B$2:$D$4,MATCH(E455,Risk_Matrix!$A$2:$A$4,0),MATCH(F455,Risk_Matrix!$B$1:$D$1,0))</f>
        <v>Medium</v>
      </c>
      <c r="H455" s="1">
        <v>46153</v>
      </c>
      <c r="I455" t="s">
        <v>2015</v>
      </c>
      <c r="J455" t="s">
        <v>2016</v>
      </c>
      <c r="K455" t="s">
        <v>1989</v>
      </c>
      <c r="L455">
        <f>IF(G455="High",3,IF(G455="Medium",2,1))</f>
        <v>2</v>
      </c>
    </row>
    <row r="456" spans="1:12">
      <c r="A456" t="s">
        <v>2482</v>
      </c>
      <c r="B456" t="s">
        <v>783</v>
      </c>
      <c r="C456" t="s">
        <v>2005</v>
      </c>
      <c r="D456" t="s">
        <v>2039</v>
      </c>
      <c r="E456" t="s">
        <v>57</v>
      </c>
      <c r="F456" t="s">
        <v>1971</v>
      </c>
      <c r="G456" t="str">
        <f>INDEX(Risk_Matrix!$B$2:$D$4,MATCH(E456,Risk_Matrix!$A$2:$A$4,0),MATCH(F456,Risk_Matrix!$B$1:$D$1,0))</f>
        <v>Low</v>
      </c>
      <c r="H456" s="1">
        <v>46161</v>
      </c>
      <c r="I456" t="s">
        <v>2025</v>
      </c>
      <c r="J456" t="s">
        <v>2035</v>
      </c>
      <c r="K456" t="s">
        <v>1993</v>
      </c>
      <c r="L456">
        <f>IF(G456="High",3,IF(G456="Medium",2,1))</f>
        <v>1</v>
      </c>
    </row>
    <row r="457" spans="1:12">
      <c r="A457" t="s">
        <v>2483</v>
      </c>
      <c r="B457" t="s">
        <v>783</v>
      </c>
      <c r="C457" t="s">
        <v>2008</v>
      </c>
      <c r="D457" t="s">
        <v>2009</v>
      </c>
      <c r="E457" t="s">
        <v>57</v>
      </c>
      <c r="F457" t="s">
        <v>57</v>
      </c>
      <c r="G457" t="str">
        <f>INDEX(Risk_Matrix!$B$2:$D$4,MATCH(E457,Risk_Matrix!$A$2:$A$4,0),MATCH(F457,Risk_Matrix!$B$1:$D$1,0))</f>
        <v>Low</v>
      </c>
      <c r="H457" s="1">
        <v>46191</v>
      </c>
      <c r="I457" t="s">
        <v>2002</v>
      </c>
      <c r="J457" t="s">
        <v>2003</v>
      </c>
      <c r="K457" t="s">
        <v>2010</v>
      </c>
      <c r="L457">
        <f>IF(G457="High",3,IF(G457="Medium",2,1))</f>
        <v>1</v>
      </c>
    </row>
    <row r="458" spans="1:12">
      <c r="A458" t="s">
        <v>2484</v>
      </c>
      <c r="B458" t="s">
        <v>784</v>
      </c>
      <c r="C458" t="s">
        <v>1985</v>
      </c>
      <c r="D458" t="s">
        <v>1986</v>
      </c>
      <c r="E458" t="s">
        <v>57</v>
      </c>
      <c r="F458" t="s">
        <v>1971</v>
      </c>
      <c r="G458" t="str">
        <f>INDEX(Risk_Matrix!$B$2:$D$4,MATCH(E458,Risk_Matrix!$A$2:$A$4,0),MATCH(F458,Risk_Matrix!$B$1:$D$1,0))</f>
        <v>Low</v>
      </c>
      <c r="H458" s="1">
        <v>46121</v>
      </c>
      <c r="I458" t="s">
        <v>1987</v>
      </c>
      <c r="J458" t="s">
        <v>1997</v>
      </c>
      <c r="K458" t="s">
        <v>1998</v>
      </c>
      <c r="L458">
        <f>IF(G458="High",3,IF(G458="Medium",2,1))</f>
        <v>1</v>
      </c>
    </row>
    <row r="459" spans="1:12">
      <c r="A459" t="s">
        <v>2485</v>
      </c>
      <c r="B459" t="s">
        <v>784</v>
      </c>
      <c r="C459" t="s">
        <v>1991</v>
      </c>
      <c r="D459" t="s">
        <v>1992</v>
      </c>
      <c r="E459" t="s">
        <v>57</v>
      </c>
      <c r="F459" t="s">
        <v>57</v>
      </c>
      <c r="G459" t="str">
        <f>INDEX(Risk_Matrix!$B$2:$D$4,MATCH(E459,Risk_Matrix!$A$2:$A$4,0),MATCH(F459,Risk_Matrix!$B$1:$D$1,0))</f>
        <v>Low</v>
      </c>
      <c r="H459" s="1">
        <v>46121</v>
      </c>
      <c r="I459" t="s">
        <v>1987</v>
      </c>
      <c r="J459" t="s">
        <v>1997</v>
      </c>
      <c r="K459" t="s">
        <v>1993</v>
      </c>
      <c r="L459">
        <f>IF(G459="High",3,IF(G459="Medium",2,1))</f>
        <v>1</v>
      </c>
    </row>
    <row r="460" spans="1:12">
      <c r="A460" t="s">
        <v>2486</v>
      </c>
      <c r="B460" t="s">
        <v>784</v>
      </c>
      <c r="C460" t="s">
        <v>1995</v>
      </c>
      <c r="D460" t="s">
        <v>2018</v>
      </c>
      <c r="E460" t="s">
        <v>1971</v>
      </c>
      <c r="F460" t="s">
        <v>57</v>
      </c>
      <c r="G460" t="str">
        <f>INDEX(Risk_Matrix!$B$2:$D$4,MATCH(E460,Risk_Matrix!$A$2:$A$4,0),MATCH(F460,Risk_Matrix!$B$1:$D$1,0))</f>
        <v>Low</v>
      </c>
      <c r="H460" s="1">
        <v>46155</v>
      </c>
      <c r="I460" t="s">
        <v>2002</v>
      </c>
      <c r="J460" t="s">
        <v>2003</v>
      </c>
      <c r="K460" t="s">
        <v>2036</v>
      </c>
      <c r="L460">
        <f>IF(G460="High",3,IF(G460="Medium",2,1))</f>
        <v>1</v>
      </c>
    </row>
    <row r="461" spans="1:12">
      <c r="A461" t="s">
        <v>2487</v>
      </c>
      <c r="B461" t="s">
        <v>784</v>
      </c>
      <c r="C461" t="s">
        <v>2000</v>
      </c>
      <c r="D461" t="s">
        <v>2045</v>
      </c>
      <c r="E461" t="s">
        <v>57</v>
      </c>
      <c r="F461" t="s">
        <v>1971</v>
      </c>
      <c r="G461" t="str">
        <f>INDEX(Risk_Matrix!$B$2:$D$4,MATCH(E461,Risk_Matrix!$A$2:$A$4,0),MATCH(F461,Risk_Matrix!$B$1:$D$1,0))</f>
        <v>Low</v>
      </c>
      <c r="H461" s="1">
        <v>46077</v>
      </c>
      <c r="I461" t="s">
        <v>1987</v>
      </c>
      <c r="J461" t="s">
        <v>1997</v>
      </c>
      <c r="K461" t="s">
        <v>1993</v>
      </c>
      <c r="L461">
        <f>IF(G461="High",3,IF(G461="Medium",2,1))</f>
        <v>1</v>
      </c>
    </row>
    <row r="462" spans="1:12">
      <c r="A462" t="s">
        <v>2488</v>
      </c>
      <c r="B462" t="s">
        <v>784</v>
      </c>
      <c r="C462" t="s">
        <v>2005</v>
      </c>
      <c r="D462" t="s">
        <v>2039</v>
      </c>
      <c r="E462" t="s">
        <v>1971</v>
      </c>
      <c r="F462" t="s">
        <v>57</v>
      </c>
      <c r="G462" t="str">
        <f>INDEX(Risk_Matrix!$B$2:$D$4,MATCH(E462,Risk_Matrix!$A$2:$A$4,0),MATCH(F462,Risk_Matrix!$B$1:$D$1,0))</f>
        <v>Low</v>
      </c>
      <c r="H462" s="1">
        <v>46163</v>
      </c>
      <c r="I462" t="s">
        <v>2015</v>
      </c>
      <c r="J462" t="s">
        <v>2032</v>
      </c>
      <c r="K462" t="s">
        <v>1993</v>
      </c>
      <c r="L462">
        <f>IF(G462="High",3,IF(G462="Medium",2,1))</f>
        <v>1</v>
      </c>
    </row>
    <row r="463" spans="1:12">
      <c r="A463" t="s">
        <v>2489</v>
      </c>
      <c r="B463" t="s">
        <v>784</v>
      </c>
      <c r="C463" t="s">
        <v>2008</v>
      </c>
      <c r="D463" t="s">
        <v>2054</v>
      </c>
      <c r="E463" t="s">
        <v>57</v>
      </c>
      <c r="F463" t="s">
        <v>57</v>
      </c>
      <c r="G463" t="str">
        <f>INDEX(Risk_Matrix!$B$2:$D$4,MATCH(E463,Risk_Matrix!$A$2:$A$4,0),MATCH(F463,Risk_Matrix!$B$1:$D$1,0))</f>
        <v>Low</v>
      </c>
      <c r="H463" s="1">
        <v>46140</v>
      </c>
      <c r="I463" t="s">
        <v>1987</v>
      </c>
      <c r="J463" t="s">
        <v>1988</v>
      </c>
      <c r="K463" t="s">
        <v>2010</v>
      </c>
      <c r="L463">
        <f>IF(G463="High",3,IF(G463="Medium",2,1))</f>
        <v>1</v>
      </c>
    </row>
    <row r="464" spans="1:12">
      <c r="A464" t="s">
        <v>2490</v>
      </c>
      <c r="B464" t="s">
        <v>786</v>
      </c>
      <c r="C464" t="s">
        <v>1985</v>
      </c>
      <c r="D464" t="s">
        <v>1986</v>
      </c>
      <c r="E464" t="s">
        <v>47</v>
      </c>
      <c r="F464" t="s">
        <v>57</v>
      </c>
      <c r="G464" t="str">
        <f>INDEX(Risk_Matrix!$B$2:$D$4,MATCH(E464,Risk_Matrix!$A$2:$A$4,0),MATCH(F464,Risk_Matrix!$B$1:$D$1,0))</f>
        <v>Medium</v>
      </c>
      <c r="H464" s="1">
        <v>46197</v>
      </c>
      <c r="I464" t="s">
        <v>2002</v>
      </c>
      <c r="J464" t="s">
        <v>2003</v>
      </c>
      <c r="K464" t="s">
        <v>1998</v>
      </c>
      <c r="L464">
        <f>IF(G464="High",3,IF(G464="Medium",2,1))</f>
        <v>2</v>
      </c>
    </row>
    <row r="465" spans="1:12">
      <c r="A465" t="s">
        <v>2491</v>
      </c>
      <c r="B465" t="s">
        <v>786</v>
      </c>
      <c r="C465" t="s">
        <v>1991</v>
      </c>
      <c r="D465" t="s">
        <v>1992</v>
      </c>
      <c r="E465" t="s">
        <v>1971</v>
      </c>
      <c r="F465" t="s">
        <v>57</v>
      </c>
      <c r="G465" t="str">
        <f>INDEX(Risk_Matrix!$B$2:$D$4,MATCH(E465,Risk_Matrix!$A$2:$A$4,0),MATCH(F465,Risk_Matrix!$B$1:$D$1,0))</f>
        <v>Low</v>
      </c>
      <c r="H465" s="1">
        <v>46093</v>
      </c>
      <c r="I465" t="s">
        <v>2025</v>
      </c>
      <c r="J465" t="s">
        <v>2026</v>
      </c>
      <c r="K465" t="s">
        <v>2010</v>
      </c>
      <c r="L465">
        <f>IF(G465="High",3,IF(G465="Medium",2,1))</f>
        <v>1</v>
      </c>
    </row>
    <row r="466" spans="1:12">
      <c r="A466" t="s">
        <v>2492</v>
      </c>
      <c r="B466" t="s">
        <v>786</v>
      </c>
      <c r="C466" t="s">
        <v>1995</v>
      </c>
      <c r="D466" t="s">
        <v>2018</v>
      </c>
      <c r="E466" t="s">
        <v>57</v>
      </c>
      <c r="F466" t="s">
        <v>1971</v>
      </c>
      <c r="G466" t="str">
        <f>INDEX(Risk_Matrix!$B$2:$D$4,MATCH(E466,Risk_Matrix!$A$2:$A$4,0),MATCH(F466,Risk_Matrix!$B$1:$D$1,0))</f>
        <v>Low</v>
      </c>
      <c r="H466" s="1">
        <v>46088</v>
      </c>
      <c r="I466" t="s">
        <v>1987</v>
      </c>
      <c r="J466" t="s">
        <v>1988</v>
      </c>
      <c r="K466" t="s">
        <v>2036</v>
      </c>
      <c r="L466">
        <f>IF(G466="High",3,IF(G466="Medium",2,1))</f>
        <v>1</v>
      </c>
    </row>
    <row r="467" spans="1:12">
      <c r="A467" t="s">
        <v>2493</v>
      </c>
      <c r="B467" t="s">
        <v>786</v>
      </c>
      <c r="C467" t="s">
        <v>2000</v>
      </c>
      <c r="D467" t="s">
        <v>2001</v>
      </c>
      <c r="E467" t="s">
        <v>57</v>
      </c>
      <c r="F467" t="s">
        <v>1971</v>
      </c>
      <c r="G467" t="str">
        <f>INDEX(Risk_Matrix!$B$2:$D$4,MATCH(E467,Risk_Matrix!$A$2:$A$4,0),MATCH(F467,Risk_Matrix!$B$1:$D$1,0))</f>
        <v>Low</v>
      </c>
      <c r="H467" s="1">
        <v>46217</v>
      </c>
      <c r="I467" t="s">
        <v>2025</v>
      </c>
      <c r="J467" t="s">
        <v>2026</v>
      </c>
      <c r="K467" t="s">
        <v>1993</v>
      </c>
      <c r="L467">
        <f>IF(G467="High",3,IF(G467="Medium",2,1))</f>
        <v>1</v>
      </c>
    </row>
    <row r="468" spans="1:12">
      <c r="A468" t="s">
        <v>2494</v>
      </c>
      <c r="B468" t="s">
        <v>786</v>
      </c>
      <c r="C468" t="s">
        <v>2005</v>
      </c>
      <c r="D468" t="s">
        <v>2022</v>
      </c>
      <c r="E468" t="s">
        <v>57</v>
      </c>
      <c r="F468" t="s">
        <v>57</v>
      </c>
      <c r="G468" t="str">
        <f>INDEX(Risk_Matrix!$B$2:$D$4,MATCH(E468,Risk_Matrix!$A$2:$A$4,0),MATCH(F468,Risk_Matrix!$B$1:$D$1,0))</f>
        <v>Low</v>
      </c>
      <c r="H468" s="1">
        <v>46182</v>
      </c>
      <c r="I468" t="s">
        <v>2015</v>
      </c>
      <c r="J468" t="s">
        <v>2032</v>
      </c>
      <c r="K468" t="s">
        <v>1993</v>
      </c>
      <c r="L468">
        <f>IF(G468="High",3,IF(G468="Medium",2,1))</f>
        <v>1</v>
      </c>
    </row>
    <row r="469" spans="1:12">
      <c r="A469" t="s">
        <v>2495</v>
      </c>
      <c r="B469" t="s">
        <v>786</v>
      </c>
      <c r="C469" t="s">
        <v>2008</v>
      </c>
      <c r="D469" t="s">
        <v>2054</v>
      </c>
      <c r="E469" t="s">
        <v>47</v>
      </c>
      <c r="F469" t="s">
        <v>1971</v>
      </c>
      <c r="G469" t="str">
        <f>INDEX(Risk_Matrix!$B$2:$D$4,MATCH(E469,Risk_Matrix!$A$2:$A$4,0),MATCH(F469,Risk_Matrix!$B$1:$D$1,0))</f>
        <v>High</v>
      </c>
      <c r="H469" s="1">
        <v>46130</v>
      </c>
      <c r="I469" t="s">
        <v>2025</v>
      </c>
      <c r="J469" t="s">
        <v>2035</v>
      </c>
      <c r="K469" t="s">
        <v>2010</v>
      </c>
      <c r="L469">
        <f>IF(G469="High",3,IF(G469="Medium",2,1))</f>
        <v>3</v>
      </c>
    </row>
    <row r="470" spans="1:12">
      <c r="A470" t="s">
        <v>2496</v>
      </c>
      <c r="B470" t="s">
        <v>788</v>
      </c>
      <c r="C470" t="s">
        <v>1985</v>
      </c>
      <c r="D470" t="s">
        <v>2062</v>
      </c>
      <c r="E470" t="s">
        <v>57</v>
      </c>
      <c r="F470" t="s">
        <v>1971</v>
      </c>
      <c r="G470" t="str">
        <f>INDEX(Risk_Matrix!$B$2:$D$4,MATCH(E470,Risk_Matrix!$A$2:$A$4,0),MATCH(F470,Risk_Matrix!$B$1:$D$1,0))</f>
        <v>Low</v>
      </c>
      <c r="H470" s="1">
        <v>46085</v>
      </c>
      <c r="I470" t="s">
        <v>1987</v>
      </c>
      <c r="J470" t="s">
        <v>1988</v>
      </c>
      <c r="K470" t="s">
        <v>1998</v>
      </c>
      <c r="L470">
        <f>IF(G470="High",3,IF(G470="Medium",2,1))</f>
        <v>1</v>
      </c>
    </row>
    <row r="471" spans="1:12">
      <c r="A471" t="s">
        <v>2497</v>
      </c>
      <c r="B471" t="s">
        <v>788</v>
      </c>
      <c r="C471" t="s">
        <v>1991</v>
      </c>
      <c r="D471" t="s">
        <v>2064</v>
      </c>
      <c r="E471" t="s">
        <v>57</v>
      </c>
      <c r="F471" t="s">
        <v>1971</v>
      </c>
      <c r="G471" t="str">
        <f>INDEX(Risk_Matrix!$B$2:$D$4,MATCH(E471,Risk_Matrix!$A$2:$A$4,0),MATCH(F471,Risk_Matrix!$B$1:$D$1,0))</f>
        <v>Low</v>
      </c>
      <c r="H471" s="1">
        <v>46168</v>
      </c>
      <c r="I471" t="s">
        <v>2002</v>
      </c>
      <c r="J471" t="s">
        <v>2029</v>
      </c>
      <c r="K471" t="s">
        <v>1993</v>
      </c>
      <c r="L471">
        <f>IF(G471="High",3,IF(G471="Medium",2,1))</f>
        <v>1</v>
      </c>
    </row>
    <row r="472" spans="1:12">
      <c r="A472" t="s">
        <v>2498</v>
      </c>
      <c r="B472" t="s">
        <v>788</v>
      </c>
      <c r="C472" t="s">
        <v>1995</v>
      </c>
      <c r="D472" t="s">
        <v>1996</v>
      </c>
      <c r="E472" t="s">
        <v>1971</v>
      </c>
      <c r="F472" t="s">
        <v>57</v>
      </c>
      <c r="G472" t="str">
        <f>INDEX(Risk_Matrix!$B$2:$D$4,MATCH(E472,Risk_Matrix!$A$2:$A$4,0),MATCH(F472,Risk_Matrix!$B$1:$D$1,0))</f>
        <v>Low</v>
      </c>
      <c r="H472" s="1">
        <v>46168</v>
      </c>
      <c r="I472" t="s">
        <v>1987</v>
      </c>
      <c r="J472" t="s">
        <v>1997</v>
      </c>
      <c r="K472" t="s">
        <v>2036</v>
      </c>
      <c r="L472">
        <f>IF(G472="High",3,IF(G472="Medium",2,1))</f>
        <v>1</v>
      </c>
    </row>
    <row r="473" spans="1:12">
      <c r="A473" t="s">
        <v>2499</v>
      </c>
      <c r="B473" t="s">
        <v>788</v>
      </c>
      <c r="C473" t="s">
        <v>2000</v>
      </c>
      <c r="D473" t="s">
        <v>2001</v>
      </c>
      <c r="E473" t="s">
        <v>57</v>
      </c>
      <c r="F473" t="s">
        <v>57</v>
      </c>
      <c r="G473" t="str">
        <f>INDEX(Risk_Matrix!$B$2:$D$4,MATCH(E473,Risk_Matrix!$A$2:$A$4,0),MATCH(F473,Risk_Matrix!$B$1:$D$1,0))</f>
        <v>Low</v>
      </c>
      <c r="H473" s="1">
        <v>46117</v>
      </c>
      <c r="I473" t="s">
        <v>2002</v>
      </c>
      <c r="J473" t="s">
        <v>2029</v>
      </c>
      <c r="K473" t="s">
        <v>1989</v>
      </c>
      <c r="L473">
        <f>IF(G473="High",3,IF(G473="Medium",2,1))</f>
        <v>1</v>
      </c>
    </row>
    <row r="474" spans="1:12">
      <c r="A474" t="s">
        <v>2500</v>
      </c>
      <c r="B474" t="s">
        <v>788</v>
      </c>
      <c r="C474" t="s">
        <v>2005</v>
      </c>
      <c r="D474" t="s">
        <v>2006</v>
      </c>
      <c r="E474" t="s">
        <v>57</v>
      </c>
      <c r="F474" t="s">
        <v>57</v>
      </c>
      <c r="G474" t="str">
        <f>INDEX(Risk_Matrix!$B$2:$D$4,MATCH(E474,Risk_Matrix!$A$2:$A$4,0),MATCH(F474,Risk_Matrix!$B$1:$D$1,0))</f>
        <v>Low</v>
      </c>
      <c r="H474" s="1">
        <v>46122</v>
      </c>
      <c r="I474" t="s">
        <v>1987</v>
      </c>
      <c r="J474" t="s">
        <v>1988</v>
      </c>
      <c r="K474" t="s">
        <v>1993</v>
      </c>
      <c r="L474">
        <f>IF(G474="High",3,IF(G474="Medium",2,1))</f>
        <v>1</v>
      </c>
    </row>
    <row r="475" spans="1:12">
      <c r="A475" t="s">
        <v>2501</v>
      </c>
      <c r="B475" t="s">
        <v>788</v>
      </c>
      <c r="C475" t="s">
        <v>2008</v>
      </c>
      <c r="D475" t="s">
        <v>2024</v>
      </c>
      <c r="E475" t="s">
        <v>1971</v>
      </c>
      <c r="F475" t="s">
        <v>47</v>
      </c>
      <c r="G475" t="str">
        <f>INDEX(Risk_Matrix!$B$2:$D$4,MATCH(E475,Risk_Matrix!$A$2:$A$4,0),MATCH(F475,Risk_Matrix!$B$1:$D$1,0))</f>
        <v>High</v>
      </c>
      <c r="H475" s="1">
        <v>46219</v>
      </c>
      <c r="I475" t="s">
        <v>1987</v>
      </c>
      <c r="J475" t="s">
        <v>1988</v>
      </c>
      <c r="K475" t="s">
        <v>2010</v>
      </c>
      <c r="L475">
        <f>IF(G475="High",3,IF(G475="Medium",2,1))</f>
        <v>3</v>
      </c>
    </row>
    <row r="476" spans="1:12">
      <c r="A476" t="s">
        <v>2502</v>
      </c>
      <c r="B476" t="s">
        <v>790</v>
      </c>
      <c r="C476" t="s">
        <v>1985</v>
      </c>
      <c r="D476" t="s">
        <v>1986</v>
      </c>
      <c r="E476" t="s">
        <v>57</v>
      </c>
      <c r="F476" t="s">
        <v>1971</v>
      </c>
      <c r="G476" t="str">
        <f>INDEX(Risk_Matrix!$B$2:$D$4,MATCH(E476,Risk_Matrix!$A$2:$A$4,0),MATCH(F476,Risk_Matrix!$B$1:$D$1,0))</f>
        <v>Low</v>
      </c>
      <c r="H476" s="1">
        <v>46189</v>
      </c>
      <c r="I476" t="s">
        <v>2025</v>
      </c>
      <c r="J476" t="s">
        <v>2026</v>
      </c>
      <c r="K476" t="s">
        <v>1998</v>
      </c>
      <c r="L476">
        <f>IF(G476="High",3,IF(G476="Medium",2,1))</f>
        <v>1</v>
      </c>
    </row>
    <row r="477" spans="1:12">
      <c r="A477" t="s">
        <v>2503</v>
      </c>
      <c r="B477" t="s">
        <v>790</v>
      </c>
      <c r="C477" t="s">
        <v>1991</v>
      </c>
      <c r="D477" t="s">
        <v>2031</v>
      </c>
      <c r="E477" t="s">
        <v>1971</v>
      </c>
      <c r="F477" t="s">
        <v>47</v>
      </c>
      <c r="G477" t="str">
        <f>INDEX(Risk_Matrix!$B$2:$D$4,MATCH(E477,Risk_Matrix!$A$2:$A$4,0),MATCH(F477,Risk_Matrix!$B$1:$D$1,0))</f>
        <v>High</v>
      </c>
      <c r="H477" s="1">
        <v>46134</v>
      </c>
      <c r="I477" t="s">
        <v>2025</v>
      </c>
      <c r="J477" t="s">
        <v>2035</v>
      </c>
      <c r="K477" t="s">
        <v>2010</v>
      </c>
      <c r="L477">
        <f>IF(G477="High",3,IF(G477="Medium",2,1))</f>
        <v>3</v>
      </c>
    </row>
    <row r="478" spans="1:12">
      <c r="A478" t="s">
        <v>2504</v>
      </c>
      <c r="B478" t="s">
        <v>790</v>
      </c>
      <c r="C478" t="s">
        <v>1995</v>
      </c>
      <c r="D478" t="s">
        <v>1996</v>
      </c>
      <c r="E478" t="s">
        <v>1971</v>
      </c>
      <c r="F478" t="s">
        <v>57</v>
      </c>
      <c r="G478" t="str">
        <f>INDEX(Risk_Matrix!$B$2:$D$4,MATCH(E478,Risk_Matrix!$A$2:$A$4,0),MATCH(F478,Risk_Matrix!$B$1:$D$1,0))</f>
        <v>Low</v>
      </c>
      <c r="H478" s="1">
        <v>46139</v>
      </c>
      <c r="I478" t="s">
        <v>1987</v>
      </c>
      <c r="J478" t="s">
        <v>1988</v>
      </c>
      <c r="K478" t="s">
        <v>2036</v>
      </c>
      <c r="L478">
        <f>IF(G478="High",3,IF(G478="Medium",2,1))</f>
        <v>1</v>
      </c>
    </row>
    <row r="479" spans="1:12">
      <c r="A479" t="s">
        <v>2505</v>
      </c>
      <c r="B479" t="s">
        <v>790</v>
      </c>
      <c r="C479" t="s">
        <v>2000</v>
      </c>
      <c r="D479" t="s">
        <v>2001</v>
      </c>
      <c r="E479" t="s">
        <v>1971</v>
      </c>
      <c r="F479" t="s">
        <v>57</v>
      </c>
      <c r="G479" t="str">
        <f>INDEX(Risk_Matrix!$B$2:$D$4,MATCH(E479,Risk_Matrix!$A$2:$A$4,0),MATCH(F479,Risk_Matrix!$B$1:$D$1,0))</f>
        <v>Low</v>
      </c>
      <c r="H479" s="1">
        <v>46074</v>
      </c>
      <c r="I479" t="s">
        <v>2002</v>
      </c>
      <c r="J479" t="s">
        <v>2003</v>
      </c>
      <c r="K479" t="s">
        <v>1989</v>
      </c>
      <c r="L479">
        <f>IF(G479="High",3,IF(G479="Medium",2,1))</f>
        <v>1</v>
      </c>
    </row>
    <row r="480" spans="1:12">
      <c r="A480" t="s">
        <v>2506</v>
      </c>
      <c r="B480" t="s">
        <v>790</v>
      </c>
      <c r="C480" t="s">
        <v>2005</v>
      </c>
      <c r="D480" t="s">
        <v>2006</v>
      </c>
      <c r="E480" t="s">
        <v>1971</v>
      </c>
      <c r="F480" t="s">
        <v>57</v>
      </c>
      <c r="G480" t="str">
        <f>INDEX(Risk_Matrix!$B$2:$D$4,MATCH(E480,Risk_Matrix!$A$2:$A$4,0),MATCH(F480,Risk_Matrix!$B$1:$D$1,0))</f>
        <v>Low</v>
      </c>
      <c r="H480" s="1">
        <v>46055</v>
      </c>
      <c r="I480" t="s">
        <v>2025</v>
      </c>
      <c r="J480" t="s">
        <v>2035</v>
      </c>
      <c r="K480" t="s">
        <v>1993</v>
      </c>
      <c r="L480">
        <f>IF(G480="High",3,IF(G480="Medium",2,1))</f>
        <v>1</v>
      </c>
    </row>
    <row r="481" spans="1:12">
      <c r="A481" t="s">
        <v>2507</v>
      </c>
      <c r="B481" t="s">
        <v>790</v>
      </c>
      <c r="C481" t="s">
        <v>2008</v>
      </c>
      <c r="D481" t="s">
        <v>2024</v>
      </c>
      <c r="E481" t="s">
        <v>57</v>
      </c>
      <c r="F481" t="s">
        <v>57</v>
      </c>
      <c r="G481" t="str">
        <f>INDEX(Risk_Matrix!$B$2:$D$4,MATCH(E481,Risk_Matrix!$A$2:$A$4,0),MATCH(F481,Risk_Matrix!$B$1:$D$1,0))</f>
        <v>Low</v>
      </c>
      <c r="H481" s="1">
        <v>46234</v>
      </c>
      <c r="I481" t="s">
        <v>2015</v>
      </c>
      <c r="J481" t="s">
        <v>2032</v>
      </c>
      <c r="K481" t="s">
        <v>2010</v>
      </c>
      <c r="L481">
        <f>IF(G481="High",3,IF(G481="Medium",2,1))</f>
        <v>1</v>
      </c>
    </row>
    <row r="482" spans="1:12">
      <c r="A482" t="s">
        <v>2508</v>
      </c>
      <c r="B482" t="s">
        <v>792</v>
      </c>
      <c r="C482" t="s">
        <v>1985</v>
      </c>
      <c r="D482" t="s">
        <v>2012</v>
      </c>
      <c r="E482" t="s">
        <v>57</v>
      </c>
      <c r="F482" t="s">
        <v>57</v>
      </c>
      <c r="G482" t="str">
        <f>INDEX(Risk_Matrix!$B$2:$D$4,MATCH(E482,Risk_Matrix!$A$2:$A$4,0),MATCH(F482,Risk_Matrix!$B$1:$D$1,0))</f>
        <v>Low</v>
      </c>
      <c r="H482" s="1">
        <v>46126</v>
      </c>
      <c r="I482" t="s">
        <v>2002</v>
      </c>
      <c r="J482" t="s">
        <v>2003</v>
      </c>
      <c r="K482" t="s">
        <v>1989</v>
      </c>
      <c r="L482">
        <f>IF(G482="High",3,IF(G482="Medium",2,1))</f>
        <v>1</v>
      </c>
    </row>
    <row r="483" spans="1:12">
      <c r="A483" t="s">
        <v>2509</v>
      </c>
      <c r="B483" t="s">
        <v>792</v>
      </c>
      <c r="C483" t="s">
        <v>1991</v>
      </c>
      <c r="D483" t="s">
        <v>1992</v>
      </c>
      <c r="E483" t="s">
        <v>57</v>
      </c>
      <c r="F483" t="s">
        <v>47</v>
      </c>
      <c r="G483" t="str">
        <f>INDEX(Risk_Matrix!$B$2:$D$4,MATCH(E483,Risk_Matrix!$A$2:$A$4,0),MATCH(F483,Risk_Matrix!$B$1:$D$1,0))</f>
        <v>Medium</v>
      </c>
      <c r="H483" s="1">
        <v>46232</v>
      </c>
      <c r="I483" t="s">
        <v>2015</v>
      </c>
      <c r="J483" t="s">
        <v>2016</v>
      </c>
      <c r="K483" t="s">
        <v>1993</v>
      </c>
      <c r="L483">
        <f>IF(G483="High",3,IF(G483="Medium",2,1))</f>
        <v>2</v>
      </c>
    </row>
    <row r="484" spans="1:12">
      <c r="A484" t="s">
        <v>2510</v>
      </c>
      <c r="B484" t="s">
        <v>792</v>
      </c>
      <c r="C484" t="s">
        <v>1995</v>
      </c>
      <c r="D484" t="s">
        <v>1996</v>
      </c>
      <c r="E484" t="s">
        <v>1971</v>
      </c>
      <c r="F484" t="s">
        <v>47</v>
      </c>
      <c r="G484" t="str">
        <f>INDEX(Risk_Matrix!$B$2:$D$4,MATCH(E484,Risk_Matrix!$A$2:$A$4,0),MATCH(F484,Risk_Matrix!$B$1:$D$1,0))</f>
        <v>High</v>
      </c>
      <c r="H484" s="1">
        <v>46219</v>
      </c>
      <c r="I484" t="s">
        <v>2015</v>
      </c>
      <c r="J484" t="s">
        <v>2016</v>
      </c>
      <c r="K484" t="s">
        <v>2036</v>
      </c>
      <c r="L484">
        <f>IF(G484="High",3,IF(G484="Medium",2,1))</f>
        <v>3</v>
      </c>
    </row>
    <row r="485" spans="1:12">
      <c r="A485" t="s">
        <v>2511</v>
      </c>
      <c r="B485" t="s">
        <v>792</v>
      </c>
      <c r="C485" t="s">
        <v>2000</v>
      </c>
      <c r="D485" t="s">
        <v>2020</v>
      </c>
      <c r="E485" t="s">
        <v>1971</v>
      </c>
      <c r="F485" t="s">
        <v>47</v>
      </c>
      <c r="G485" t="str">
        <f>INDEX(Risk_Matrix!$B$2:$D$4,MATCH(E485,Risk_Matrix!$A$2:$A$4,0),MATCH(F485,Risk_Matrix!$B$1:$D$1,0))</f>
        <v>High</v>
      </c>
      <c r="H485" s="1">
        <v>46227</v>
      </c>
      <c r="I485" t="s">
        <v>2015</v>
      </c>
      <c r="J485" t="s">
        <v>2016</v>
      </c>
      <c r="K485" t="s">
        <v>1993</v>
      </c>
      <c r="L485">
        <f>IF(G485="High",3,IF(G485="Medium",2,1))</f>
        <v>3</v>
      </c>
    </row>
    <row r="486" spans="1:12">
      <c r="A486" t="s">
        <v>2512</v>
      </c>
      <c r="B486" t="s">
        <v>792</v>
      </c>
      <c r="C486" t="s">
        <v>2005</v>
      </c>
      <c r="D486" t="s">
        <v>2039</v>
      </c>
      <c r="E486" t="s">
        <v>57</v>
      </c>
      <c r="F486" t="s">
        <v>1971</v>
      </c>
      <c r="G486" t="str">
        <f>INDEX(Risk_Matrix!$B$2:$D$4,MATCH(E486,Risk_Matrix!$A$2:$A$4,0),MATCH(F486,Risk_Matrix!$B$1:$D$1,0))</f>
        <v>Low</v>
      </c>
      <c r="H486" s="1">
        <v>46155</v>
      </c>
      <c r="I486" t="s">
        <v>2015</v>
      </c>
      <c r="J486" t="s">
        <v>2032</v>
      </c>
      <c r="K486" t="s">
        <v>2036</v>
      </c>
      <c r="L486">
        <f>IF(G486="High",3,IF(G486="Medium",2,1))</f>
        <v>1</v>
      </c>
    </row>
    <row r="487" spans="1:12">
      <c r="A487" t="s">
        <v>2513</v>
      </c>
      <c r="B487" t="s">
        <v>792</v>
      </c>
      <c r="C487" t="s">
        <v>2008</v>
      </c>
      <c r="D487" t="s">
        <v>2009</v>
      </c>
      <c r="E487" t="s">
        <v>47</v>
      </c>
      <c r="F487" t="s">
        <v>1971</v>
      </c>
      <c r="G487" t="str">
        <f>INDEX(Risk_Matrix!$B$2:$D$4,MATCH(E487,Risk_Matrix!$A$2:$A$4,0),MATCH(F487,Risk_Matrix!$B$1:$D$1,0))</f>
        <v>High</v>
      </c>
      <c r="H487" s="1">
        <v>46206</v>
      </c>
      <c r="I487" t="s">
        <v>2015</v>
      </c>
      <c r="J487" t="s">
        <v>2016</v>
      </c>
      <c r="K487" t="s">
        <v>2010</v>
      </c>
      <c r="L487">
        <f>IF(G487="High",3,IF(G487="Medium",2,1))</f>
        <v>3</v>
      </c>
    </row>
    <row r="488" spans="1:12">
      <c r="A488" t="s">
        <v>2514</v>
      </c>
      <c r="B488" t="s">
        <v>795</v>
      </c>
      <c r="C488" t="s">
        <v>1985</v>
      </c>
      <c r="D488" t="s">
        <v>2012</v>
      </c>
      <c r="E488" t="s">
        <v>57</v>
      </c>
      <c r="F488" t="s">
        <v>1971</v>
      </c>
      <c r="G488" t="str">
        <f>INDEX(Risk_Matrix!$B$2:$D$4,MATCH(E488,Risk_Matrix!$A$2:$A$4,0),MATCH(F488,Risk_Matrix!$B$1:$D$1,0))</f>
        <v>Low</v>
      </c>
      <c r="H488" s="1">
        <v>46150</v>
      </c>
      <c r="I488" t="s">
        <v>2025</v>
      </c>
      <c r="J488" t="s">
        <v>2035</v>
      </c>
      <c r="K488" t="s">
        <v>1998</v>
      </c>
      <c r="L488">
        <f>IF(G488="High",3,IF(G488="Medium",2,1))</f>
        <v>1</v>
      </c>
    </row>
    <row r="489" spans="1:12">
      <c r="A489" t="s">
        <v>2515</v>
      </c>
      <c r="B489" t="s">
        <v>795</v>
      </c>
      <c r="C489" t="s">
        <v>1991</v>
      </c>
      <c r="D489" t="s">
        <v>1992</v>
      </c>
      <c r="E489" t="s">
        <v>47</v>
      </c>
      <c r="F489" t="s">
        <v>1971</v>
      </c>
      <c r="G489" t="str">
        <f>INDEX(Risk_Matrix!$B$2:$D$4,MATCH(E489,Risk_Matrix!$A$2:$A$4,0),MATCH(F489,Risk_Matrix!$B$1:$D$1,0))</f>
        <v>High</v>
      </c>
      <c r="H489" s="1">
        <v>46189</v>
      </c>
      <c r="I489" t="s">
        <v>2025</v>
      </c>
      <c r="J489" t="s">
        <v>2026</v>
      </c>
      <c r="K489" t="s">
        <v>1993</v>
      </c>
      <c r="L489">
        <f>IF(G489="High",3,IF(G489="Medium",2,1))</f>
        <v>3</v>
      </c>
    </row>
    <row r="490" spans="1:12">
      <c r="A490" t="s">
        <v>2516</v>
      </c>
      <c r="B490" t="s">
        <v>795</v>
      </c>
      <c r="C490" t="s">
        <v>1995</v>
      </c>
      <c r="D490" t="s">
        <v>2018</v>
      </c>
      <c r="E490" t="s">
        <v>1971</v>
      </c>
      <c r="F490" t="s">
        <v>47</v>
      </c>
      <c r="G490" t="str">
        <f>INDEX(Risk_Matrix!$B$2:$D$4,MATCH(E490,Risk_Matrix!$A$2:$A$4,0),MATCH(F490,Risk_Matrix!$B$1:$D$1,0))</f>
        <v>High</v>
      </c>
      <c r="H490" s="1">
        <v>46209</v>
      </c>
      <c r="I490" t="s">
        <v>2015</v>
      </c>
      <c r="J490" t="s">
        <v>2032</v>
      </c>
      <c r="K490" t="s">
        <v>2036</v>
      </c>
      <c r="L490">
        <f>IF(G490="High",3,IF(G490="Medium",2,1))</f>
        <v>3</v>
      </c>
    </row>
    <row r="491" spans="1:12">
      <c r="A491" t="s">
        <v>2517</v>
      </c>
      <c r="B491" t="s">
        <v>795</v>
      </c>
      <c r="C491" t="s">
        <v>2000</v>
      </c>
      <c r="D491" t="s">
        <v>2001</v>
      </c>
      <c r="E491" t="s">
        <v>1971</v>
      </c>
      <c r="F491" t="s">
        <v>57</v>
      </c>
      <c r="G491" t="str">
        <f>INDEX(Risk_Matrix!$B$2:$D$4,MATCH(E491,Risk_Matrix!$A$2:$A$4,0),MATCH(F491,Risk_Matrix!$B$1:$D$1,0))</f>
        <v>Low</v>
      </c>
      <c r="H491" s="1">
        <v>46151</v>
      </c>
      <c r="I491" t="s">
        <v>1987</v>
      </c>
      <c r="J491" t="s">
        <v>1988</v>
      </c>
      <c r="K491" t="s">
        <v>1993</v>
      </c>
      <c r="L491">
        <f>IF(G491="High",3,IF(G491="Medium",2,1))</f>
        <v>1</v>
      </c>
    </row>
    <row r="492" spans="1:12">
      <c r="A492" t="s">
        <v>2518</v>
      </c>
      <c r="B492" t="s">
        <v>795</v>
      </c>
      <c r="C492" t="s">
        <v>2005</v>
      </c>
      <c r="D492" t="s">
        <v>2022</v>
      </c>
      <c r="E492" t="s">
        <v>57</v>
      </c>
      <c r="F492" t="s">
        <v>1971</v>
      </c>
      <c r="G492" t="str">
        <f>INDEX(Risk_Matrix!$B$2:$D$4,MATCH(E492,Risk_Matrix!$A$2:$A$4,0),MATCH(F492,Risk_Matrix!$B$1:$D$1,0))</f>
        <v>Low</v>
      </c>
      <c r="H492" s="1">
        <v>46107</v>
      </c>
      <c r="I492" t="s">
        <v>2025</v>
      </c>
      <c r="J492" t="s">
        <v>2026</v>
      </c>
      <c r="K492" t="s">
        <v>2036</v>
      </c>
      <c r="L492">
        <f>IF(G492="High",3,IF(G492="Medium",2,1))</f>
        <v>1</v>
      </c>
    </row>
    <row r="493" spans="1:12">
      <c r="A493" t="s">
        <v>2519</v>
      </c>
      <c r="B493" t="s">
        <v>795</v>
      </c>
      <c r="C493" t="s">
        <v>2008</v>
      </c>
      <c r="D493" t="s">
        <v>2009</v>
      </c>
      <c r="E493" t="s">
        <v>57</v>
      </c>
      <c r="F493" t="s">
        <v>57</v>
      </c>
      <c r="G493" t="str">
        <f>INDEX(Risk_Matrix!$B$2:$D$4,MATCH(E493,Risk_Matrix!$A$2:$A$4,0),MATCH(F493,Risk_Matrix!$B$1:$D$1,0))</f>
        <v>Low</v>
      </c>
      <c r="H493" s="1">
        <v>46095</v>
      </c>
      <c r="I493" t="s">
        <v>1987</v>
      </c>
      <c r="J493" t="s">
        <v>1988</v>
      </c>
      <c r="K493" t="s">
        <v>2010</v>
      </c>
      <c r="L493">
        <f>IF(G493="High",3,IF(G493="Medium",2,1))</f>
        <v>1</v>
      </c>
    </row>
    <row r="494" spans="1:12">
      <c r="A494" t="s">
        <v>2520</v>
      </c>
      <c r="B494" t="s">
        <v>797</v>
      </c>
      <c r="C494" t="s">
        <v>1985</v>
      </c>
      <c r="D494" t="s">
        <v>1986</v>
      </c>
      <c r="E494" t="s">
        <v>1971</v>
      </c>
      <c r="F494" t="s">
        <v>57</v>
      </c>
      <c r="G494" t="str">
        <f>INDEX(Risk_Matrix!$B$2:$D$4,MATCH(E494,Risk_Matrix!$A$2:$A$4,0),MATCH(F494,Risk_Matrix!$B$1:$D$1,0))</f>
        <v>Low</v>
      </c>
      <c r="H494" s="1">
        <v>46236</v>
      </c>
      <c r="I494" t="s">
        <v>1987</v>
      </c>
      <c r="J494" t="s">
        <v>1988</v>
      </c>
      <c r="K494" t="s">
        <v>1989</v>
      </c>
      <c r="L494">
        <f>IF(G494="High",3,IF(G494="Medium",2,1))</f>
        <v>1</v>
      </c>
    </row>
    <row r="495" spans="1:12">
      <c r="A495" t="s">
        <v>2521</v>
      </c>
      <c r="B495" t="s">
        <v>797</v>
      </c>
      <c r="C495" t="s">
        <v>1991</v>
      </c>
      <c r="D495" t="s">
        <v>2064</v>
      </c>
      <c r="E495" t="s">
        <v>57</v>
      </c>
      <c r="F495" t="s">
        <v>47</v>
      </c>
      <c r="G495" t="str">
        <f>INDEX(Risk_Matrix!$B$2:$D$4,MATCH(E495,Risk_Matrix!$A$2:$A$4,0),MATCH(F495,Risk_Matrix!$B$1:$D$1,0))</f>
        <v>Medium</v>
      </c>
      <c r="H495" s="1">
        <v>46228</v>
      </c>
      <c r="I495" t="s">
        <v>2025</v>
      </c>
      <c r="J495" t="s">
        <v>2035</v>
      </c>
      <c r="K495" t="s">
        <v>2010</v>
      </c>
      <c r="L495">
        <f>IF(G495="High",3,IF(G495="Medium",2,1))</f>
        <v>2</v>
      </c>
    </row>
    <row r="496" spans="1:12">
      <c r="A496" t="s">
        <v>2522</v>
      </c>
      <c r="B496" t="s">
        <v>797</v>
      </c>
      <c r="C496" t="s">
        <v>1995</v>
      </c>
      <c r="D496" t="s">
        <v>2018</v>
      </c>
      <c r="E496" t="s">
        <v>57</v>
      </c>
      <c r="F496" t="s">
        <v>57</v>
      </c>
      <c r="G496" t="str">
        <f>INDEX(Risk_Matrix!$B$2:$D$4,MATCH(E496,Risk_Matrix!$A$2:$A$4,0),MATCH(F496,Risk_Matrix!$B$1:$D$1,0))</f>
        <v>Low</v>
      </c>
      <c r="H496" s="1">
        <v>46056</v>
      </c>
      <c r="I496" t="s">
        <v>2025</v>
      </c>
      <c r="J496" t="s">
        <v>2026</v>
      </c>
      <c r="K496" t="s">
        <v>1998</v>
      </c>
      <c r="L496">
        <f>IF(G496="High",3,IF(G496="Medium",2,1))</f>
        <v>1</v>
      </c>
    </row>
    <row r="497" spans="1:12">
      <c r="A497" t="s">
        <v>2523</v>
      </c>
      <c r="B497" t="s">
        <v>797</v>
      </c>
      <c r="C497" t="s">
        <v>2000</v>
      </c>
      <c r="D497" t="s">
        <v>2001</v>
      </c>
      <c r="E497" t="s">
        <v>47</v>
      </c>
      <c r="F497" t="s">
        <v>47</v>
      </c>
      <c r="G497" t="str">
        <f>INDEX(Risk_Matrix!$B$2:$D$4,MATCH(E497,Risk_Matrix!$A$2:$A$4,0),MATCH(F497,Risk_Matrix!$B$1:$D$1,0))</f>
        <v>High</v>
      </c>
      <c r="H497" s="1">
        <v>46128</v>
      </c>
      <c r="I497" t="s">
        <v>2025</v>
      </c>
      <c r="J497" t="s">
        <v>2035</v>
      </c>
      <c r="K497" t="s">
        <v>1993</v>
      </c>
      <c r="L497">
        <f>IF(G497="High",3,IF(G497="Medium",2,1))</f>
        <v>3</v>
      </c>
    </row>
    <row r="498" spans="1:12">
      <c r="A498" t="s">
        <v>2524</v>
      </c>
      <c r="B498" t="s">
        <v>797</v>
      </c>
      <c r="C498" t="s">
        <v>2005</v>
      </c>
      <c r="D498" t="s">
        <v>2006</v>
      </c>
      <c r="E498" t="s">
        <v>1971</v>
      </c>
      <c r="F498" t="s">
        <v>57</v>
      </c>
      <c r="G498" t="str">
        <f>INDEX(Risk_Matrix!$B$2:$D$4,MATCH(E498,Risk_Matrix!$A$2:$A$4,0),MATCH(F498,Risk_Matrix!$B$1:$D$1,0))</f>
        <v>Low</v>
      </c>
      <c r="H498" s="1">
        <v>46230</v>
      </c>
      <c r="I498" t="s">
        <v>2025</v>
      </c>
      <c r="J498" t="s">
        <v>2026</v>
      </c>
      <c r="K498" t="s">
        <v>1993</v>
      </c>
      <c r="L498">
        <f>IF(G498="High",3,IF(G498="Medium",2,1))</f>
        <v>1</v>
      </c>
    </row>
    <row r="499" spans="1:12">
      <c r="A499" t="s">
        <v>2525</v>
      </c>
      <c r="B499" t="s">
        <v>797</v>
      </c>
      <c r="C499" t="s">
        <v>2008</v>
      </c>
      <c r="D499" t="s">
        <v>2054</v>
      </c>
      <c r="E499" t="s">
        <v>57</v>
      </c>
      <c r="F499" t="s">
        <v>1971</v>
      </c>
      <c r="G499" t="str">
        <f>INDEX(Risk_Matrix!$B$2:$D$4,MATCH(E499,Risk_Matrix!$A$2:$A$4,0),MATCH(F499,Risk_Matrix!$B$1:$D$1,0))</f>
        <v>Low</v>
      </c>
      <c r="H499" s="1">
        <v>46211</v>
      </c>
      <c r="I499" t="s">
        <v>2015</v>
      </c>
      <c r="J499" t="s">
        <v>2032</v>
      </c>
      <c r="K499" t="s">
        <v>2010</v>
      </c>
      <c r="L499">
        <f>IF(G499="High",3,IF(G499="Medium",2,1))</f>
        <v>1</v>
      </c>
    </row>
    <row r="500" spans="1:12">
      <c r="A500" t="s">
        <v>2526</v>
      </c>
      <c r="B500" t="s">
        <v>800</v>
      </c>
      <c r="C500" t="s">
        <v>1985</v>
      </c>
      <c r="D500" t="s">
        <v>1986</v>
      </c>
      <c r="E500" t="s">
        <v>57</v>
      </c>
      <c r="F500" t="s">
        <v>57</v>
      </c>
      <c r="G500" t="str">
        <f>INDEX(Risk_Matrix!$B$2:$D$4,MATCH(E500,Risk_Matrix!$A$2:$A$4,0),MATCH(F500,Risk_Matrix!$B$1:$D$1,0))</f>
        <v>Low</v>
      </c>
      <c r="H500" s="1">
        <v>46060</v>
      </c>
      <c r="I500" t="s">
        <v>1987</v>
      </c>
      <c r="J500" t="s">
        <v>1997</v>
      </c>
      <c r="K500" t="s">
        <v>1998</v>
      </c>
      <c r="L500">
        <f>IF(G500="High",3,IF(G500="Medium",2,1))</f>
        <v>1</v>
      </c>
    </row>
    <row r="501" spans="1:12">
      <c r="A501" t="s">
        <v>2527</v>
      </c>
      <c r="B501" t="s">
        <v>800</v>
      </c>
      <c r="C501" t="s">
        <v>1991</v>
      </c>
      <c r="D501" t="s">
        <v>2031</v>
      </c>
      <c r="E501" t="s">
        <v>57</v>
      </c>
      <c r="F501" t="s">
        <v>47</v>
      </c>
      <c r="G501" t="str">
        <f>INDEX(Risk_Matrix!$B$2:$D$4,MATCH(E501,Risk_Matrix!$A$2:$A$4,0),MATCH(F501,Risk_Matrix!$B$1:$D$1,0))</f>
        <v>Medium</v>
      </c>
      <c r="H501" s="1">
        <v>46188</v>
      </c>
      <c r="I501" t="s">
        <v>1987</v>
      </c>
      <c r="J501" t="s">
        <v>1988</v>
      </c>
      <c r="K501" t="s">
        <v>2010</v>
      </c>
      <c r="L501">
        <f>IF(G501="High",3,IF(G501="Medium",2,1))</f>
        <v>2</v>
      </c>
    </row>
    <row r="502" spans="1:12">
      <c r="A502" t="s">
        <v>2528</v>
      </c>
      <c r="B502" t="s">
        <v>800</v>
      </c>
      <c r="C502" t="s">
        <v>1995</v>
      </c>
      <c r="D502" t="s">
        <v>2150</v>
      </c>
      <c r="E502" t="s">
        <v>57</v>
      </c>
      <c r="F502" t="s">
        <v>57</v>
      </c>
      <c r="G502" t="str">
        <f>INDEX(Risk_Matrix!$B$2:$D$4,MATCH(E502,Risk_Matrix!$A$2:$A$4,0),MATCH(F502,Risk_Matrix!$B$1:$D$1,0))</f>
        <v>Low</v>
      </c>
      <c r="H502" s="1">
        <v>46208</v>
      </c>
      <c r="I502" t="s">
        <v>1987</v>
      </c>
      <c r="J502" t="s">
        <v>1988</v>
      </c>
      <c r="K502" t="s">
        <v>2036</v>
      </c>
      <c r="L502">
        <f>IF(G502="High",3,IF(G502="Medium",2,1))</f>
        <v>1</v>
      </c>
    </row>
    <row r="503" spans="1:12">
      <c r="A503" t="s">
        <v>2529</v>
      </c>
      <c r="B503" t="s">
        <v>800</v>
      </c>
      <c r="C503" t="s">
        <v>2000</v>
      </c>
      <c r="D503" t="s">
        <v>2045</v>
      </c>
      <c r="E503" t="s">
        <v>1971</v>
      </c>
      <c r="F503" t="s">
        <v>47</v>
      </c>
      <c r="G503" t="str">
        <f>INDEX(Risk_Matrix!$B$2:$D$4,MATCH(E503,Risk_Matrix!$A$2:$A$4,0),MATCH(F503,Risk_Matrix!$B$1:$D$1,0))</f>
        <v>High</v>
      </c>
      <c r="H503" s="1">
        <v>46166</v>
      </c>
      <c r="I503" t="s">
        <v>2015</v>
      </c>
      <c r="J503" t="s">
        <v>2016</v>
      </c>
      <c r="K503" t="s">
        <v>1989</v>
      </c>
      <c r="L503">
        <f>IF(G503="High",3,IF(G503="Medium",2,1))</f>
        <v>3</v>
      </c>
    </row>
    <row r="504" spans="1:12">
      <c r="A504" t="s">
        <v>2530</v>
      </c>
      <c r="B504" t="s">
        <v>800</v>
      </c>
      <c r="C504" t="s">
        <v>2005</v>
      </c>
      <c r="D504" t="s">
        <v>2022</v>
      </c>
      <c r="E504" t="s">
        <v>57</v>
      </c>
      <c r="F504" t="s">
        <v>57</v>
      </c>
      <c r="G504" t="str">
        <f>INDEX(Risk_Matrix!$B$2:$D$4,MATCH(E504,Risk_Matrix!$A$2:$A$4,0),MATCH(F504,Risk_Matrix!$B$1:$D$1,0))</f>
        <v>Low</v>
      </c>
      <c r="H504" s="1">
        <v>46198</v>
      </c>
      <c r="I504" t="s">
        <v>2025</v>
      </c>
      <c r="J504" t="s">
        <v>2026</v>
      </c>
      <c r="K504" t="s">
        <v>1993</v>
      </c>
      <c r="L504">
        <f>IF(G504="High",3,IF(G504="Medium",2,1))</f>
        <v>1</v>
      </c>
    </row>
    <row r="505" spans="1:12">
      <c r="A505" t="s">
        <v>2531</v>
      </c>
      <c r="B505" t="s">
        <v>800</v>
      </c>
      <c r="C505" t="s">
        <v>2008</v>
      </c>
      <c r="D505" t="s">
        <v>2009</v>
      </c>
      <c r="E505" t="s">
        <v>47</v>
      </c>
      <c r="F505" t="s">
        <v>57</v>
      </c>
      <c r="G505" t="str">
        <f>INDEX(Risk_Matrix!$B$2:$D$4,MATCH(E505,Risk_Matrix!$A$2:$A$4,0),MATCH(F505,Risk_Matrix!$B$1:$D$1,0))</f>
        <v>Medium</v>
      </c>
      <c r="H505" s="1">
        <v>46221</v>
      </c>
      <c r="I505" t="s">
        <v>2015</v>
      </c>
      <c r="J505" t="s">
        <v>2032</v>
      </c>
      <c r="K505" t="s">
        <v>2010</v>
      </c>
      <c r="L505">
        <f>IF(G505="High",3,IF(G505="Medium",2,1))</f>
        <v>2</v>
      </c>
    </row>
    <row r="506" spans="1:12">
      <c r="A506" t="s">
        <v>2532</v>
      </c>
      <c r="B506" t="s">
        <v>803</v>
      </c>
      <c r="C506" t="s">
        <v>1985</v>
      </c>
      <c r="D506" t="s">
        <v>1986</v>
      </c>
      <c r="E506" t="s">
        <v>57</v>
      </c>
      <c r="F506" t="s">
        <v>57</v>
      </c>
      <c r="G506" t="str">
        <f>INDEX(Risk_Matrix!$B$2:$D$4,MATCH(E506,Risk_Matrix!$A$2:$A$4,0),MATCH(F506,Risk_Matrix!$B$1:$D$1,0))</f>
        <v>Low</v>
      </c>
      <c r="H506" s="1">
        <v>46085</v>
      </c>
      <c r="I506" t="s">
        <v>2002</v>
      </c>
      <c r="J506" t="s">
        <v>2003</v>
      </c>
      <c r="K506" t="s">
        <v>1989</v>
      </c>
      <c r="L506">
        <f>IF(G506="High",3,IF(G506="Medium",2,1))</f>
        <v>1</v>
      </c>
    </row>
    <row r="507" spans="1:12">
      <c r="A507" t="s">
        <v>2533</v>
      </c>
      <c r="B507" t="s">
        <v>803</v>
      </c>
      <c r="C507" t="s">
        <v>1991</v>
      </c>
      <c r="D507" t="s">
        <v>2031</v>
      </c>
      <c r="E507" t="s">
        <v>57</v>
      </c>
      <c r="F507" t="s">
        <v>57</v>
      </c>
      <c r="G507" t="str">
        <f>INDEX(Risk_Matrix!$B$2:$D$4,MATCH(E507,Risk_Matrix!$A$2:$A$4,0),MATCH(F507,Risk_Matrix!$B$1:$D$1,0))</f>
        <v>Low</v>
      </c>
      <c r="H507" s="1">
        <v>46217</v>
      </c>
      <c r="I507" t="s">
        <v>2002</v>
      </c>
      <c r="J507" t="s">
        <v>2029</v>
      </c>
      <c r="K507" t="s">
        <v>2010</v>
      </c>
      <c r="L507">
        <f>IF(G507="High",3,IF(G507="Medium",2,1))</f>
        <v>1</v>
      </c>
    </row>
    <row r="508" spans="1:12">
      <c r="A508" t="s">
        <v>2534</v>
      </c>
      <c r="B508" t="s">
        <v>803</v>
      </c>
      <c r="C508" t="s">
        <v>1995</v>
      </c>
      <c r="D508" t="s">
        <v>1996</v>
      </c>
      <c r="E508" t="s">
        <v>47</v>
      </c>
      <c r="F508" t="s">
        <v>47</v>
      </c>
      <c r="G508" t="str">
        <f>INDEX(Risk_Matrix!$B$2:$D$4,MATCH(E508,Risk_Matrix!$A$2:$A$4,0),MATCH(F508,Risk_Matrix!$B$1:$D$1,0))</f>
        <v>High</v>
      </c>
      <c r="H508" s="1">
        <v>46142</v>
      </c>
      <c r="I508" t="s">
        <v>2025</v>
      </c>
      <c r="J508" t="s">
        <v>2026</v>
      </c>
      <c r="K508" t="s">
        <v>2036</v>
      </c>
      <c r="L508">
        <f>IF(G508="High",3,IF(G508="Medium",2,1))</f>
        <v>3</v>
      </c>
    </row>
    <row r="509" spans="1:12">
      <c r="A509" t="s">
        <v>2535</v>
      </c>
      <c r="B509" t="s">
        <v>803</v>
      </c>
      <c r="C509" t="s">
        <v>2000</v>
      </c>
      <c r="D509" t="s">
        <v>2045</v>
      </c>
      <c r="E509" t="s">
        <v>57</v>
      </c>
      <c r="F509" t="s">
        <v>57</v>
      </c>
      <c r="G509" t="str">
        <f>INDEX(Risk_Matrix!$B$2:$D$4,MATCH(E509,Risk_Matrix!$A$2:$A$4,0),MATCH(F509,Risk_Matrix!$B$1:$D$1,0))</f>
        <v>Low</v>
      </c>
      <c r="H509" s="1">
        <v>46086</v>
      </c>
      <c r="I509" t="s">
        <v>1987</v>
      </c>
      <c r="J509" t="s">
        <v>1997</v>
      </c>
      <c r="K509" t="s">
        <v>1989</v>
      </c>
      <c r="L509">
        <f>IF(G509="High",3,IF(G509="Medium",2,1))</f>
        <v>1</v>
      </c>
    </row>
    <row r="510" spans="1:12">
      <c r="A510" t="s">
        <v>2536</v>
      </c>
      <c r="B510" t="s">
        <v>803</v>
      </c>
      <c r="C510" t="s">
        <v>2005</v>
      </c>
      <c r="D510" t="s">
        <v>2006</v>
      </c>
      <c r="E510" t="s">
        <v>57</v>
      </c>
      <c r="F510" t="s">
        <v>57</v>
      </c>
      <c r="G510" t="str">
        <f>INDEX(Risk_Matrix!$B$2:$D$4,MATCH(E510,Risk_Matrix!$A$2:$A$4,0),MATCH(F510,Risk_Matrix!$B$1:$D$1,0))</f>
        <v>Low</v>
      </c>
      <c r="H510" s="1">
        <v>46066</v>
      </c>
      <c r="I510" t="s">
        <v>2025</v>
      </c>
      <c r="J510" t="s">
        <v>2026</v>
      </c>
      <c r="K510" t="s">
        <v>1993</v>
      </c>
      <c r="L510">
        <f>IF(G510="High",3,IF(G510="Medium",2,1))</f>
        <v>1</v>
      </c>
    </row>
    <row r="511" spans="1:12">
      <c r="A511" t="s">
        <v>2537</v>
      </c>
      <c r="B511" t="s">
        <v>803</v>
      </c>
      <c r="C511" t="s">
        <v>2008</v>
      </c>
      <c r="D511" t="s">
        <v>2054</v>
      </c>
      <c r="E511" t="s">
        <v>57</v>
      </c>
      <c r="F511" t="s">
        <v>47</v>
      </c>
      <c r="G511" t="str">
        <f>INDEX(Risk_Matrix!$B$2:$D$4,MATCH(E511,Risk_Matrix!$A$2:$A$4,0),MATCH(F511,Risk_Matrix!$B$1:$D$1,0))</f>
        <v>Medium</v>
      </c>
      <c r="H511" s="1">
        <v>46166</v>
      </c>
      <c r="I511" t="s">
        <v>2025</v>
      </c>
      <c r="J511" t="s">
        <v>2035</v>
      </c>
      <c r="K511" t="s">
        <v>2010</v>
      </c>
      <c r="L511">
        <f>IF(G511="High",3,IF(G511="Medium",2,1))</f>
        <v>2</v>
      </c>
    </row>
    <row r="512" spans="1:12">
      <c r="A512" t="s">
        <v>2538</v>
      </c>
      <c r="B512" t="s">
        <v>805</v>
      </c>
      <c r="C512" t="s">
        <v>1985</v>
      </c>
      <c r="D512" t="s">
        <v>2028</v>
      </c>
      <c r="E512" t="s">
        <v>57</v>
      </c>
      <c r="F512" t="s">
        <v>57</v>
      </c>
      <c r="G512" t="str">
        <f>INDEX(Risk_Matrix!$B$2:$D$4,MATCH(E512,Risk_Matrix!$A$2:$A$4,0),MATCH(F512,Risk_Matrix!$B$1:$D$1,0))</f>
        <v>Low</v>
      </c>
      <c r="H512" s="1">
        <v>46237</v>
      </c>
      <c r="I512" t="s">
        <v>2025</v>
      </c>
      <c r="J512" t="s">
        <v>2026</v>
      </c>
      <c r="K512" t="s">
        <v>1998</v>
      </c>
      <c r="L512">
        <f>IF(G512="High",3,IF(G512="Medium",2,1))</f>
        <v>1</v>
      </c>
    </row>
    <row r="513" spans="1:12">
      <c r="A513" t="s">
        <v>2539</v>
      </c>
      <c r="B513" t="s">
        <v>805</v>
      </c>
      <c r="C513" t="s">
        <v>1991</v>
      </c>
      <c r="D513" t="s">
        <v>1992</v>
      </c>
      <c r="E513" t="s">
        <v>57</v>
      </c>
      <c r="F513" t="s">
        <v>1971</v>
      </c>
      <c r="G513" t="str">
        <f>INDEX(Risk_Matrix!$B$2:$D$4,MATCH(E513,Risk_Matrix!$A$2:$A$4,0),MATCH(F513,Risk_Matrix!$B$1:$D$1,0))</f>
        <v>Low</v>
      </c>
      <c r="H513" s="1">
        <v>46074</v>
      </c>
      <c r="I513" t="s">
        <v>2002</v>
      </c>
      <c r="J513" t="s">
        <v>2003</v>
      </c>
      <c r="K513" t="s">
        <v>1993</v>
      </c>
      <c r="L513">
        <f>IF(G513="High",3,IF(G513="Medium",2,1))</f>
        <v>1</v>
      </c>
    </row>
    <row r="514" spans="1:12">
      <c r="A514" t="s">
        <v>2540</v>
      </c>
      <c r="B514" t="s">
        <v>805</v>
      </c>
      <c r="C514" t="s">
        <v>1995</v>
      </c>
      <c r="D514" t="s">
        <v>2150</v>
      </c>
      <c r="E514" t="s">
        <v>1971</v>
      </c>
      <c r="F514" t="s">
        <v>1971</v>
      </c>
      <c r="G514" t="str">
        <f>INDEX(Risk_Matrix!$B$2:$D$4,MATCH(E514,Risk_Matrix!$A$2:$A$4,0),MATCH(F514,Risk_Matrix!$B$1:$D$1,0))</f>
        <v>Medium</v>
      </c>
      <c r="H514" s="1">
        <v>46147</v>
      </c>
      <c r="I514" t="s">
        <v>1987</v>
      </c>
      <c r="J514" t="s">
        <v>1988</v>
      </c>
      <c r="K514" t="s">
        <v>2036</v>
      </c>
      <c r="L514">
        <f>IF(G514="High",3,IF(G514="Medium",2,1))</f>
        <v>2</v>
      </c>
    </row>
    <row r="515" spans="1:12">
      <c r="A515" t="s">
        <v>2541</v>
      </c>
      <c r="B515" t="s">
        <v>805</v>
      </c>
      <c r="C515" t="s">
        <v>2000</v>
      </c>
      <c r="D515" t="s">
        <v>2045</v>
      </c>
      <c r="E515" t="s">
        <v>47</v>
      </c>
      <c r="F515" t="s">
        <v>57</v>
      </c>
      <c r="G515" t="str">
        <f>INDEX(Risk_Matrix!$B$2:$D$4,MATCH(E515,Risk_Matrix!$A$2:$A$4,0),MATCH(F515,Risk_Matrix!$B$1:$D$1,0))</f>
        <v>Medium</v>
      </c>
      <c r="H515" s="1">
        <v>46189</v>
      </c>
      <c r="I515" t="s">
        <v>2015</v>
      </c>
      <c r="J515" t="s">
        <v>2032</v>
      </c>
      <c r="K515" t="s">
        <v>1989</v>
      </c>
      <c r="L515">
        <f>IF(G515="High",3,IF(G515="Medium",2,1))</f>
        <v>2</v>
      </c>
    </row>
    <row r="516" spans="1:12">
      <c r="A516" t="s">
        <v>2542</v>
      </c>
      <c r="B516" t="s">
        <v>805</v>
      </c>
      <c r="C516" t="s">
        <v>2005</v>
      </c>
      <c r="D516" t="s">
        <v>2022</v>
      </c>
      <c r="E516" t="s">
        <v>57</v>
      </c>
      <c r="F516" t="s">
        <v>57</v>
      </c>
      <c r="G516" t="str">
        <f>INDEX(Risk_Matrix!$B$2:$D$4,MATCH(E516,Risk_Matrix!$A$2:$A$4,0),MATCH(F516,Risk_Matrix!$B$1:$D$1,0))</f>
        <v>Low</v>
      </c>
      <c r="H516" s="1">
        <v>46057</v>
      </c>
      <c r="I516" t="s">
        <v>1987</v>
      </c>
      <c r="J516" t="s">
        <v>1997</v>
      </c>
      <c r="K516" t="s">
        <v>1993</v>
      </c>
      <c r="L516">
        <f>IF(G516="High",3,IF(G516="Medium",2,1))</f>
        <v>1</v>
      </c>
    </row>
    <row r="517" spans="1:12">
      <c r="A517" t="s">
        <v>2543</v>
      </c>
      <c r="B517" t="s">
        <v>805</v>
      </c>
      <c r="C517" t="s">
        <v>2008</v>
      </c>
      <c r="D517" t="s">
        <v>2009</v>
      </c>
      <c r="E517" t="s">
        <v>57</v>
      </c>
      <c r="F517" t="s">
        <v>57</v>
      </c>
      <c r="G517" t="str">
        <f>INDEX(Risk_Matrix!$B$2:$D$4,MATCH(E517,Risk_Matrix!$A$2:$A$4,0),MATCH(F517,Risk_Matrix!$B$1:$D$1,0))</f>
        <v>Low</v>
      </c>
      <c r="H517" s="1">
        <v>46145</v>
      </c>
      <c r="I517" t="s">
        <v>2002</v>
      </c>
      <c r="J517" t="s">
        <v>2029</v>
      </c>
      <c r="K517" t="s">
        <v>2010</v>
      </c>
      <c r="L517">
        <f>IF(G517="High",3,IF(G517="Medium",2,1))</f>
        <v>1</v>
      </c>
    </row>
    <row r="518" spans="1:12">
      <c r="A518" t="s">
        <v>2544</v>
      </c>
      <c r="B518" t="s">
        <v>807</v>
      </c>
      <c r="C518" t="s">
        <v>1985</v>
      </c>
      <c r="D518" t="s">
        <v>2028</v>
      </c>
      <c r="E518" t="s">
        <v>47</v>
      </c>
      <c r="F518" t="s">
        <v>57</v>
      </c>
      <c r="G518" t="str">
        <f>INDEX(Risk_Matrix!$B$2:$D$4,MATCH(E518,Risk_Matrix!$A$2:$A$4,0),MATCH(F518,Risk_Matrix!$B$1:$D$1,0))</f>
        <v>Medium</v>
      </c>
      <c r="H518" s="1">
        <v>46202</v>
      </c>
      <c r="I518" t="s">
        <v>2015</v>
      </c>
      <c r="J518" t="s">
        <v>2016</v>
      </c>
      <c r="K518" t="s">
        <v>1989</v>
      </c>
      <c r="L518">
        <f>IF(G518="High",3,IF(G518="Medium",2,1))</f>
        <v>2</v>
      </c>
    </row>
    <row r="519" spans="1:12">
      <c r="A519" t="s">
        <v>2545</v>
      </c>
      <c r="B519" t="s">
        <v>807</v>
      </c>
      <c r="C519" t="s">
        <v>1991</v>
      </c>
      <c r="D519" t="s">
        <v>2014</v>
      </c>
      <c r="E519" t="s">
        <v>57</v>
      </c>
      <c r="F519" t="s">
        <v>47</v>
      </c>
      <c r="G519" t="str">
        <f>INDEX(Risk_Matrix!$B$2:$D$4,MATCH(E519,Risk_Matrix!$A$2:$A$4,0),MATCH(F519,Risk_Matrix!$B$1:$D$1,0))</f>
        <v>Medium</v>
      </c>
      <c r="H519" s="1">
        <v>46155</v>
      </c>
      <c r="I519" t="s">
        <v>2015</v>
      </c>
      <c r="J519" t="s">
        <v>2032</v>
      </c>
      <c r="K519" t="s">
        <v>2010</v>
      </c>
      <c r="L519">
        <f>IF(G519="High",3,IF(G519="Medium",2,1))</f>
        <v>2</v>
      </c>
    </row>
    <row r="520" spans="1:12">
      <c r="A520" t="s">
        <v>2546</v>
      </c>
      <c r="B520" t="s">
        <v>807</v>
      </c>
      <c r="C520" t="s">
        <v>1995</v>
      </c>
      <c r="D520" t="s">
        <v>2150</v>
      </c>
      <c r="E520" t="s">
        <v>57</v>
      </c>
      <c r="F520" t="s">
        <v>47</v>
      </c>
      <c r="G520" t="str">
        <f>INDEX(Risk_Matrix!$B$2:$D$4,MATCH(E520,Risk_Matrix!$A$2:$A$4,0),MATCH(F520,Risk_Matrix!$B$1:$D$1,0))</f>
        <v>Medium</v>
      </c>
      <c r="H520" s="1">
        <v>46075</v>
      </c>
      <c r="I520" t="s">
        <v>2025</v>
      </c>
      <c r="J520" t="s">
        <v>2035</v>
      </c>
      <c r="K520" t="s">
        <v>2036</v>
      </c>
      <c r="L520">
        <f>IF(G520="High",3,IF(G520="Medium",2,1))</f>
        <v>2</v>
      </c>
    </row>
    <row r="521" spans="1:12">
      <c r="A521" t="s">
        <v>2547</v>
      </c>
      <c r="B521" t="s">
        <v>807</v>
      </c>
      <c r="C521" t="s">
        <v>2000</v>
      </c>
      <c r="D521" t="s">
        <v>2020</v>
      </c>
      <c r="E521" t="s">
        <v>47</v>
      </c>
      <c r="F521" t="s">
        <v>1971</v>
      </c>
      <c r="G521" t="str">
        <f>INDEX(Risk_Matrix!$B$2:$D$4,MATCH(E521,Risk_Matrix!$A$2:$A$4,0),MATCH(F521,Risk_Matrix!$B$1:$D$1,0))</f>
        <v>High</v>
      </c>
      <c r="H521" s="1">
        <v>46188</v>
      </c>
      <c r="I521" t="s">
        <v>2015</v>
      </c>
      <c r="J521" t="s">
        <v>2032</v>
      </c>
      <c r="K521" t="s">
        <v>1993</v>
      </c>
      <c r="L521">
        <f>IF(G521="High",3,IF(G521="Medium",2,1))</f>
        <v>3</v>
      </c>
    </row>
    <row r="522" spans="1:12">
      <c r="A522" t="s">
        <v>2548</v>
      </c>
      <c r="B522" t="s">
        <v>807</v>
      </c>
      <c r="C522" t="s">
        <v>2005</v>
      </c>
      <c r="D522" t="s">
        <v>2006</v>
      </c>
      <c r="E522" t="s">
        <v>1971</v>
      </c>
      <c r="F522" t="s">
        <v>57</v>
      </c>
      <c r="G522" t="str">
        <f>INDEX(Risk_Matrix!$B$2:$D$4,MATCH(E522,Risk_Matrix!$A$2:$A$4,0),MATCH(F522,Risk_Matrix!$B$1:$D$1,0))</f>
        <v>Low</v>
      </c>
      <c r="H522" s="1">
        <v>46193</v>
      </c>
      <c r="I522" t="s">
        <v>2002</v>
      </c>
      <c r="J522" t="s">
        <v>2003</v>
      </c>
      <c r="K522" t="s">
        <v>2036</v>
      </c>
      <c r="L522">
        <f>IF(G522="High",3,IF(G522="Medium",2,1))</f>
        <v>1</v>
      </c>
    </row>
    <row r="523" spans="1:12">
      <c r="A523" t="s">
        <v>2549</v>
      </c>
      <c r="B523" t="s">
        <v>807</v>
      </c>
      <c r="C523" t="s">
        <v>2008</v>
      </c>
      <c r="D523" t="s">
        <v>2024</v>
      </c>
      <c r="E523" t="s">
        <v>47</v>
      </c>
      <c r="F523" t="s">
        <v>47</v>
      </c>
      <c r="G523" t="str">
        <f>INDEX(Risk_Matrix!$B$2:$D$4,MATCH(E523,Risk_Matrix!$A$2:$A$4,0),MATCH(F523,Risk_Matrix!$B$1:$D$1,0))</f>
        <v>High</v>
      </c>
      <c r="H523" s="1">
        <v>46219</v>
      </c>
      <c r="I523" t="s">
        <v>2015</v>
      </c>
      <c r="J523" t="s">
        <v>2016</v>
      </c>
      <c r="K523" t="s">
        <v>2010</v>
      </c>
      <c r="L523">
        <f>IF(G523="High",3,IF(G523="Medium",2,1))</f>
        <v>3</v>
      </c>
    </row>
    <row r="524" spans="1:12">
      <c r="A524" t="s">
        <v>2550</v>
      </c>
      <c r="B524" t="s">
        <v>809</v>
      </c>
      <c r="C524" t="s">
        <v>1985</v>
      </c>
      <c r="D524" t="s">
        <v>1986</v>
      </c>
      <c r="E524" t="s">
        <v>1971</v>
      </c>
      <c r="F524" t="s">
        <v>57</v>
      </c>
      <c r="G524" t="str">
        <f>INDEX(Risk_Matrix!$B$2:$D$4,MATCH(E524,Risk_Matrix!$A$2:$A$4,0),MATCH(F524,Risk_Matrix!$B$1:$D$1,0))</f>
        <v>Low</v>
      </c>
      <c r="H524" s="1">
        <v>46216</v>
      </c>
      <c r="I524" t="s">
        <v>2002</v>
      </c>
      <c r="J524" t="s">
        <v>2003</v>
      </c>
      <c r="K524" t="s">
        <v>1989</v>
      </c>
      <c r="L524">
        <f>IF(G524="High",3,IF(G524="Medium",2,1))</f>
        <v>1</v>
      </c>
    </row>
    <row r="525" spans="1:12">
      <c r="A525" t="s">
        <v>2551</v>
      </c>
      <c r="B525" t="s">
        <v>809</v>
      </c>
      <c r="C525" t="s">
        <v>1991</v>
      </c>
      <c r="D525" t="s">
        <v>2064</v>
      </c>
      <c r="E525" t="s">
        <v>57</v>
      </c>
      <c r="F525" t="s">
        <v>57</v>
      </c>
      <c r="G525" t="str">
        <f>INDEX(Risk_Matrix!$B$2:$D$4,MATCH(E525,Risk_Matrix!$A$2:$A$4,0),MATCH(F525,Risk_Matrix!$B$1:$D$1,0))</f>
        <v>Low</v>
      </c>
      <c r="H525" s="1">
        <v>46210</v>
      </c>
      <c r="I525" t="s">
        <v>1987</v>
      </c>
      <c r="J525" t="s">
        <v>1988</v>
      </c>
      <c r="K525" t="s">
        <v>2010</v>
      </c>
      <c r="L525">
        <f>IF(G525="High",3,IF(G525="Medium",2,1))</f>
        <v>1</v>
      </c>
    </row>
    <row r="526" spans="1:12">
      <c r="A526" t="s">
        <v>2552</v>
      </c>
      <c r="B526" t="s">
        <v>809</v>
      </c>
      <c r="C526" t="s">
        <v>1995</v>
      </c>
      <c r="D526" t="s">
        <v>1996</v>
      </c>
      <c r="E526" t="s">
        <v>1971</v>
      </c>
      <c r="F526" t="s">
        <v>1971</v>
      </c>
      <c r="G526" t="str">
        <f>INDEX(Risk_Matrix!$B$2:$D$4,MATCH(E526,Risk_Matrix!$A$2:$A$4,0),MATCH(F526,Risk_Matrix!$B$1:$D$1,0))</f>
        <v>Medium</v>
      </c>
      <c r="H526" s="1">
        <v>46159</v>
      </c>
      <c r="I526" t="s">
        <v>2015</v>
      </c>
      <c r="J526" t="s">
        <v>2016</v>
      </c>
      <c r="K526" t="s">
        <v>2036</v>
      </c>
      <c r="L526">
        <f>IF(G526="High",3,IF(G526="Medium",2,1))</f>
        <v>2</v>
      </c>
    </row>
    <row r="527" spans="1:12">
      <c r="A527" t="s">
        <v>2553</v>
      </c>
      <c r="B527" t="s">
        <v>809</v>
      </c>
      <c r="C527" t="s">
        <v>2000</v>
      </c>
      <c r="D527" t="s">
        <v>2045</v>
      </c>
      <c r="E527" t="s">
        <v>1971</v>
      </c>
      <c r="F527" t="s">
        <v>47</v>
      </c>
      <c r="G527" t="str">
        <f>INDEX(Risk_Matrix!$B$2:$D$4,MATCH(E527,Risk_Matrix!$A$2:$A$4,0),MATCH(F527,Risk_Matrix!$B$1:$D$1,0))</f>
        <v>High</v>
      </c>
      <c r="H527" s="1">
        <v>46152</v>
      </c>
      <c r="I527" t="s">
        <v>2015</v>
      </c>
      <c r="J527" t="s">
        <v>2032</v>
      </c>
      <c r="K527" t="s">
        <v>1989</v>
      </c>
      <c r="L527">
        <f>IF(G527="High",3,IF(G527="Medium",2,1))</f>
        <v>3</v>
      </c>
    </row>
    <row r="528" spans="1:12">
      <c r="A528" t="s">
        <v>2554</v>
      </c>
      <c r="B528" t="s">
        <v>809</v>
      </c>
      <c r="C528" t="s">
        <v>2005</v>
      </c>
      <c r="D528" t="s">
        <v>2006</v>
      </c>
      <c r="E528" t="s">
        <v>1971</v>
      </c>
      <c r="F528" t="s">
        <v>57</v>
      </c>
      <c r="G528" t="str">
        <f>INDEX(Risk_Matrix!$B$2:$D$4,MATCH(E528,Risk_Matrix!$A$2:$A$4,0),MATCH(F528,Risk_Matrix!$B$1:$D$1,0))</f>
        <v>Low</v>
      </c>
      <c r="H528" s="1">
        <v>46171</v>
      </c>
      <c r="I528" t="s">
        <v>2015</v>
      </c>
      <c r="J528" t="s">
        <v>2032</v>
      </c>
      <c r="K528" t="s">
        <v>2036</v>
      </c>
      <c r="L528">
        <f>IF(G528="High",3,IF(G528="Medium",2,1))</f>
        <v>1</v>
      </c>
    </row>
    <row r="529" spans="1:12">
      <c r="A529" t="s">
        <v>2555</v>
      </c>
      <c r="B529" t="s">
        <v>809</v>
      </c>
      <c r="C529" t="s">
        <v>2008</v>
      </c>
      <c r="D529" t="s">
        <v>2024</v>
      </c>
      <c r="E529" t="s">
        <v>57</v>
      </c>
      <c r="F529" t="s">
        <v>57</v>
      </c>
      <c r="G529" t="str">
        <f>INDEX(Risk_Matrix!$B$2:$D$4,MATCH(E529,Risk_Matrix!$A$2:$A$4,0),MATCH(F529,Risk_Matrix!$B$1:$D$1,0))</f>
        <v>Low</v>
      </c>
      <c r="H529" s="1">
        <v>46181</v>
      </c>
      <c r="I529" t="s">
        <v>2015</v>
      </c>
      <c r="J529" t="s">
        <v>2032</v>
      </c>
      <c r="K529" t="s">
        <v>2010</v>
      </c>
      <c r="L529">
        <f>IF(G529="High",3,IF(G529="Medium",2,1))</f>
        <v>1</v>
      </c>
    </row>
    <row r="530" spans="1:12">
      <c r="A530" t="s">
        <v>2556</v>
      </c>
      <c r="B530" t="s">
        <v>812</v>
      </c>
      <c r="C530" t="s">
        <v>1985</v>
      </c>
      <c r="D530" t="s">
        <v>2012</v>
      </c>
      <c r="E530" t="s">
        <v>57</v>
      </c>
      <c r="F530" t="s">
        <v>57</v>
      </c>
      <c r="G530" t="str">
        <f>INDEX(Risk_Matrix!$B$2:$D$4,MATCH(E530,Risk_Matrix!$A$2:$A$4,0),MATCH(F530,Risk_Matrix!$B$1:$D$1,0))</f>
        <v>Low</v>
      </c>
      <c r="H530" s="1">
        <v>46217</v>
      </c>
      <c r="I530" t="s">
        <v>1987</v>
      </c>
      <c r="J530" t="s">
        <v>1988</v>
      </c>
      <c r="K530" t="s">
        <v>1998</v>
      </c>
      <c r="L530">
        <f>IF(G530="High",3,IF(G530="Medium",2,1))</f>
        <v>1</v>
      </c>
    </row>
    <row r="531" spans="1:12">
      <c r="A531" t="s">
        <v>2557</v>
      </c>
      <c r="B531" t="s">
        <v>812</v>
      </c>
      <c r="C531" t="s">
        <v>1991</v>
      </c>
      <c r="D531" t="s">
        <v>2014</v>
      </c>
      <c r="E531" t="s">
        <v>57</v>
      </c>
      <c r="F531" t="s">
        <v>1971</v>
      </c>
      <c r="G531" t="str">
        <f>INDEX(Risk_Matrix!$B$2:$D$4,MATCH(E531,Risk_Matrix!$A$2:$A$4,0),MATCH(F531,Risk_Matrix!$B$1:$D$1,0))</f>
        <v>Low</v>
      </c>
      <c r="H531" s="1">
        <v>46199</v>
      </c>
      <c r="I531" t="s">
        <v>2015</v>
      </c>
      <c r="J531" t="s">
        <v>2032</v>
      </c>
      <c r="K531" t="s">
        <v>1993</v>
      </c>
      <c r="L531">
        <f>IF(G531="High",3,IF(G531="Medium",2,1))</f>
        <v>1</v>
      </c>
    </row>
    <row r="532" spans="1:12">
      <c r="A532" t="s">
        <v>2558</v>
      </c>
      <c r="B532" t="s">
        <v>812</v>
      </c>
      <c r="C532" t="s">
        <v>1995</v>
      </c>
      <c r="D532" t="s">
        <v>2018</v>
      </c>
      <c r="E532" t="s">
        <v>1971</v>
      </c>
      <c r="F532" t="s">
        <v>1971</v>
      </c>
      <c r="G532" t="str">
        <f>INDEX(Risk_Matrix!$B$2:$D$4,MATCH(E532,Risk_Matrix!$A$2:$A$4,0),MATCH(F532,Risk_Matrix!$B$1:$D$1,0))</f>
        <v>Medium</v>
      </c>
      <c r="H532" s="1">
        <v>46228</v>
      </c>
      <c r="I532" t="s">
        <v>2015</v>
      </c>
      <c r="J532" t="s">
        <v>2032</v>
      </c>
      <c r="K532" t="s">
        <v>2036</v>
      </c>
      <c r="L532">
        <f>IF(G532="High",3,IF(G532="Medium",2,1))</f>
        <v>2</v>
      </c>
    </row>
    <row r="533" spans="1:12">
      <c r="A533" t="s">
        <v>2559</v>
      </c>
      <c r="B533" t="s">
        <v>812</v>
      </c>
      <c r="C533" t="s">
        <v>2000</v>
      </c>
      <c r="D533" t="s">
        <v>2020</v>
      </c>
      <c r="E533" t="s">
        <v>1971</v>
      </c>
      <c r="F533" t="s">
        <v>47</v>
      </c>
      <c r="G533" t="str">
        <f>INDEX(Risk_Matrix!$B$2:$D$4,MATCH(E533,Risk_Matrix!$A$2:$A$4,0),MATCH(F533,Risk_Matrix!$B$1:$D$1,0))</f>
        <v>High</v>
      </c>
      <c r="H533" s="1">
        <v>46182</v>
      </c>
      <c r="I533" t="s">
        <v>2015</v>
      </c>
      <c r="J533" t="s">
        <v>2032</v>
      </c>
      <c r="K533" t="s">
        <v>1989</v>
      </c>
      <c r="L533">
        <f>IF(G533="High",3,IF(G533="Medium",2,1))</f>
        <v>3</v>
      </c>
    </row>
    <row r="534" spans="1:12">
      <c r="A534" t="s">
        <v>2560</v>
      </c>
      <c r="B534" t="s">
        <v>812</v>
      </c>
      <c r="C534" t="s">
        <v>2005</v>
      </c>
      <c r="D534" t="s">
        <v>2006</v>
      </c>
      <c r="E534" t="s">
        <v>1971</v>
      </c>
      <c r="F534" t="s">
        <v>57</v>
      </c>
      <c r="G534" t="str">
        <f>INDEX(Risk_Matrix!$B$2:$D$4,MATCH(E534,Risk_Matrix!$A$2:$A$4,0),MATCH(F534,Risk_Matrix!$B$1:$D$1,0))</f>
        <v>Low</v>
      </c>
      <c r="H534" s="1">
        <v>46169</v>
      </c>
      <c r="I534" t="s">
        <v>2002</v>
      </c>
      <c r="J534" t="s">
        <v>2003</v>
      </c>
      <c r="K534" t="s">
        <v>1993</v>
      </c>
      <c r="L534">
        <f>IF(G534="High",3,IF(G534="Medium",2,1))</f>
        <v>1</v>
      </c>
    </row>
    <row r="535" spans="1:12">
      <c r="A535" t="s">
        <v>2561</v>
      </c>
      <c r="B535" t="s">
        <v>812</v>
      </c>
      <c r="C535" t="s">
        <v>2008</v>
      </c>
      <c r="D535" t="s">
        <v>2024</v>
      </c>
      <c r="E535" t="s">
        <v>57</v>
      </c>
      <c r="F535" t="s">
        <v>1971</v>
      </c>
      <c r="G535" t="str">
        <f>INDEX(Risk_Matrix!$B$2:$D$4,MATCH(E535,Risk_Matrix!$A$2:$A$4,0),MATCH(F535,Risk_Matrix!$B$1:$D$1,0))</f>
        <v>Low</v>
      </c>
      <c r="H535" s="1">
        <v>46141</v>
      </c>
      <c r="I535" t="s">
        <v>1987</v>
      </c>
      <c r="J535" t="s">
        <v>1997</v>
      </c>
      <c r="K535" t="s">
        <v>2010</v>
      </c>
      <c r="L535">
        <f>IF(G535="High",3,IF(G535="Medium",2,1))</f>
        <v>1</v>
      </c>
    </row>
    <row r="536" spans="1:12">
      <c r="A536" t="s">
        <v>2562</v>
      </c>
      <c r="B536" t="s">
        <v>814</v>
      </c>
      <c r="C536" t="s">
        <v>1985</v>
      </c>
      <c r="D536" t="s">
        <v>2062</v>
      </c>
      <c r="E536" t="s">
        <v>57</v>
      </c>
      <c r="F536" t="s">
        <v>57</v>
      </c>
      <c r="G536" t="str">
        <f>INDEX(Risk_Matrix!$B$2:$D$4,MATCH(E536,Risk_Matrix!$A$2:$A$4,0),MATCH(F536,Risk_Matrix!$B$1:$D$1,0))</f>
        <v>Low</v>
      </c>
      <c r="H536" s="1">
        <v>46234</v>
      </c>
      <c r="I536" t="s">
        <v>1987</v>
      </c>
      <c r="J536" t="s">
        <v>1997</v>
      </c>
      <c r="K536" t="s">
        <v>1989</v>
      </c>
      <c r="L536">
        <f>IF(G536="High",3,IF(G536="Medium",2,1))</f>
        <v>1</v>
      </c>
    </row>
    <row r="537" spans="1:12">
      <c r="A537" t="s">
        <v>2563</v>
      </c>
      <c r="B537" t="s">
        <v>814</v>
      </c>
      <c r="C537" t="s">
        <v>1991</v>
      </c>
      <c r="D537" t="s">
        <v>2064</v>
      </c>
      <c r="E537" t="s">
        <v>1971</v>
      </c>
      <c r="F537" t="s">
        <v>1971</v>
      </c>
      <c r="G537" t="str">
        <f>INDEX(Risk_Matrix!$B$2:$D$4,MATCH(E537,Risk_Matrix!$A$2:$A$4,0),MATCH(F537,Risk_Matrix!$B$1:$D$1,0))</f>
        <v>Medium</v>
      </c>
      <c r="H537" s="1">
        <v>46208</v>
      </c>
      <c r="I537" t="s">
        <v>2015</v>
      </c>
      <c r="J537" t="s">
        <v>2016</v>
      </c>
      <c r="K537" t="s">
        <v>1993</v>
      </c>
      <c r="L537">
        <f>IF(G537="High",3,IF(G537="Medium",2,1))</f>
        <v>2</v>
      </c>
    </row>
    <row r="538" spans="1:12">
      <c r="A538" t="s">
        <v>2564</v>
      </c>
      <c r="B538" t="s">
        <v>814</v>
      </c>
      <c r="C538" t="s">
        <v>1995</v>
      </c>
      <c r="D538" t="s">
        <v>2018</v>
      </c>
      <c r="E538" t="s">
        <v>57</v>
      </c>
      <c r="F538" t="s">
        <v>57</v>
      </c>
      <c r="G538" t="str">
        <f>INDEX(Risk_Matrix!$B$2:$D$4,MATCH(E538,Risk_Matrix!$A$2:$A$4,0),MATCH(F538,Risk_Matrix!$B$1:$D$1,0))</f>
        <v>Low</v>
      </c>
      <c r="H538" s="1">
        <v>46194</v>
      </c>
      <c r="I538" t="s">
        <v>2025</v>
      </c>
      <c r="J538" t="s">
        <v>2026</v>
      </c>
      <c r="K538" t="s">
        <v>1998</v>
      </c>
      <c r="L538">
        <f>IF(G538="High",3,IF(G538="Medium",2,1))</f>
        <v>1</v>
      </c>
    </row>
    <row r="539" spans="1:12">
      <c r="A539" t="s">
        <v>2565</v>
      </c>
      <c r="B539" t="s">
        <v>814</v>
      </c>
      <c r="C539" t="s">
        <v>2000</v>
      </c>
      <c r="D539" t="s">
        <v>2020</v>
      </c>
      <c r="E539" t="s">
        <v>1971</v>
      </c>
      <c r="F539" t="s">
        <v>57</v>
      </c>
      <c r="G539" t="str">
        <f>INDEX(Risk_Matrix!$B$2:$D$4,MATCH(E539,Risk_Matrix!$A$2:$A$4,0),MATCH(F539,Risk_Matrix!$B$1:$D$1,0))</f>
        <v>Low</v>
      </c>
      <c r="H539" s="1">
        <v>46224</v>
      </c>
      <c r="I539" t="s">
        <v>2015</v>
      </c>
      <c r="J539" t="s">
        <v>2016</v>
      </c>
      <c r="K539" t="s">
        <v>1993</v>
      </c>
      <c r="L539">
        <f>IF(G539="High",3,IF(G539="Medium",2,1))</f>
        <v>1</v>
      </c>
    </row>
    <row r="540" spans="1:12">
      <c r="A540" t="s">
        <v>2566</v>
      </c>
      <c r="B540" t="s">
        <v>814</v>
      </c>
      <c r="C540" t="s">
        <v>2005</v>
      </c>
      <c r="D540" t="s">
        <v>2022</v>
      </c>
      <c r="E540" t="s">
        <v>57</v>
      </c>
      <c r="F540" t="s">
        <v>57</v>
      </c>
      <c r="G540" t="str">
        <f>INDEX(Risk_Matrix!$B$2:$D$4,MATCH(E540,Risk_Matrix!$A$2:$A$4,0),MATCH(F540,Risk_Matrix!$B$1:$D$1,0))</f>
        <v>Low</v>
      </c>
      <c r="H540" s="1">
        <v>46060</v>
      </c>
      <c r="I540" t="s">
        <v>2025</v>
      </c>
      <c r="J540" t="s">
        <v>2035</v>
      </c>
      <c r="K540" t="s">
        <v>1993</v>
      </c>
      <c r="L540">
        <f>IF(G540="High",3,IF(G540="Medium",2,1))</f>
        <v>1</v>
      </c>
    </row>
    <row r="541" spans="1:12">
      <c r="A541" t="s">
        <v>2567</v>
      </c>
      <c r="B541" t="s">
        <v>814</v>
      </c>
      <c r="C541" t="s">
        <v>2008</v>
      </c>
      <c r="D541" t="s">
        <v>2009</v>
      </c>
      <c r="E541" t="s">
        <v>1971</v>
      </c>
      <c r="F541" t="s">
        <v>1971</v>
      </c>
      <c r="G541" t="str">
        <f>INDEX(Risk_Matrix!$B$2:$D$4,MATCH(E541,Risk_Matrix!$A$2:$A$4,0),MATCH(F541,Risk_Matrix!$B$1:$D$1,0))</f>
        <v>Medium</v>
      </c>
      <c r="H541" s="1">
        <v>46235</v>
      </c>
      <c r="I541" t="s">
        <v>2015</v>
      </c>
      <c r="J541" t="s">
        <v>2016</v>
      </c>
      <c r="K541" t="s">
        <v>2010</v>
      </c>
      <c r="L541">
        <f>IF(G541="High",3,IF(G541="Medium",2,1))</f>
        <v>2</v>
      </c>
    </row>
    <row r="542" spans="1:12">
      <c r="A542" t="s">
        <v>2568</v>
      </c>
      <c r="B542" t="s">
        <v>817</v>
      </c>
      <c r="C542" t="s">
        <v>1985</v>
      </c>
      <c r="D542" t="s">
        <v>2062</v>
      </c>
      <c r="E542" t="s">
        <v>1971</v>
      </c>
      <c r="F542" t="s">
        <v>47</v>
      </c>
      <c r="G542" t="str">
        <f>INDEX(Risk_Matrix!$B$2:$D$4,MATCH(E542,Risk_Matrix!$A$2:$A$4,0),MATCH(F542,Risk_Matrix!$B$1:$D$1,0))</f>
        <v>High</v>
      </c>
      <c r="H542" s="1">
        <v>46195</v>
      </c>
      <c r="I542" t="s">
        <v>2015</v>
      </c>
      <c r="J542" t="s">
        <v>2016</v>
      </c>
      <c r="K542" t="s">
        <v>1998</v>
      </c>
      <c r="L542">
        <f>IF(G542="High",3,IF(G542="Medium",2,1))</f>
        <v>3</v>
      </c>
    </row>
    <row r="543" spans="1:12">
      <c r="A543" t="s">
        <v>2569</v>
      </c>
      <c r="B543" t="s">
        <v>817</v>
      </c>
      <c r="C543" t="s">
        <v>1991</v>
      </c>
      <c r="D543" t="s">
        <v>2014</v>
      </c>
      <c r="E543" t="s">
        <v>57</v>
      </c>
      <c r="F543" t="s">
        <v>57</v>
      </c>
      <c r="G543" t="str">
        <f>INDEX(Risk_Matrix!$B$2:$D$4,MATCH(E543,Risk_Matrix!$A$2:$A$4,0),MATCH(F543,Risk_Matrix!$B$1:$D$1,0))</f>
        <v>Low</v>
      </c>
      <c r="H543" s="1">
        <v>46159</v>
      </c>
      <c r="I543" t="s">
        <v>2002</v>
      </c>
      <c r="J543" t="s">
        <v>2029</v>
      </c>
      <c r="K543" t="s">
        <v>1993</v>
      </c>
      <c r="L543">
        <f>IF(G543="High",3,IF(G543="Medium",2,1))</f>
        <v>1</v>
      </c>
    </row>
    <row r="544" spans="1:12">
      <c r="A544" t="s">
        <v>2570</v>
      </c>
      <c r="B544" t="s">
        <v>817</v>
      </c>
      <c r="C544" t="s">
        <v>1995</v>
      </c>
      <c r="D544" t="s">
        <v>1996</v>
      </c>
      <c r="E544" t="s">
        <v>47</v>
      </c>
      <c r="F544" t="s">
        <v>1971</v>
      </c>
      <c r="G544" t="str">
        <f>INDEX(Risk_Matrix!$B$2:$D$4,MATCH(E544,Risk_Matrix!$A$2:$A$4,0),MATCH(F544,Risk_Matrix!$B$1:$D$1,0))</f>
        <v>High</v>
      </c>
      <c r="H544" s="1">
        <v>46170</v>
      </c>
      <c r="I544" t="s">
        <v>2015</v>
      </c>
      <c r="J544" t="s">
        <v>2032</v>
      </c>
      <c r="K544" t="s">
        <v>2036</v>
      </c>
      <c r="L544">
        <f>IF(G544="High",3,IF(G544="Medium",2,1))</f>
        <v>3</v>
      </c>
    </row>
    <row r="545" spans="1:12">
      <c r="A545" t="s">
        <v>2571</v>
      </c>
      <c r="B545" t="s">
        <v>817</v>
      </c>
      <c r="C545" t="s">
        <v>2000</v>
      </c>
      <c r="D545" t="s">
        <v>2001</v>
      </c>
      <c r="E545" t="s">
        <v>47</v>
      </c>
      <c r="F545" t="s">
        <v>47</v>
      </c>
      <c r="G545" t="str">
        <f>INDEX(Risk_Matrix!$B$2:$D$4,MATCH(E545,Risk_Matrix!$A$2:$A$4,0),MATCH(F545,Risk_Matrix!$B$1:$D$1,0))</f>
        <v>High</v>
      </c>
      <c r="H545" s="1">
        <v>46164</v>
      </c>
      <c r="I545" t="s">
        <v>2015</v>
      </c>
      <c r="J545" t="s">
        <v>2032</v>
      </c>
      <c r="K545" t="s">
        <v>1989</v>
      </c>
      <c r="L545">
        <f>IF(G545="High",3,IF(G545="Medium",2,1))</f>
        <v>3</v>
      </c>
    </row>
    <row r="546" spans="1:12">
      <c r="A546" t="s">
        <v>2572</v>
      </c>
      <c r="B546" t="s">
        <v>817</v>
      </c>
      <c r="C546" t="s">
        <v>2005</v>
      </c>
      <c r="D546" t="s">
        <v>2006</v>
      </c>
      <c r="E546" t="s">
        <v>57</v>
      </c>
      <c r="F546" t="s">
        <v>57</v>
      </c>
      <c r="G546" t="str">
        <f>INDEX(Risk_Matrix!$B$2:$D$4,MATCH(E546,Risk_Matrix!$A$2:$A$4,0),MATCH(F546,Risk_Matrix!$B$1:$D$1,0))</f>
        <v>Low</v>
      </c>
      <c r="H546" s="1">
        <v>46178</v>
      </c>
      <c r="I546" t="s">
        <v>2025</v>
      </c>
      <c r="J546" t="s">
        <v>2035</v>
      </c>
      <c r="K546" t="s">
        <v>1993</v>
      </c>
      <c r="L546">
        <f>IF(G546="High",3,IF(G546="Medium",2,1))</f>
        <v>1</v>
      </c>
    </row>
    <row r="547" spans="1:12">
      <c r="A547" t="s">
        <v>2573</v>
      </c>
      <c r="B547" t="s">
        <v>817</v>
      </c>
      <c r="C547" t="s">
        <v>2008</v>
      </c>
      <c r="D547" t="s">
        <v>2054</v>
      </c>
      <c r="E547" t="s">
        <v>57</v>
      </c>
      <c r="F547" t="s">
        <v>1971</v>
      </c>
      <c r="G547" t="str">
        <f>INDEX(Risk_Matrix!$B$2:$D$4,MATCH(E547,Risk_Matrix!$A$2:$A$4,0),MATCH(F547,Risk_Matrix!$B$1:$D$1,0))</f>
        <v>Low</v>
      </c>
      <c r="H547" s="1">
        <v>46183</v>
      </c>
      <c r="I547" t="s">
        <v>2002</v>
      </c>
      <c r="J547" t="s">
        <v>2003</v>
      </c>
      <c r="K547" t="s">
        <v>2010</v>
      </c>
      <c r="L547">
        <f>IF(G547="High",3,IF(G547="Medium",2,1))</f>
        <v>1</v>
      </c>
    </row>
    <row r="548" spans="1:12">
      <c r="A548" t="s">
        <v>2574</v>
      </c>
      <c r="B548" t="s">
        <v>819</v>
      </c>
      <c r="C548" t="s">
        <v>1985</v>
      </c>
      <c r="D548" t="s">
        <v>2012</v>
      </c>
      <c r="E548" t="s">
        <v>57</v>
      </c>
      <c r="F548" t="s">
        <v>57</v>
      </c>
      <c r="G548" t="str">
        <f>INDEX(Risk_Matrix!$B$2:$D$4,MATCH(E548,Risk_Matrix!$A$2:$A$4,0),MATCH(F548,Risk_Matrix!$B$1:$D$1,0))</f>
        <v>Low</v>
      </c>
      <c r="H548" s="1">
        <v>46063</v>
      </c>
      <c r="I548" t="s">
        <v>2002</v>
      </c>
      <c r="J548" t="s">
        <v>2003</v>
      </c>
      <c r="K548" t="s">
        <v>1998</v>
      </c>
      <c r="L548">
        <f>IF(G548="High",3,IF(G548="Medium",2,1))</f>
        <v>1</v>
      </c>
    </row>
    <row r="549" spans="1:12">
      <c r="A549" t="s">
        <v>2575</v>
      </c>
      <c r="B549" t="s">
        <v>819</v>
      </c>
      <c r="C549" t="s">
        <v>1991</v>
      </c>
      <c r="D549" t="s">
        <v>2031</v>
      </c>
      <c r="E549" t="s">
        <v>57</v>
      </c>
      <c r="F549" t="s">
        <v>57</v>
      </c>
      <c r="G549" t="str">
        <f>INDEX(Risk_Matrix!$B$2:$D$4,MATCH(E549,Risk_Matrix!$A$2:$A$4,0),MATCH(F549,Risk_Matrix!$B$1:$D$1,0))</f>
        <v>Low</v>
      </c>
      <c r="H549" s="1">
        <v>46218</v>
      </c>
      <c r="I549" t="s">
        <v>1987</v>
      </c>
      <c r="J549" t="s">
        <v>1988</v>
      </c>
      <c r="K549" t="s">
        <v>2010</v>
      </c>
      <c r="L549">
        <f>IF(G549="High",3,IF(G549="Medium",2,1))</f>
        <v>1</v>
      </c>
    </row>
    <row r="550" spans="1:12">
      <c r="A550" t="s">
        <v>2576</v>
      </c>
      <c r="B550" t="s">
        <v>819</v>
      </c>
      <c r="C550" t="s">
        <v>1995</v>
      </c>
      <c r="D550" t="s">
        <v>2150</v>
      </c>
      <c r="E550" t="s">
        <v>57</v>
      </c>
      <c r="F550" t="s">
        <v>57</v>
      </c>
      <c r="G550" t="str">
        <f>INDEX(Risk_Matrix!$B$2:$D$4,MATCH(E550,Risk_Matrix!$A$2:$A$4,0),MATCH(F550,Risk_Matrix!$B$1:$D$1,0))</f>
        <v>Low</v>
      </c>
      <c r="H550" s="1">
        <v>46216</v>
      </c>
      <c r="I550" t="s">
        <v>1987</v>
      </c>
      <c r="J550" t="s">
        <v>1997</v>
      </c>
      <c r="K550" t="s">
        <v>2036</v>
      </c>
      <c r="L550">
        <f>IF(G550="High",3,IF(G550="Medium",2,1))</f>
        <v>1</v>
      </c>
    </row>
    <row r="551" spans="1:12">
      <c r="A551" t="s">
        <v>2577</v>
      </c>
      <c r="B551" t="s">
        <v>819</v>
      </c>
      <c r="C551" t="s">
        <v>2000</v>
      </c>
      <c r="D551" t="s">
        <v>2020</v>
      </c>
      <c r="E551" t="s">
        <v>1971</v>
      </c>
      <c r="F551" t="s">
        <v>47</v>
      </c>
      <c r="G551" t="str">
        <f>INDEX(Risk_Matrix!$B$2:$D$4,MATCH(E551,Risk_Matrix!$A$2:$A$4,0),MATCH(F551,Risk_Matrix!$B$1:$D$1,0))</f>
        <v>High</v>
      </c>
      <c r="H551" s="1">
        <v>46231</v>
      </c>
      <c r="I551" t="s">
        <v>2025</v>
      </c>
      <c r="J551" t="s">
        <v>2035</v>
      </c>
      <c r="K551" t="s">
        <v>1993</v>
      </c>
      <c r="L551">
        <f>IF(G551="High",3,IF(G551="Medium",2,1))</f>
        <v>3</v>
      </c>
    </row>
    <row r="552" spans="1:12">
      <c r="A552" t="s">
        <v>2578</v>
      </c>
      <c r="B552" t="s">
        <v>819</v>
      </c>
      <c r="C552" t="s">
        <v>2005</v>
      </c>
      <c r="D552" t="s">
        <v>2006</v>
      </c>
      <c r="E552" t="s">
        <v>57</v>
      </c>
      <c r="F552" t="s">
        <v>57</v>
      </c>
      <c r="G552" t="str">
        <f>INDEX(Risk_Matrix!$B$2:$D$4,MATCH(E552,Risk_Matrix!$A$2:$A$4,0),MATCH(F552,Risk_Matrix!$B$1:$D$1,0))</f>
        <v>Low</v>
      </c>
      <c r="H552" s="1">
        <v>46218</v>
      </c>
      <c r="I552" t="s">
        <v>2015</v>
      </c>
      <c r="J552" t="s">
        <v>2016</v>
      </c>
      <c r="K552" t="s">
        <v>1993</v>
      </c>
      <c r="L552">
        <f>IF(G552="High",3,IF(G552="Medium",2,1))</f>
        <v>1</v>
      </c>
    </row>
    <row r="553" spans="1:12">
      <c r="A553" t="s">
        <v>2579</v>
      </c>
      <c r="B553" t="s">
        <v>819</v>
      </c>
      <c r="C553" t="s">
        <v>2008</v>
      </c>
      <c r="D553" t="s">
        <v>2024</v>
      </c>
      <c r="E553" t="s">
        <v>1971</v>
      </c>
      <c r="F553" t="s">
        <v>1971</v>
      </c>
      <c r="G553" t="str">
        <f>INDEX(Risk_Matrix!$B$2:$D$4,MATCH(E553,Risk_Matrix!$A$2:$A$4,0),MATCH(F553,Risk_Matrix!$B$1:$D$1,0))</f>
        <v>Medium</v>
      </c>
      <c r="H553" s="1">
        <v>46197</v>
      </c>
      <c r="I553" t="s">
        <v>2015</v>
      </c>
      <c r="J553" t="s">
        <v>2016</v>
      </c>
      <c r="K553" t="s">
        <v>1998</v>
      </c>
      <c r="L553">
        <f>IF(G553="High",3,IF(G553="Medium",2,1))</f>
        <v>2</v>
      </c>
    </row>
    <row r="554" spans="1:12">
      <c r="A554" t="s">
        <v>2580</v>
      </c>
      <c r="B554" t="s">
        <v>822</v>
      </c>
      <c r="C554" t="s">
        <v>1985</v>
      </c>
      <c r="D554" t="s">
        <v>1986</v>
      </c>
      <c r="E554" t="s">
        <v>1971</v>
      </c>
      <c r="F554" t="s">
        <v>1971</v>
      </c>
      <c r="G554" t="str">
        <f>INDEX(Risk_Matrix!$B$2:$D$4,MATCH(E554,Risk_Matrix!$A$2:$A$4,0),MATCH(F554,Risk_Matrix!$B$1:$D$1,0))</f>
        <v>Medium</v>
      </c>
      <c r="H554" s="1">
        <v>46234</v>
      </c>
      <c r="I554" t="s">
        <v>2015</v>
      </c>
      <c r="J554" t="s">
        <v>2016</v>
      </c>
      <c r="K554" t="s">
        <v>1989</v>
      </c>
      <c r="L554">
        <f>IF(G554="High",3,IF(G554="Medium",2,1))</f>
        <v>2</v>
      </c>
    </row>
    <row r="555" spans="1:12">
      <c r="A555" t="s">
        <v>2581</v>
      </c>
      <c r="B555" t="s">
        <v>822</v>
      </c>
      <c r="C555" t="s">
        <v>1991</v>
      </c>
      <c r="D555" t="s">
        <v>1992</v>
      </c>
      <c r="E555" t="s">
        <v>47</v>
      </c>
      <c r="F555" t="s">
        <v>47</v>
      </c>
      <c r="G555" t="str">
        <f>INDEX(Risk_Matrix!$B$2:$D$4,MATCH(E555,Risk_Matrix!$A$2:$A$4,0),MATCH(F555,Risk_Matrix!$B$1:$D$1,0))</f>
        <v>High</v>
      </c>
      <c r="H555" s="1">
        <v>46153</v>
      </c>
      <c r="I555" t="s">
        <v>2015</v>
      </c>
      <c r="J555" t="s">
        <v>2032</v>
      </c>
      <c r="K555" t="s">
        <v>2010</v>
      </c>
      <c r="L555">
        <f>IF(G555="High",3,IF(G555="Medium",2,1))</f>
        <v>3</v>
      </c>
    </row>
    <row r="556" spans="1:12">
      <c r="A556" t="s">
        <v>2582</v>
      </c>
      <c r="B556" t="s">
        <v>822</v>
      </c>
      <c r="C556" t="s">
        <v>1995</v>
      </c>
      <c r="D556" t="s">
        <v>2150</v>
      </c>
      <c r="E556" t="s">
        <v>1971</v>
      </c>
      <c r="F556" t="s">
        <v>47</v>
      </c>
      <c r="G556" t="str">
        <f>INDEX(Risk_Matrix!$B$2:$D$4,MATCH(E556,Risk_Matrix!$A$2:$A$4,0),MATCH(F556,Risk_Matrix!$B$1:$D$1,0))</f>
        <v>High</v>
      </c>
      <c r="H556" s="1">
        <v>46135</v>
      </c>
      <c r="I556" t="s">
        <v>2025</v>
      </c>
      <c r="J556" t="s">
        <v>2026</v>
      </c>
      <c r="K556" t="s">
        <v>2036</v>
      </c>
      <c r="L556">
        <f>IF(G556="High",3,IF(G556="Medium",2,1))</f>
        <v>3</v>
      </c>
    </row>
    <row r="557" spans="1:12">
      <c r="A557" t="s">
        <v>2583</v>
      </c>
      <c r="B557" t="s">
        <v>822</v>
      </c>
      <c r="C557" t="s">
        <v>2000</v>
      </c>
      <c r="D557" t="s">
        <v>2020</v>
      </c>
      <c r="E557" t="s">
        <v>57</v>
      </c>
      <c r="F557" t="s">
        <v>57</v>
      </c>
      <c r="G557" t="str">
        <f>INDEX(Risk_Matrix!$B$2:$D$4,MATCH(E557,Risk_Matrix!$A$2:$A$4,0),MATCH(F557,Risk_Matrix!$B$1:$D$1,0))</f>
        <v>Low</v>
      </c>
      <c r="H557" s="1">
        <v>46153</v>
      </c>
      <c r="I557" t="s">
        <v>2025</v>
      </c>
      <c r="J557" t="s">
        <v>2035</v>
      </c>
      <c r="K557" t="s">
        <v>1989</v>
      </c>
      <c r="L557">
        <f>IF(G557="High",3,IF(G557="Medium",2,1))</f>
        <v>1</v>
      </c>
    </row>
    <row r="558" spans="1:12">
      <c r="A558" t="s">
        <v>2584</v>
      </c>
      <c r="B558" t="s">
        <v>822</v>
      </c>
      <c r="C558" t="s">
        <v>2005</v>
      </c>
      <c r="D558" t="s">
        <v>2022</v>
      </c>
      <c r="E558" t="s">
        <v>57</v>
      </c>
      <c r="F558" t="s">
        <v>57</v>
      </c>
      <c r="G558" t="str">
        <f>INDEX(Risk_Matrix!$B$2:$D$4,MATCH(E558,Risk_Matrix!$A$2:$A$4,0),MATCH(F558,Risk_Matrix!$B$1:$D$1,0))</f>
        <v>Low</v>
      </c>
      <c r="H558" s="1">
        <v>46185</v>
      </c>
      <c r="I558" t="s">
        <v>2015</v>
      </c>
      <c r="J558" t="s">
        <v>2016</v>
      </c>
      <c r="K558" t="s">
        <v>1993</v>
      </c>
      <c r="L558">
        <f>IF(G558="High",3,IF(G558="Medium",2,1))</f>
        <v>1</v>
      </c>
    </row>
    <row r="559" spans="1:12">
      <c r="A559" t="s">
        <v>2585</v>
      </c>
      <c r="B559" t="s">
        <v>822</v>
      </c>
      <c r="C559" t="s">
        <v>2008</v>
      </c>
      <c r="D559" t="s">
        <v>2009</v>
      </c>
      <c r="E559" t="s">
        <v>1971</v>
      </c>
      <c r="F559" t="s">
        <v>47</v>
      </c>
      <c r="G559" t="str">
        <f>INDEX(Risk_Matrix!$B$2:$D$4,MATCH(E559,Risk_Matrix!$A$2:$A$4,0),MATCH(F559,Risk_Matrix!$B$1:$D$1,0))</f>
        <v>High</v>
      </c>
      <c r="H559" s="1">
        <v>46213</v>
      </c>
      <c r="I559" t="s">
        <v>2015</v>
      </c>
      <c r="J559" t="s">
        <v>2016</v>
      </c>
      <c r="K559" t="s">
        <v>2010</v>
      </c>
      <c r="L559">
        <f>IF(G559="High",3,IF(G559="Medium",2,1))</f>
        <v>3</v>
      </c>
    </row>
    <row r="560" spans="1:12">
      <c r="A560" t="s">
        <v>2586</v>
      </c>
      <c r="B560" t="s">
        <v>824</v>
      </c>
      <c r="C560" t="s">
        <v>1985</v>
      </c>
      <c r="D560" t="s">
        <v>2028</v>
      </c>
      <c r="E560" t="s">
        <v>57</v>
      </c>
      <c r="F560" t="s">
        <v>1971</v>
      </c>
      <c r="G560" t="str">
        <f>INDEX(Risk_Matrix!$B$2:$D$4,MATCH(E560,Risk_Matrix!$A$2:$A$4,0),MATCH(F560,Risk_Matrix!$B$1:$D$1,0))</f>
        <v>Low</v>
      </c>
      <c r="H560" s="1">
        <v>46084</v>
      </c>
      <c r="I560" t="s">
        <v>2002</v>
      </c>
      <c r="J560" t="s">
        <v>2029</v>
      </c>
      <c r="K560" t="s">
        <v>1989</v>
      </c>
      <c r="L560">
        <f>IF(G560="High",3,IF(G560="Medium",2,1))</f>
        <v>1</v>
      </c>
    </row>
    <row r="561" spans="1:12">
      <c r="A561" t="s">
        <v>2587</v>
      </c>
      <c r="B561" t="s">
        <v>824</v>
      </c>
      <c r="C561" t="s">
        <v>1991</v>
      </c>
      <c r="D561" t="s">
        <v>2031</v>
      </c>
      <c r="E561" t="s">
        <v>57</v>
      </c>
      <c r="F561" t="s">
        <v>57</v>
      </c>
      <c r="G561" t="str">
        <f>INDEX(Risk_Matrix!$B$2:$D$4,MATCH(E561,Risk_Matrix!$A$2:$A$4,0),MATCH(F561,Risk_Matrix!$B$1:$D$1,0))</f>
        <v>Low</v>
      </c>
      <c r="H561" s="1">
        <v>46178</v>
      </c>
      <c r="I561" t="s">
        <v>2015</v>
      </c>
      <c r="J561" t="s">
        <v>2032</v>
      </c>
      <c r="K561" t="s">
        <v>1993</v>
      </c>
      <c r="L561">
        <f>IF(G561="High",3,IF(G561="Medium",2,1))</f>
        <v>1</v>
      </c>
    </row>
    <row r="562" spans="1:12">
      <c r="A562" t="s">
        <v>2588</v>
      </c>
      <c r="B562" t="s">
        <v>824</v>
      </c>
      <c r="C562" t="s">
        <v>1995</v>
      </c>
      <c r="D562" t="s">
        <v>1996</v>
      </c>
      <c r="E562" t="s">
        <v>1971</v>
      </c>
      <c r="F562" t="s">
        <v>1971</v>
      </c>
      <c r="G562" t="str">
        <f>INDEX(Risk_Matrix!$B$2:$D$4,MATCH(E562,Risk_Matrix!$A$2:$A$4,0),MATCH(F562,Risk_Matrix!$B$1:$D$1,0))</f>
        <v>Medium</v>
      </c>
      <c r="H562" s="1">
        <v>46225</v>
      </c>
      <c r="I562" t="s">
        <v>2025</v>
      </c>
      <c r="J562" t="s">
        <v>2035</v>
      </c>
      <c r="K562" t="s">
        <v>2036</v>
      </c>
      <c r="L562">
        <f>IF(G562="High",3,IF(G562="Medium",2,1))</f>
        <v>2</v>
      </c>
    </row>
    <row r="563" spans="1:12">
      <c r="A563" t="s">
        <v>2589</v>
      </c>
      <c r="B563" t="s">
        <v>824</v>
      </c>
      <c r="C563" t="s">
        <v>2000</v>
      </c>
      <c r="D563" t="s">
        <v>2045</v>
      </c>
      <c r="E563" t="s">
        <v>47</v>
      </c>
      <c r="F563" t="s">
        <v>47</v>
      </c>
      <c r="G563" t="str">
        <f>INDEX(Risk_Matrix!$B$2:$D$4,MATCH(E563,Risk_Matrix!$A$2:$A$4,0),MATCH(F563,Risk_Matrix!$B$1:$D$1,0))</f>
        <v>High</v>
      </c>
      <c r="H563" s="1">
        <v>46205</v>
      </c>
      <c r="I563" t="s">
        <v>2015</v>
      </c>
      <c r="J563" t="s">
        <v>2032</v>
      </c>
      <c r="K563" t="s">
        <v>1989</v>
      </c>
      <c r="L563">
        <f>IF(G563="High",3,IF(G563="Medium",2,1))</f>
        <v>3</v>
      </c>
    </row>
    <row r="564" spans="1:12">
      <c r="A564" t="s">
        <v>2590</v>
      </c>
      <c r="B564" t="s">
        <v>824</v>
      </c>
      <c r="C564" t="s">
        <v>2005</v>
      </c>
      <c r="D564" t="s">
        <v>2006</v>
      </c>
      <c r="E564" t="s">
        <v>57</v>
      </c>
      <c r="F564" t="s">
        <v>47</v>
      </c>
      <c r="G564" t="str">
        <f>INDEX(Risk_Matrix!$B$2:$D$4,MATCH(E564,Risk_Matrix!$A$2:$A$4,0),MATCH(F564,Risk_Matrix!$B$1:$D$1,0))</f>
        <v>Medium</v>
      </c>
      <c r="H564" s="1">
        <v>46134</v>
      </c>
      <c r="I564" t="s">
        <v>1987</v>
      </c>
      <c r="J564" t="s">
        <v>1988</v>
      </c>
      <c r="K564" t="s">
        <v>1993</v>
      </c>
      <c r="L564">
        <f>IF(G564="High",3,IF(G564="Medium",2,1))</f>
        <v>2</v>
      </c>
    </row>
    <row r="565" spans="1:12">
      <c r="A565" t="s">
        <v>2591</v>
      </c>
      <c r="B565" t="s">
        <v>824</v>
      </c>
      <c r="C565" t="s">
        <v>2008</v>
      </c>
      <c r="D565" t="s">
        <v>2054</v>
      </c>
      <c r="E565" t="s">
        <v>1971</v>
      </c>
      <c r="F565" t="s">
        <v>57</v>
      </c>
      <c r="G565" t="str">
        <f>INDEX(Risk_Matrix!$B$2:$D$4,MATCH(E565,Risk_Matrix!$A$2:$A$4,0),MATCH(F565,Risk_Matrix!$B$1:$D$1,0))</f>
        <v>Low</v>
      </c>
      <c r="H565" s="1">
        <v>46168</v>
      </c>
      <c r="I565" t="s">
        <v>1987</v>
      </c>
      <c r="J565" t="s">
        <v>1997</v>
      </c>
      <c r="K565" t="s">
        <v>2010</v>
      </c>
      <c r="L565">
        <f>IF(G565="High",3,IF(G565="Medium",2,1))</f>
        <v>1</v>
      </c>
    </row>
    <row r="566" spans="1:12">
      <c r="A566" t="s">
        <v>2592</v>
      </c>
      <c r="B566" t="s">
        <v>826</v>
      </c>
      <c r="C566" t="s">
        <v>1985</v>
      </c>
      <c r="D566" t="s">
        <v>1986</v>
      </c>
      <c r="E566" t="s">
        <v>57</v>
      </c>
      <c r="F566" t="s">
        <v>1971</v>
      </c>
      <c r="G566" t="str">
        <f>INDEX(Risk_Matrix!$B$2:$D$4,MATCH(E566,Risk_Matrix!$A$2:$A$4,0),MATCH(F566,Risk_Matrix!$B$1:$D$1,0))</f>
        <v>Low</v>
      </c>
      <c r="H566" s="1">
        <v>46211</v>
      </c>
      <c r="I566" t="s">
        <v>2015</v>
      </c>
      <c r="J566" t="s">
        <v>2032</v>
      </c>
      <c r="K566" t="s">
        <v>1998</v>
      </c>
      <c r="L566">
        <f>IF(G566="High",3,IF(G566="Medium",2,1))</f>
        <v>1</v>
      </c>
    </row>
    <row r="567" spans="1:12">
      <c r="A567" t="s">
        <v>2593</v>
      </c>
      <c r="B567" t="s">
        <v>826</v>
      </c>
      <c r="C567" t="s">
        <v>1991</v>
      </c>
      <c r="D567" t="s">
        <v>2031</v>
      </c>
      <c r="E567" t="s">
        <v>47</v>
      </c>
      <c r="F567" t="s">
        <v>57</v>
      </c>
      <c r="G567" t="str">
        <f>INDEX(Risk_Matrix!$B$2:$D$4,MATCH(E567,Risk_Matrix!$A$2:$A$4,0),MATCH(F567,Risk_Matrix!$B$1:$D$1,0))</f>
        <v>Medium</v>
      </c>
      <c r="H567" s="1">
        <v>46215</v>
      </c>
      <c r="I567" t="s">
        <v>1987</v>
      </c>
      <c r="J567" t="s">
        <v>1988</v>
      </c>
      <c r="K567" t="s">
        <v>1993</v>
      </c>
      <c r="L567">
        <f>IF(G567="High",3,IF(G567="Medium",2,1))</f>
        <v>2</v>
      </c>
    </row>
    <row r="568" spans="1:12">
      <c r="A568" t="s">
        <v>2594</v>
      </c>
      <c r="B568" t="s">
        <v>826</v>
      </c>
      <c r="C568" t="s">
        <v>1995</v>
      </c>
      <c r="D568" t="s">
        <v>1996</v>
      </c>
      <c r="E568" t="s">
        <v>1971</v>
      </c>
      <c r="F568" t="s">
        <v>1971</v>
      </c>
      <c r="G568" t="str">
        <f>INDEX(Risk_Matrix!$B$2:$D$4,MATCH(E568,Risk_Matrix!$A$2:$A$4,0),MATCH(F568,Risk_Matrix!$B$1:$D$1,0))</f>
        <v>Medium</v>
      </c>
      <c r="H568" s="1">
        <v>46168</v>
      </c>
      <c r="I568" t="s">
        <v>2015</v>
      </c>
      <c r="J568" t="s">
        <v>2032</v>
      </c>
      <c r="K568" t="s">
        <v>1998</v>
      </c>
      <c r="L568">
        <f>IF(G568="High",3,IF(G568="Medium",2,1))</f>
        <v>2</v>
      </c>
    </row>
    <row r="569" spans="1:12">
      <c r="A569" t="s">
        <v>2595</v>
      </c>
      <c r="B569" t="s">
        <v>826</v>
      </c>
      <c r="C569" t="s">
        <v>2000</v>
      </c>
      <c r="D569" t="s">
        <v>2045</v>
      </c>
      <c r="E569" t="s">
        <v>57</v>
      </c>
      <c r="F569" t="s">
        <v>57</v>
      </c>
      <c r="G569" t="str">
        <f>INDEX(Risk_Matrix!$B$2:$D$4,MATCH(E569,Risk_Matrix!$A$2:$A$4,0),MATCH(F569,Risk_Matrix!$B$1:$D$1,0))</f>
        <v>Low</v>
      </c>
      <c r="H569" s="1">
        <v>46134</v>
      </c>
      <c r="I569" t="s">
        <v>2025</v>
      </c>
      <c r="J569" t="s">
        <v>2035</v>
      </c>
      <c r="K569" t="s">
        <v>1993</v>
      </c>
      <c r="L569">
        <f>IF(G569="High",3,IF(G569="Medium",2,1))</f>
        <v>1</v>
      </c>
    </row>
    <row r="570" spans="1:12">
      <c r="A570" t="s">
        <v>2596</v>
      </c>
      <c r="B570" t="s">
        <v>826</v>
      </c>
      <c r="C570" t="s">
        <v>2005</v>
      </c>
      <c r="D570" t="s">
        <v>2022</v>
      </c>
      <c r="E570" t="s">
        <v>57</v>
      </c>
      <c r="F570" t="s">
        <v>57</v>
      </c>
      <c r="G570" t="str">
        <f>INDEX(Risk_Matrix!$B$2:$D$4,MATCH(E570,Risk_Matrix!$A$2:$A$4,0),MATCH(F570,Risk_Matrix!$B$1:$D$1,0))</f>
        <v>Low</v>
      </c>
      <c r="H570" s="1">
        <v>46206</v>
      </c>
      <c r="I570" t="s">
        <v>2015</v>
      </c>
      <c r="J570" t="s">
        <v>2016</v>
      </c>
      <c r="K570" t="s">
        <v>1993</v>
      </c>
      <c r="L570">
        <f>IF(G570="High",3,IF(G570="Medium",2,1))</f>
        <v>1</v>
      </c>
    </row>
    <row r="571" spans="1:12">
      <c r="A571" t="s">
        <v>2597</v>
      </c>
      <c r="B571" t="s">
        <v>826</v>
      </c>
      <c r="C571" t="s">
        <v>2008</v>
      </c>
      <c r="D571" t="s">
        <v>2054</v>
      </c>
      <c r="E571" t="s">
        <v>1971</v>
      </c>
      <c r="F571" t="s">
        <v>57</v>
      </c>
      <c r="G571" t="str">
        <f>INDEX(Risk_Matrix!$B$2:$D$4,MATCH(E571,Risk_Matrix!$A$2:$A$4,0),MATCH(F571,Risk_Matrix!$B$1:$D$1,0))</f>
        <v>Low</v>
      </c>
      <c r="H571" s="1">
        <v>46180</v>
      </c>
      <c r="I571" t="s">
        <v>1987</v>
      </c>
      <c r="J571" t="s">
        <v>1988</v>
      </c>
      <c r="K571" t="s">
        <v>2010</v>
      </c>
      <c r="L571">
        <f>IF(G571="High",3,IF(G571="Medium",2,1))</f>
        <v>1</v>
      </c>
    </row>
    <row r="572" spans="1:12">
      <c r="A572" t="s">
        <v>2598</v>
      </c>
      <c r="B572" t="s">
        <v>828</v>
      </c>
      <c r="C572" t="s">
        <v>1985</v>
      </c>
      <c r="D572" t="s">
        <v>2062</v>
      </c>
      <c r="E572" t="s">
        <v>57</v>
      </c>
      <c r="F572" t="s">
        <v>57</v>
      </c>
      <c r="G572" t="str">
        <f>INDEX(Risk_Matrix!$B$2:$D$4,MATCH(E572,Risk_Matrix!$A$2:$A$4,0),MATCH(F572,Risk_Matrix!$B$1:$D$1,0))</f>
        <v>Low</v>
      </c>
      <c r="H572" s="1">
        <v>46128</v>
      </c>
      <c r="I572" t="s">
        <v>2025</v>
      </c>
      <c r="J572" t="s">
        <v>2035</v>
      </c>
      <c r="K572" t="s">
        <v>1989</v>
      </c>
      <c r="L572">
        <f>IF(G572="High",3,IF(G572="Medium",2,1))</f>
        <v>1</v>
      </c>
    </row>
    <row r="573" spans="1:12">
      <c r="A573" t="s">
        <v>2599</v>
      </c>
      <c r="B573" t="s">
        <v>828</v>
      </c>
      <c r="C573" t="s">
        <v>1991</v>
      </c>
      <c r="D573" t="s">
        <v>1992</v>
      </c>
      <c r="E573" t="s">
        <v>57</v>
      </c>
      <c r="F573" t="s">
        <v>57</v>
      </c>
      <c r="G573" t="str">
        <f>INDEX(Risk_Matrix!$B$2:$D$4,MATCH(E573,Risk_Matrix!$A$2:$A$4,0),MATCH(F573,Risk_Matrix!$B$1:$D$1,0))</f>
        <v>Low</v>
      </c>
      <c r="H573" s="1">
        <v>46132</v>
      </c>
      <c r="I573" t="s">
        <v>2002</v>
      </c>
      <c r="J573" t="s">
        <v>2003</v>
      </c>
      <c r="K573" t="s">
        <v>2010</v>
      </c>
      <c r="L573">
        <f>IF(G573="High",3,IF(G573="Medium",2,1))</f>
        <v>1</v>
      </c>
    </row>
    <row r="574" spans="1:12">
      <c r="A574" t="s">
        <v>2600</v>
      </c>
      <c r="B574" t="s">
        <v>828</v>
      </c>
      <c r="C574" t="s">
        <v>1995</v>
      </c>
      <c r="D574" t="s">
        <v>2018</v>
      </c>
      <c r="E574" t="s">
        <v>47</v>
      </c>
      <c r="F574" t="s">
        <v>57</v>
      </c>
      <c r="G574" t="str">
        <f>INDEX(Risk_Matrix!$B$2:$D$4,MATCH(E574,Risk_Matrix!$A$2:$A$4,0),MATCH(F574,Risk_Matrix!$B$1:$D$1,0))</f>
        <v>Medium</v>
      </c>
      <c r="H574" s="1">
        <v>46228</v>
      </c>
      <c r="I574" t="s">
        <v>2015</v>
      </c>
      <c r="J574" t="s">
        <v>2016</v>
      </c>
      <c r="K574" t="s">
        <v>2036</v>
      </c>
      <c r="L574">
        <f>IF(G574="High",3,IF(G574="Medium",2,1))</f>
        <v>2</v>
      </c>
    </row>
    <row r="575" spans="1:12">
      <c r="A575" t="s">
        <v>2601</v>
      </c>
      <c r="B575" t="s">
        <v>828</v>
      </c>
      <c r="C575" t="s">
        <v>2000</v>
      </c>
      <c r="D575" t="s">
        <v>2020</v>
      </c>
      <c r="E575" t="s">
        <v>1971</v>
      </c>
      <c r="F575" t="s">
        <v>1971</v>
      </c>
      <c r="G575" t="str">
        <f>INDEX(Risk_Matrix!$B$2:$D$4,MATCH(E575,Risk_Matrix!$A$2:$A$4,0),MATCH(F575,Risk_Matrix!$B$1:$D$1,0))</f>
        <v>Medium</v>
      </c>
      <c r="H575" s="1">
        <v>46206</v>
      </c>
      <c r="I575" t="s">
        <v>1987</v>
      </c>
      <c r="J575" t="s">
        <v>1988</v>
      </c>
      <c r="K575" t="s">
        <v>1993</v>
      </c>
      <c r="L575">
        <f>IF(G575="High",3,IF(G575="Medium",2,1))</f>
        <v>2</v>
      </c>
    </row>
    <row r="576" spans="1:12">
      <c r="A576" t="s">
        <v>2602</v>
      </c>
      <c r="B576" t="s">
        <v>828</v>
      </c>
      <c r="C576" t="s">
        <v>2005</v>
      </c>
      <c r="D576" t="s">
        <v>2006</v>
      </c>
      <c r="E576" t="s">
        <v>57</v>
      </c>
      <c r="F576" t="s">
        <v>57</v>
      </c>
      <c r="G576" t="str">
        <f>INDEX(Risk_Matrix!$B$2:$D$4,MATCH(E576,Risk_Matrix!$A$2:$A$4,0),MATCH(F576,Risk_Matrix!$B$1:$D$1,0))</f>
        <v>Low</v>
      </c>
      <c r="H576" s="1">
        <v>46206</v>
      </c>
      <c r="I576" t="s">
        <v>2025</v>
      </c>
      <c r="J576" t="s">
        <v>2035</v>
      </c>
      <c r="K576" t="s">
        <v>2036</v>
      </c>
      <c r="L576">
        <f>IF(G576="High",3,IF(G576="Medium",2,1))</f>
        <v>1</v>
      </c>
    </row>
    <row r="577" spans="1:12">
      <c r="A577" t="s">
        <v>2603</v>
      </c>
      <c r="B577" t="s">
        <v>828</v>
      </c>
      <c r="C577" t="s">
        <v>2008</v>
      </c>
      <c r="D577" t="s">
        <v>2009</v>
      </c>
      <c r="E577" t="s">
        <v>57</v>
      </c>
      <c r="F577" t="s">
        <v>47</v>
      </c>
      <c r="G577" t="str">
        <f>INDEX(Risk_Matrix!$B$2:$D$4,MATCH(E577,Risk_Matrix!$A$2:$A$4,0),MATCH(F577,Risk_Matrix!$B$1:$D$1,0))</f>
        <v>Medium</v>
      </c>
      <c r="H577" s="1">
        <v>46141</v>
      </c>
      <c r="I577" t="s">
        <v>1987</v>
      </c>
      <c r="J577" t="s">
        <v>1997</v>
      </c>
      <c r="K577" t="s">
        <v>2010</v>
      </c>
      <c r="L577">
        <f>IF(G577="High",3,IF(G577="Medium",2,1))</f>
        <v>2</v>
      </c>
    </row>
    <row r="578" spans="1:12">
      <c r="A578" t="s">
        <v>2604</v>
      </c>
      <c r="B578" t="s">
        <v>830</v>
      </c>
      <c r="C578" t="s">
        <v>1985</v>
      </c>
      <c r="D578" t="s">
        <v>1986</v>
      </c>
      <c r="E578" t="s">
        <v>57</v>
      </c>
      <c r="F578" t="s">
        <v>57</v>
      </c>
      <c r="G578" t="str">
        <f>INDEX(Risk_Matrix!$B$2:$D$4,MATCH(E578,Risk_Matrix!$A$2:$A$4,0),MATCH(F578,Risk_Matrix!$B$1:$D$1,0))</f>
        <v>Low</v>
      </c>
      <c r="H578" s="1">
        <v>46231</v>
      </c>
      <c r="I578" t="s">
        <v>2002</v>
      </c>
      <c r="J578" t="s">
        <v>2003</v>
      </c>
      <c r="K578" t="s">
        <v>1989</v>
      </c>
      <c r="L578">
        <f>IF(G578="High",3,IF(G578="Medium",2,1))</f>
        <v>1</v>
      </c>
    </row>
    <row r="579" spans="1:12">
      <c r="A579" t="s">
        <v>2605</v>
      </c>
      <c r="B579" t="s">
        <v>830</v>
      </c>
      <c r="C579" t="s">
        <v>1991</v>
      </c>
      <c r="D579" t="s">
        <v>2064</v>
      </c>
      <c r="E579" t="s">
        <v>57</v>
      </c>
      <c r="F579" t="s">
        <v>1971</v>
      </c>
      <c r="G579" t="str">
        <f>INDEX(Risk_Matrix!$B$2:$D$4,MATCH(E579,Risk_Matrix!$A$2:$A$4,0),MATCH(F579,Risk_Matrix!$B$1:$D$1,0))</f>
        <v>Low</v>
      </c>
      <c r="H579" s="1">
        <v>46105</v>
      </c>
      <c r="I579" t="s">
        <v>2002</v>
      </c>
      <c r="J579" t="s">
        <v>2003</v>
      </c>
      <c r="K579" t="s">
        <v>1993</v>
      </c>
      <c r="L579">
        <f>IF(G579="High",3,IF(G579="Medium",2,1))</f>
        <v>1</v>
      </c>
    </row>
    <row r="580" spans="1:12">
      <c r="A580" t="s">
        <v>2606</v>
      </c>
      <c r="B580" t="s">
        <v>830</v>
      </c>
      <c r="C580" t="s">
        <v>1995</v>
      </c>
      <c r="D580" t="s">
        <v>2150</v>
      </c>
      <c r="E580" t="s">
        <v>1971</v>
      </c>
      <c r="F580" t="s">
        <v>57</v>
      </c>
      <c r="G580" t="str">
        <f>INDEX(Risk_Matrix!$B$2:$D$4,MATCH(E580,Risk_Matrix!$A$2:$A$4,0),MATCH(F580,Risk_Matrix!$B$1:$D$1,0))</f>
        <v>Low</v>
      </c>
      <c r="H580" s="1">
        <v>46150</v>
      </c>
      <c r="I580" t="s">
        <v>2002</v>
      </c>
      <c r="J580" t="s">
        <v>2003</v>
      </c>
      <c r="K580" t="s">
        <v>1998</v>
      </c>
      <c r="L580">
        <f>IF(G580="High",3,IF(G580="Medium",2,1))</f>
        <v>1</v>
      </c>
    </row>
    <row r="581" spans="1:12">
      <c r="A581" t="s">
        <v>2607</v>
      </c>
      <c r="B581" t="s">
        <v>830</v>
      </c>
      <c r="C581" t="s">
        <v>2000</v>
      </c>
      <c r="D581" t="s">
        <v>2001</v>
      </c>
      <c r="E581" t="s">
        <v>1971</v>
      </c>
      <c r="F581" t="s">
        <v>1971</v>
      </c>
      <c r="G581" t="str">
        <f>INDEX(Risk_Matrix!$B$2:$D$4,MATCH(E581,Risk_Matrix!$A$2:$A$4,0),MATCH(F581,Risk_Matrix!$B$1:$D$1,0))</f>
        <v>Medium</v>
      </c>
      <c r="H581" s="1">
        <v>46228</v>
      </c>
      <c r="I581" t="s">
        <v>1987</v>
      </c>
      <c r="J581" t="s">
        <v>1988</v>
      </c>
      <c r="K581" t="s">
        <v>1993</v>
      </c>
      <c r="L581">
        <f>IF(G581="High",3,IF(G581="Medium",2,1))</f>
        <v>2</v>
      </c>
    </row>
    <row r="582" spans="1:12">
      <c r="A582" t="s">
        <v>2608</v>
      </c>
      <c r="B582" t="s">
        <v>830</v>
      </c>
      <c r="C582" t="s">
        <v>2005</v>
      </c>
      <c r="D582" t="s">
        <v>2006</v>
      </c>
      <c r="E582" t="s">
        <v>57</v>
      </c>
      <c r="F582" t="s">
        <v>57</v>
      </c>
      <c r="G582" t="str">
        <f>INDEX(Risk_Matrix!$B$2:$D$4,MATCH(E582,Risk_Matrix!$A$2:$A$4,0),MATCH(F582,Risk_Matrix!$B$1:$D$1,0))</f>
        <v>Low</v>
      </c>
      <c r="H582" s="1">
        <v>46088</v>
      </c>
      <c r="I582" t="s">
        <v>2025</v>
      </c>
      <c r="J582" t="s">
        <v>2035</v>
      </c>
      <c r="K582" t="s">
        <v>1993</v>
      </c>
      <c r="L582">
        <f>IF(G582="High",3,IF(G582="Medium",2,1))</f>
        <v>1</v>
      </c>
    </row>
    <row r="583" spans="1:12">
      <c r="A583" t="s">
        <v>2609</v>
      </c>
      <c r="B583" t="s">
        <v>830</v>
      </c>
      <c r="C583" t="s">
        <v>2008</v>
      </c>
      <c r="D583" t="s">
        <v>2024</v>
      </c>
      <c r="E583" t="s">
        <v>1971</v>
      </c>
      <c r="F583" t="s">
        <v>57</v>
      </c>
      <c r="G583" t="str">
        <f>INDEX(Risk_Matrix!$B$2:$D$4,MATCH(E583,Risk_Matrix!$A$2:$A$4,0),MATCH(F583,Risk_Matrix!$B$1:$D$1,0))</f>
        <v>Low</v>
      </c>
      <c r="H583" s="1">
        <v>46124</v>
      </c>
      <c r="I583" t="s">
        <v>1987</v>
      </c>
      <c r="J583" t="s">
        <v>1988</v>
      </c>
      <c r="K583" t="s">
        <v>2010</v>
      </c>
      <c r="L583">
        <f>IF(G583="High",3,IF(G583="Medium",2,1))</f>
        <v>1</v>
      </c>
    </row>
    <row r="584" spans="1:12">
      <c r="A584" t="s">
        <v>2610</v>
      </c>
      <c r="B584" t="s">
        <v>832</v>
      </c>
      <c r="C584" t="s">
        <v>1985</v>
      </c>
      <c r="D584" t="s">
        <v>1986</v>
      </c>
      <c r="E584" t="s">
        <v>57</v>
      </c>
      <c r="F584" t="s">
        <v>57</v>
      </c>
      <c r="G584" t="str">
        <f>INDEX(Risk_Matrix!$B$2:$D$4,MATCH(E584,Risk_Matrix!$A$2:$A$4,0),MATCH(F584,Risk_Matrix!$B$1:$D$1,0))</f>
        <v>Low</v>
      </c>
      <c r="H584" s="1">
        <v>46177</v>
      </c>
      <c r="I584" t="s">
        <v>2025</v>
      </c>
      <c r="J584" t="s">
        <v>2035</v>
      </c>
      <c r="K584" t="s">
        <v>1989</v>
      </c>
      <c r="L584">
        <f>IF(G584="High",3,IF(G584="Medium",2,1))</f>
        <v>1</v>
      </c>
    </row>
    <row r="585" spans="1:12">
      <c r="A585" t="s">
        <v>2611</v>
      </c>
      <c r="B585" t="s">
        <v>832</v>
      </c>
      <c r="C585" t="s">
        <v>1991</v>
      </c>
      <c r="D585" t="s">
        <v>2014</v>
      </c>
      <c r="E585" t="s">
        <v>57</v>
      </c>
      <c r="F585" t="s">
        <v>57</v>
      </c>
      <c r="G585" t="str">
        <f>INDEX(Risk_Matrix!$B$2:$D$4,MATCH(E585,Risk_Matrix!$A$2:$A$4,0),MATCH(F585,Risk_Matrix!$B$1:$D$1,0))</f>
        <v>Low</v>
      </c>
      <c r="H585" s="1">
        <v>46081</v>
      </c>
      <c r="I585" t="s">
        <v>2002</v>
      </c>
      <c r="J585" t="s">
        <v>2003</v>
      </c>
      <c r="K585" t="s">
        <v>2010</v>
      </c>
      <c r="L585">
        <f>IF(G585="High",3,IF(G585="Medium",2,1))</f>
        <v>1</v>
      </c>
    </row>
    <row r="586" spans="1:12">
      <c r="A586" t="s">
        <v>2612</v>
      </c>
      <c r="B586" t="s">
        <v>832</v>
      </c>
      <c r="C586" t="s">
        <v>1995</v>
      </c>
      <c r="D586" t="s">
        <v>1996</v>
      </c>
      <c r="E586" t="s">
        <v>1971</v>
      </c>
      <c r="F586" t="s">
        <v>1971</v>
      </c>
      <c r="G586" t="str">
        <f>INDEX(Risk_Matrix!$B$2:$D$4,MATCH(E586,Risk_Matrix!$A$2:$A$4,0),MATCH(F586,Risk_Matrix!$B$1:$D$1,0))</f>
        <v>Medium</v>
      </c>
      <c r="H586" s="1">
        <v>46175</v>
      </c>
      <c r="I586" t="s">
        <v>1987</v>
      </c>
      <c r="J586" t="s">
        <v>1997</v>
      </c>
      <c r="K586" t="s">
        <v>2036</v>
      </c>
      <c r="L586">
        <f>IF(G586="High",3,IF(G586="Medium",2,1))</f>
        <v>2</v>
      </c>
    </row>
    <row r="587" spans="1:12">
      <c r="A587" t="s">
        <v>2613</v>
      </c>
      <c r="B587" t="s">
        <v>832</v>
      </c>
      <c r="C587" t="s">
        <v>2000</v>
      </c>
      <c r="D587" t="s">
        <v>2001</v>
      </c>
      <c r="E587" t="s">
        <v>57</v>
      </c>
      <c r="F587" t="s">
        <v>1971</v>
      </c>
      <c r="G587" t="str">
        <f>INDEX(Risk_Matrix!$B$2:$D$4,MATCH(E587,Risk_Matrix!$A$2:$A$4,0),MATCH(F587,Risk_Matrix!$B$1:$D$1,0))</f>
        <v>Low</v>
      </c>
      <c r="H587" s="1">
        <v>46232</v>
      </c>
      <c r="I587" t="s">
        <v>1987</v>
      </c>
      <c r="J587" t="s">
        <v>1997</v>
      </c>
      <c r="K587" t="s">
        <v>1993</v>
      </c>
      <c r="L587">
        <f>IF(G587="High",3,IF(G587="Medium",2,1))</f>
        <v>1</v>
      </c>
    </row>
    <row r="588" spans="1:12">
      <c r="A588" t="s">
        <v>2614</v>
      </c>
      <c r="B588" t="s">
        <v>832</v>
      </c>
      <c r="C588" t="s">
        <v>2005</v>
      </c>
      <c r="D588" t="s">
        <v>2039</v>
      </c>
      <c r="E588" t="s">
        <v>57</v>
      </c>
      <c r="F588" t="s">
        <v>57</v>
      </c>
      <c r="G588" t="str">
        <f>INDEX(Risk_Matrix!$B$2:$D$4,MATCH(E588,Risk_Matrix!$A$2:$A$4,0),MATCH(F588,Risk_Matrix!$B$1:$D$1,0))</f>
        <v>Low</v>
      </c>
      <c r="H588" s="1">
        <v>46225</v>
      </c>
      <c r="I588" t="s">
        <v>1987</v>
      </c>
      <c r="J588" t="s">
        <v>1988</v>
      </c>
      <c r="K588" t="s">
        <v>2036</v>
      </c>
      <c r="L588">
        <f>IF(G588="High",3,IF(G588="Medium",2,1))</f>
        <v>1</v>
      </c>
    </row>
    <row r="589" spans="1:12">
      <c r="A589" t="s">
        <v>2615</v>
      </c>
      <c r="B589" t="s">
        <v>832</v>
      </c>
      <c r="C589" t="s">
        <v>2008</v>
      </c>
      <c r="D589" t="s">
        <v>2024</v>
      </c>
      <c r="E589" t="s">
        <v>47</v>
      </c>
      <c r="F589" t="s">
        <v>1971</v>
      </c>
      <c r="G589" t="str">
        <f>INDEX(Risk_Matrix!$B$2:$D$4,MATCH(E589,Risk_Matrix!$A$2:$A$4,0),MATCH(F589,Risk_Matrix!$B$1:$D$1,0))</f>
        <v>High</v>
      </c>
      <c r="H589" s="1">
        <v>46204</v>
      </c>
      <c r="I589" t="s">
        <v>2025</v>
      </c>
      <c r="J589" t="s">
        <v>2026</v>
      </c>
      <c r="K589" t="s">
        <v>2010</v>
      </c>
      <c r="L589">
        <f>IF(G589="High",3,IF(G589="Medium",2,1))</f>
        <v>3</v>
      </c>
    </row>
    <row r="590" spans="1:12">
      <c r="A590" t="s">
        <v>2616</v>
      </c>
      <c r="B590" t="s">
        <v>834</v>
      </c>
      <c r="C590" t="s">
        <v>1985</v>
      </c>
      <c r="D590" t="s">
        <v>2028</v>
      </c>
      <c r="E590" t="s">
        <v>57</v>
      </c>
      <c r="F590" t="s">
        <v>57</v>
      </c>
      <c r="G590" t="str">
        <f>INDEX(Risk_Matrix!$B$2:$D$4,MATCH(E590,Risk_Matrix!$A$2:$A$4,0),MATCH(F590,Risk_Matrix!$B$1:$D$1,0))</f>
        <v>Low</v>
      </c>
      <c r="H590" s="1">
        <v>46151</v>
      </c>
      <c r="I590" t="s">
        <v>1987</v>
      </c>
      <c r="J590" t="s">
        <v>1988</v>
      </c>
      <c r="K590" t="s">
        <v>1998</v>
      </c>
      <c r="L590">
        <f>IF(G590="High",3,IF(G590="Medium",2,1))</f>
        <v>1</v>
      </c>
    </row>
    <row r="591" spans="1:12">
      <c r="A591" t="s">
        <v>2617</v>
      </c>
      <c r="B591" t="s">
        <v>834</v>
      </c>
      <c r="C591" t="s">
        <v>1991</v>
      </c>
      <c r="D591" t="s">
        <v>2014</v>
      </c>
      <c r="E591" t="s">
        <v>57</v>
      </c>
      <c r="F591" t="s">
        <v>1971</v>
      </c>
      <c r="G591" t="str">
        <f>INDEX(Risk_Matrix!$B$2:$D$4,MATCH(E591,Risk_Matrix!$A$2:$A$4,0),MATCH(F591,Risk_Matrix!$B$1:$D$1,0))</f>
        <v>Low</v>
      </c>
      <c r="H591" s="1">
        <v>46097</v>
      </c>
      <c r="I591" t="s">
        <v>2025</v>
      </c>
      <c r="J591" t="s">
        <v>2035</v>
      </c>
      <c r="K591" t="s">
        <v>1993</v>
      </c>
      <c r="L591">
        <f>IF(G591="High",3,IF(G591="Medium",2,1))</f>
        <v>1</v>
      </c>
    </row>
    <row r="592" spans="1:12">
      <c r="A592" t="s">
        <v>2618</v>
      </c>
      <c r="B592" t="s">
        <v>834</v>
      </c>
      <c r="C592" t="s">
        <v>1995</v>
      </c>
      <c r="D592" t="s">
        <v>2018</v>
      </c>
      <c r="E592" t="s">
        <v>1971</v>
      </c>
      <c r="F592" t="s">
        <v>1971</v>
      </c>
      <c r="G592" t="str">
        <f>INDEX(Risk_Matrix!$B$2:$D$4,MATCH(E592,Risk_Matrix!$A$2:$A$4,0),MATCH(F592,Risk_Matrix!$B$1:$D$1,0))</f>
        <v>Medium</v>
      </c>
      <c r="H592" s="1">
        <v>46090</v>
      </c>
      <c r="I592" t="s">
        <v>2025</v>
      </c>
      <c r="J592" t="s">
        <v>2026</v>
      </c>
      <c r="K592" t="s">
        <v>1998</v>
      </c>
      <c r="L592">
        <f>IF(G592="High",3,IF(G592="Medium",2,1))</f>
        <v>2</v>
      </c>
    </row>
    <row r="593" spans="1:12">
      <c r="A593" t="s">
        <v>2619</v>
      </c>
      <c r="B593" t="s">
        <v>834</v>
      </c>
      <c r="C593" t="s">
        <v>2000</v>
      </c>
      <c r="D593" t="s">
        <v>2045</v>
      </c>
      <c r="E593" t="s">
        <v>57</v>
      </c>
      <c r="F593" t="s">
        <v>57</v>
      </c>
      <c r="G593" t="str">
        <f>INDEX(Risk_Matrix!$B$2:$D$4,MATCH(E593,Risk_Matrix!$A$2:$A$4,0),MATCH(F593,Risk_Matrix!$B$1:$D$1,0))</f>
        <v>Low</v>
      </c>
      <c r="H593" s="1">
        <v>46055</v>
      </c>
      <c r="I593" t="s">
        <v>1987</v>
      </c>
      <c r="J593" t="s">
        <v>1997</v>
      </c>
      <c r="K593" t="s">
        <v>1989</v>
      </c>
      <c r="L593">
        <f>IF(G593="High",3,IF(G593="Medium",2,1))</f>
        <v>1</v>
      </c>
    </row>
    <row r="594" spans="1:12">
      <c r="A594" t="s">
        <v>2620</v>
      </c>
      <c r="B594" t="s">
        <v>834</v>
      </c>
      <c r="C594" t="s">
        <v>2005</v>
      </c>
      <c r="D594" t="s">
        <v>2039</v>
      </c>
      <c r="E594" t="s">
        <v>57</v>
      </c>
      <c r="F594" t="s">
        <v>1971</v>
      </c>
      <c r="G594" t="str">
        <f>INDEX(Risk_Matrix!$B$2:$D$4,MATCH(E594,Risk_Matrix!$A$2:$A$4,0),MATCH(F594,Risk_Matrix!$B$1:$D$1,0))</f>
        <v>Low</v>
      </c>
      <c r="H594" s="1">
        <v>46090</v>
      </c>
      <c r="I594" t="s">
        <v>2002</v>
      </c>
      <c r="J594" t="s">
        <v>2003</v>
      </c>
      <c r="K594" t="s">
        <v>1993</v>
      </c>
      <c r="L594">
        <f>IF(G594="High",3,IF(G594="Medium",2,1))</f>
        <v>1</v>
      </c>
    </row>
    <row r="595" spans="1:12">
      <c r="A595" t="s">
        <v>2621</v>
      </c>
      <c r="B595" t="s">
        <v>834</v>
      </c>
      <c r="C595" t="s">
        <v>2008</v>
      </c>
      <c r="D595" t="s">
        <v>2054</v>
      </c>
      <c r="E595" t="s">
        <v>57</v>
      </c>
      <c r="F595" t="s">
        <v>1971</v>
      </c>
      <c r="G595" t="str">
        <f>INDEX(Risk_Matrix!$B$2:$D$4,MATCH(E595,Risk_Matrix!$A$2:$A$4,0),MATCH(F595,Risk_Matrix!$B$1:$D$1,0))</f>
        <v>Low</v>
      </c>
      <c r="H595" s="1">
        <v>46231</v>
      </c>
      <c r="I595" t="s">
        <v>1987</v>
      </c>
      <c r="J595" t="s">
        <v>1988</v>
      </c>
      <c r="K595" t="s">
        <v>2010</v>
      </c>
      <c r="L595">
        <f>IF(G595="High",3,IF(G595="Medium",2,1))</f>
        <v>1</v>
      </c>
    </row>
    <row r="596" spans="1:12">
      <c r="A596" t="s">
        <v>2622</v>
      </c>
      <c r="B596" t="s">
        <v>836</v>
      </c>
      <c r="C596" t="s">
        <v>1985</v>
      </c>
      <c r="D596" t="s">
        <v>2028</v>
      </c>
      <c r="E596" t="s">
        <v>1971</v>
      </c>
      <c r="F596" t="s">
        <v>1971</v>
      </c>
      <c r="G596" t="str">
        <f>INDEX(Risk_Matrix!$B$2:$D$4,MATCH(E596,Risk_Matrix!$A$2:$A$4,0),MATCH(F596,Risk_Matrix!$B$1:$D$1,0))</f>
        <v>Medium</v>
      </c>
      <c r="H596" s="1">
        <v>46075</v>
      </c>
      <c r="I596" t="s">
        <v>2025</v>
      </c>
      <c r="J596" t="s">
        <v>2026</v>
      </c>
      <c r="K596" t="s">
        <v>1998</v>
      </c>
      <c r="L596">
        <f>IF(G596="High",3,IF(G596="Medium",2,1))</f>
        <v>2</v>
      </c>
    </row>
    <row r="597" spans="1:12">
      <c r="A597" t="s">
        <v>2623</v>
      </c>
      <c r="B597" t="s">
        <v>836</v>
      </c>
      <c r="C597" t="s">
        <v>1991</v>
      </c>
      <c r="D597" t="s">
        <v>1992</v>
      </c>
      <c r="E597" t="s">
        <v>47</v>
      </c>
      <c r="F597" t="s">
        <v>1971</v>
      </c>
      <c r="G597" t="str">
        <f>INDEX(Risk_Matrix!$B$2:$D$4,MATCH(E597,Risk_Matrix!$A$2:$A$4,0),MATCH(F597,Risk_Matrix!$B$1:$D$1,0))</f>
        <v>High</v>
      </c>
      <c r="H597" s="1">
        <v>46209</v>
      </c>
      <c r="I597" t="s">
        <v>2015</v>
      </c>
      <c r="J597" t="s">
        <v>2032</v>
      </c>
      <c r="K597" t="s">
        <v>1993</v>
      </c>
      <c r="L597">
        <f>IF(G597="High",3,IF(G597="Medium",2,1))</f>
        <v>3</v>
      </c>
    </row>
    <row r="598" spans="1:12">
      <c r="A598" t="s">
        <v>2624</v>
      </c>
      <c r="B598" t="s">
        <v>836</v>
      </c>
      <c r="C598" t="s">
        <v>1995</v>
      </c>
      <c r="D598" t="s">
        <v>2034</v>
      </c>
      <c r="E598" t="s">
        <v>57</v>
      </c>
      <c r="F598" t="s">
        <v>57</v>
      </c>
      <c r="G598" t="str">
        <f>INDEX(Risk_Matrix!$B$2:$D$4,MATCH(E598,Risk_Matrix!$A$2:$A$4,0),MATCH(F598,Risk_Matrix!$B$1:$D$1,0))</f>
        <v>Low</v>
      </c>
      <c r="H598" s="1">
        <v>46107</v>
      </c>
      <c r="I598" t="s">
        <v>2002</v>
      </c>
      <c r="J598" t="s">
        <v>2029</v>
      </c>
      <c r="K598" t="s">
        <v>1998</v>
      </c>
      <c r="L598">
        <f>IF(G598="High",3,IF(G598="Medium",2,1))</f>
        <v>1</v>
      </c>
    </row>
    <row r="599" spans="1:12">
      <c r="A599" t="s">
        <v>2625</v>
      </c>
      <c r="B599" t="s">
        <v>836</v>
      </c>
      <c r="C599" t="s">
        <v>2000</v>
      </c>
      <c r="D599" t="s">
        <v>2020</v>
      </c>
      <c r="E599" t="s">
        <v>47</v>
      </c>
      <c r="F599" t="s">
        <v>47</v>
      </c>
      <c r="G599" t="str">
        <f>INDEX(Risk_Matrix!$B$2:$D$4,MATCH(E599,Risk_Matrix!$A$2:$A$4,0),MATCH(F599,Risk_Matrix!$B$1:$D$1,0))</f>
        <v>High</v>
      </c>
      <c r="H599" s="1">
        <v>46205</v>
      </c>
      <c r="I599" t="s">
        <v>2015</v>
      </c>
      <c r="J599" t="s">
        <v>2032</v>
      </c>
      <c r="K599" t="s">
        <v>1993</v>
      </c>
      <c r="L599">
        <f>IF(G599="High",3,IF(G599="Medium",2,1))</f>
        <v>3</v>
      </c>
    </row>
    <row r="600" spans="1:12">
      <c r="A600" t="s">
        <v>2626</v>
      </c>
      <c r="B600" t="s">
        <v>836</v>
      </c>
      <c r="C600" t="s">
        <v>2005</v>
      </c>
      <c r="D600" t="s">
        <v>2006</v>
      </c>
      <c r="E600" t="s">
        <v>1971</v>
      </c>
      <c r="F600" t="s">
        <v>57</v>
      </c>
      <c r="G600" t="str">
        <f>INDEX(Risk_Matrix!$B$2:$D$4,MATCH(E600,Risk_Matrix!$A$2:$A$4,0),MATCH(F600,Risk_Matrix!$B$1:$D$1,0))</f>
        <v>Low</v>
      </c>
      <c r="H600" s="1">
        <v>46235</v>
      </c>
      <c r="I600" t="s">
        <v>2002</v>
      </c>
      <c r="J600" t="s">
        <v>2003</v>
      </c>
      <c r="K600" t="s">
        <v>1993</v>
      </c>
      <c r="L600">
        <f>IF(G600="High",3,IF(G600="Medium",2,1))</f>
        <v>1</v>
      </c>
    </row>
    <row r="601" spans="1:12">
      <c r="A601" t="s">
        <v>2627</v>
      </c>
      <c r="B601" t="s">
        <v>836</v>
      </c>
      <c r="C601" t="s">
        <v>2008</v>
      </c>
      <c r="D601" t="s">
        <v>2009</v>
      </c>
      <c r="E601" t="s">
        <v>1971</v>
      </c>
      <c r="F601" t="s">
        <v>1971</v>
      </c>
      <c r="G601" t="str">
        <f>INDEX(Risk_Matrix!$B$2:$D$4,MATCH(E601,Risk_Matrix!$A$2:$A$4,0),MATCH(F601,Risk_Matrix!$B$1:$D$1,0))</f>
        <v>Medium</v>
      </c>
      <c r="H601" s="1">
        <v>46058</v>
      </c>
      <c r="I601" t="s">
        <v>1987</v>
      </c>
      <c r="J601" t="s">
        <v>1988</v>
      </c>
      <c r="K601" t="s">
        <v>2010</v>
      </c>
      <c r="L601">
        <f>IF(G601="High",3,IF(G601="Medium",2,1))</f>
        <v>2</v>
      </c>
    </row>
    <row r="602" spans="1:12">
      <c r="A602" t="s">
        <v>2628</v>
      </c>
      <c r="B602" t="s">
        <v>837</v>
      </c>
      <c r="C602" t="s">
        <v>1985</v>
      </c>
      <c r="D602" t="s">
        <v>2028</v>
      </c>
      <c r="E602" t="s">
        <v>57</v>
      </c>
      <c r="F602" t="s">
        <v>57</v>
      </c>
      <c r="G602" t="str">
        <f>INDEX(Risk_Matrix!$B$2:$D$4,MATCH(E602,Risk_Matrix!$A$2:$A$4,0),MATCH(F602,Risk_Matrix!$B$1:$D$1,0))</f>
        <v>Low</v>
      </c>
      <c r="H602" s="1">
        <v>46109</v>
      </c>
      <c r="I602" t="s">
        <v>1987</v>
      </c>
      <c r="J602" t="s">
        <v>1997</v>
      </c>
      <c r="K602" t="s">
        <v>1998</v>
      </c>
      <c r="L602">
        <f>IF(G602="High",3,IF(G602="Medium",2,1))</f>
        <v>1</v>
      </c>
    </row>
    <row r="603" spans="1:12">
      <c r="A603" t="s">
        <v>2629</v>
      </c>
      <c r="B603" t="s">
        <v>837</v>
      </c>
      <c r="C603" t="s">
        <v>1991</v>
      </c>
      <c r="D603" t="s">
        <v>1992</v>
      </c>
      <c r="E603" t="s">
        <v>57</v>
      </c>
      <c r="F603" t="s">
        <v>57</v>
      </c>
      <c r="G603" t="str">
        <f>INDEX(Risk_Matrix!$B$2:$D$4,MATCH(E603,Risk_Matrix!$A$2:$A$4,0),MATCH(F603,Risk_Matrix!$B$1:$D$1,0))</f>
        <v>Low</v>
      </c>
      <c r="H603" s="1">
        <v>46195</v>
      </c>
      <c r="I603" t="s">
        <v>1987</v>
      </c>
      <c r="J603" t="s">
        <v>1997</v>
      </c>
      <c r="K603" t="s">
        <v>2010</v>
      </c>
      <c r="L603">
        <f>IF(G603="High",3,IF(G603="Medium",2,1))</f>
        <v>1</v>
      </c>
    </row>
    <row r="604" spans="1:12">
      <c r="A604" t="s">
        <v>2630</v>
      </c>
      <c r="B604" t="s">
        <v>837</v>
      </c>
      <c r="C604" t="s">
        <v>1995</v>
      </c>
      <c r="D604" t="s">
        <v>2150</v>
      </c>
      <c r="E604" t="s">
        <v>57</v>
      </c>
      <c r="F604" t="s">
        <v>1971</v>
      </c>
      <c r="G604" t="str">
        <f>INDEX(Risk_Matrix!$B$2:$D$4,MATCH(E604,Risk_Matrix!$A$2:$A$4,0),MATCH(F604,Risk_Matrix!$B$1:$D$1,0))</f>
        <v>Low</v>
      </c>
      <c r="H604" s="1">
        <v>46097</v>
      </c>
      <c r="I604" t="s">
        <v>1987</v>
      </c>
      <c r="J604" t="s">
        <v>1997</v>
      </c>
      <c r="K604" t="s">
        <v>1998</v>
      </c>
      <c r="L604">
        <f>IF(G604="High",3,IF(G604="Medium",2,1))</f>
        <v>1</v>
      </c>
    </row>
    <row r="605" spans="1:12">
      <c r="A605" t="s">
        <v>2631</v>
      </c>
      <c r="B605" t="s">
        <v>837</v>
      </c>
      <c r="C605" t="s">
        <v>2000</v>
      </c>
      <c r="D605" t="s">
        <v>2020</v>
      </c>
      <c r="E605" t="s">
        <v>47</v>
      </c>
      <c r="F605" t="s">
        <v>1971</v>
      </c>
      <c r="G605" t="str">
        <f>INDEX(Risk_Matrix!$B$2:$D$4,MATCH(E605,Risk_Matrix!$A$2:$A$4,0),MATCH(F605,Risk_Matrix!$B$1:$D$1,0))</f>
        <v>High</v>
      </c>
      <c r="H605" s="1">
        <v>46072</v>
      </c>
      <c r="I605" t="s">
        <v>2025</v>
      </c>
      <c r="J605" t="s">
        <v>2035</v>
      </c>
      <c r="K605" t="s">
        <v>1993</v>
      </c>
      <c r="L605">
        <f>IF(G605="High",3,IF(G605="Medium",2,1))</f>
        <v>3</v>
      </c>
    </row>
    <row r="606" spans="1:12">
      <c r="A606" t="s">
        <v>2632</v>
      </c>
      <c r="B606" t="s">
        <v>837</v>
      </c>
      <c r="C606" t="s">
        <v>2005</v>
      </c>
      <c r="D606" t="s">
        <v>2006</v>
      </c>
      <c r="E606" t="s">
        <v>57</v>
      </c>
      <c r="F606" t="s">
        <v>1971</v>
      </c>
      <c r="G606" t="str">
        <f>INDEX(Risk_Matrix!$B$2:$D$4,MATCH(E606,Risk_Matrix!$A$2:$A$4,0),MATCH(F606,Risk_Matrix!$B$1:$D$1,0))</f>
        <v>Low</v>
      </c>
      <c r="H606" s="1">
        <v>46167</v>
      </c>
      <c r="I606" t="s">
        <v>1987</v>
      </c>
      <c r="J606" t="s">
        <v>1988</v>
      </c>
      <c r="K606" t="s">
        <v>1993</v>
      </c>
      <c r="L606">
        <f>IF(G606="High",3,IF(G606="Medium",2,1))</f>
        <v>1</v>
      </c>
    </row>
    <row r="607" spans="1:12">
      <c r="A607" t="s">
        <v>2633</v>
      </c>
      <c r="B607" t="s">
        <v>837</v>
      </c>
      <c r="C607" t="s">
        <v>2008</v>
      </c>
      <c r="D607" t="s">
        <v>2054</v>
      </c>
      <c r="E607" t="s">
        <v>1971</v>
      </c>
      <c r="F607" t="s">
        <v>47</v>
      </c>
      <c r="G607" t="str">
        <f>INDEX(Risk_Matrix!$B$2:$D$4,MATCH(E607,Risk_Matrix!$A$2:$A$4,0),MATCH(F607,Risk_Matrix!$B$1:$D$1,0))</f>
        <v>High</v>
      </c>
      <c r="H607" s="1">
        <v>46168</v>
      </c>
      <c r="I607" t="s">
        <v>2015</v>
      </c>
      <c r="J607" t="s">
        <v>2016</v>
      </c>
      <c r="K607" t="s">
        <v>2010</v>
      </c>
      <c r="L607">
        <f>IF(G607="High",3,IF(G607="Medium",2,1))</f>
        <v>3</v>
      </c>
    </row>
    <row r="608" spans="1:12">
      <c r="A608" t="s">
        <v>2634</v>
      </c>
      <c r="B608" t="s">
        <v>838</v>
      </c>
      <c r="C608" t="s">
        <v>1985</v>
      </c>
      <c r="D608" t="s">
        <v>1986</v>
      </c>
      <c r="E608" t="s">
        <v>57</v>
      </c>
      <c r="F608" t="s">
        <v>57</v>
      </c>
      <c r="G608" t="str">
        <f>INDEX(Risk_Matrix!$B$2:$D$4,MATCH(E608,Risk_Matrix!$A$2:$A$4,0),MATCH(F608,Risk_Matrix!$B$1:$D$1,0))</f>
        <v>Low</v>
      </c>
      <c r="H608" s="1">
        <v>46151</v>
      </c>
      <c r="I608" t="s">
        <v>2015</v>
      </c>
      <c r="J608" t="s">
        <v>2016</v>
      </c>
      <c r="K608" t="s">
        <v>1998</v>
      </c>
      <c r="L608">
        <f>IF(G608="High",3,IF(G608="Medium",2,1))</f>
        <v>1</v>
      </c>
    </row>
    <row r="609" spans="1:12">
      <c r="A609" t="s">
        <v>2635</v>
      </c>
      <c r="B609" t="s">
        <v>838</v>
      </c>
      <c r="C609" t="s">
        <v>1991</v>
      </c>
      <c r="D609" t="s">
        <v>2014</v>
      </c>
      <c r="E609" t="s">
        <v>1971</v>
      </c>
      <c r="F609" t="s">
        <v>47</v>
      </c>
      <c r="G609" t="str">
        <f>INDEX(Risk_Matrix!$B$2:$D$4,MATCH(E609,Risk_Matrix!$A$2:$A$4,0),MATCH(F609,Risk_Matrix!$B$1:$D$1,0))</f>
        <v>High</v>
      </c>
      <c r="H609" s="1">
        <v>46220</v>
      </c>
      <c r="I609" t="s">
        <v>2015</v>
      </c>
      <c r="J609" t="s">
        <v>2032</v>
      </c>
      <c r="K609" t="s">
        <v>2010</v>
      </c>
      <c r="L609">
        <f>IF(G609="High",3,IF(G609="Medium",2,1))</f>
        <v>3</v>
      </c>
    </row>
    <row r="610" spans="1:12">
      <c r="A610" t="s">
        <v>2636</v>
      </c>
      <c r="B610" t="s">
        <v>838</v>
      </c>
      <c r="C610" t="s">
        <v>1995</v>
      </c>
      <c r="D610" t="s">
        <v>2018</v>
      </c>
      <c r="E610" t="s">
        <v>57</v>
      </c>
      <c r="F610" t="s">
        <v>57</v>
      </c>
      <c r="G610" t="str">
        <f>INDEX(Risk_Matrix!$B$2:$D$4,MATCH(E610,Risk_Matrix!$A$2:$A$4,0),MATCH(F610,Risk_Matrix!$B$1:$D$1,0))</f>
        <v>Low</v>
      </c>
      <c r="H610" s="1">
        <v>46220</v>
      </c>
      <c r="I610" t="s">
        <v>1987</v>
      </c>
      <c r="J610" t="s">
        <v>1988</v>
      </c>
      <c r="K610" t="s">
        <v>2036</v>
      </c>
      <c r="L610">
        <f>IF(G610="High",3,IF(G610="Medium",2,1))</f>
        <v>1</v>
      </c>
    </row>
    <row r="611" spans="1:12">
      <c r="A611" t="s">
        <v>2637</v>
      </c>
      <c r="B611" t="s">
        <v>838</v>
      </c>
      <c r="C611" t="s">
        <v>2000</v>
      </c>
      <c r="D611" t="s">
        <v>2045</v>
      </c>
      <c r="E611" t="s">
        <v>57</v>
      </c>
      <c r="F611" t="s">
        <v>1971</v>
      </c>
      <c r="G611" t="str">
        <f>INDEX(Risk_Matrix!$B$2:$D$4,MATCH(E611,Risk_Matrix!$A$2:$A$4,0),MATCH(F611,Risk_Matrix!$B$1:$D$1,0))</f>
        <v>Low</v>
      </c>
      <c r="H611" s="1">
        <v>46188</v>
      </c>
      <c r="I611" t="s">
        <v>2025</v>
      </c>
      <c r="J611" t="s">
        <v>2035</v>
      </c>
      <c r="K611" t="s">
        <v>1989</v>
      </c>
      <c r="L611">
        <f>IF(G611="High",3,IF(G611="Medium",2,1))</f>
        <v>1</v>
      </c>
    </row>
    <row r="612" spans="1:12">
      <c r="A612" t="s">
        <v>2638</v>
      </c>
      <c r="B612" t="s">
        <v>838</v>
      </c>
      <c r="C612" t="s">
        <v>2005</v>
      </c>
      <c r="D612" t="s">
        <v>2006</v>
      </c>
      <c r="E612" t="s">
        <v>1971</v>
      </c>
      <c r="F612" t="s">
        <v>1971</v>
      </c>
      <c r="G612" t="str">
        <f>INDEX(Risk_Matrix!$B$2:$D$4,MATCH(E612,Risk_Matrix!$A$2:$A$4,0),MATCH(F612,Risk_Matrix!$B$1:$D$1,0))</f>
        <v>Medium</v>
      </c>
      <c r="H612" s="1">
        <v>46233</v>
      </c>
      <c r="I612" t="s">
        <v>2025</v>
      </c>
      <c r="J612" t="s">
        <v>2035</v>
      </c>
      <c r="K612" t="s">
        <v>1993</v>
      </c>
      <c r="L612">
        <f>IF(G612="High",3,IF(G612="Medium",2,1))</f>
        <v>2</v>
      </c>
    </row>
    <row r="613" spans="1:12">
      <c r="A613" t="s">
        <v>2639</v>
      </c>
      <c r="B613" t="s">
        <v>838</v>
      </c>
      <c r="C613" t="s">
        <v>2008</v>
      </c>
      <c r="D613" t="s">
        <v>2054</v>
      </c>
      <c r="E613" t="s">
        <v>57</v>
      </c>
      <c r="F613" t="s">
        <v>1971</v>
      </c>
      <c r="G613" t="str">
        <f>INDEX(Risk_Matrix!$B$2:$D$4,MATCH(E613,Risk_Matrix!$A$2:$A$4,0),MATCH(F613,Risk_Matrix!$B$1:$D$1,0))</f>
        <v>Low</v>
      </c>
      <c r="H613" s="1">
        <v>46165</v>
      </c>
      <c r="I613" t="s">
        <v>2002</v>
      </c>
      <c r="J613" t="s">
        <v>2029</v>
      </c>
      <c r="K613" t="s">
        <v>2010</v>
      </c>
      <c r="L613">
        <f>IF(G613="High",3,IF(G613="Medium",2,1))</f>
        <v>1</v>
      </c>
    </row>
    <row r="614" spans="1:12">
      <c r="A614" t="s">
        <v>2640</v>
      </c>
      <c r="B614" t="s">
        <v>840</v>
      </c>
      <c r="C614" t="s">
        <v>1985</v>
      </c>
      <c r="D614" t="s">
        <v>2012</v>
      </c>
      <c r="E614" t="s">
        <v>57</v>
      </c>
      <c r="F614" t="s">
        <v>57</v>
      </c>
      <c r="G614" t="str">
        <f>INDEX(Risk_Matrix!$B$2:$D$4,MATCH(E614,Risk_Matrix!$A$2:$A$4,0),MATCH(F614,Risk_Matrix!$B$1:$D$1,0))</f>
        <v>Low</v>
      </c>
      <c r="H614" s="1">
        <v>46076</v>
      </c>
      <c r="I614" t="s">
        <v>2025</v>
      </c>
      <c r="J614" t="s">
        <v>2026</v>
      </c>
      <c r="K614" t="s">
        <v>1998</v>
      </c>
      <c r="L614">
        <f>IF(G614="High",3,IF(G614="Medium",2,1))</f>
        <v>1</v>
      </c>
    </row>
    <row r="615" spans="1:12">
      <c r="A615" t="s">
        <v>2641</v>
      </c>
      <c r="B615" t="s">
        <v>840</v>
      </c>
      <c r="C615" t="s">
        <v>1991</v>
      </c>
      <c r="D615" t="s">
        <v>2064</v>
      </c>
      <c r="E615" t="s">
        <v>57</v>
      </c>
      <c r="F615" t="s">
        <v>57</v>
      </c>
      <c r="G615" t="str">
        <f>INDEX(Risk_Matrix!$B$2:$D$4,MATCH(E615,Risk_Matrix!$A$2:$A$4,0),MATCH(F615,Risk_Matrix!$B$1:$D$1,0))</f>
        <v>Low</v>
      </c>
      <c r="H615" s="1">
        <v>46173</v>
      </c>
      <c r="I615" t="s">
        <v>1987</v>
      </c>
      <c r="J615" t="s">
        <v>1988</v>
      </c>
      <c r="K615" t="s">
        <v>2010</v>
      </c>
      <c r="L615">
        <f>IF(G615="High",3,IF(G615="Medium",2,1))</f>
        <v>1</v>
      </c>
    </row>
    <row r="616" spans="1:12">
      <c r="A616" t="s">
        <v>2642</v>
      </c>
      <c r="B616" t="s">
        <v>840</v>
      </c>
      <c r="C616" t="s">
        <v>1995</v>
      </c>
      <c r="D616" t="s">
        <v>2150</v>
      </c>
      <c r="E616" t="s">
        <v>57</v>
      </c>
      <c r="F616" t="s">
        <v>57</v>
      </c>
      <c r="G616" t="str">
        <f>INDEX(Risk_Matrix!$B$2:$D$4,MATCH(E616,Risk_Matrix!$A$2:$A$4,0),MATCH(F616,Risk_Matrix!$B$1:$D$1,0))</f>
        <v>Low</v>
      </c>
      <c r="H616" s="1">
        <v>46078</v>
      </c>
      <c r="I616" t="s">
        <v>2002</v>
      </c>
      <c r="J616" t="s">
        <v>2003</v>
      </c>
      <c r="K616" t="s">
        <v>2036</v>
      </c>
      <c r="L616">
        <f>IF(G616="High",3,IF(G616="Medium",2,1))</f>
        <v>1</v>
      </c>
    </row>
    <row r="617" spans="1:12">
      <c r="A617" t="s">
        <v>2643</v>
      </c>
      <c r="B617" t="s">
        <v>840</v>
      </c>
      <c r="C617" t="s">
        <v>2000</v>
      </c>
      <c r="D617" t="s">
        <v>2001</v>
      </c>
      <c r="E617" t="s">
        <v>57</v>
      </c>
      <c r="F617" t="s">
        <v>57</v>
      </c>
      <c r="G617" t="str">
        <f>INDEX(Risk_Matrix!$B$2:$D$4,MATCH(E617,Risk_Matrix!$A$2:$A$4,0),MATCH(F617,Risk_Matrix!$B$1:$D$1,0))</f>
        <v>Low</v>
      </c>
      <c r="H617" s="1">
        <v>46172</v>
      </c>
      <c r="I617" t="s">
        <v>2025</v>
      </c>
      <c r="J617" t="s">
        <v>2026</v>
      </c>
      <c r="K617" t="s">
        <v>1993</v>
      </c>
      <c r="L617">
        <f>IF(G617="High",3,IF(G617="Medium",2,1))</f>
        <v>1</v>
      </c>
    </row>
    <row r="618" spans="1:12">
      <c r="A618" t="s">
        <v>2644</v>
      </c>
      <c r="B618" t="s">
        <v>840</v>
      </c>
      <c r="C618" t="s">
        <v>2005</v>
      </c>
      <c r="D618" t="s">
        <v>2039</v>
      </c>
      <c r="E618" t="s">
        <v>57</v>
      </c>
      <c r="F618" t="s">
        <v>57</v>
      </c>
      <c r="G618" t="str">
        <f>INDEX(Risk_Matrix!$B$2:$D$4,MATCH(E618,Risk_Matrix!$A$2:$A$4,0),MATCH(F618,Risk_Matrix!$B$1:$D$1,0))</f>
        <v>Low</v>
      </c>
      <c r="H618" s="1">
        <v>46156</v>
      </c>
      <c r="I618" t="s">
        <v>2015</v>
      </c>
      <c r="J618" t="s">
        <v>2032</v>
      </c>
      <c r="K618" t="s">
        <v>1993</v>
      </c>
      <c r="L618">
        <f>IF(G618="High",3,IF(G618="Medium",2,1))</f>
        <v>1</v>
      </c>
    </row>
    <row r="619" spans="1:12">
      <c r="A619" t="s">
        <v>2645</v>
      </c>
      <c r="B619" t="s">
        <v>840</v>
      </c>
      <c r="C619" t="s">
        <v>2008</v>
      </c>
      <c r="D619" t="s">
        <v>2009</v>
      </c>
      <c r="E619" t="s">
        <v>57</v>
      </c>
      <c r="F619" t="s">
        <v>57</v>
      </c>
      <c r="G619" t="str">
        <f>INDEX(Risk_Matrix!$B$2:$D$4,MATCH(E619,Risk_Matrix!$A$2:$A$4,0),MATCH(F619,Risk_Matrix!$B$1:$D$1,0))</f>
        <v>Low</v>
      </c>
      <c r="H619" s="1">
        <v>46062</v>
      </c>
      <c r="I619" t="s">
        <v>2025</v>
      </c>
      <c r="J619" t="s">
        <v>2035</v>
      </c>
      <c r="K619" t="s">
        <v>2010</v>
      </c>
      <c r="L619">
        <f>IF(G619="High",3,IF(G619="Medium",2,1))</f>
        <v>1</v>
      </c>
    </row>
    <row r="620" spans="1:12">
      <c r="A620" t="s">
        <v>2646</v>
      </c>
      <c r="B620" t="s">
        <v>843</v>
      </c>
      <c r="C620" t="s">
        <v>1985</v>
      </c>
      <c r="D620" t="s">
        <v>1986</v>
      </c>
      <c r="E620" t="s">
        <v>57</v>
      </c>
      <c r="F620" t="s">
        <v>57</v>
      </c>
      <c r="G620" t="str">
        <f>INDEX(Risk_Matrix!$B$2:$D$4,MATCH(E620,Risk_Matrix!$A$2:$A$4,0),MATCH(F620,Risk_Matrix!$B$1:$D$1,0))</f>
        <v>Low</v>
      </c>
      <c r="H620" s="1">
        <v>46221</v>
      </c>
      <c r="I620" t="s">
        <v>2025</v>
      </c>
      <c r="J620" t="s">
        <v>2026</v>
      </c>
      <c r="K620" t="s">
        <v>1998</v>
      </c>
      <c r="L620">
        <f>IF(G620="High",3,IF(G620="Medium",2,1))</f>
        <v>1</v>
      </c>
    </row>
    <row r="621" spans="1:12">
      <c r="A621" t="s">
        <v>2647</v>
      </c>
      <c r="B621" t="s">
        <v>843</v>
      </c>
      <c r="C621" t="s">
        <v>1991</v>
      </c>
      <c r="D621" t="s">
        <v>2031</v>
      </c>
      <c r="E621" t="s">
        <v>47</v>
      </c>
      <c r="F621" t="s">
        <v>57</v>
      </c>
      <c r="G621" t="str">
        <f>INDEX(Risk_Matrix!$B$2:$D$4,MATCH(E621,Risk_Matrix!$A$2:$A$4,0),MATCH(F621,Risk_Matrix!$B$1:$D$1,0))</f>
        <v>Medium</v>
      </c>
      <c r="H621" s="1">
        <v>46161</v>
      </c>
      <c r="I621" t="s">
        <v>2025</v>
      </c>
      <c r="J621" t="s">
        <v>2035</v>
      </c>
      <c r="K621" t="s">
        <v>1993</v>
      </c>
      <c r="L621">
        <f>IF(G621="High",3,IF(G621="Medium",2,1))</f>
        <v>2</v>
      </c>
    </row>
    <row r="622" spans="1:12">
      <c r="A622" t="s">
        <v>2648</v>
      </c>
      <c r="B622" t="s">
        <v>843</v>
      </c>
      <c r="C622" t="s">
        <v>1995</v>
      </c>
      <c r="D622" t="s">
        <v>2150</v>
      </c>
      <c r="E622" t="s">
        <v>57</v>
      </c>
      <c r="F622" t="s">
        <v>57</v>
      </c>
      <c r="G622" t="str">
        <f>INDEX(Risk_Matrix!$B$2:$D$4,MATCH(E622,Risk_Matrix!$A$2:$A$4,0),MATCH(F622,Risk_Matrix!$B$1:$D$1,0))</f>
        <v>Low</v>
      </c>
      <c r="H622" s="1">
        <v>46161</v>
      </c>
      <c r="I622" t="s">
        <v>2025</v>
      </c>
      <c r="J622" t="s">
        <v>2026</v>
      </c>
      <c r="K622" t="s">
        <v>1998</v>
      </c>
      <c r="L622">
        <f>IF(G622="High",3,IF(G622="Medium",2,1))</f>
        <v>1</v>
      </c>
    </row>
    <row r="623" spans="1:12">
      <c r="A623" t="s">
        <v>2649</v>
      </c>
      <c r="B623" t="s">
        <v>843</v>
      </c>
      <c r="C623" t="s">
        <v>2000</v>
      </c>
      <c r="D623" t="s">
        <v>2001</v>
      </c>
      <c r="E623" t="s">
        <v>47</v>
      </c>
      <c r="F623" t="s">
        <v>1971</v>
      </c>
      <c r="G623" t="str">
        <f>INDEX(Risk_Matrix!$B$2:$D$4,MATCH(E623,Risk_Matrix!$A$2:$A$4,0),MATCH(F623,Risk_Matrix!$B$1:$D$1,0))</f>
        <v>High</v>
      </c>
      <c r="H623" s="1">
        <v>46217</v>
      </c>
      <c r="I623" t="s">
        <v>2015</v>
      </c>
      <c r="J623" t="s">
        <v>2032</v>
      </c>
      <c r="K623" t="s">
        <v>1993</v>
      </c>
      <c r="L623">
        <f>IF(G623="High",3,IF(G623="Medium",2,1))</f>
        <v>3</v>
      </c>
    </row>
    <row r="624" spans="1:12">
      <c r="A624" t="s">
        <v>2650</v>
      </c>
      <c r="B624" t="s">
        <v>843</v>
      </c>
      <c r="C624" t="s">
        <v>2005</v>
      </c>
      <c r="D624" t="s">
        <v>2039</v>
      </c>
      <c r="E624" t="s">
        <v>1971</v>
      </c>
      <c r="F624" t="s">
        <v>57</v>
      </c>
      <c r="G624" t="str">
        <f>INDEX(Risk_Matrix!$B$2:$D$4,MATCH(E624,Risk_Matrix!$A$2:$A$4,0),MATCH(F624,Risk_Matrix!$B$1:$D$1,0))</f>
        <v>Low</v>
      </c>
      <c r="H624" s="1">
        <v>46096</v>
      </c>
      <c r="I624" t="s">
        <v>2025</v>
      </c>
      <c r="J624" t="s">
        <v>2035</v>
      </c>
      <c r="K624" t="s">
        <v>1993</v>
      </c>
      <c r="L624">
        <f>IF(G624="High",3,IF(G624="Medium",2,1))</f>
        <v>1</v>
      </c>
    </row>
    <row r="625" spans="1:12">
      <c r="A625" t="s">
        <v>2651</v>
      </c>
      <c r="B625" t="s">
        <v>843</v>
      </c>
      <c r="C625" t="s">
        <v>2008</v>
      </c>
      <c r="D625" t="s">
        <v>2054</v>
      </c>
      <c r="E625" t="s">
        <v>47</v>
      </c>
      <c r="F625" t="s">
        <v>1971</v>
      </c>
      <c r="G625" t="str">
        <f>INDEX(Risk_Matrix!$B$2:$D$4,MATCH(E625,Risk_Matrix!$A$2:$A$4,0),MATCH(F625,Risk_Matrix!$B$1:$D$1,0))</f>
        <v>High</v>
      </c>
      <c r="H625" s="1">
        <v>46208</v>
      </c>
      <c r="I625" t="s">
        <v>2025</v>
      </c>
      <c r="J625" t="s">
        <v>2026</v>
      </c>
      <c r="K625" t="s">
        <v>2010</v>
      </c>
      <c r="L625">
        <f>IF(G625="High",3,IF(G625="Medium",2,1))</f>
        <v>3</v>
      </c>
    </row>
    <row r="626" spans="1:12">
      <c r="A626" t="s">
        <v>2652</v>
      </c>
      <c r="B626" t="s">
        <v>845</v>
      </c>
      <c r="C626" t="s">
        <v>1985</v>
      </c>
      <c r="D626" t="s">
        <v>2062</v>
      </c>
      <c r="E626" t="s">
        <v>1971</v>
      </c>
      <c r="F626" t="s">
        <v>57</v>
      </c>
      <c r="G626" t="str">
        <f>INDEX(Risk_Matrix!$B$2:$D$4,MATCH(E626,Risk_Matrix!$A$2:$A$4,0),MATCH(F626,Risk_Matrix!$B$1:$D$1,0))</f>
        <v>Low</v>
      </c>
      <c r="H626" s="1">
        <v>46176</v>
      </c>
      <c r="I626" t="s">
        <v>2025</v>
      </c>
      <c r="J626" t="s">
        <v>2035</v>
      </c>
      <c r="K626" t="s">
        <v>1998</v>
      </c>
      <c r="L626">
        <f>IF(G626="High",3,IF(G626="Medium",2,1))</f>
        <v>1</v>
      </c>
    </row>
    <row r="627" spans="1:12">
      <c r="A627" t="s">
        <v>2653</v>
      </c>
      <c r="B627" t="s">
        <v>845</v>
      </c>
      <c r="C627" t="s">
        <v>1991</v>
      </c>
      <c r="D627" t="s">
        <v>2064</v>
      </c>
      <c r="E627" t="s">
        <v>57</v>
      </c>
      <c r="F627" t="s">
        <v>57</v>
      </c>
      <c r="G627" t="str">
        <f>INDEX(Risk_Matrix!$B$2:$D$4,MATCH(E627,Risk_Matrix!$A$2:$A$4,0),MATCH(F627,Risk_Matrix!$B$1:$D$1,0))</f>
        <v>Low</v>
      </c>
      <c r="H627" s="1">
        <v>46227</v>
      </c>
      <c r="I627" t="s">
        <v>2002</v>
      </c>
      <c r="J627" t="s">
        <v>2029</v>
      </c>
      <c r="K627" t="s">
        <v>1993</v>
      </c>
      <c r="L627">
        <f>IF(G627="High",3,IF(G627="Medium",2,1))</f>
        <v>1</v>
      </c>
    </row>
    <row r="628" spans="1:12">
      <c r="A628" t="s">
        <v>2654</v>
      </c>
      <c r="B628" t="s">
        <v>845</v>
      </c>
      <c r="C628" t="s">
        <v>1995</v>
      </c>
      <c r="D628" t="s">
        <v>2018</v>
      </c>
      <c r="E628" t="s">
        <v>57</v>
      </c>
      <c r="F628" t="s">
        <v>57</v>
      </c>
      <c r="G628" t="str">
        <f>INDEX(Risk_Matrix!$B$2:$D$4,MATCH(E628,Risk_Matrix!$A$2:$A$4,0),MATCH(F628,Risk_Matrix!$B$1:$D$1,0))</f>
        <v>Low</v>
      </c>
      <c r="H628" s="1">
        <v>46172</v>
      </c>
      <c r="I628" t="s">
        <v>2015</v>
      </c>
      <c r="J628" t="s">
        <v>2016</v>
      </c>
      <c r="K628" t="s">
        <v>1998</v>
      </c>
      <c r="L628">
        <f>IF(G628="High",3,IF(G628="Medium",2,1))</f>
        <v>1</v>
      </c>
    </row>
    <row r="629" spans="1:12">
      <c r="A629" t="s">
        <v>2655</v>
      </c>
      <c r="B629" t="s">
        <v>845</v>
      </c>
      <c r="C629" t="s">
        <v>2000</v>
      </c>
      <c r="D629" t="s">
        <v>2001</v>
      </c>
      <c r="E629" t="s">
        <v>1971</v>
      </c>
      <c r="F629" t="s">
        <v>1971</v>
      </c>
      <c r="G629" t="str">
        <f>INDEX(Risk_Matrix!$B$2:$D$4,MATCH(E629,Risk_Matrix!$A$2:$A$4,0),MATCH(F629,Risk_Matrix!$B$1:$D$1,0))</f>
        <v>Medium</v>
      </c>
      <c r="H629" s="1">
        <v>46082</v>
      </c>
      <c r="I629" t="s">
        <v>2025</v>
      </c>
      <c r="J629" t="s">
        <v>2026</v>
      </c>
      <c r="K629" t="s">
        <v>1993</v>
      </c>
      <c r="L629">
        <f>IF(G629="High",3,IF(G629="Medium",2,1))</f>
        <v>2</v>
      </c>
    </row>
    <row r="630" spans="1:12">
      <c r="A630" t="s">
        <v>2656</v>
      </c>
      <c r="B630" t="s">
        <v>845</v>
      </c>
      <c r="C630" t="s">
        <v>2005</v>
      </c>
      <c r="D630" t="s">
        <v>2039</v>
      </c>
      <c r="E630" t="s">
        <v>57</v>
      </c>
      <c r="F630" t="s">
        <v>57</v>
      </c>
      <c r="G630" t="str">
        <f>INDEX(Risk_Matrix!$B$2:$D$4,MATCH(E630,Risk_Matrix!$A$2:$A$4,0),MATCH(F630,Risk_Matrix!$B$1:$D$1,0))</f>
        <v>Low</v>
      </c>
      <c r="H630" s="1">
        <v>46228</v>
      </c>
      <c r="I630" t="s">
        <v>2015</v>
      </c>
      <c r="J630" t="s">
        <v>2016</v>
      </c>
      <c r="K630" t="s">
        <v>1993</v>
      </c>
      <c r="L630">
        <f>IF(G630="High",3,IF(G630="Medium",2,1))</f>
        <v>1</v>
      </c>
    </row>
    <row r="631" spans="1:12">
      <c r="A631" t="s">
        <v>2657</v>
      </c>
      <c r="B631" t="s">
        <v>845</v>
      </c>
      <c r="C631" t="s">
        <v>2008</v>
      </c>
      <c r="D631" t="s">
        <v>2009</v>
      </c>
      <c r="E631" t="s">
        <v>1971</v>
      </c>
      <c r="F631" t="s">
        <v>1971</v>
      </c>
      <c r="G631" t="str">
        <f>INDEX(Risk_Matrix!$B$2:$D$4,MATCH(E631,Risk_Matrix!$A$2:$A$4,0),MATCH(F631,Risk_Matrix!$B$1:$D$1,0))</f>
        <v>Medium</v>
      </c>
      <c r="H631" s="1">
        <v>46146</v>
      </c>
      <c r="I631" t="s">
        <v>2025</v>
      </c>
      <c r="J631" t="s">
        <v>2026</v>
      </c>
      <c r="K631" t="s">
        <v>2010</v>
      </c>
      <c r="L631">
        <f>IF(G631="High",3,IF(G631="Medium",2,1))</f>
        <v>2</v>
      </c>
    </row>
    <row r="632" spans="1:12">
      <c r="A632" t="s">
        <v>2658</v>
      </c>
      <c r="B632" t="s">
        <v>847</v>
      </c>
      <c r="C632" t="s">
        <v>1985</v>
      </c>
      <c r="D632" t="s">
        <v>1986</v>
      </c>
      <c r="E632" t="s">
        <v>57</v>
      </c>
      <c r="F632" t="s">
        <v>57</v>
      </c>
      <c r="G632" t="str">
        <f>INDEX(Risk_Matrix!$B$2:$D$4,MATCH(E632,Risk_Matrix!$A$2:$A$4,0),MATCH(F632,Risk_Matrix!$B$1:$D$1,0))</f>
        <v>Low</v>
      </c>
      <c r="H632" s="1">
        <v>46108</v>
      </c>
      <c r="I632" t="s">
        <v>1987</v>
      </c>
      <c r="J632" t="s">
        <v>1997</v>
      </c>
      <c r="K632" t="s">
        <v>1998</v>
      </c>
      <c r="L632">
        <f>IF(G632="High",3,IF(G632="Medium",2,1))</f>
        <v>1</v>
      </c>
    </row>
    <row r="633" spans="1:12">
      <c r="A633" t="s">
        <v>2659</v>
      </c>
      <c r="B633" t="s">
        <v>847</v>
      </c>
      <c r="C633" t="s">
        <v>1991</v>
      </c>
      <c r="D633" t="s">
        <v>2014</v>
      </c>
      <c r="E633" t="s">
        <v>57</v>
      </c>
      <c r="F633" t="s">
        <v>57</v>
      </c>
      <c r="G633" t="str">
        <f>INDEX(Risk_Matrix!$B$2:$D$4,MATCH(E633,Risk_Matrix!$A$2:$A$4,0),MATCH(F633,Risk_Matrix!$B$1:$D$1,0))</f>
        <v>Low</v>
      </c>
      <c r="H633" s="1">
        <v>46124</v>
      </c>
      <c r="I633" t="s">
        <v>2002</v>
      </c>
      <c r="J633" t="s">
        <v>2029</v>
      </c>
      <c r="K633" t="s">
        <v>1993</v>
      </c>
      <c r="L633">
        <f>IF(G633="High",3,IF(G633="Medium",2,1))</f>
        <v>1</v>
      </c>
    </row>
    <row r="634" spans="1:12">
      <c r="A634" t="s">
        <v>2660</v>
      </c>
      <c r="B634" t="s">
        <v>847</v>
      </c>
      <c r="C634" t="s">
        <v>1995</v>
      </c>
      <c r="D634" t="s">
        <v>2150</v>
      </c>
      <c r="E634" t="s">
        <v>57</v>
      </c>
      <c r="F634" t="s">
        <v>57</v>
      </c>
      <c r="G634" t="str">
        <f>INDEX(Risk_Matrix!$B$2:$D$4,MATCH(E634,Risk_Matrix!$A$2:$A$4,0),MATCH(F634,Risk_Matrix!$B$1:$D$1,0))</f>
        <v>Low</v>
      </c>
      <c r="H634" s="1">
        <v>46079</v>
      </c>
      <c r="I634" t="s">
        <v>2025</v>
      </c>
      <c r="J634" t="s">
        <v>2026</v>
      </c>
      <c r="K634" t="s">
        <v>1998</v>
      </c>
      <c r="L634">
        <f>IF(G634="High",3,IF(G634="Medium",2,1))</f>
        <v>1</v>
      </c>
    </row>
    <row r="635" spans="1:12">
      <c r="A635" t="s">
        <v>2661</v>
      </c>
      <c r="B635" t="s">
        <v>847</v>
      </c>
      <c r="C635" t="s">
        <v>2000</v>
      </c>
      <c r="D635" t="s">
        <v>2045</v>
      </c>
      <c r="E635" t="s">
        <v>57</v>
      </c>
      <c r="F635" t="s">
        <v>47</v>
      </c>
      <c r="G635" t="str">
        <f>INDEX(Risk_Matrix!$B$2:$D$4,MATCH(E635,Risk_Matrix!$A$2:$A$4,0),MATCH(F635,Risk_Matrix!$B$1:$D$1,0))</f>
        <v>Medium</v>
      </c>
      <c r="H635" s="1">
        <v>46201</v>
      </c>
      <c r="I635" t="s">
        <v>2015</v>
      </c>
      <c r="J635" t="s">
        <v>2016</v>
      </c>
      <c r="K635" t="s">
        <v>1993</v>
      </c>
      <c r="L635">
        <f>IF(G635="High",3,IF(G635="Medium",2,1))</f>
        <v>2</v>
      </c>
    </row>
    <row r="636" spans="1:12">
      <c r="A636" t="s">
        <v>2662</v>
      </c>
      <c r="B636" t="s">
        <v>847</v>
      </c>
      <c r="C636" t="s">
        <v>2005</v>
      </c>
      <c r="D636" t="s">
        <v>2039</v>
      </c>
      <c r="E636" t="s">
        <v>57</v>
      </c>
      <c r="F636" t="s">
        <v>57</v>
      </c>
      <c r="G636" t="str">
        <f>INDEX(Risk_Matrix!$B$2:$D$4,MATCH(E636,Risk_Matrix!$A$2:$A$4,0),MATCH(F636,Risk_Matrix!$B$1:$D$1,0))</f>
        <v>Low</v>
      </c>
      <c r="H636" s="1">
        <v>46165</v>
      </c>
      <c r="I636" t="s">
        <v>2002</v>
      </c>
      <c r="J636" t="s">
        <v>2029</v>
      </c>
      <c r="K636" t="s">
        <v>1993</v>
      </c>
      <c r="L636">
        <f>IF(G636="High",3,IF(G636="Medium",2,1))</f>
        <v>1</v>
      </c>
    </row>
    <row r="637" spans="1:12">
      <c r="A637" t="s">
        <v>2663</v>
      </c>
      <c r="B637" t="s">
        <v>847</v>
      </c>
      <c r="C637" t="s">
        <v>2008</v>
      </c>
      <c r="D637" t="s">
        <v>2024</v>
      </c>
      <c r="E637" t="s">
        <v>57</v>
      </c>
      <c r="F637" t="s">
        <v>57</v>
      </c>
      <c r="G637" t="str">
        <f>INDEX(Risk_Matrix!$B$2:$D$4,MATCH(E637,Risk_Matrix!$A$2:$A$4,0),MATCH(F637,Risk_Matrix!$B$1:$D$1,0))</f>
        <v>Low</v>
      </c>
      <c r="H637" s="1">
        <v>46209</v>
      </c>
      <c r="I637" t="s">
        <v>1987</v>
      </c>
      <c r="J637" t="s">
        <v>1997</v>
      </c>
      <c r="K637" t="s">
        <v>2010</v>
      </c>
      <c r="L637">
        <f>IF(G637="High",3,IF(G637="Medium",2,1))</f>
        <v>1</v>
      </c>
    </row>
    <row r="638" spans="1:12">
      <c r="A638" t="s">
        <v>2664</v>
      </c>
      <c r="B638" t="s">
        <v>849</v>
      </c>
      <c r="C638" t="s">
        <v>1985</v>
      </c>
      <c r="D638" t="s">
        <v>1986</v>
      </c>
      <c r="E638" t="s">
        <v>57</v>
      </c>
      <c r="F638" t="s">
        <v>57</v>
      </c>
      <c r="G638" t="str">
        <f>INDEX(Risk_Matrix!$B$2:$D$4,MATCH(E638,Risk_Matrix!$A$2:$A$4,0),MATCH(F638,Risk_Matrix!$B$1:$D$1,0))</f>
        <v>Low</v>
      </c>
      <c r="H638" s="1">
        <v>46169</v>
      </c>
      <c r="I638" t="s">
        <v>2025</v>
      </c>
      <c r="J638" t="s">
        <v>2026</v>
      </c>
      <c r="K638" t="s">
        <v>1998</v>
      </c>
      <c r="L638">
        <f>IF(G638="High",3,IF(G638="Medium",2,1))</f>
        <v>1</v>
      </c>
    </row>
    <row r="639" spans="1:12">
      <c r="A639" t="s">
        <v>2665</v>
      </c>
      <c r="B639" t="s">
        <v>849</v>
      </c>
      <c r="C639" t="s">
        <v>1991</v>
      </c>
      <c r="D639" t="s">
        <v>2064</v>
      </c>
      <c r="E639" t="s">
        <v>57</v>
      </c>
      <c r="F639" t="s">
        <v>57</v>
      </c>
      <c r="G639" t="str">
        <f>INDEX(Risk_Matrix!$B$2:$D$4,MATCH(E639,Risk_Matrix!$A$2:$A$4,0),MATCH(F639,Risk_Matrix!$B$1:$D$1,0))</f>
        <v>Low</v>
      </c>
      <c r="H639" s="1">
        <v>46107</v>
      </c>
      <c r="I639" t="s">
        <v>2025</v>
      </c>
      <c r="J639" t="s">
        <v>2035</v>
      </c>
      <c r="K639" t="s">
        <v>1993</v>
      </c>
      <c r="L639">
        <f>IF(G639="High",3,IF(G639="Medium",2,1))</f>
        <v>1</v>
      </c>
    </row>
    <row r="640" spans="1:12">
      <c r="A640" t="s">
        <v>2666</v>
      </c>
      <c r="B640" t="s">
        <v>849</v>
      </c>
      <c r="C640" t="s">
        <v>1995</v>
      </c>
      <c r="D640" t="s">
        <v>2034</v>
      </c>
      <c r="E640" t="s">
        <v>1971</v>
      </c>
      <c r="F640" t="s">
        <v>1971</v>
      </c>
      <c r="G640" t="str">
        <f>INDEX(Risk_Matrix!$B$2:$D$4,MATCH(E640,Risk_Matrix!$A$2:$A$4,0),MATCH(F640,Risk_Matrix!$B$1:$D$1,0))</f>
        <v>Medium</v>
      </c>
      <c r="H640" s="1">
        <v>46147</v>
      </c>
      <c r="I640" t="s">
        <v>2025</v>
      </c>
      <c r="J640" t="s">
        <v>2035</v>
      </c>
      <c r="K640" t="s">
        <v>2036</v>
      </c>
      <c r="L640">
        <f>IF(G640="High",3,IF(G640="Medium",2,1))</f>
        <v>2</v>
      </c>
    </row>
    <row r="641" spans="1:12">
      <c r="A641" t="s">
        <v>2667</v>
      </c>
      <c r="B641" t="s">
        <v>849</v>
      </c>
      <c r="C641" t="s">
        <v>2000</v>
      </c>
      <c r="D641" t="s">
        <v>2020</v>
      </c>
      <c r="E641" t="s">
        <v>1971</v>
      </c>
      <c r="F641" t="s">
        <v>57</v>
      </c>
      <c r="G641" t="str">
        <f>INDEX(Risk_Matrix!$B$2:$D$4,MATCH(E641,Risk_Matrix!$A$2:$A$4,0),MATCH(F641,Risk_Matrix!$B$1:$D$1,0))</f>
        <v>Low</v>
      </c>
      <c r="H641" s="1">
        <v>46215</v>
      </c>
      <c r="I641" t="s">
        <v>2015</v>
      </c>
      <c r="J641" t="s">
        <v>2016</v>
      </c>
      <c r="K641" t="s">
        <v>1993</v>
      </c>
      <c r="L641">
        <f>IF(G641="High",3,IF(G641="Medium",2,1))</f>
        <v>1</v>
      </c>
    </row>
    <row r="642" spans="1:12">
      <c r="A642" t="s">
        <v>2668</v>
      </c>
      <c r="B642" t="s">
        <v>849</v>
      </c>
      <c r="C642" t="s">
        <v>2005</v>
      </c>
      <c r="D642" t="s">
        <v>2039</v>
      </c>
      <c r="E642" t="s">
        <v>57</v>
      </c>
      <c r="F642" t="s">
        <v>57</v>
      </c>
      <c r="G642" t="str">
        <f>INDEX(Risk_Matrix!$B$2:$D$4,MATCH(E642,Risk_Matrix!$A$2:$A$4,0),MATCH(F642,Risk_Matrix!$B$1:$D$1,0))</f>
        <v>Low</v>
      </c>
      <c r="H642" s="1">
        <v>46210</v>
      </c>
      <c r="I642" t="s">
        <v>1987</v>
      </c>
      <c r="J642" t="s">
        <v>1988</v>
      </c>
      <c r="K642" t="s">
        <v>1993</v>
      </c>
      <c r="L642">
        <f>IF(G642="High",3,IF(G642="Medium",2,1))</f>
        <v>1</v>
      </c>
    </row>
    <row r="643" spans="1:12">
      <c r="A643" t="s">
        <v>2669</v>
      </c>
      <c r="B643" t="s">
        <v>849</v>
      </c>
      <c r="C643" t="s">
        <v>2008</v>
      </c>
      <c r="D643" t="s">
        <v>2009</v>
      </c>
      <c r="E643" t="s">
        <v>57</v>
      </c>
      <c r="F643" t="s">
        <v>57</v>
      </c>
      <c r="G643" t="str">
        <f>INDEX(Risk_Matrix!$B$2:$D$4,MATCH(E643,Risk_Matrix!$A$2:$A$4,0),MATCH(F643,Risk_Matrix!$B$1:$D$1,0))</f>
        <v>Low</v>
      </c>
      <c r="H643" s="1">
        <v>46170</v>
      </c>
      <c r="I643" t="s">
        <v>2025</v>
      </c>
      <c r="J643" t="s">
        <v>2035</v>
      </c>
      <c r="K643" t="s">
        <v>2010</v>
      </c>
      <c r="L643">
        <f>IF(G643="High",3,IF(G643="Medium",2,1))</f>
        <v>1</v>
      </c>
    </row>
    <row r="644" spans="1:12">
      <c r="A644" t="s">
        <v>2670</v>
      </c>
      <c r="B644" t="s">
        <v>851</v>
      </c>
      <c r="C644" t="s">
        <v>1985</v>
      </c>
      <c r="D644" t="s">
        <v>2062</v>
      </c>
      <c r="E644" t="s">
        <v>47</v>
      </c>
      <c r="F644" t="s">
        <v>47</v>
      </c>
      <c r="G644" t="str">
        <f>INDEX(Risk_Matrix!$B$2:$D$4,MATCH(E644,Risk_Matrix!$A$2:$A$4,0),MATCH(F644,Risk_Matrix!$B$1:$D$1,0))</f>
        <v>High</v>
      </c>
      <c r="H644" s="1">
        <v>46234</v>
      </c>
      <c r="I644" t="s">
        <v>2015</v>
      </c>
      <c r="J644" t="s">
        <v>2032</v>
      </c>
      <c r="K644" t="s">
        <v>1998</v>
      </c>
      <c r="L644">
        <f>IF(G644="High",3,IF(G644="Medium",2,1))</f>
        <v>3</v>
      </c>
    </row>
    <row r="645" spans="1:12">
      <c r="A645" t="s">
        <v>2671</v>
      </c>
      <c r="B645" t="s">
        <v>851</v>
      </c>
      <c r="C645" t="s">
        <v>1991</v>
      </c>
      <c r="D645" t="s">
        <v>2064</v>
      </c>
      <c r="E645" t="s">
        <v>1971</v>
      </c>
      <c r="F645" t="s">
        <v>1971</v>
      </c>
      <c r="G645" t="str">
        <f>INDEX(Risk_Matrix!$B$2:$D$4,MATCH(E645,Risk_Matrix!$A$2:$A$4,0),MATCH(F645,Risk_Matrix!$B$1:$D$1,0))</f>
        <v>Medium</v>
      </c>
      <c r="H645" s="1">
        <v>46068</v>
      </c>
      <c r="I645" t="s">
        <v>2025</v>
      </c>
      <c r="J645" t="s">
        <v>2035</v>
      </c>
      <c r="K645" t="s">
        <v>1993</v>
      </c>
      <c r="L645">
        <f>IF(G645="High",3,IF(G645="Medium",2,1))</f>
        <v>2</v>
      </c>
    </row>
    <row r="646" spans="1:12">
      <c r="A646" t="s">
        <v>2672</v>
      </c>
      <c r="B646" t="s">
        <v>851</v>
      </c>
      <c r="C646" t="s">
        <v>1995</v>
      </c>
      <c r="D646" t="s">
        <v>2150</v>
      </c>
      <c r="E646" t="s">
        <v>1971</v>
      </c>
      <c r="F646" t="s">
        <v>57</v>
      </c>
      <c r="G646" t="str">
        <f>INDEX(Risk_Matrix!$B$2:$D$4,MATCH(E646,Risk_Matrix!$A$2:$A$4,0),MATCH(F646,Risk_Matrix!$B$1:$D$1,0))</f>
        <v>Low</v>
      </c>
      <c r="H646" s="1">
        <v>46149</v>
      </c>
      <c r="I646" t="s">
        <v>2002</v>
      </c>
      <c r="J646" t="s">
        <v>2003</v>
      </c>
      <c r="K646" t="s">
        <v>2036</v>
      </c>
      <c r="L646">
        <f>IF(G646="High",3,IF(G646="Medium",2,1))</f>
        <v>1</v>
      </c>
    </row>
    <row r="647" spans="1:12">
      <c r="A647" t="s">
        <v>2673</v>
      </c>
      <c r="B647" t="s">
        <v>851</v>
      </c>
      <c r="C647" t="s">
        <v>2000</v>
      </c>
      <c r="D647" t="s">
        <v>2045</v>
      </c>
      <c r="E647" t="s">
        <v>47</v>
      </c>
      <c r="F647" t="s">
        <v>57</v>
      </c>
      <c r="G647" t="str">
        <f>INDEX(Risk_Matrix!$B$2:$D$4,MATCH(E647,Risk_Matrix!$A$2:$A$4,0),MATCH(F647,Risk_Matrix!$B$1:$D$1,0))</f>
        <v>Medium</v>
      </c>
      <c r="H647" s="1">
        <v>46109</v>
      </c>
      <c r="I647" t="s">
        <v>2025</v>
      </c>
      <c r="J647" t="s">
        <v>2035</v>
      </c>
      <c r="K647" t="s">
        <v>1993</v>
      </c>
      <c r="L647">
        <f>IF(G647="High",3,IF(G647="Medium",2,1))</f>
        <v>2</v>
      </c>
    </row>
    <row r="648" spans="1:12">
      <c r="A648" t="s">
        <v>2674</v>
      </c>
      <c r="B648" t="s">
        <v>851</v>
      </c>
      <c r="C648" t="s">
        <v>2005</v>
      </c>
      <c r="D648" t="s">
        <v>2022</v>
      </c>
      <c r="E648" t="s">
        <v>57</v>
      </c>
      <c r="F648" t="s">
        <v>47</v>
      </c>
      <c r="G648" t="str">
        <f>INDEX(Risk_Matrix!$B$2:$D$4,MATCH(E648,Risk_Matrix!$A$2:$A$4,0),MATCH(F648,Risk_Matrix!$B$1:$D$1,0))</f>
        <v>Medium</v>
      </c>
      <c r="H648" s="1">
        <v>46173</v>
      </c>
      <c r="I648" t="s">
        <v>2025</v>
      </c>
      <c r="J648" t="s">
        <v>2026</v>
      </c>
      <c r="K648" t="s">
        <v>1993</v>
      </c>
      <c r="L648">
        <f>IF(G648="High",3,IF(G648="Medium",2,1))</f>
        <v>2</v>
      </c>
    </row>
    <row r="649" spans="1:12">
      <c r="A649" t="s">
        <v>2675</v>
      </c>
      <c r="B649" t="s">
        <v>851</v>
      </c>
      <c r="C649" t="s">
        <v>2008</v>
      </c>
      <c r="D649" t="s">
        <v>2024</v>
      </c>
      <c r="E649" t="s">
        <v>57</v>
      </c>
      <c r="F649" t="s">
        <v>47</v>
      </c>
      <c r="G649" t="str">
        <f>INDEX(Risk_Matrix!$B$2:$D$4,MATCH(E649,Risk_Matrix!$A$2:$A$4,0),MATCH(F649,Risk_Matrix!$B$1:$D$1,0))</f>
        <v>Medium</v>
      </c>
      <c r="H649" s="1">
        <v>46194</v>
      </c>
      <c r="I649" t="s">
        <v>2015</v>
      </c>
      <c r="J649" t="s">
        <v>2032</v>
      </c>
      <c r="K649" t="s">
        <v>1998</v>
      </c>
      <c r="L649">
        <f>IF(G649="High",3,IF(G649="Medium",2,1))</f>
        <v>2</v>
      </c>
    </row>
    <row r="650" spans="1:12">
      <c r="A650" t="s">
        <v>2676</v>
      </c>
      <c r="B650" t="s">
        <v>853</v>
      </c>
      <c r="C650" t="s">
        <v>1985</v>
      </c>
      <c r="D650" t="s">
        <v>2012</v>
      </c>
      <c r="E650" t="s">
        <v>57</v>
      </c>
      <c r="F650" t="s">
        <v>57</v>
      </c>
      <c r="G650" t="str">
        <f>INDEX(Risk_Matrix!$B$2:$D$4,MATCH(E650,Risk_Matrix!$A$2:$A$4,0),MATCH(F650,Risk_Matrix!$B$1:$D$1,0))</f>
        <v>Low</v>
      </c>
      <c r="H650" s="1">
        <v>46114</v>
      </c>
      <c r="I650" t="s">
        <v>2025</v>
      </c>
      <c r="J650" t="s">
        <v>2035</v>
      </c>
      <c r="K650" t="s">
        <v>1998</v>
      </c>
      <c r="L650">
        <f>IF(G650="High",3,IF(G650="Medium",2,1))</f>
        <v>1</v>
      </c>
    </row>
    <row r="651" spans="1:12">
      <c r="A651" t="s">
        <v>2677</v>
      </c>
      <c r="B651" t="s">
        <v>853</v>
      </c>
      <c r="C651" t="s">
        <v>1991</v>
      </c>
      <c r="D651" t="s">
        <v>2031</v>
      </c>
      <c r="E651" t="s">
        <v>57</v>
      </c>
      <c r="F651" t="s">
        <v>1971</v>
      </c>
      <c r="G651" t="str">
        <f>INDEX(Risk_Matrix!$B$2:$D$4,MATCH(E651,Risk_Matrix!$A$2:$A$4,0),MATCH(F651,Risk_Matrix!$B$1:$D$1,0))</f>
        <v>Low</v>
      </c>
      <c r="H651" s="1">
        <v>46115</v>
      </c>
      <c r="I651" t="s">
        <v>2002</v>
      </c>
      <c r="J651" t="s">
        <v>2003</v>
      </c>
      <c r="K651" t="s">
        <v>1993</v>
      </c>
      <c r="L651">
        <f>IF(G651="High",3,IF(G651="Medium",2,1))</f>
        <v>1</v>
      </c>
    </row>
    <row r="652" spans="1:12">
      <c r="A652" t="s">
        <v>2678</v>
      </c>
      <c r="B652" t="s">
        <v>853</v>
      </c>
      <c r="C652" t="s">
        <v>1995</v>
      </c>
      <c r="D652" t="s">
        <v>2150</v>
      </c>
      <c r="E652" t="s">
        <v>57</v>
      </c>
      <c r="F652" t="s">
        <v>57</v>
      </c>
      <c r="G652" t="str">
        <f>INDEX(Risk_Matrix!$B$2:$D$4,MATCH(E652,Risk_Matrix!$A$2:$A$4,0),MATCH(F652,Risk_Matrix!$B$1:$D$1,0))</f>
        <v>Low</v>
      </c>
      <c r="H652" s="1">
        <v>46062</v>
      </c>
      <c r="I652" t="s">
        <v>2025</v>
      </c>
      <c r="J652" t="s">
        <v>2026</v>
      </c>
      <c r="K652" t="s">
        <v>2036</v>
      </c>
      <c r="L652">
        <f>IF(G652="High",3,IF(G652="Medium",2,1))</f>
        <v>1</v>
      </c>
    </row>
    <row r="653" spans="1:12">
      <c r="A653" t="s">
        <v>2679</v>
      </c>
      <c r="B653" t="s">
        <v>853</v>
      </c>
      <c r="C653" t="s">
        <v>2000</v>
      </c>
      <c r="D653" t="s">
        <v>2045</v>
      </c>
      <c r="E653" t="s">
        <v>57</v>
      </c>
      <c r="F653" t="s">
        <v>47</v>
      </c>
      <c r="G653" t="str">
        <f>INDEX(Risk_Matrix!$B$2:$D$4,MATCH(E653,Risk_Matrix!$A$2:$A$4,0),MATCH(F653,Risk_Matrix!$B$1:$D$1,0))</f>
        <v>Medium</v>
      </c>
      <c r="H653" s="1">
        <v>46180</v>
      </c>
      <c r="I653" t="s">
        <v>2015</v>
      </c>
      <c r="J653" t="s">
        <v>2032</v>
      </c>
      <c r="K653" t="s">
        <v>1993</v>
      </c>
      <c r="L653">
        <f>IF(G653="High",3,IF(G653="Medium",2,1))</f>
        <v>2</v>
      </c>
    </row>
    <row r="654" spans="1:12">
      <c r="A654" t="s">
        <v>2680</v>
      </c>
      <c r="B654" t="s">
        <v>853</v>
      </c>
      <c r="C654" t="s">
        <v>2005</v>
      </c>
      <c r="D654" t="s">
        <v>2006</v>
      </c>
      <c r="E654" t="s">
        <v>57</v>
      </c>
      <c r="F654" t="s">
        <v>1971</v>
      </c>
      <c r="G654" t="str">
        <f>INDEX(Risk_Matrix!$B$2:$D$4,MATCH(E654,Risk_Matrix!$A$2:$A$4,0),MATCH(F654,Risk_Matrix!$B$1:$D$1,0))</f>
        <v>Low</v>
      </c>
      <c r="H654" s="1">
        <v>46064</v>
      </c>
      <c r="I654" t="s">
        <v>1987</v>
      </c>
      <c r="J654" t="s">
        <v>1997</v>
      </c>
      <c r="K654" t="s">
        <v>2036</v>
      </c>
      <c r="L654">
        <f>IF(G654="High",3,IF(G654="Medium",2,1))</f>
        <v>1</v>
      </c>
    </row>
    <row r="655" spans="1:12">
      <c r="A655" t="s">
        <v>2681</v>
      </c>
      <c r="B655" t="s">
        <v>853</v>
      </c>
      <c r="C655" t="s">
        <v>2008</v>
      </c>
      <c r="D655" t="s">
        <v>2054</v>
      </c>
      <c r="E655" t="s">
        <v>1971</v>
      </c>
      <c r="F655" t="s">
        <v>57</v>
      </c>
      <c r="G655" t="str">
        <f>INDEX(Risk_Matrix!$B$2:$D$4,MATCH(E655,Risk_Matrix!$A$2:$A$4,0),MATCH(F655,Risk_Matrix!$B$1:$D$1,0))</f>
        <v>Low</v>
      </c>
      <c r="H655" s="1">
        <v>46158</v>
      </c>
      <c r="I655" t="s">
        <v>2002</v>
      </c>
      <c r="J655" t="s">
        <v>2029</v>
      </c>
      <c r="K655" t="s">
        <v>2010</v>
      </c>
      <c r="L655">
        <f>IF(G655="High",3,IF(G655="Medium",2,1))</f>
        <v>1</v>
      </c>
    </row>
    <row r="656" spans="1:12">
      <c r="A656" t="s">
        <v>2682</v>
      </c>
      <c r="B656" t="s">
        <v>855</v>
      </c>
      <c r="C656" t="s">
        <v>1985</v>
      </c>
      <c r="D656" t="s">
        <v>2062</v>
      </c>
      <c r="E656" t="s">
        <v>57</v>
      </c>
      <c r="F656" t="s">
        <v>57</v>
      </c>
      <c r="G656" t="str">
        <f>INDEX(Risk_Matrix!$B$2:$D$4,MATCH(E656,Risk_Matrix!$A$2:$A$4,0),MATCH(F656,Risk_Matrix!$B$1:$D$1,0))</f>
        <v>Low</v>
      </c>
      <c r="H656" s="1">
        <v>46176</v>
      </c>
      <c r="I656" t="s">
        <v>2015</v>
      </c>
      <c r="J656" t="s">
        <v>2032</v>
      </c>
      <c r="K656" t="s">
        <v>1998</v>
      </c>
      <c r="L656">
        <f>IF(G656="High",3,IF(G656="Medium",2,1))</f>
        <v>1</v>
      </c>
    </row>
    <row r="657" spans="1:12">
      <c r="A657" t="s">
        <v>2683</v>
      </c>
      <c r="B657" t="s">
        <v>855</v>
      </c>
      <c r="C657" t="s">
        <v>1991</v>
      </c>
      <c r="D657" t="s">
        <v>2064</v>
      </c>
      <c r="E657" t="s">
        <v>57</v>
      </c>
      <c r="F657" t="s">
        <v>57</v>
      </c>
      <c r="G657" t="str">
        <f>INDEX(Risk_Matrix!$B$2:$D$4,MATCH(E657,Risk_Matrix!$A$2:$A$4,0),MATCH(F657,Risk_Matrix!$B$1:$D$1,0))</f>
        <v>Low</v>
      </c>
      <c r="H657" s="1">
        <v>46122</v>
      </c>
      <c r="I657" t="s">
        <v>2025</v>
      </c>
      <c r="J657" t="s">
        <v>2026</v>
      </c>
      <c r="K657" t="s">
        <v>1993</v>
      </c>
      <c r="L657">
        <f>IF(G657="High",3,IF(G657="Medium",2,1))</f>
        <v>1</v>
      </c>
    </row>
    <row r="658" spans="1:12">
      <c r="A658" t="s">
        <v>2684</v>
      </c>
      <c r="B658" t="s">
        <v>855</v>
      </c>
      <c r="C658" t="s">
        <v>1995</v>
      </c>
      <c r="D658" t="s">
        <v>2150</v>
      </c>
      <c r="E658" t="s">
        <v>57</v>
      </c>
      <c r="F658" t="s">
        <v>57</v>
      </c>
      <c r="G658" t="str">
        <f>INDEX(Risk_Matrix!$B$2:$D$4,MATCH(E658,Risk_Matrix!$A$2:$A$4,0),MATCH(F658,Risk_Matrix!$B$1:$D$1,0))</f>
        <v>Low</v>
      </c>
      <c r="H658" s="1">
        <v>46079</v>
      </c>
      <c r="I658" t="s">
        <v>2025</v>
      </c>
      <c r="J658" t="s">
        <v>2026</v>
      </c>
      <c r="K658" t="s">
        <v>2036</v>
      </c>
      <c r="L658">
        <f>IF(G658="High",3,IF(G658="Medium",2,1))</f>
        <v>1</v>
      </c>
    </row>
    <row r="659" spans="1:12">
      <c r="A659" t="s">
        <v>2685</v>
      </c>
      <c r="B659" t="s">
        <v>855</v>
      </c>
      <c r="C659" t="s">
        <v>2000</v>
      </c>
      <c r="D659" t="s">
        <v>2045</v>
      </c>
      <c r="E659" t="s">
        <v>57</v>
      </c>
      <c r="F659" t="s">
        <v>1971</v>
      </c>
      <c r="G659" t="str">
        <f>INDEX(Risk_Matrix!$B$2:$D$4,MATCH(E659,Risk_Matrix!$A$2:$A$4,0),MATCH(F659,Risk_Matrix!$B$1:$D$1,0))</f>
        <v>Low</v>
      </c>
      <c r="H659" s="1">
        <v>46183</v>
      </c>
      <c r="I659" t="s">
        <v>2025</v>
      </c>
      <c r="J659" t="s">
        <v>2026</v>
      </c>
      <c r="K659" t="s">
        <v>1989</v>
      </c>
      <c r="L659">
        <f>IF(G659="High",3,IF(G659="Medium",2,1))</f>
        <v>1</v>
      </c>
    </row>
    <row r="660" spans="1:12">
      <c r="A660" t="s">
        <v>2686</v>
      </c>
      <c r="B660" t="s">
        <v>855</v>
      </c>
      <c r="C660" t="s">
        <v>2005</v>
      </c>
      <c r="D660" t="s">
        <v>2039</v>
      </c>
      <c r="E660" t="s">
        <v>1971</v>
      </c>
      <c r="F660" t="s">
        <v>57</v>
      </c>
      <c r="G660" t="str">
        <f>INDEX(Risk_Matrix!$B$2:$D$4,MATCH(E660,Risk_Matrix!$A$2:$A$4,0),MATCH(F660,Risk_Matrix!$B$1:$D$1,0))</f>
        <v>Low</v>
      </c>
      <c r="H660" s="1">
        <v>46194</v>
      </c>
      <c r="I660" t="s">
        <v>2002</v>
      </c>
      <c r="J660" t="s">
        <v>2029</v>
      </c>
      <c r="K660" t="s">
        <v>1993</v>
      </c>
      <c r="L660">
        <f>IF(G660="High",3,IF(G660="Medium",2,1))</f>
        <v>1</v>
      </c>
    </row>
    <row r="661" spans="1:12">
      <c r="A661" t="s">
        <v>2687</v>
      </c>
      <c r="B661" t="s">
        <v>855</v>
      </c>
      <c r="C661" t="s">
        <v>2008</v>
      </c>
      <c r="D661" t="s">
        <v>2009</v>
      </c>
      <c r="E661" t="s">
        <v>1971</v>
      </c>
      <c r="F661" t="s">
        <v>1971</v>
      </c>
      <c r="G661" t="str">
        <f>INDEX(Risk_Matrix!$B$2:$D$4,MATCH(E661,Risk_Matrix!$A$2:$A$4,0),MATCH(F661,Risk_Matrix!$B$1:$D$1,0))</f>
        <v>Medium</v>
      </c>
      <c r="H661" s="1">
        <v>46120</v>
      </c>
      <c r="I661" t="s">
        <v>2025</v>
      </c>
      <c r="J661" t="s">
        <v>2035</v>
      </c>
      <c r="K661" t="s">
        <v>2010</v>
      </c>
      <c r="L661">
        <f>IF(G661="High",3,IF(G661="Medium",2,1))</f>
        <v>2</v>
      </c>
    </row>
    <row r="662" spans="1:12">
      <c r="A662" t="s">
        <v>2688</v>
      </c>
      <c r="B662" t="s">
        <v>857</v>
      </c>
      <c r="C662" t="s">
        <v>1985</v>
      </c>
      <c r="D662" t="s">
        <v>1986</v>
      </c>
      <c r="E662" t="s">
        <v>57</v>
      </c>
      <c r="F662" t="s">
        <v>57</v>
      </c>
      <c r="G662" t="str">
        <f>INDEX(Risk_Matrix!$B$2:$D$4,MATCH(E662,Risk_Matrix!$A$2:$A$4,0),MATCH(F662,Risk_Matrix!$B$1:$D$1,0))</f>
        <v>Low</v>
      </c>
      <c r="H662" s="1">
        <v>46086</v>
      </c>
      <c r="I662" t="s">
        <v>1987</v>
      </c>
      <c r="J662" t="s">
        <v>1997</v>
      </c>
      <c r="K662" t="s">
        <v>1989</v>
      </c>
      <c r="L662">
        <f>IF(G662="High",3,IF(G662="Medium",2,1))</f>
        <v>1</v>
      </c>
    </row>
    <row r="663" spans="1:12">
      <c r="A663" t="s">
        <v>2689</v>
      </c>
      <c r="B663" t="s">
        <v>857</v>
      </c>
      <c r="C663" t="s">
        <v>1991</v>
      </c>
      <c r="D663" t="s">
        <v>2031</v>
      </c>
      <c r="E663" t="s">
        <v>57</v>
      </c>
      <c r="F663" t="s">
        <v>57</v>
      </c>
      <c r="G663" t="str">
        <f>INDEX(Risk_Matrix!$B$2:$D$4,MATCH(E663,Risk_Matrix!$A$2:$A$4,0),MATCH(F663,Risk_Matrix!$B$1:$D$1,0))</f>
        <v>Low</v>
      </c>
      <c r="H663" s="1">
        <v>46163</v>
      </c>
      <c r="I663" t="s">
        <v>2015</v>
      </c>
      <c r="J663" t="s">
        <v>2032</v>
      </c>
      <c r="K663" t="s">
        <v>1993</v>
      </c>
      <c r="L663">
        <f>IF(G663="High",3,IF(G663="Medium",2,1))</f>
        <v>1</v>
      </c>
    </row>
    <row r="664" spans="1:12">
      <c r="A664" t="s">
        <v>2690</v>
      </c>
      <c r="B664" t="s">
        <v>857</v>
      </c>
      <c r="C664" t="s">
        <v>1995</v>
      </c>
      <c r="D664" t="s">
        <v>2150</v>
      </c>
      <c r="E664" t="s">
        <v>57</v>
      </c>
      <c r="F664" t="s">
        <v>57</v>
      </c>
      <c r="G664" t="str">
        <f>INDEX(Risk_Matrix!$B$2:$D$4,MATCH(E664,Risk_Matrix!$A$2:$A$4,0),MATCH(F664,Risk_Matrix!$B$1:$D$1,0))</f>
        <v>Low</v>
      </c>
      <c r="H664" s="1">
        <v>46163</v>
      </c>
      <c r="I664" t="s">
        <v>1987</v>
      </c>
      <c r="J664" t="s">
        <v>1988</v>
      </c>
      <c r="K664" t="s">
        <v>2036</v>
      </c>
      <c r="L664">
        <f>IF(G664="High",3,IF(G664="Medium",2,1))</f>
        <v>1</v>
      </c>
    </row>
    <row r="665" spans="1:12">
      <c r="A665" t="s">
        <v>2691</v>
      </c>
      <c r="B665" t="s">
        <v>857</v>
      </c>
      <c r="C665" t="s">
        <v>2000</v>
      </c>
      <c r="D665" t="s">
        <v>2020</v>
      </c>
      <c r="E665" t="s">
        <v>1971</v>
      </c>
      <c r="F665" t="s">
        <v>47</v>
      </c>
      <c r="G665" t="str">
        <f>INDEX(Risk_Matrix!$B$2:$D$4,MATCH(E665,Risk_Matrix!$A$2:$A$4,0),MATCH(F665,Risk_Matrix!$B$1:$D$1,0))</f>
        <v>High</v>
      </c>
      <c r="H665" s="1">
        <v>46104</v>
      </c>
      <c r="I665" t="s">
        <v>2025</v>
      </c>
      <c r="J665" t="s">
        <v>2035</v>
      </c>
      <c r="K665" t="s">
        <v>1989</v>
      </c>
      <c r="L665">
        <f>IF(G665="High",3,IF(G665="Medium",2,1))</f>
        <v>3</v>
      </c>
    </row>
    <row r="666" spans="1:12">
      <c r="A666" t="s">
        <v>2692</v>
      </c>
      <c r="B666" t="s">
        <v>857</v>
      </c>
      <c r="C666" t="s">
        <v>2005</v>
      </c>
      <c r="D666" t="s">
        <v>2006</v>
      </c>
      <c r="E666" t="s">
        <v>57</v>
      </c>
      <c r="F666" t="s">
        <v>57</v>
      </c>
      <c r="G666" t="str">
        <f>INDEX(Risk_Matrix!$B$2:$D$4,MATCH(E666,Risk_Matrix!$A$2:$A$4,0),MATCH(F666,Risk_Matrix!$B$1:$D$1,0))</f>
        <v>Low</v>
      </c>
      <c r="H666" s="1">
        <v>46228</v>
      </c>
      <c r="I666" t="s">
        <v>2025</v>
      </c>
      <c r="J666" t="s">
        <v>2035</v>
      </c>
      <c r="K666" t="s">
        <v>1993</v>
      </c>
      <c r="L666">
        <f>IF(G666="High",3,IF(G666="Medium",2,1))</f>
        <v>1</v>
      </c>
    </row>
    <row r="667" spans="1:12">
      <c r="A667" t="s">
        <v>2693</v>
      </c>
      <c r="B667" t="s">
        <v>857</v>
      </c>
      <c r="C667" t="s">
        <v>2008</v>
      </c>
      <c r="D667" t="s">
        <v>2009</v>
      </c>
      <c r="E667" t="s">
        <v>57</v>
      </c>
      <c r="F667" t="s">
        <v>57</v>
      </c>
      <c r="G667" t="str">
        <f>INDEX(Risk_Matrix!$B$2:$D$4,MATCH(E667,Risk_Matrix!$A$2:$A$4,0),MATCH(F667,Risk_Matrix!$B$1:$D$1,0))</f>
        <v>Low</v>
      </c>
      <c r="H667" s="1">
        <v>46184</v>
      </c>
      <c r="I667" t="s">
        <v>2025</v>
      </c>
      <c r="J667" t="s">
        <v>2026</v>
      </c>
      <c r="K667" t="s">
        <v>2010</v>
      </c>
      <c r="L667">
        <f>IF(G667="High",3,IF(G667="Medium",2,1))</f>
        <v>1</v>
      </c>
    </row>
    <row r="668" spans="1:12">
      <c r="A668" t="s">
        <v>2694</v>
      </c>
      <c r="B668" t="s">
        <v>858</v>
      </c>
      <c r="C668" t="s">
        <v>1985</v>
      </c>
      <c r="D668" t="s">
        <v>2062</v>
      </c>
      <c r="E668" t="s">
        <v>57</v>
      </c>
      <c r="F668" t="s">
        <v>57</v>
      </c>
      <c r="G668" t="str">
        <f>INDEX(Risk_Matrix!$B$2:$D$4,MATCH(E668,Risk_Matrix!$A$2:$A$4,0),MATCH(F668,Risk_Matrix!$B$1:$D$1,0))</f>
        <v>Low</v>
      </c>
      <c r="H668" s="1">
        <v>46198</v>
      </c>
      <c r="I668" t="s">
        <v>2025</v>
      </c>
      <c r="J668" t="s">
        <v>2035</v>
      </c>
      <c r="K668" t="s">
        <v>1989</v>
      </c>
      <c r="L668">
        <f>IF(G668="High",3,IF(G668="Medium",2,1))</f>
        <v>1</v>
      </c>
    </row>
    <row r="669" spans="1:12">
      <c r="A669" t="s">
        <v>2695</v>
      </c>
      <c r="B669" t="s">
        <v>858</v>
      </c>
      <c r="C669" t="s">
        <v>1991</v>
      </c>
      <c r="D669" t="s">
        <v>2014</v>
      </c>
      <c r="E669" t="s">
        <v>47</v>
      </c>
      <c r="F669" t="s">
        <v>47</v>
      </c>
      <c r="G669" t="str">
        <f>INDEX(Risk_Matrix!$B$2:$D$4,MATCH(E669,Risk_Matrix!$A$2:$A$4,0),MATCH(F669,Risk_Matrix!$B$1:$D$1,0))</f>
        <v>High</v>
      </c>
      <c r="H669" s="1">
        <v>46237</v>
      </c>
      <c r="I669" t="s">
        <v>1987</v>
      </c>
      <c r="J669" t="s">
        <v>1997</v>
      </c>
      <c r="K669" t="s">
        <v>1993</v>
      </c>
      <c r="L669">
        <f>IF(G669="High",3,IF(G669="Medium",2,1))</f>
        <v>3</v>
      </c>
    </row>
    <row r="670" spans="1:12">
      <c r="A670" t="s">
        <v>2696</v>
      </c>
      <c r="B670" t="s">
        <v>858</v>
      </c>
      <c r="C670" t="s">
        <v>1995</v>
      </c>
      <c r="D670" t="s">
        <v>1996</v>
      </c>
      <c r="E670" t="s">
        <v>57</v>
      </c>
      <c r="F670" t="s">
        <v>57</v>
      </c>
      <c r="G670" t="str">
        <f>INDEX(Risk_Matrix!$B$2:$D$4,MATCH(E670,Risk_Matrix!$A$2:$A$4,0),MATCH(F670,Risk_Matrix!$B$1:$D$1,0))</f>
        <v>Low</v>
      </c>
      <c r="H670" s="1">
        <v>46189</v>
      </c>
      <c r="I670" t="s">
        <v>2002</v>
      </c>
      <c r="J670" t="s">
        <v>2003</v>
      </c>
      <c r="K670" t="s">
        <v>1998</v>
      </c>
      <c r="L670">
        <f>IF(G670="High",3,IF(G670="Medium",2,1))</f>
        <v>1</v>
      </c>
    </row>
    <row r="671" spans="1:12">
      <c r="A671" t="s">
        <v>2697</v>
      </c>
      <c r="B671" t="s">
        <v>858</v>
      </c>
      <c r="C671" t="s">
        <v>2000</v>
      </c>
      <c r="D671" t="s">
        <v>2020</v>
      </c>
      <c r="E671" t="s">
        <v>57</v>
      </c>
      <c r="F671" t="s">
        <v>1971</v>
      </c>
      <c r="G671" t="str">
        <f>INDEX(Risk_Matrix!$B$2:$D$4,MATCH(E671,Risk_Matrix!$A$2:$A$4,0),MATCH(F671,Risk_Matrix!$B$1:$D$1,0))</f>
        <v>Low</v>
      </c>
      <c r="H671" s="1">
        <v>46065</v>
      </c>
      <c r="I671" t="s">
        <v>1987</v>
      </c>
      <c r="J671" t="s">
        <v>1997</v>
      </c>
      <c r="K671" t="s">
        <v>1993</v>
      </c>
      <c r="L671">
        <f>IF(G671="High",3,IF(G671="Medium",2,1))</f>
        <v>1</v>
      </c>
    </row>
    <row r="672" spans="1:12">
      <c r="A672" t="s">
        <v>2698</v>
      </c>
      <c r="B672" t="s">
        <v>858</v>
      </c>
      <c r="C672" t="s">
        <v>2005</v>
      </c>
      <c r="D672" t="s">
        <v>2039</v>
      </c>
      <c r="E672" t="s">
        <v>57</v>
      </c>
      <c r="F672" t="s">
        <v>1971</v>
      </c>
      <c r="G672" t="str">
        <f>INDEX(Risk_Matrix!$B$2:$D$4,MATCH(E672,Risk_Matrix!$A$2:$A$4,0),MATCH(F672,Risk_Matrix!$B$1:$D$1,0))</f>
        <v>Low</v>
      </c>
      <c r="H672" s="1">
        <v>46090</v>
      </c>
      <c r="I672" t="s">
        <v>2025</v>
      </c>
      <c r="J672" t="s">
        <v>2026</v>
      </c>
      <c r="K672" t="s">
        <v>1993</v>
      </c>
      <c r="L672">
        <f>IF(G672="High",3,IF(G672="Medium",2,1))</f>
        <v>1</v>
      </c>
    </row>
    <row r="673" spans="1:12">
      <c r="A673" t="s">
        <v>2699</v>
      </c>
      <c r="B673" t="s">
        <v>858</v>
      </c>
      <c r="C673" t="s">
        <v>2008</v>
      </c>
      <c r="D673" t="s">
        <v>2054</v>
      </c>
      <c r="E673" t="s">
        <v>57</v>
      </c>
      <c r="F673" t="s">
        <v>1971</v>
      </c>
      <c r="G673" t="str">
        <f>INDEX(Risk_Matrix!$B$2:$D$4,MATCH(E673,Risk_Matrix!$A$2:$A$4,0),MATCH(F673,Risk_Matrix!$B$1:$D$1,0))</f>
        <v>Low</v>
      </c>
      <c r="H673" s="1">
        <v>46194</v>
      </c>
      <c r="I673" t="s">
        <v>2015</v>
      </c>
      <c r="J673" t="s">
        <v>2016</v>
      </c>
      <c r="K673" t="s">
        <v>2010</v>
      </c>
      <c r="L673">
        <f>IF(G673="High",3,IF(G673="Medium",2,1))</f>
        <v>1</v>
      </c>
    </row>
    <row r="674" spans="1:12">
      <c r="A674" t="s">
        <v>2700</v>
      </c>
      <c r="B674" t="s">
        <v>860</v>
      </c>
      <c r="C674" t="s">
        <v>1985</v>
      </c>
      <c r="D674" t="s">
        <v>2062</v>
      </c>
      <c r="E674" t="s">
        <v>57</v>
      </c>
      <c r="F674" t="s">
        <v>1971</v>
      </c>
      <c r="G674" t="str">
        <f>INDEX(Risk_Matrix!$B$2:$D$4,MATCH(E674,Risk_Matrix!$A$2:$A$4,0),MATCH(F674,Risk_Matrix!$B$1:$D$1,0))</f>
        <v>Low</v>
      </c>
      <c r="H674" s="1">
        <v>46086</v>
      </c>
      <c r="I674" t="s">
        <v>1987</v>
      </c>
      <c r="J674" t="s">
        <v>1997</v>
      </c>
      <c r="K674" t="s">
        <v>1989</v>
      </c>
      <c r="L674">
        <f>IF(G674="High",3,IF(G674="Medium",2,1))</f>
        <v>1</v>
      </c>
    </row>
    <row r="675" spans="1:12">
      <c r="A675" t="s">
        <v>2701</v>
      </c>
      <c r="B675" t="s">
        <v>860</v>
      </c>
      <c r="C675" t="s">
        <v>1991</v>
      </c>
      <c r="D675" t="s">
        <v>1992</v>
      </c>
      <c r="E675" t="s">
        <v>57</v>
      </c>
      <c r="F675" t="s">
        <v>57</v>
      </c>
      <c r="G675" t="str">
        <f>INDEX(Risk_Matrix!$B$2:$D$4,MATCH(E675,Risk_Matrix!$A$2:$A$4,0),MATCH(F675,Risk_Matrix!$B$1:$D$1,0))</f>
        <v>Low</v>
      </c>
      <c r="H675" s="1">
        <v>46186</v>
      </c>
      <c r="I675" t="s">
        <v>2002</v>
      </c>
      <c r="J675" t="s">
        <v>2003</v>
      </c>
      <c r="K675" t="s">
        <v>2010</v>
      </c>
      <c r="L675">
        <f>IF(G675="High",3,IF(G675="Medium",2,1))</f>
        <v>1</v>
      </c>
    </row>
    <row r="676" spans="1:12">
      <c r="A676" t="s">
        <v>2702</v>
      </c>
      <c r="B676" t="s">
        <v>860</v>
      </c>
      <c r="C676" t="s">
        <v>1995</v>
      </c>
      <c r="D676" t="s">
        <v>2034</v>
      </c>
      <c r="E676" t="s">
        <v>57</v>
      </c>
      <c r="F676" t="s">
        <v>47</v>
      </c>
      <c r="G676" t="str">
        <f>INDEX(Risk_Matrix!$B$2:$D$4,MATCH(E676,Risk_Matrix!$A$2:$A$4,0),MATCH(F676,Risk_Matrix!$B$1:$D$1,0))</f>
        <v>Medium</v>
      </c>
      <c r="H676" s="1">
        <v>46127</v>
      </c>
      <c r="I676" t="s">
        <v>2025</v>
      </c>
      <c r="J676" t="s">
        <v>2026</v>
      </c>
      <c r="K676" t="s">
        <v>1998</v>
      </c>
      <c r="L676">
        <f>IF(G676="High",3,IF(G676="Medium",2,1))</f>
        <v>2</v>
      </c>
    </row>
    <row r="677" spans="1:12">
      <c r="A677" t="s">
        <v>2703</v>
      </c>
      <c r="B677" t="s">
        <v>860</v>
      </c>
      <c r="C677" t="s">
        <v>2000</v>
      </c>
      <c r="D677" t="s">
        <v>2045</v>
      </c>
      <c r="E677" t="s">
        <v>57</v>
      </c>
      <c r="F677" t="s">
        <v>47</v>
      </c>
      <c r="G677" t="str">
        <f>INDEX(Risk_Matrix!$B$2:$D$4,MATCH(E677,Risk_Matrix!$A$2:$A$4,0),MATCH(F677,Risk_Matrix!$B$1:$D$1,0))</f>
        <v>Medium</v>
      </c>
      <c r="H677" s="1">
        <v>46106</v>
      </c>
      <c r="I677" t="s">
        <v>1987</v>
      </c>
      <c r="J677" t="s">
        <v>1997</v>
      </c>
      <c r="K677" t="s">
        <v>1993</v>
      </c>
      <c r="L677">
        <f>IF(G677="High",3,IF(G677="Medium",2,1))</f>
        <v>2</v>
      </c>
    </row>
    <row r="678" spans="1:12">
      <c r="A678" t="s">
        <v>2704</v>
      </c>
      <c r="B678" t="s">
        <v>860</v>
      </c>
      <c r="C678" t="s">
        <v>2005</v>
      </c>
      <c r="D678" t="s">
        <v>2039</v>
      </c>
      <c r="E678" t="s">
        <v>57</v>
      </c>
      <c r="F678" t="s">
        <v>47</v>
      </c>
      <c r="G678" t="str">
        <f>INDEX(Risk_Matrix!$B$2:$D$4,MATCH(E678,Risk_Matrix!$A$2:$A$4,0),MATCH(F678,Risk_Matrix!$B$1:$D$1,0))</f>
        <v>Medium</v>
      </c>
      <c r="H678" s="1">
        <v>46108</v>
      </c>
      <c r="I678" t="s">
        <v>1987</v>
      </c>
      <c r="J678" t="s">
        <v>1997</v>
      </c>
      <c r="K678" t="s">
        <v>1993</v>
      </c>
      <c r="L678">
        <f>IF(G678="High",3,IF(G678="Medium",2,1))</f>
        <v>2</v>
      </c>
    </row>
    <row r="679" spans="1:12">
      <c r="A679" t="s">
        <v>2705</v>
      </c>
      <c r="B679" t="s">
        <v>860</v>
      </c>
      <c r="C679" t="s">
        <v>2008</v>
      </c>
      <c r="D679" t="s">
        <v>2009</v>
      </c>
      <c r="E679" t="s">
        <v>57</v>
      </c>
      <c r="F679" t="s">
        <v>57</v>
      </c>
      <c r="G679" t="str">
        <f>INDEX(Risk_Matrix!$B$2:$D$4,MATCH(E679,Risk_Matrix!$A$2:$A$4,0),MATCH(F679,Risk_Matrix!$B$1:$D$1,0))</f>
        <v>Low</v>
      </c>
      <c r="H679" s="1">
        <v>46083</v>
      </c>
      <c r="I679" t="s">
        <v>2025</v>
      </c>
      <c r="J679" t="s">
        <v>2026</v>
      </c>
      <c r="K679" t="s">
        <v>2010</v>
      </c>
      <c r="L679">
        <f>IF(G679="High",3,IF(G679="Medium",2,1))</f>
        <v>1</v>
      </c>
    </row>
    <row r="680" spans="1:12">
      <c r="A680" t="s">
        <v>2706</v>
      </c>
      <c r="B680" t="s">
        <v>861</v>
      </c>
      <c r="C680" t="s">
        <v>1985</v>
      </c>
      <c r="D680" t="s">
        <v>2028</v>
      </c>
      <c r="E680" t="s">
        <v>57</v>
      </c>
      <c r="F680" t="s">
        <v>57</v>
      </c>
      <c r="G680" t="str">
        <f>INDEX(Risk_Matrix!$B$2:$D$4,MATCH(E680,Risk_Matrix!$A$2:$A$4,0),MATCH(F680,Risk_Matrix!$B$1:$D$1,0))</f>
        <v>Low</v>
      </c>
      <c r="H680" s="1">
        <v>46055</v>
      </c>
      <c r="I680" t="s">
        <v>1987</v>
      </c>
      <c r="J680" t="s">
        <v>1997</v>
      </c>
      <c r="K680" t="s">
        <v>1998</v>
      </c>
      <c r="L680">
        <f>IF(G680="High",3,IF(G680="Medium",2,1))</f>
        <v>1</v>
      </c>
    </row>
    <row r="681" spans="1:12">
      <c r="A681" t="s">
        <v>2707</v>
      </c>
      <c r="B681" t="s">
        <v>861</v>
      </c>
      <c r="C681" t="s">
        <v>1991</v>
      </c>
      <c r="D681" t="s">
        <v>2014</v>
      </c>
      <c r="E681" t="s">
        <v>1971</v>
      </c>
      <c r="F681" t="s">
        <v>47</v>
      </c>
      <c r="G681" t="str">
        <f>INDEX(Risk_Matrix!$B$2:$D$4,MATCH(E681,Risk_Matrix!$A$2:$A$4,0),MATCH(F681,Risk_Matrix!$B$1:$D$1,0))</f>
        <v>High</v>
      </c>
      <c r="H681" s="1">
        <v>46082</v>
      </c>
      <c r="I681" t="s">
        <v>1987</v>
      </c>
      <c r="J681" t="s">
        <v>1988</v>
      </c>
      <c r="K681" t="s">
        <v>1993</v>
      </c>
      <c r="L681">
        <f>IF(G681="High",3,IF(G681="Medium",2,1))</f>
        <v>3</v>
      </c>
    </row>
    <row r="682" spans="1:12">
      <c r="A682" t="s">
        <v>2708</v>
      </c>
      <c r="B682" t="s">
        <v>861</v>
      </c>
      <c r="C682" t="s">
        <v>1995</v>
      </c>
      <c r="D682" t="s">
        <v>2034</v>
      </c>
      <c r="E682" t="s">
        <v>1971</v>
      </c>
      <c r="F682" t="s">
        <v>57</v>
      </c>
      <c r="G682" t="str">
        <f>INDEX(Risk_Matrix!$B$2:$D$4,MATCH(E682,Risk_Matrix!$A$2:$A$4,0),MATCH(F682,Risk_Matrix!$B$1:$D$1,0))</f>
        <v>Low</v>
      </c>
      <c r="H682" s="1">
        <v>46204</v>
      </c>
      <c r="I682" t="s">
        <v>2015</v>
      </c>
      <c r="J682" t="s">
        <v>2016</v>
      </c>
      <c r="K682" t="s">
        <v>2036</v>
      </c>
      <c r="L682">
        <f>IF(G682="High",3,IF(G682="Medium",2,1))</f>
        <v>1</v>
      </c>
    </row>
    <row r="683" spans="1:12">
      <c r="A683" t="s">
        <v>2709</v>
      </c>
      <c r="B683" t="s">
        <v>861</v>
      </c>
      <c r="C683" t="s">
        <v>2000</v>
      </c>
      <c r="D683" t="s">
        <v>2020</v>
      </c>
      <c r="E683" t="s">
        <v>57</v>
      </c>
      <c r="F683" t="s">
        <v>57</v>
      </c>
      <c r="G683" t="str">
        <f>INDEX(Risk_Matrix!$B$2:$D$4,MATCH(E683,Risk_Matrix!$A$2:$A$4,0),MATCH(F683,Risk_Matrix!$B$1:$D$1,0))</f>
        <v>Low</v>
      </c>
      <c r="H683" s="1">
        <v>46203</v>
      </c>
      <c r="I683" t="s">
        <v>2015</v>
      </c>
      <c r="J683" t="s">
        <v>2016</v>
      </c>
      <c r="K683" t="s">
        <v>1993</v>
      </c>
      <c r="L683">
        <f>IF(G683="High",3,IF(G683="Medium",2,1))</f>
        <v>1</v>
      </c>
    </row>
    <row r="684" spans="1:12">
      <c r="A684" t="s">
        <v>2710</v>
      </c>
      <c r="B684" t="s">
        <v>861</v>
      </c>
      <c r="C684" t="s">
        <v>2005</v>
      </c>
      <c r="D684" t="s">
        <v>2022</v>
      </c>
      <c r="E684" t="s">
        <v>57</v>
      </c>
      <c r="F684" t="s">
        <v>57</v>
      </c>
      <c r="G684" t="str">
        <f>INDEX(Risk_Matrix!$B$2:$D$4,MATCH(E684,Risk_Matrix!$A$2:$A$4,0),MATCH(F684,Risk_Matrix!$B$1:$D$1,0))</f>
        <v>Low</v>
      </c>
      <c r="H684" s="1">
        <v>46180</v>
      </c>
      <c r="I684" t="s">
        <v>2015</v>
      </c>
      <c r="J684" t="s">
        <v>2032</v>
      </c>
      <c r="K684" t="s">
        <v>1993</v>
      </c>
      <c r="L684">
        <f>IF(G684="High",3,IF(G684="Medium",2,1))</f>
        <v>1</v>
      </c>
    </row>
    <row r="685" spans="1:12">
      <c r="A685" t="s">
        <v>2711</v>
      </c>
      <c r="B685" t="s">
        <v>861</v>
      </c>
      <c r="C685" t="s">
        <v>2008</v>
      </c>
      <c r="D685" t="s">
        <v>2054</v>
      </c>
      <c r="E685" t="s">
        <v>47</v>
      </c>
      <c r="F685" t="s">
        <v>57</v>
      </c>
      <c r="G685" t="str">
        <f>INDEX(Risk_Matrix!$B$2:$D$4,MATCH(E685,Risk_Matrix!$A$2:$A$4,0),MATCH(F685,Risk_Matrix!$B$1:$D$1,0))</f>
        <v>Medium</v>
      </c>
      <c r="H685" s="1">
        <v>46232</v>
      </c>
      <c r="I685" t="s">
        <v>2015</v>
      </c>
      <c r="J685" t="s">
        <v>2032</v>
      </c>
      <c r="K685" t="s">
        <v>2010</v>
      </c>
      <c r="L685">
        <f>IF(G685="High",3,IF(G685="Medium",2,1))</f>
        <v>2</v>
      </c>
    </row>
    <row r="686" spans="1:12">
      <c r="A686" t="s">
        <v>2712</v>
      </c>
      <c r="B686" t="s">
        <v>863</v>
      </c>
      <c r="C686" t="s">
        <v>1985</v>
      </c>
      <c r="D686" t="s">
        <v>2012</v>
      </c>
      <c r="E686" t="s">
        <v>57</v>
      </c>
      <c r="F686" t="s">
        <v>1971</v>
      </c>
      <c r="G686" t="str">
        <f>INDEX(Risk_Matrix!$B$2:$D$4,MATCH(E686,Risk_Matrix!$A$2:$A$4,0),MATCH(F686,Risk_Matrix!$B$1:$D$1,0))</f>
        <v>Low</v>
      </c>
      <c r="H686" s="1">
        <v>46095</v>
      </c>
      <c r="I686" t="s">
        <v>2002</v>
      </c>
      <c r="J686" t="s">
        <v>2029</v>
      </c>
      <c r="K686" t="s">
        <v>1989</v>
      </c>
      <c r="L686">
        <f>IF(G686="High",3,IF(G686="Medium",2,1))</f>
        <v>1</v>
      </c>
    </row>
    <row r="687" spans="1:12">
      <c r="A687" t="s">
        <v>2713</v>
      </c>
      <c r="B687" t="s">
        <v>863</v>
      </c>
      <c r="C687" t="s">
        <v>1991</v>
      </c>
      <c r="D687" t="s">
        <v>2014</v>
      </c>
      <c r="E687" t="s">
        <v>47</v>
      </c>
      <c r="F687" t="s">
        <v>57</v>
      </c>
      <c r="G687" t="str">
        <f>INDEX(Risk_Matrix!$B$2:$D$4,MATCH(E687,Risk_Matrix!$A$2:$A$4,0),MATCH(F687,Risk_Matrix!$B$1:$D$1,0))</f>
        <v>Medium</v>
      </c>
      <c r="H687" s="1">
        <v>46104</v>
      </c>
      <c r="I687" t="s">
        <v>2025</v>
      </c>
      <c r="J687" t="s">
        <v>2035</v>
      </c>
      <c r="K687" t="s">
        <v>1993</v>
      </c>
      <c r="L687">
        <f>IF(G687="High",3,IF(G687="Medium",2,1))</f>
        <v>2</v>
      </c>
    </row>
    <row r="688" spans="1:12">
      <c r="A688" t="s">
        <v>2714</v>
      </c>
      <c r="B688" t="s">
        <v>863</v>
      </c>
      <c r="C688" t="s">
        <v>1995</v>
      </c>
      <c r="D688" t="s">
        <v>2150</v>
      </c>
      <c r="E688" t="s">
        <v>1971</v>
      </c>
      <c r="F688" t="s">
        <v>47</v>
      </c>
      <c r="G688" t="str">
        <f>INDEX(Risk_Matrix!$B$2:$D$4,MATCH(E688,Risk_Matrix!$A$2:$A$4,0),MATCH(F688,Risk_Matrix!$B$1:$D$1,0))</f>
        <v>High</v>
      </c>
      <c r="H688" s="1">
        <v>46115</v>
      </c>
      <c r="I688" t="s">
        <v>2025</v>
      </c>
      <c r="J688" t="s">
        <v>2035</v>
      </c>
      <c r="K688" t="s">
        <v>2036</v>
      </c>
      <c r="L688">
        <f>IF(G688="High",3,IF(G688="Medium",2,1))</f>
        <v>3</v>
      </c>
    </row>
    <row r="689" spans="1:12">
      <c r="A689" t="s">
        <v>2715</v>
      </c>
      <c r="B689" t="s">
        <v>863</v>
      </c>
      <c r="C689" t="s">
        <v>2000</v>
      </c>
      <c r="D689" t="s">
        <v>2001</v>
      </c>
      <c r="E689" t="s">
        <v>1971</v>
      </c>
      <c r="F689" t="s">
        <v>1971</v>
      </c>
      <c r="G689" t="str">
        <f>INDEX(Risk_Matrix!$B$2:$D$4,MATCH(E689,Risk_Matrix!$A$2:$A$4,0),MATCH(F689,Risk_Matrix!$B$1:$D$1,0))</f>
        <v>Medium</v>
      </c>
      <c r="H689" s="1">
        <v>46197</v>
      </c>
      <c r="I689" t="s">
        <v>2015</v>
      </c>
      <c r="J689" t="s">
        <v>2016</v>
      </c>
      <c r="K689" t="s">
        <v>1989</v>
      </c>
      <c r="L689">
        <f>IF(G689="High",3,IF(G689="Medium",2,1))</f>
        <v>2</v>
      </c>
    </row>
    <row r="690" spans="1:12">
      <c r="A690" t="s">
        <v>2716</v>
      </c>
      <c r="B690" t="s">
        <v>863</v>
      </c>
      <c r="C690" t="s">
        <v>2005</v>
      </c>
      <c r="D690" t="s">
        <v>2039</v>
      </c>
      <c r="E690" t="s">
        <v>57</v>
      </c>
      <c r="F690" t="s">
        <v>57</v>
      </c>
      <c r="G690" t="str">
        <f>INDEX(Risk_Matrix!$B$2:$D$4,MATCH(E690,Risk_Matrix!$A$2:$A$4,0),MATCH(F690,Risk_Matrix!$B$1:$D$1,0))</f>
        <v>Low</v>
      </c>
      <c r="H690" s="1">
        <v>46167</v>
      </c>
      <c r="I690" t="s">
        <v>1987</v>
      </c>
      <c r="J690" t="s">
        <v>1997</v>
      </c>
      <c r="K690" t="s">
        <v>1993</v>
      </c>
      <c r="L690">
        <f>IF(G690="High",3,IF(G690="Medium",2,1))</f>
        <v>1</v>
      </c>
    </row>
    <row r="691" spans="1:12">
      <c r="A691" t="s">
        <v>2717</v>
      </c>
      <c r="B691" t="s">
        <v>863</v>
      </c>
      <c r="C691" t="s">
        <v>2008</v>
      </c>
      <c r="D691" t="s">
        <v>2009</v>
      </c>
      <c r="E691" t="s">
        <v>47</v>
      </c>
      <c r="F691" t="s">
        <v>47</v>
      </c>
      <c r="G691" t="str">
        <f>INDEX(Risk_Matrix!$B$2:$D$4,MATCH(E691,Risk_Matrix!$A$2:$A$4,0),MATCH(F691,Risk_Matrix!$B$1:$D$1,0))</f>
        <v>High</v>
      </c>
      <c r="H691" s="1">
        <v>46182</v>
      </c>
      <c r="I691" t="s">
        <v>2025</v>
      </c>
      <c r="J691" t="s">
        <v>2035</v>
      </c>
      <c r="K691" t="s">
        <v>2010</v>
      </c>
      <c r="L691">
        <f>IF(G691="High",3,IF(G691="Medium",2,1))</f>
        <v>3</v>
      </c>
    </row>
    <row r="692" spans="1:12">
      <c r="A692" t="s">
        <v>2718</v>
      </c>
      <c r="B692" t="s">
        <v>865</v>
      </c>
      <c r="C692" t="s">
        <v>1985</v>
      </c>
      <c r="D692" t="s">
        <v>2012</v>
      </c>
      <c r="E692" t="s">
        <v>57</v>
      </c>
      <c r="F692" t="s">
        <v>57</v>
      </c>
      <c r="G692" t="str">
        <f>INDEX(Risk_Matrix!$B$2:$D$4,MATCH(E692,Risk_Matrix!$A$2:$A$4,0),MATCH(F692,Risk_Matrix!$B$1:$D$1,0))</f>
        <v>Low</v>
      </c>
      <c r="H692" s="1">
        <v>46166</v>
      </c>
      <c r="I692" t="s">
        <v>2025</v>
      </c>
      <c r="J692" t="s">
        <v>2026</v>
      </c>
      <c r="K692" t="s">
        <v>1998</v>
      </c>
      <c r="L692">
        <f>IF(G692="High",3,IF(G692="Medium",2,1))</f>
        <v>1</v>
      </c>
    </row>
    <row r="693" spans="1:12">
      <c r="A693" t="s">
        <v>2719</v>
      </c>
      <c r="B693" t="s">
        <v>865</v>
      </c>
      <c r="C693" t="s">
        <v>1991</v>
      </c>
      <c r="D693" t="s">
        <v>1992</v>
      </c>
      <c r="E693" t="s">
        <v>1971</v>
      </c>
      <c r="F693" t="s">
        <v>57</v>
      </c>
      <c r="G693" t="str">
        <f>INDEX(Risk_Matrix!$B$2:$D$4,MATCH(E693,Risk_Matrix!$A$2:$A$4,0),MATCH(F693,Risk_Matrix!$B$1:$D$1,0))</f>
        <v>Low</v>
      </c>
      <c r="H693" s="1">
        <v>46206</v>
      </c>
      <c r="I693" t="s">
        <v>1987</v>
      </c>
      <c r="J693" t="s">
        <v>1988</v>
      </c>
      <c r="K693" t="s">
        <v>1993</v>
      </c>
      <c r="L693">
        <f>IF(G693="High",3,IF(G693="Medium",2,1))</f>
        <v>1</v>
      </c>
    </row>
    <row r="694" spans="1:12">
      <c r="A694" t="s">
        <v>2720</v>
      </c>
      <c r="B694" t="s">
        <v>865</v>
      </c>
      <c r="C694" t="s">
        <v>1995</v>
      </c>
      <c r="D694" t="s">
        <v>2034</v>
      </c>
      <c r="E694" t="s">
        <v>1971</v>
      </c>
      <c r="F694" t="s">
        <v>47</v>
      </c>
      <c r="G694" t="str">
        <f>INDEX(Risk_Matrix!$B$2:$D$4,MATCH(E694,Risk_Matrix!$A$2:$A$4,0),MATCH(F694,Risk_Matrix!$B$1:$D$1,0))</f>
        <v>High</v>
      </c>
      <c r="H694" s="1">
        <v>46207</v>
      </c>
      <c r="I694" t="s">
        <v>2015</v>
      </c>
      <c r="J694" t="s">
        <v>2016</v>
      </c>
      <c r="K694" t="s">
        <v>2036</v>
      </c>
      <c r="L694">
        <f>IF(G694="High",3,IF(G694="Medium",2,1))</f>
        <v>3</v>
      </c>
    </row>
    <row r="695" spans="1:12">
      <c r="A695" t="s">
        <v>2721</v>
      </c>
      <c r="B695" t="s">
        <v>865</v>
      </c>
      <c r="C695" t="s">
        <v>2000</v>
      </c>
      <c r="D695" t="s">
        <v>2020</v>
      </c>
      <c r="E695" t="s">
        <v>57</v>
      </c>
      <c r="F695" t="s">
        <v>47</v>
      </c>
      <c r="G695" t="str">
        <f>INDEX(Risk_Matrix!$B$2:$D$4,MATCH(E695,Risk_Matrix!$A$2:$A$4,0),MATCH(F695,Risk_Matrix!$B$1:$D$1,0))</f>
        <v>Medium</v>
      </c>
      <c r="H695" s="1">
        <v>46211</v>
      </c>
      <c r="I695" t="s">
        <v>2015</v>
      </c>
      <c r="J695" t="s">
        <v>2032</v>
      </c>
      <c r="K695" t="s">
        <v>1989</v>
      </c>
      <c r="L695">
        <f>IF(G695="High",3,IF(G695="Medium",2,1))</f>
        <v>2</v>
      </c>
    </row>
    <row r="696" spans="1:12">
      <c r="A696" t="s">
        <v>2722</v>
      </c>
      <c r="B696" t="s">
        <v>865</v>
      </c>
      <c r="C696" t="s">
        <v>2005</v>
      </c>
      <c r="D696" t="s">
        <v>2022</v>
      </c>
      <c r="E696" t="s">
        <v>57</v>
      </c>
      <c r="F696" t="s">
        <v>57</v>
      </c>
      <c r="G696" t="str">
        <f>INDEX(Risk_Matrix!$B$2:$D$4,MATCH(E696,Risk_Matrix!$A$2:$A$4,0),MATCH(F696,Risk_Matrix!$B$1:$D$1,0))</f>
        <v>Low</v>
      </c>
      <c r="H696" s="1">
        <v>46169</v>
      </c>
      <c r="I696" t="s">
        <v>2015</v>
      </c>
      <c r="J696" t="s">
        <v>2032</v>
      </c>
      <c r="K696" t="s">
        <v>1993</v>
      </c>
      <c r="L696">
        <f>IF(G696="High",3,IF(G696="Medium",2,1))</f>
        <v>1</v>
      </c>
    </row>
    <row r="697" spans="1:12">
      <c r="A697" t="s">
        <v>2723</v>
      </c>
      <c r="B697" t="s">
        <v>865</v>
      </c>
      <c r="C697" t="s">
        <v>2008</v>
      </c>
      <c r="D697" t="s">
        <v>2024</v>
      </c>
      <c r="E697" t="s">
        <v>57</v>
      </c>
      <c r="F697" t="s">
        <v>57</v>
      </c>
      <c r="G697" t="str">
        <f>INDEX(Risk_Matrix!$B$2:$D$4,MATCH(E697,Risk_Matrix!$A$2:$A$4,0),MATCH(F697,Risk_Matrix!$B$1:$D$1,0))</f>
        <v>Low</v>
      </c>
      <c r="H697" s="1">
        <v>46210</v>
      </c>
      <c r="I697" t="s">
        <v>1987</v>
      </c>
      <c r="J697" t="s">
        <v>1988</v>
      </c>
      <c r="K697" t="s">
        <v>2010</v>
      </c>
      <c r="L697">
        <f>IF(G697="High",3,IF(G697="Medium",2,1))</f>
        <v>1</v>
      </c>
    </row>
    <row r="698" spans="1:12">
      <c r="A698" t="s">
        <v>2724</v>
      </c>
      <c r="B698" t="s">
        <v>866</v>
      </c>
      <c r="C698" t="s">
        <v>1985</v>
      </c>
      <c r="D698" t="s">
        <v>2062</v>
      </c>
      <c r="E698" t="s">
        <v>1971</v>
      </c>
      <c r="F698" t="s">
        <v>1971</v>
      </c>
      <c r="G698" t="str">
        <f>INDEX(Risk_Matrix!$B$2:$D$4,MATCH(E698,Risk_Matrix!$A$2:$A$4,0),MATCH(F698,Risk_Matrix!$B$1:$D$1,0))</f>
        <v>Medium</v>
      </c>
      <c r="H698" s="1">
        <v>46233</v>
      </c>
      <c r="I698" t="s">
        <v>2025</v>
      </c>
      <c r="J698" t="s">
        <v>2035</v>
      </c>
      <c r="K698" t="s">
        <v>1989</v>
      </c>
      <c r="L698">
        <f>IF(G698="High",3,IF(G698="Medium",2,1))</f>
        <v>2</v>
      </c>
    </row>
    <row r="699" spans="1:12">
      <c r="A699" t="s">
        <v>2725</v>
      </c>
      <c r="B699" t="s">
        <v>866</v>
      </c>
      <c r="C699" t="s">
        <v>1991</v>
      </c>
      <c r="D699" t="s">
        <v>2014</v>
      </c>
      <c r="E699" t="s">
        <v>57</v>
      </c>
      <c r="F699" t="s">
        <v>57</v>
      </c>
      <c r="G699" t="str">
        <f>INDEX(Risk_Matrix!$B$2:$D$4,MATCH(E699,Risk_Matrix!$A$2:$A$4,0),MATCH(F699,Risk_Matrix!$B$1:$D$1,0))</f>
        <v>Low</v>
      </c>
      <c r="H699" s="1">
        <v>46075</v>
      </c>
      <c r="I699" t="s">
        <v>2002</v>
      </c>
      <c r="J699" t="s">
        <v>2003</v>
      </c>
      <c r="K699" t="s">
        <v>1993</v>
      </c>
      <c r="L699">
        <f>IF(G699="High",3,IF(G699="Medium",2,1))</f>
        <v>1</v>
      </c>
    </row>
    <row r="700" spans="1:12">
      <c r="A700" t="s">
        <v>2726</v>
      </c>
      <c r="B700" t="s">
        <v>866</v>
      </c>
      <c r="C700" t="s">
        <v>1995</v>
      </c>
      <c r="D700" t="s">
        <v>2034</v>
      </c>
      <c r="E700" t="s">
        <v>57</v>
      </c>
      <c r="F700" t="s">
        <v>57</v>
      </c>
      <c r="G700" t="str">
        <f>INDEX(Risk_Matrix!$B$2:$D$4,MATCH(E700,Risk_Matrix!$A$2:$A$4,0),MATCH(F700,Risk_Matrix!$B$1:$D$1,0))</f>
        <v>Low</v>
      </c>
      <c r="H700" s="1">
        <v>46099</v>
      </c>
      <c r="I700" t="s">
        <v>2025</v>
      </c>
      <c r="J700" t="s">
        <v>2026</v>
      </c>
      <c r="K700" t="s">
        <v>1998</v>
      </c>
      <c r="L700">
        <f>IF(G700="High",3,IF(G700="Medium",2,1))</f>
        <v>1</v>
      </c>
    </row>
    <row r="701" spans="1:12">
      <c r="A701" t="s">
        <v>2727</v>
      </c>
      <c r="B701" t="s">
        <v>866</v>
      </c>
      <c r="C701" t="s">
        <v>2000</v>
      </c>
      <c r="D701" t="s">
        <v>2020</v>
      </c>
      <c r="E701" t="s">
        <v>57</v>
      </c>
      <c r="F701" t="s">
        <v>57</v>
      </c>
      <c r="G701" t="str">
        <f>INDEX(Risk_Matrix!$B$2:$D$4,MATCH(E701,Risk_Matrix!$A$2:$A$4,0),MATCH(F701,Risk_Matrix!$B$1:$D$1,0))</f>
        <v>Low</v>
      </c>
      <c r="H701" s="1">
        <v>46063</v>
      </c>
      <c r="I701" t="s">
        <v>2025</v>
      </c>
      <c r="J701" t="s">
        <v>2026</v>
      </c>
      <c r="K701" t="s">
        <v>1989</v>
      </c>
      <c r="L701">
        <f>IF(G701="High",3,IF(G701="Medium",2,1))</f>
        <v>1</v>
      </c>
    </row>
    <row r="702" spans="1:12">
      <c r="A702" t="s">
        <v>2728</v>
      </c>
      <c r="B702" t="s">
        <v>866</v>
      </c>
      <c r="C702" t="s">
        <v>2005</v>
      </c>
      <c r="D702" t="s">
        <v>2006</v>
      </c>
      <c r="E702" t="s">
        <v>1971</v>
      </c>
      <c r="F702" t="s">
        <v>57</v>
      </c>
      <c r="G702" t="str">
        <f>INDEX(Risk_Matrix!$B$2:$D$4,MATCH(E702,Risk_Matrix!$A$2:$A$4,0),MATCH(F702,Risk_Matrix!$B$1:$D$1,0))</f>
        <v>Low</v>
      </c>
      <c r="H702" s="1">
        <v>46076</v>
      </c>
      <c r="I702" t="s">
        <v>2002</v>
      </c>
      <c r="J702" t="s">
        <v>2029</v>
      </c>
      <c r="K702" t="s">
        <v>1993</v>
      </c>
      <c r="L702">
        <f>IF(G702="High",3,IF(G702="Medium",2,1))</f>
        <v>1</v>
      </c>
    </row>
    <row r="703" spans="1:12">
      <c r="A703" t="s">
        <v>2729</v>
      </c>
      <c r="B703" t="s">
        <v>866</v>
      </c>
      <c r="C703" t="s">
        <v>2008</v>
      </c>
      <c r="D703" t="s">
        <v>2024</v>
      </c>
      <c r="E703" t="s">
        <v>57</v>
      </c>
      <c r="F703" t="s">
        <v>47</v>
      </c>
      <c r="G703" t="str">
        <f>INDEX(Risk_Matrix!$B$2:$D$4,MATCH(E703,Risk_Matrix!$A$2:$A$4,0),MATCH(F703,Risk_Matrix!$B$1:$D$1,0))</f>
        <v>Medium</v>
      </c>
      <c r="H703" s="1">
        <v>46079</v>
      </c>
      <c r="I703" t="s">
        <v>2025</v>
      </c>
      <c r="J703" t="s">
        <v>2026</v>
      </c>
      <c r="K703" t="s">
        <v>2010</v>
      </c>
      <c r="L703">
        <f>IF(G703="High",3,IF(G703="Medium",2,1))</f>
        <v>2</v>
      </c>
    </row>
    <row r="704" spans="1:12">
      <c r="A704" t="s">
        <v>2730</v>
      </c>
      <c r="B704" t="s">
        <v>868</v>
      </c>
      <c r="C704" t="s">
        <v>1985</v>
      </c>
      <c r="D704" t="s">
        <v>2012</v>
      </c>
      <c r="E704" t="s">
        <v>57</v>
      </c>
      <c r="F704" t="s">
        <v>57</v>
      </c>
      <c r="G704" t="str">
        <f>INDEX(Risk_Matrix!$B$2:$D$4,MATCH(E704,Risk_Matrix!$A$2:$A$4,0),MATCH(F704,Risk_Matrix!$B$1:$D$1,0))</f>
        <v>Low</v>
      </c>
      <c r="H704" s="1">
        <v>46198</v>
      </c>
      <c r="I704" t="s">
        <v>1987</v>
      </c>
      <c r="J704" t="s">
        <v>1988</v>
      </c>
      <c r="K704" t="s">
        <v>1998</v>
      </c>
      <c r="L704">
        <f>IF(G704="High",3,IF(G704="Medium",2,1))</f>
        <v>1</v>
      </c>
    </row>
    <row r="705" spans="1:12">
      <c r="A705" t="s">
        <v>2731</v>
      </c>
      <c r="B705" t="s">
        <v>868</v>
      </c>
      <c r="C705" t="s">
        <v>1991</v>
      </c>
      <c r="D705" t="s">
        <v>2014</v>
      </c>
      <c r="E705" t="s">
        <v>1971</v>
      </c>
      <c r="F705" t="s">
        <v>1971</v>
      </c>
      <c r="G705" t="str">
        <f>INDEX(Risk_Matrix!$B$2:$D$4,MATCH(E705,Risk_Matrix!$A$2:$A$4,0),MATCH(F705,Risk_Matrix!$B$1:$D$1,0))</f>
        <v>Medium</v>
      </c>
      <c r="H705" s="1">
        <v>46163</v>
      </c>
      <c r="I705" t="s">
        <v>2015</v>
      </c>
      <c r="J705" t="s">
        <v>2032</v>
      </c>
      <c r="K705" t="s">
        <v>1993</v>
      </c>
      <c r="L705">
        <f>IF(G705="High",3,IF(G705="Medium",2,1))</f>
        <v>2</v>
      </c>
    </row>
    <row r="706" spans="1:12">
      <c r="A706" t="s">
        <v>2732</v>
      </c>
      <c r="B706" t="s">
        <v>868</v>
      </c>
      <c r="C706" t="s">
        <v>1995</v>
      </c>
      <c r="D706" t="s">
        <v>2018</v>
      </c>
      <c r="E706" t="s">
        <v>57</v>
      </c>
      <c r="F706" t="s">
        <v>47</v>
      </c>
      <c r="G706" t="str">
        <f>INDEX(Risk_Matrix!$B$2:$D$4,MATCH(E706,Risk_Matrix!$A$2:$A$4,0),MATCH(F706,Risk_Matrix!$B$1:$D$1,0))</f>
        <v>Medium</v>
      </c>
      <c r="H706" s="1">
        <v>46235</v>
      </c>
      <c r="I706" t="s">
        <v>1987</v>
      </c>
      <c r="J706" t="s">
        <v>1988</v>
      </c>
      <c r="K706" t="s">
        <v>2036</v>
      </c>
      <c r="L706">
        <f>IF(G706="High",3,IF(G706="Medium",2,1))</f>
        <v>2</v>
      </c>
    </row>
    <row r="707" spans="1:12">
      <c r="A707" t="s">
        <v>2733</v>
      </c>
      <c r="B707" t="s">
        <v>868</v>
      </c>
      <c r="C707" t="s">
        <v>2000</v>
      </c>
      <c r="D707" t="s">
        <v>2020</v>
      </c>
      <c r="E707" t="s">
        <v>1971</v>
      </c>
      <c r="F707" t="s">
        <v>47</v>
      </c>
      <c r="G707" t="str">
        <f>INDEX(Risk_Matrix!$B$2:$D$4,MATCH(E707,Risk_Matrix!$A$2:$A$4,0),MATCH(F707,Risk_Matrix!$B$1:$D$1,0))</f>
        <v>High</v>
      </c>
      <c r="H707" s="1">
        <v>46235</v>
      </c>
      <c r="I707" t="s">
        <v>2025</v>
      </c>
      <c r="J707" t="s">
        <v>2026</v>
      </c>
      <c r="K707" t="s">
        <v>1989</v>
      </c>
      <c r="L707">
        <f>IF(G707="High",3,IF(G707="Medium",2,1))</f>
        <v>3</v>
      </c>
    </row>
    <row r="708" spans="1:12">
      <c r="A708" t="s">
        <v>2734</v>
      </c>
      <c r="B708" t="s">
        <v>868</v>
      </c>
      <c r="C708" t="s">
        <v>2005</v>
      </c>
      <c r="D708" t="s">
        <v>2006</v>
      </c>
      <c r="E708" t="s">
        <v>57</v>
      </c>
      <c r="F708" t="s">
        <v>57</v>
      </c>
      <c r="G708" t="str">
        <f>INDEX(Risk_Matrix!$B$2:$D$4,MATCH(E708,Risk_Matrix!$A$2:$A$4,0),MATCH(F708,Risk_Matrix!$B$1:$D$1,0))</f>
        <v>Low</v>
      </c>
      <c r="H708" s="1">
        <v>46233</v>
      </c>
      <c r="I708" t="s">
        <v>2015</v>
      </c>
      <c r="J708" t="s">
        <v>2032</v>
      </c>
      <c r="K708" t="s">
        <v>1993</v>
      </c>
      <c r="L708">
        <f>IF(G708="High",3,IF(G708="Medium",2,1))</f>
        <v>1</v>
      </c>
    </row>
    <row r="709" spans="1:12">
      <c r="A709" t="s">
        <v>2735</v>
      </c>
      <c r="B709" t="s">
        <v>868</v>
      </c>
      <c r="C709" t="s">
        <v>2008</v>
      </c>
      <c r="D709" t="s">
        <v>2009</v>
      </c>
      <c r="E709" t="s">
        <v>1971</v>
      </c>
      <c r="F709" t="s">
        <v>47</v>
      </c>
      <c r="G709" t="str">
        <f>INDEX(Risk_Matrix!$B$2:$D$4,MATCH(E709,Risk_Matrix!$A$2:$A$4,0),MATCH(F709,Risk_Matrix!$B$1:$D$1,0))</f>
        <v>High</v>
      </c>
      <c r="H709" s="1">
        <v>46208</v>
      </c>
      <c r="I709" t="s">
        <v>2015</v>
      </c>
      <c r="J709" t="s">
        <v>2016</v>
      </c>
      <c r="K709" t="s">
        <v>2010</v>
      </c>
      <c r="L709">
        <f>IF(G709="High",3,IF(G709="Medium",2,1))</f>
        <v>3</v>
      </c>
    </row>
    <row r="710" spans="1:12">
      <c r="A710" t="s">
        <v>2736</v>
      </c>
      <c r="B710" t="s">
        <v>869</v>
      </c>
      <c r="C710" t="s">
        <v>1985</v>
      </c>
      <c r="D710" t="s">
        <v>2062</v>
      </c>
      <c r="E710" t="s">
        <v>57</v>
      </c>
      <c r="F710" t="s">
        <v>57</v>
      </c>
      <c r="G710" t="str">
        <f>INDEX(Risk_Matrix!$B$2:$D$4,MATCH(E710,Risk_Matrix!$A$2:$A$4,0),MATCH(F710,Risk_Matrix!$B$1:$D$1,0))</f>
        <v>Low</v>
      </c>
      <c r="H710" s="1">
        <v>46062</v>
      </c>
      <c r="I710" t="s">
        <v>2025</v>
      </c>
      <c r="J710" t="s">
        <v>2035</v>
      </c>
      <c r="K710" t="s">
        <v>1989</v>
      </c>
      <c r="L710">
        <f>IF(G710="High",3,IF(G710="Medium",2,1))</f>
        <v>1</v>
      </c>
    </row>
    <row r="711" spans="1:12">
      <c r="A711" t="s">
        <v>2737</v>
      </c>
      <c r="B711" t="s">
        <v>869</v>
      </c>
      <c r="C711" t="s">
        <v>1991</v>
      </c>
      <c r="D711" t="s">
        <v>2014</v>
      </c>
      <c r="E711" t="s">
        <v>57</v>
      </c>
      <c r="F711" t="s">
        <v>47</v>
      </c>
      <c r="G711" t="str">
        <f>INDEX(Risk_Matrix!$B$2:$D$4,MATCH(E711,Risk_Matrix!$A$2:$A$4,0),MATCH(F711,Risk_Matrix!$B$1:$D$1,0))</f>
        <v>Medium</v>
      </c>
      <c r="H711" s="1">
        <v>46061</v>
      </c>
      <c r="I711" t="s">
        <v>2025</v>
      </c>
      <c r="J711" t="s">
        <v>2026</v>
      </c>
      <c r="K711" t="s">
        <v>2010</v>
      </c>
      <c r="L711">
        <f>IF(G711="High",3,IF(G711="Medium",2,1))</f>
        <v>2</v>
      </c>
    </row>
    <row r="712" spans="1:12">
      <c r="A712" t="s">
        <v>2738</v>
      </c>
      <c r="B712" t="s">
        <v>869</v>
      </c>
      <c r="C712" t="s">
        <v>1995</v>
      </c>
      <c r="D712" t="s">
        <v>2018</v>
      </c>
      <c r="E712" t="s">
        <v>1971</v>
      </c>
      <c r="F712" t="s">
        <v>57</v>
      </c>
      <c r="G712" t="str">
        <f>INDEX(Risk_Matrix!$B$2:$D$4,MATCH(E712,Risk_Matrix!$A$2:$A$4,0),MATCH(F712,Risk_Matrix!$B$1:$D$1,0))</f>
        <v>Low</v>
      </c>
      <c r="H712" s="1">
        <v>46180</v>
      </c>
      <c r="I712" t="s">
        <v>1987</v>
      </c>
      <c r="J712" t="s">
        <v>1988</v>
      </c>
      <c r="K712" t="s">
        <v>1998</v>
      </c>
      <c r="L712">
        <f>IF(G712="High",3,IF(G712="Medium",2,1))</f>
        <v>1</v>
      </c>
    </row>
    <row r="713" spans="1:12">
      <c r="A713" t="s">
        <v>2739</v>
      </c>
      <c r="B713" t="s">
        <v>869</v>
      </c>
      <c r="C713" t="s">
        <v>2000</v>
      </c>
      <c r="D713" t="s">
        <v>2001</v>
      </c>
      <c r="E713" t="s">
        <v>1971</v>
      </c>
      <c r="F713" t="s">
        <v>47</v>
      </c>
      <c r="G713" t="str">
        <f>INDEX(Risk_Matrix!$B$2:$D$4,MATCH(E713,Risk_Matrix!$A$2:$A$4,0),MATCH(F713,Risk_Matrix!$B$1:$D$1,0))</f>
        <v>High</v>
      </c>
      <c r="H713" s="1">
        <v>46203</v>
      </c>
      <c r="I713" t="s">
        <v>2015</v>
      </c>
      <c r="J713" t="s">
        <v>2032</v>
      </c>
      <c r="K713" t="s">
        <v>1989</v>
      </c>
      <c r="L713">
        <f>IF(G713="High",3,IF(G713="Medium",2,1))</f>
        <v>3</v>
      </c>
    </row>
    <row r="714" spans="1:12">
      <c r="A714" t="s">
        <v>2740</v>
      </c>
      <c r="B714" t="s">
        <v>869</v>
      </c>
      <c r="C714" t="s">
        <v>2005</v>
      </c>
      <c r="D714" t="s">
        <v>2006</v>
      </c>
      <c r="E714" t="s">
        <v>1971</v>
      </c>
      <c r="F714" t="s">
        <v>1971</v>
      </c>
      <c r="G714" t="str">
        <f>INDEX(Risk_Matrix!$B$2:$D$4,MATCH(E714,Risk_Matrix!$A$2:$A$4,0),MATCH(F714,Risk_Matrix!$B$1:$D$1,0))</f>
        <v>Medium</v>
      </c>
      <c r="H714" s="1">
        <v>46126</v>
      </c>
      <c r="I714" t="s">
        <v>2025</v>
      </c>
      <c r="J714" t="s">
        <v>2035</v>
      </c>
      <c r="K714" t="s">
        <v>1993</v>
      </c>
      <c r="L714">
        <f>IF(G714="High",3,IF(G714="Medium",2,1))</f>
        <v>2</v>
      </c>
    </row>
    <row r="715" spans="1:12">
      <c r="A715" t="s">
        <v>2741</v>
      </c>
      <c r="B715" t="s">
        <v>869</v>
      </c>
      <c r="C715" t="s">
        <v>2008</v>
      </c>
      <c r="D715" t="s">
        <v>2009</v>
      </c>
      <c r="E715" t="s">
        <v>1971</v>
      </c>
      <c r="F715" t="s">
        <v>1971</v>
      </c>
      <c r="G715" t="str">
        <f>INDEX(Risk_Matrix!$B$2:$D$4,MATCH(E715,Risk_Matrix!$A$2:$A$4,0),MATCH(F715,Risk_Matrix!$B$1:$D$1,0))</f>
        <v>Medium</v>
      </c>
      <c r="H715" s="1">
        <v>46086</v>
      </c>
      <c r="I715" t="s">
        <v>2025</v>
      </c>
      <c r="J715" t="s">
        <v>2026</v>
      </c>
      <c r="K715" t="s">
        <v>2010</v>
      </c>
      <c r="L715">
        <f>IF(G715="High",3,IF(G715="Medium",2,1))</f>
        <v>2</v>
      </c>
    </row>
    <row r="716" spans="1:12">
      <c r="A716" t="s">
        <v>2742</v>
      </c>
      <c r="B716" t="s">
        <v>871</v>
      </c>
      <c r="C716" t="s">
        <v>1985</v>
      </c>
      <c r="D716" t="s">
        <v>2062</v>
      </c>
      <c r="E716" t="s">
        <v>57</v>
      </c>
      <c r="F716" t="s">
        <v>57</v>
      </c>
      <c r="G716" t="str">
        <f>INDEX(Risk_Matrix!$B$2:$D$4,MATCH(E716,Risk_Matrix!$A$2:$A$4,0),MATCH(F716,Risk_Matrix!$B$1:$D$1,0))</f>
        <v>Low</v>
      </c>
      <c r="H716" s="1">
        <v>46179</v>
      </c>
      <c r="I716" t="s">
        <v>2002</v>
      </c>
      <c r="J716" t="s">
        <v>2029</v>
      </c>
      <c r="K716" t="s">
        <v>1989</v>
      </c>
      <c r="L716">
        <f>IF(G716="High",3,IF(G716="Medium",2,1))</f>
        <v>1</v>
      </c>
    </row>
    <row r="717" spans="1:12">
      <c r="A717" t="s">
        <v>2743</v>
      </c>
      <c r="B717" t="s">
        <v>871</v>
      </c>
      <c r="C717" t="s">
        <v>1991</v>
      </c>
      <c r="D717" t="s">
        <v>1992</v>
      </c>
      <c r="E717" t="s">
        <v>57</v>
      </c>
      <c r="F717" t="s">
        <v>57</v>
      </c>
      <c r="G717" t="str">
        <f>INDEX(Risk_Matrix!$B$2:$D$4,MATCH(E717,Risk_Matrix!$A$2:$A$4,0),MATCH(F717,Risk_Matrix!$B$1:$D$1,0))</f>
        <v>Low</v>
      </c>
      <c r="H717" s="1">
        <v>46160</v>
      </c>
      <c r="I717" t="s">
        <v>2015</v>
      </c>
      <c r="J717" t="s">
        <v>2016</v>
      </c>
      <c r="K717" t="s">
        <v>1993</v>
      </c>
      <c r="L717">
        <f>IF(G717="High",3,IF(G717="Medium",2,1))</f>
        <v>1</v>
      </c>
    </row>
    <row r="718" spans="1:12">
      <c r="A718" t="s">
        <v>2744</v>
      </c>
      <c r="B718" t="s">
        <v>871</v>
      </c>
      <c r="C718" t="s">
        <v>1995</v>
      </c>
      <c r="D718" t="s">
        <v>2150</v>
      </c>
      <c r="E718" t="s">
        <v>57</v>
      </c>
      <c r="F718" t="s">
        <v>47</v>
      </c>
      <c r="G718" t="str">
        <f>INDEX(Risk_Matrix!$B$2:$D$4,MATCH(E718,Risk_Matrix!$A$2:$A$4,0),MATCH(F718,Risk_Matrix!$B$1:$D$1,0))</f>
        <v>Medium</v>
      </c>
      <c r="H718" s="1">
        <v>46094</v>
      </c>
      <c r="I718" t="s">
        <v>1987</v>
      </c>
      <c r="J718" t="s">
        <v>1997</v>
      </c>
      <c r="K718" t="s">
        <v>2036</v>
      </c>
      <c r="L718">
        <f>IF(G718="High",3,IF(G718="Medium",2,1))</f>
        <v>2</v>
      </c>
    </row>
    <row r="719" spans="1:12">
      <c r="A719" t="s">
        <v>2745</v>
      </c>
      <c r="B719" t="s">
        <v>871</v>
      </c>
      <c r="C719" t="s">
        <v>2000</v>
      </c>
      <c r="D719" t="s">
        <v>2020</v>
      </c>
      <c r="E719" t="s">
        <v>57</v>
      </c>
      <c r="F719" t="s">
        <v>57</v>
      </c>
      <c r="G719" t="str">
        <f>INDEX(Risk_Matrix!$B$2:$D$4,MATCH(E719,Risk_Matrix!$A$2:$A$4,0),MATCH(F719,Risk_Matrix!$B$1:$D$1,0))</f>
        <v>Low</v>
      </c>
      <c r="H719" s="1">
        <v>46194</v>
      </c>
      <c r="I719" t="s">
        <v>2015</v>
      </c>
      <c r="J719" t="s">
        <v>2032</v>
      </c>
      <c r="K719" t="s">
        <v>1993</v>
      </c>
      <c r="L719">
        <f>IF(G719="High",3,IF(G719="Medium",2,1))</f>
        <v>1</v>
      </c>
    </row>
    <row r="720" spans="1:12">
      <c r="A720" t="s">
        <v>2746</v>
      </c>
      <c r="B720" t="s">
        <v>871</v>
      </c>
      <c r="C720" t="s">
        <v>2005</v>
      </c>
      <c r="D720" t="s">
        <v>2039</v>
      </c>
      <c r="E720" t="s">
        <v>57</v>
      </c>
      <c r="F720" t="s">
        <v>57</v>
      </c>
      <c r="G720" t="str">
        <f>INDEX(Risk_Matrix!$B$2:$D$4,MATCH(E720,Risk_Matrix!$A$2:$A$4,0),MATCH(F720,Risk_Matrix!$B$1:$D$1,0))</f>
        <v>Low</v>
      </c>
      <c r="H720" s="1">
        <v>46056</v>
      </c>
      <c r="I720" t="s">
        <v>2025</v>
      </c>
      <c r="J720" t="s">
        <v>2035</v>
      </c>
      <c r="K720" t="s">
        <v>1993</v>
      </c>
      <c r="L720">
        <f>IF(G720="High",3,IF(G720="Medium",2,1))</f>
        <v>1</v>
      </c>
    </row>
    <row r="721" spans="1:12">
      <c r="A721" t="s">
        <v>2747</v>
      </c>
      <c r="B721" t="s">
        <v>871</v>
      </c>
      <c r="C721" t="s">
        <v>2008</v>
      </c>
      <c r="D721" t="s">
        <v>2054</v>
      </c>
      <c r="E721" t="s">
        <v>57</v>
      </c>
      <c r="F721" t="s">
        <v>1971</v>
      </c>
      <c r="G721" t="str">
        <f>INDEX(Risk_Matrix!$B$2:$D$4,MATCH(E721,Risk_Matrix!$A$2:$A$4,0),MATCH(F721,Risk_Matrix!$B$1:$D$1,0))</f>
        <v>Low</v>
      </c>
      <c r="H721" s="1">
        <v>46229</v>
      </c>
      <c r="I721" t="s">
        <v>1987</v>
      </c>
      <c r="J721" t="s">
        <v>1997</v>
      </c>
      <c r="K721" t="s">
        <v>2010</v>
      </c>
      <c r="L721">
        <f>IF(G721="High",3,IF(G721="Medium",2,1))</f>
        <v>1</v>
      </c>
    </row>
    <row r="722" spans="1:12">
      <c r="A722" t="s">
        <v>2748</v>
      </c>
      <c r="B722" t="s">
        <v>873</v>
      </c>
      <c r="C722" t="s">
        <v>1985</v>
      </c>
      <c r="D722" t="s">
        <v>2012</v>
      </c>
      <c r="E722" t="s">
        <v>57</v>
      </c>
      <c r="F722" t="s">
        <v>1971</v>
      </c>
      <c r="G722" t="str">
        <f>INDEX(Risk_Matrix!$B$2:$D$4,MATCH(E722,Risk_Matrix!$A$2:$A$4,0),MATCH(F722,Risk_Matrix!$B$1:$D$1,0))</f>
        <v>Low</v>
      </c>
      <c r="H722" s="1">
        <v>46213</v>
      </c>
      <c r="I722" t="s">
        <v>2015</v>
      </c>
      <c r="J722" t="s">
        <v>2016</v>
      </c>
      <c r="K722" t="s">
        <v>1989</v>
      </c>
      <c r="L722">
        <f>IF(G722="High",3,IF(G722="Medium",2,1))</f>
        <v>1</v>
      </c>
    </row>
    <row r="723" spans="1:12">
      <c r="A723" t="s">
        <v>2749</v>
      </c>
      <c r="B723" t="s">
        <v>873</v>
      </c>
      <c r="C723" t="s">
        <v>1991</v>
      </c>
      <c r="D723" t="s">
        <v>1992</v>
      </c>
      <c r="E723" t="s">
        <v>57</v>
      </c>
      <c r="F723" t="s">
        <v>57</v>
      </c>
      <c r="G723" t="str">
        <f>INDEX(Risk_Matrix!$B$2:$D$4,MATCH(E723,Risk_Matrix!$A$2:$A$4,0),MATCH(F723,Risk_Matrix!$B$1:$D$1,0))</f>
        <v>Low</v>
      </c>
      <c r="H723" s="1">
        <v>46149</v>
      </c>
      <c r="I723" t="s">
        <v>2002</v>
      </c>
      <c r="J723" t="s">
        <v>2029</v>
      </c>
      <c r="K723" t="s">
        <v>2010</v>
      </c>
      <c r="L723">
        <f>IF(G723="High",3,IF(G723="Medium",2,1))</f>
        <v>1</v>
      </c>
    </row>
    <row r="724" spans="1:12">
      <c r="A724" t="s">
        <v>2750</v>
      </c>
      <c r="B724" t="s">
        <v>873</v>
      </c>
      <c r="C724" t="s">
        <v>1995</v>
      </c>
      <c r="D724" t="s">
        <v>2034</v>
      </c>
      <c r="E724" t="s">
        <v>1971</v>
      </c>
      <c r="F724" t="s">
        <v>1971</v>
      </c>
      <c r="G724" t="str">
        <f>INDEX(Risk_Matrix!$B$2:$D$4,MATCH(E724,Risk_Matrix!$A$2:$A$4,0),MATCH(F724,Risk_Matrix!$B$1:$D$1,0))</f>
        <v>Medium</v>
      </c>
      <c r="H724" s="1">
        <v>46125</v>
      </c>
      <c r="I724" t="s">
        <v>1987</v>
      </c>
      <c r="J724" t="s">
        <v>1997</v>
      </c>
      <c r="K724" t="s">
        <v>2036</v>
      </c>
      <c r="L724">
        <f>IF(G724="High",3,IF(G724="Medium",2,1))</f>
        <v>2</v>
      </c>
    </row>
    <row r="725" spans="1:12">
      <c r="A725" t="s">
        <v>2751</v>
      </c>
      <c r="B725" t="s">
        <v>873</v>
      </c>
      <c r="C725" t="s">
        <v>2000</v>
      </c>
      <c r="D725" t="s">
        <v>2045</v>
      </c>
      <c r="E725" t="s">
        <v>57</v>
      </c>
      <c r="F725" t="s">
        <v>57</v>
      </c>
      <c r="G725" t="str">
        <f>INDEX(Risk_Matrix!$B$2:$D$4,MATCH(E725,Risk_Matrix!$A$2:$A$4,0),MATCH(F725,Risk_Matrix!$B$1:$D$1,0))</f>
        <v>Low</v>
      </c>
      <c r="H725" s="1">
        <v>46190</v>
      </c>
      <c r="I725" t="s">
        <v>2015</v>
      </c>
      <c r="J725" t="s">
        <v>2032</v>
      </c>
      <c r="K725" t="s">
        <v>1993</v>
      </c>
      <c r="L725">
        <f>IF(G725="High",3,IF(G725="Medium",2,1))</f>
        <v>1</v>
      </c>
    </row>
    <row r="726" spans="1:12">
      <c r="A726" t="s">
        <v>2752</v>
      </c>
      <c r="B726" t="s">
        <v>873</v>
      </c>
      <c r="C726" t="s">
        <v>2005</v>
      </c>
      <c r="D726" t="s">
        <v>2022</v>
      </c>
      <c r="E726" t="s">
        <v>57</v>
      </c>
      <c r="F726" t="s">
        <v>57</v>
      </c>
      <c r="G726" t="str">
        <f>INDEX(Risk_Matrix!$B$2:$D$4,MATCH(E726,Risk_Matrix!$A$2:$A$4,0),MATCH(F726,Risk_Matrix!$B$1:$D$1,0))</f>
        <v>Low</v>
      </c>
      <c r="H726" s="1">
        <v>46237</v>
      </c>
      <c r="I726" t="s">
        <v>2002</v>
      </c>
      <c r="J726" t="s">
        <v>2029</v>
      </c>
      <c r="K726" t="s">
        <v>1993</v>
      </c>
      <c r="L726">
        <f>IF(G726="High",3,IF(G726="Medium",2,1))</f>
        <v>1</v>
      </c>
    </row>
    <row r="727" spans="1:12">
      <c r="A727" t="s">
        <v>2753</v>
      </c>
      <c r="B727" t="s">
        <v>873</v>
      </c>
      <c r="C727" t="s">
        <v>2008</v>
      </c>
      <c r="D727" t="s">
        <v>2009</v>
      </c>
      <c r="E727" t="s">
        <v>1971</v>
      </c>
      <c r="F727" t="s">
        <v>1971</v>
      </c>
      <c r="G727" t="str">
        <f>INDEX(Risk_Matrix!$B$2:$D$4,MATCH(E727,Risk_Matrix!$A$2:$A$4,0),MATCH(F727,Risk_Matrix!$B$1:$D$1,0))</f>
        <v>Medium</v>
      </c>
      <c r="H727" s="1">
        <v>46224</v>
      </c>
      <c r="I727" t="s">
        <v>1987</v>
      </c>
      <c r="J727" t="s">
        <v>1997</v>
      </c>
      <c r="K727" t="s">
        <v>2010</v>
      </c>
      <c r="L727">
        <f>IF(G727="High",3,IF(G727="Medium",2,1))</f>
        <v>2</v>
      </c>
    </row>
    <row r="728" spans="1:12">
      <c r="A728" t="s">
        <v>2754</v>
      </c>
      <c r="B728" t="s">
        <v>875</v>
      </c>
      <c r="C728" t="s">
        <v>1985</v>
      </c>
      <c r="D728" t="s">
        <v>2062</v>
      </c>
      <c r="E728" t="s">
        <v>57</v>
      </c>
      <c r="F728" t="s">
        <v>57</v>
      </c>
      <c r="G728" t="str">
        <f>INDEX(Risk_Matrix!$B$2:$D$4,MATCH(E728,Risk_Matrix!$A$2:$A$4,0),MATCH(F728,Risk_Matrix!$B$1:$D$1,0))</f>
        <v>Low</v>
      </c>
      <c r="H728" s="1">
        <v>46063</v>
      </c>
      <c r="I728" t="s">
        <v>1987</v>
      </c>
      <c r="J728" t="s">
        <v>1988</v>
      </c>
      <c r="K728" t="s">
        <v>1989</v>
      </c>
      <c r="L728">
        <f>IF(G728="High",3,IF(G728="Medium",2,1))</f>
        <v>1</v>
      </c>
    </row>
    <row r="729" spans="1:12">
      <c r="A729" t="s">
        <v>2755</v>
      </c>
      <c r="B729" t="s">
        <v>875</v>
      </c>
      <c r="C729" t="s">
        <v>1991</v>
      </c>
      <c r="D729" t="s">
        <v>1992</v>
      </c>
      <c r="E729" t="s">
        <v>57</v>
      </c>
      <c r="F729" t="s">
        <v>57</v>
      </c>
      <c r="G729" t="str">
        <f>INDEX(Risk_Matrix!$B$2:$D$4,MATCH(E729,Risk_Matrix!$A$2:$A$4,0),MATCH(F729,Risk_Matrix!$B$1:$D$1,0))</f>
        <v>Low</v>
      </c>
      <c r="H729" s="1">
        <v>46182</v>
      </c>
      <c r="I729" t="s">
        <v>2025</v>
      </c>
      <c r="J729" t="s">
        <v>2035</v>
      </c>
      <c r="K729" t="s">
        <v>2010</v>
      </c>
      <c r="L729">
        <f>IF(G729="High",3,IF(G729="Medium",2,1))</f>
        <v>1</v>
      </c>
    </row>
    <row r="730" spans="1:12">
      <c r="A730" t="s">
        <v>2756</v>
      </c>
      <c r="B730" t="s">
        <v>875</v>
      </c>
      <c r="C730" t="s">
        <v>1995</v>
      </c>
      <c r="D730" t="s">
        <v>1996</v>
      </c>
      <c r="E730" t="s">
        <v>57</v>
      </c>
      <c r="F730" t="s">
        <v>1971</v>
      </c>
      <c r="G730" t="str">
        <f>INDEX(Risk_Matrix!$B$2:$D$4,MATCH(E730,Risk_Matrix!$A$2:$A$4,0),MATCH(F730,Risk_Matrix!$B$1:$D$1,0))</f>
        <v>Low</v>
      </c>
      <c r="H730" s="1">
        <v>46201</v>
      </c>
      <c r="I730" t="s">
        <v>2025</v>
      </c>
      <c r="J730" t="s">
        <v>2026</v>
      </c>
      <c r="K730" t="s">
        <v>1998</v>
      </c>
      <c r="L730">
        <f>IF(G730="High",3,IF(G730="Medium",2,1))</f>
        <v>1</v>
      </c>
    </row>
    <row r="731" spans="1:12">
      <c r="A731" t="s">
        <v>2757</v>
      </c>
      <c r="B731" t="s">
        <v>875</v>
      </c>
      <c r="C731" t="s">
        <v>2000</v>
      </c>
      <c r="D731" t="s">
        <v>2020</v>
      </c>
      <c r="E731" t="s">
        <v>57</v>
      </c>
      <c r="F731" t="s">
        <v>57</v>
      </c>
      <c r="G731" t="str">
        <f>INDEX(Risk_Matrix!$B$2:$D$4,MATCH(E731,Risk_Matrix!$A$2:$A$4,0),MATCH(F731,Risk_Matrix!$B$1:$D$1,0))</f>
        <v>Low</v>
      </c>
      <c r="H731" s="1">
        <v>46058</v>
      </c>
      <c r="I731" t="s">
        <v>2025</v>
      </c>
      <c r="J731" t="s">
        <v>2026</v>
      </c>
      <c r="K731" t="s">
        <v>1989</v>
      </c>
      <c r="L731">
        <f>IF(G731="High",3,IF(G731="Medium",2,1))</f>
        <v>1</v>
      </c>
    </row>
    <row r="732" spans="1:12">
      <c r="A732" t="s">
        <v>2758</v>
      </c>
      <c r="B732" t="s">
        <v>875</v>
      </c>
      <c r="C732" t="s">
        <v>2005</v>
      </c>
      <c r="D732" t="s">
        <v>2039</v>
      </c>
      <c r="E732" t="s">
        <v>57</v>
      </c>
      <c r="F732" t="s">
        <v>1971</v>
      </c>
      <c r="G732" t="str">
        <f>INDEX(Risk_Matrix!$B$2:$D$4,MATCH(E732,Risk_Matrix!$A$2:$A$4,0),MATCH(F732,Risk_Matrix!$B$1:$D$1,0))</f>
        <v>Low</v>
      </c>
      <c r="H732" s="1">
        <v>46199</v>
      </c>
      <c r="I732" t="s">
        <v>1987</v>
      </c>
      <c r="J732" t="s">
        <v>1988</v>
      </c>
      <c r="K732" t="s">
        <v>1993</v>
      </c>
      <c r="L732">
        <f>IF(G732="High",3,IF(G732="Medium",2,1))</f>
        <v>1</v>
      </c>
    </row>
    <row r="733" spans="1:12">
      <c r="A733" t="s">
        <v>2759</v>
      </c>
      <c r="B733" t="s">
        <v>875</v>
      </c>
      <c r="C733" t="s">
        <v>2008</v>
      </c>
      <c r="D733" t="s">
        <v>2009</v>
      </c>
      <c r="E733" t="s">
        <v>1971</v>
      </c>
      <c r="F733" t="s">
        <v>57</v>
      </c>
      <c r="G733" t="str">
        <f>INDEX(Risk_Matrix!$B$2:$D$4,MATCH(E733,Risk_Matrix!$A$2:$A$4,0),MATCH(F733,Risk_Matrix!$B$1:$D$1,0))</f>
        <v>Low</v>
      </c>
      <c r="H733" s="1">
        <v>46218</v>
      </c>
      <c r="I733" t="s">
        <v>2025</v>
      </c>
      <c r="J733" t="s">
        <v>2026</v>
      </c>
      <c r="K733" t="s">
        <v>2010</v>
      </c>
      <c r="L733">
        <f>IF(G733="High",3,IF(G733="Medium",2,1))</f>
        <v>1</v>
      </c>
    </row>
    <row r="734" spans="1:12">
      <c r="A734" t="s">
        <v>2760</v>
      </c>
      <c r="B734" t="s">
        <v>877</v>
      </c>
      <c r="C734" t="s">
        <v>1985</v>
      </c>
      <c r="D734" t="s">
        <v>2028</v>
      </c>
      <c r="E734" t="s">
        <v>1971</v>
      </c>
      <c r="F734" t="s">
        <v>57</v>
      </c>
      <c r="G734" t="str">
        <f>INDEX(Risk_Matrix!$B$2:$D$4,MATCH(E734,Risk_Matrix!$A$2:$A$4,0),MATCH(F734,Risk_Matrix!$B$1:$D$1,0))</f>
        <v>Low</v>
      </c>
      <c r="H734" s="1">
        <v>46135</v>
      </c>
      <c r="I734" t="s">
        <v>2025</v>
      </c>
      <c r="J734" t="s">
        <v>2035</v>
      </c>
      <c r="K734" t="s">
        <v>1989</v>
      </c>
      <c r="L734">
        <f>IF(G734="High",3,IF(G734="Medium",2,1))</f>
        <v>1</v>
      </c>
    </row>
    <row r="735" spans="1:12">
      <c r="A735" t="s">
        <v>2761</v>
      </c>
      <c r="B735" t="s">
        <v>877</v>
      </c>
      <c r="C735" t="s">
        <v>1991</v>
      </c>
      <c r="D735" t="s">
        <v>2064</v>
      </c>
      <c r="E735" t="s">
        <v>57</v>
      </c>
      <c r="F735" t="s">
        <v>1971</v>
      </c>
      <c r="G735" t="str">
        <f>INDEX(Risk_Matrix!$B$2:$D$4,MATCH(E735,Risk_Matrix!$A$2:$A$4,0),MATCH(F735,Risk_Matrix!$B$1:$D$1,0))</f>
        <v>Low</v>
      </c>
      <c r="H735" s="1">
        <v>46195</v>
      </c>
      <c r="I735" t="s">
        <v>2015</v>
      </c>
      <c r="J735" t="s">
        <v>2016</v>
      </c>
      <c r="K735" t="s">
        <v>1993</v>
      </c>
      <c r="L735">
        <f>IF(G735="High",3,IF(G735="Medium",2,1))</f>
        <v>1</v>
      </c>
    </row>
    <row r="736" spans="1:12">
      <c r="A736" t="s">
        <v>2762</v>
      </c>
      <c r="B736" t="s">
        <v>877</v>
      </c>
      <c r="C736" t="s">
        <v>1995</v>
      </c>
      <c r="D736" t="s">
        <v>1996</v>
      </c>
      <c r="E736" t="s">
        <v>57</v>
      </c>
      <c r="F736" t="s">
        <v>57</v>
      </c>
      <c r="G736" t="str">
        <f>INDEX(Risk_Matrix!$B$2:$D$4,MATCH(E736,Risk_Matrix!$A$2:$A$4,0),MATCH(F736,Risk_Matrix!$B$1:$D$1,0))</f>
        <v>Low</v>
      </c>
      <c r="H736" s="1">
        <v>46112</v>
      </c>
      <c r="I736" t="s">
        <v>2025</v>
      </c>
      <c r="J736" t="s">
        <v>2026</v>
      </c>
      <c r="K736" t="s">
        <v>2036</v>
      </c>
      <c r="L736">
        <f>IF(G736="High",3,IF(G736="Medium",2,1))</f>
        <v>1</v>
      </c>
    </row>
    <row r="737" spans="1:12">
      <c r="A737" t="s">
        <v>2763</v>
      </c>
      <c r="B737" t="s">
        <v>877</v>
      </c>
      <c r="C737" t="s">
        <v>2000</v>
      </c>
      <c r="D737" t="s">
        <v>2001</v>
      </c>
      <c r="E737" t="s">
        <v>1971</v>
      </c>
      <c r="F737" t="s">
        <v>1971</v>
      </c>
      <c r="G737" t="str">
        <f>INDEX(Risk_Matrix!$B$2:$D$4,MATCH(E737,Risk_Matrix!$A$2:$A$4,0),MATCH(F737,Risk_Matrix!$B$1:$D$1,0))</f>
        <v>Medium</v>
      </c>
      <c r="H737" s="1">
        <v>46195</v>
      </c>
      <c r="I737" t="s">
        <v>2015</v>
      </c>
      <c r="J737" t="s">
        <v>2032</v>
      </c>
      <c r="K737" t="s">
        <v>1989</v>
      </c>
      <c r="L737">
        <f>IF(G737="High",3,IF(G737="Medium",2,1))</f>
        <v>2</v>
      </c>
    </row>
    <row r="738" spans="1:12">
      <c r="A738" t="s">
        <v>2764</v>
      </c>
      <c r="B738" t="s">
        <v>877</v>
      </c>
      <c r="C738" t="s">
        <v>2005</v>
      </c>
      <c r="D738" t="s">
        <v>2022</v>
      </c>
      <c r="E738" t="s">
        <v>57</v>
      </c>
      <c r="F738" t="s">
        <v>57</v>
      </c>
      <c r="G738" t="str">
        <f>INDEX(Risk_Matrix!$B$2:$D$4,MATCH(E738,Risk_Matrix!$A$2:$A$4,0),MATCH(F738,Risk_Matrix!$B$1:$D$1,0))</f>
        <v>Low</v>
      </c>
      <c r="H738" s="1">
        <v>46206</v>
      </c>
      <c r="I738" t="s">
        <v>2015</v>
      </c>
      <c r="J738" t="s">
        <v>2032</v>
      </c>
      <c r="K738" t="s">
        <v>1993</v>
      </c>
      <c r="L738">
        <f>IF(G738="High",3,IF(G738="Medium",2,1))</f>
        <v>1</v>
      </c>
    </row>
    <row r="739" spans="1:12">
      <c r="A739" t="s">
        <v>2765</v>
      </c>
      <c r="B739" t="s">
        <v>877</v>
      </c>
      <c r="C739" t="s">
        <v>2008</v>
      </c>
      <c r="D739" t="s">
        <v>2009</v>
      </c>
      <c r="E739" t="s">
        <v>57</v>
      </c>
      <c r="F739" t="s">
        <v>57</v>
      </c>
      <c r="G739" t="str">
        <f>INDEX(Risk_Matrix!$B$2:$D$4,MATCH(E739,Risk_Matrix!$A$2:$A$4,0),MATCH(F739,Risk_Matrix!$B$1:$D$1,0))</f>
        <v>Low</v>
      </c>
      <c r="H739" s="1">
        <v>46130</v>
      </c>
      <c r="I739" t="s">
        <v>1987</v>
      </c>
      <c r="J739" t="s">
        <v>1997</v>
      </c>
      <c r="K739" t="s">
        <v>2010</v>
      </c>
      <c r="L739">
        <f>IF(G739="High",3,IF(G739="Medium",2,1))</f>
        <v>1</v>
      </c>
    </row>
    <row r="740" spans="1:12">
      <c r="A740" t="s">
        <v>2766</v>
      </c>
      <c r="B740" t="s">
        <v>879</v>
      </c>
      <c r="C740" t="s">
        <v>1985</v>
      </c>
      <c r="D740" t="s">
        <v>2012</v>
      </c>
      <c r="E740" t="s">
        <v>57</v>
      </c>
      <c r="F740" t="s">
        <v>57</v>
      </c>
      <c r="G740" t="str">
        <f>INDEX(Risk_Matrix!$B$2:$D$4,MATCH(E740,Risk_Matrix!$A$2:$A$4,0),MATCH(F740,Risk_Matrix!$B$1:$D$1,0))</f>
        <v>Low</v>
      </c>
      <c r="H740" s="1">
        <v>46073</v>
      </c>
      <c r="I740" t="s">
        <v>2025</v>
      </c>
      <c r="J740" t="s">
        <v>2035</v>
      </c>
      <c r="K740" t="s">
        <v>1998</v>
      </c>
      <c r="L740">
        <f>IF(G740="High",3,IF(G740="Medium",2,1))</f>
        <v>1</v>
      </c>
    </row>
    <row r="741" spans="1:12">
      <c r="A741" t="s">
        <v>2767</v>
      </c>
      <c r="B741" t="s">
        <v>879</v>
      </c>
      <c r="C741" t="s">
        <v>1991</v>
      </c>
      <c r="D741" t="s">
        <v>2031</v>
      </c>
      <c r="E741" t="s">
        <v>57</v>
      </c>
      <c r="F741" t="s">
        <v>47</v>
      </c>
      <c r="G741" t="str">
        <f>INDEX(Risk_Matrix!$B$2:$D$4,MATCH(E741,Risk_Matrix!$A$2:$A$4,0),MATCH(F741,Risk_Matrix!$B$1:$D$1,0))</f>
        <v>Medium</v>
      </c>
      <c r="H741" s="1">
        <v>46160</v>
      </c>
      <c r="I741" t="s">
        <v>2025</v>
      </c>
      <c r="J741" t="s">
        <v>2035</v>
      </c>
      <c r="K741" t="s">
        <v>1993</v>
      </c>
      <c r="L741">
        <f>IF(G741="High",3,IF(G741="Medium",2,1))</f>
        <v>2</v>
      </c>
    </row>
    <row r="742" spans="1:12">
      <c r="A742" t="s">
        <v>2768</v>
      </c>
      <c r="B742" t="s">
        <v>879</v>
      </c>
      <c r="C742" t="s">
        <v>1995</v>
      </c>
      <c r="D742" t="s">
        <v>2034</v>
      </c>
      <c r="E742" t="s">
        <v>1971</v>
      </c>
      <c r="F742" t="s">
        <v>57</v>
      </c>
      <c r="G742" t="str">
        <f>INDEX(Risk_Matrix!$B$2:$D$4,MATCH(E742,Risk_Matrix!$A$2:$A$4,0),MATCH(F742,Risk_Matrix!$B$1:$D$1,0))</f>
        <v>Low</v>
      </c>
      <c r="H742" s="1">
        <v>46212</v>
      </c>
      <c r="I742" t="s">
        <v>1987</v>
      </c>
      <c r="J742" t="s">
        <v>1997</v>
      </c>
      <c r="K742" t="s">
        <v>2036</v>
      </c>
      <c r="L742">
        <f>IF(G742="High",3,IF(G742="Medium",2,1))</f>
        <v>1</v>
      </c>
    </row>
    <row r="743" spans="1:12">
      <c r="A743" t="s">
        <v>2769</v>
      </c>
      <c r="B743" t="s">
        <v>879</v>
      </c>
      <c r="C743" t="s">
        <v>2000</v>
      </c>
      <c r="D743" t="s">
        <v>2045</v>
      </c>
      <c r="E743" t="s">
        <v>1971</v>
      </c>
      <c r="F743" t="s">
        <v>57</v>
      </c>
      <c r="G743" t="str">
        <f>INDEX(Risk_Matrix!$B$2:$D$4,MATCH(E743,Risk_Matrix!$A$2:$A$4,0),MATCH(F743,Risk_Matrix!$B$1:$D$1,0))</f>
        <v>Low</v>
      </c>
      <c r="H743" s="1">
        <v>46183</v>
      </c>
      <c r="I743" t="s">
        <v>1987</v>
      </c>
      <c r="J743" t="s">
        <v>1997</v>
      </c>
      <c r="K743" t="s">
        <v>1989</v>
      </c>
      <c r="L743">
        <f>IF(G743="High",3,IF(G743="Medium",2,1))</f>
        <v>1</v>
      </c>
    </row>
    <row r="744" spans="1:12">
      <c r="A744" t="s">
        <v>2770</v>
      </c>
      <c r="B744" t="s">
        <v>879</v>
      </c>
      <c r="C744" t="s">
        <v>2005</v>
      </c>
      <c r="D744" t="s">
        <v>2006</v>
      </c>
      <c r="E744" t="s">
        <v>57</v>
      </c>
      <c r="F744" t="s">
        <v>57</v>
      </c>
      <c r="G744" t="str">
        <f>INDEX(Risk_Matrix!$B$2:$D$4,MATCH(E744,Risk_Matrix!$A$2:$A$4,0),MATCH(F744,Risk_Matrix!$B$1:$D$1,0))</f>
        <v>Low</v>
      </c>
      <c r="H744" s="1">
        <v>46088</v>
      </c>
      <c r="I744" t="s">
        <v>2025</v>
      </c>
      <c r="J744" t="s">
        <v>2035</v>
      </c>
      <c r="K744" t="s">
        <v>1993</v>
      </c>
      <c r="L744">
        <f>IF(G744="High",3,IF(G744="Medium",2,1))</f>
        <v>1</v>
      </c>
    </row>
    <row r="745" spans="1:12">
      <c r="A745" t="s">
        <v>2771</v>
      </c>
      <c r="B745" t="s">
        <v>879</v>
      </c>
      <c r="C745" t="s">
        <v>2008</v>
      </c>
      <c r="D745" t="s">
        <v>2054</v>
      </c>
      <c r="E745" t="s">
        <v>57</v>
      </c>
      <c r="F745" t="s">
        <v>57</v>
      </c>
      <c r="G745" t="str">
        <f>INDEX(Risk_Matrix!$B$2:$D$4,MATCH(E745,Risk_Matrix!$A$2:$A$4,0),MATCH(F745,Risk_Matrix!$B$1:$D$1,0))</f>
        <v>Low</v>
      </c>
      <c r="H745" s="1">
        <v>46151</v>
      </c>
      <c r="I745" t="s">
        <v>2015</v>
      </c>
      <c r="J745" t="s">
        <v>2032</v>
      </c>
      <c r="K745" t="s">
        <v>2010</v>
      </c>
      <c r="L745">
        <f>IF(G745="High",3,IF(G745="Medium",2,1))</f>
        <v>1</v>
      </c>
    </row>
    <row r="746" spans="1:12">
      <c r="A746" t="s">
        <v>2772</v>
      </c>
      <c r="B746" t="s">
        <v>881</v>
      </c>
      <c r="C746" t="s">
        <v>1985</v>
      </c>
      <c r="D746" t="s">
        <v>2028</v>
      </c>
      <c r="E746" t="s">
        <v>57</v>
      </c>
      <c r="F746" t="s">
        <v>57</v>
      </c>
      <c r="G746" t="str">
        <f>INDEX(Risk_Matrix!$B$2:$D$4,MATCH(E746,Risk_Matrix!$A$2:$A$4,0),MATCH(F746,Risk_Matrix!$B$1:$D$1,0))</f>
        <v>Low</v>
      </c>
      <c r="H746" s="1">
        <v>46211</v>
      </c>
      <c r="I746" t="s">
        <v>2015</v>
      </c>
      <c r="J746" t="s">
        <v>2032</v>
      </c>
      <c r="K746" t="s">
        <v>1989</v>
      </c>
      <c r="L746">
        <f>IF(G746="High",3,IF(G746="Medium",2,1))</f>
        <v>1</v>
      </c>
    </row>
    <row r="747" spans="1:12">
      <c r="A747" t="s">
        <v>2773</v>
      </c>
      <c r="B747" t="s">
        <v>881</v>
      </c>
      <c r="C747" t="s">
        <v>1991</v>
      </c>
      <c r="D747" t="s">
        <v>2014</v>
      </c>
      <c r="E747" t="s">
        <v>57</v>
      </c>
      <c r="F747" t="s">
        <v>57</v>
      </c>
      <c r="G747" t="str">
        <f>INDEX(Risk_Matrix!$B$2:$D$4,MATCH(E747,Risk_Matrix!$A$2:$A$4,0),MATCH(F747,Risk_Matrix!$B$1:$D$1,0))</f>
        <v>Low</v>
      </c>
      <c r="H747" s="1">
        <v>46097</v>
      </c>
      <c r="I747" t="s">
        <v>1987</v>
      </c>
      <c r="J747" t="s">
        <v>1988</v>
      </c>
      <c r="K747" t="s">
        <v>1993</v>
      </c>
      <c r="L747">
        <f>IF(G747="High",3,IF(G747="Medium",2,1))</f>
        <v>1</v>
      </c>
    </row>
    <row r="748" spans="1:12">
      <c r="A748" t="s">
        <v>2774</v>
      </c>
      <c r="B748" t="s">
        <v>881</v>
      </c>
      <c r="C748" t="s">
        <v>1995</v>
      </c>
      <c r="D748" t="s">
        <v>2150</v>
      </c>
      <c r="E748" t="s">
        <v>57</v>
      </c>
      <c r="F748" t="s">
        <v>1971</v>
      </c>
      <c r="G748" t="str">
        <f>INDEX(Risk_Matrix!$B$2:$D$4,MATCH(E748,Risk_Matrix!$A$2:$A$4,0),MATCH(F748,Risk_Matrix!$B$1:$D$1,0))</f>
        <v>Low</v>
      </c>
      <c r="H748" s="1">
        <v>46232</v>
      </c>
      <c r="I748" t="s">
        <v>1987</v>
      </c>
      <c r="J748" t="s">
        <v>1997</v>
      </c>
      <c r="K748" t="s">
        <v>2036</v>
      </c>
      <c r="L748">
        <f>IF(G748="High",3,IF(G748="Medium",2,1))</f>
        <v>1</v>
      </c>
    </row>
    <row r="749" spans="1:12">
      <c r="A749" t="s">
        <v>2775</v>
      </c>
      <c r="B749" t="s">
        <v>881</v>
      </c>
      <c r="C749" t="s">
        <v>2000</v>
      </c>
      <c r="D749" t="s">
        <v>2001</v>
      </c>
      <c r="E749" t="s">
        <v>57</v>
      </c>
      <c r="F749" t="s">
        <v>57</v>
      </c>
      <c r="G749" t="str">
        <f>INDEX(Risk_Matrix!$B$2:$D$4,MATCH(E749,Risk_Matrix!$A$2:$A$4,0),MATCH(F749,Risk_Matrix!$B$1:$D$1,0))</f>
        <v>Low</v>
      </c>
      <c r="H749" s="1">
        <v>46182</v>
      </c>
      <c r="I749" t="s">
        <v>2002</v>
      </c>
      <c r="J749" t="s">
        <v>2003</v>
      </c>
      <c r="K749" t="s">
        <v>1989</v>
      </c>
      <c r="L749">
        <f>IF(G749="High",3,IF(G749="Medium",2,1))</f>
        <v>1</v>
      </c>
    </row>
    <row r="750" spans="1:12">
      <c r="A750" t="s">
        <v>2776</v>
      </c>
      <c r="B750" t="s">
        <v>881</v>
      </c>
      <c r="C750" t="s">
        <v>2005</v>
      </c>
      <c r="D750" t="s">
        <v>2006</v>
      </c>
      <c r="E750" t="s">
        <v>57</v>
      </c>
      <c r="F750" t="s">
        <v>57</v>
      </c>
      <c r="G750" t="str">
        <f>INDEX(Risk_Matrix!$B$2:$D$4,MATCH(E750,Risk_Matrix!$A$2:$A$4,0),MATCH(F750,Risk_Matrix!$B$1:$D$1,0))</f>
        <v>Low</v>
      </c>
      <c r="H750" s="1">
        <v>46185</v>
      </c>
      <c r="I750" t="s">
        <v>1987</v>
      </c>
      <c r="J750" t="s">
        <v>1988</v>
      </c>
      <c r="K750" t="s">
        <v>1993</v>
      </c>
      <c r="L750">
        <f>IF(G750="High",3,IF(G750="Medium",2,1))</f>
        <v>1</v>
      </c>
    </row>
    <row r="751" spans="1:12">
      <c r="A751" t="s">
        <v>2777</v>
      </c>
      <c r="B751" t="s">
        <v>881</v>
      </c>
      <c r="C751" t="s">
        <v>2008</v>
      </c>
      <c r="D751" t="s">
        <v>2054</v>
      </c>
      <c r="E751" t="s">
        <v>1971</v>
      </c>
      <c r="F751" t="s">
        <v>1971</v>
      </c>
      <c r="G751" t="str">
        <f>INDEX(Risk_Matrix!$B$2:$D$4,MATCH(E751,Risk_Matrix!$A$2:$A$4,0),MATCH(F751,Risk_Matrix!$B$1:$D$1,0))</f>
        <v>Medium</v>
      </c>
      <c r="H751" s="1">
        <v>46127</v>
      </c>
      <c r="I751" t="s">
        <v>1987</v>
      </c>
      <c r="J751" t="s">
        <v>1988</v>
      </c>
      <c r="K751" t="s">
        <v>2010</v>
      </c>
      <c r="L751">
        <f>IF(G751="High",3,IF(G751="Medium",2,1))</f>
        <v>2</v>
      </c>
    </row>
    <row r="752" spans="1:12">
      <c r="A752" t="s">
        <v>2778</v>
      </c>
      <c r="B752" t="s">
        <v>883</v>
      </c>
      <c r="C752" t="s">
        <v>1985</v>
      </c>
      <c r="D752" t="s">
        <v>2012</v>
      </c>
      <c r="E752" t="s">
        <v>1971</v>
      </c>
      <c r="F752" t="s">
        <v>57</v>
      </c>
      <c r="G752" t="str">
        <f>INDEX(Risk_Matrix!$B$2:$D$4,MATCH(E752,Risk_Matrix!$A$2:$A$4,0),MATCH(F752,Risk_Matrix!$B$1:$D$1,0))</f>
        <v>Low</v>
      </c>
      <c r="H752" s="1">
        <v>46187</v>
      </c>
      <c r="I752" t="s">
        <v>1987</v>
      </c>
      <c r="J752" t="s">
        <v>1988</v>
      </c>
      <c r="K752" t="s">
        <v>1989</v>
      </c>
      <c r="L752">
        <f>IF(G752="High",3,IF(G752="Medium",2,1))</f>
        <v>1</v>
      </c>
    </row>
    <row r="753" spans="1:12">
      <c r="A753" t="s">
        <v>2779</v>
      </c>
      <c r="B753" t="s">
        <v>883</v>
      </c>
      <c r="C753" t="s">
        <v>1991</v>
      </c>
      <c r="D753" t="s">
        <v>2031</v>
      </c>
      <c r="E753" t="s">
        <v>57</v>
      </c>
      <c r="F753" t="s">
        <v>1971</v>
      </c>
      <c r="G753" t="str">
        <f>INDEX(Risk_Matrix!$B$2:$D$4,MATCH(E753,Risk_Matrix!$A$2:$A$4,0),MATCH(F753,Risk_Matrix!$B$1:$D$1,0))</f>
        <v>Low</v>
      </c>
      <c r="H753" s="1">
        <v>46161</v>
      </c>
      <c r="I753" t="s">
        <v>2025</v>
      </c>
      <c r="J753" t="s">
        <v>2035</v>
      </c>
      <c r="K753" t="s">
        <v>2010</v>
      </c>
      <c r="L753">
        <f>IF(G753="High",3,IF(G753="Medium",2,1))</f>
        <v>1</v>
      </c>
    </row>
    <row r="754" spans="1:12">
      <c r="A754" t="s">
        <v>2780</v>
      </c>
      <c r="B754" t="s">
        <v>883</v>
      </c>
      <c r="C754" t="s">
        <v>1995</v>
      </c>
      <c r="D754" t="s">
        <v>2150</v>
      </c>
      <c r="E754" t="s">
        <v>57</v>
      </c>
      <c r="F754" t="s">
        <v>57</v>
      </c>
      <c r="G754" t="str">
        <f>INDEX(Risk_Matrix!$B$2:$D$4,MATCH(E754,Risk_Matrix!$A$2:$A$4,0),MATCH(F754,Risk_Matrix!$B$1:$D$1,0))</f>
        <v>Low</v>
      </c>
      <c r="H754" s="1">
        <v>46109</v>
      </c>
      <c r="I754" t="s">
        <v>1987</v>
      </c>
      <c r="J754" t="s">
        <v>1997</v>
      </c>
      <c r="K754" t="s">
        <v>2036</v>
      </c>
      <c r="L754">
        <f>IF(G754="High",3,IF(G754="Medium",2,1))</f>
        <v>1</v>
      </c>
    </row>
    <row r="755" spans="1:12">
      <c r="A755" t="s">
        <v>2781</v>
      </c>
      <c r="B755" t="s">
        <v>883</v>
      </c>
      <c r="C755" t="s">
        <v>2000</v>
      </c>
      <c r="D755" t="s">
        <v>2001</v>
      </c>
      <c r="E755" t="s">
        <v>47</v>
      </c>
      <c r="F755" t="s">
        <v>57</v>
      </c>
      <c r="G755" t="str">
        <f>INDEX(Risk_Matrix!$B$2:$D$4,MATCH(E755,Risk_Matrix!$A$2:$A$4,0),MATCH(F755,Risk_Matrix!$B$1:$D$1,0))</f>
        <v>Medium</v>
      </c>
      <c r="H755" s="1">
        <v>46188</v>
      </c>
      <c r="I755" t="s">
        <v>2025</v>
      </c>
      <c r="J755" t="s">
        <v>2026</v>
      </c>
      <c r="K755" t="s">
        <v>1989</v>
      </c>
      <c r="L755">
        <f>IF(G755="High",3,IF(G755="Medium",2,1))</f>
        <v>2</v>
      </c>
    </row>
    <row r="756" spans="1:12">
      <c r="A756" t="s">
        <v>2782</v>
      </c>
      <c r="B756" t="s">
        <v>883</v>
      </c>
      <c r="C756" t="s">
        <v>2005</v>
      </c>
      <c r="D756" t="s">
        <v>2039</v>
      </c>
      <c r="E756" t="s">
        <v>57</v>
      </c>
      <c r="F756" t="s">
        <v>57</v>
      </c>
      <c r="G756" t="str">
        <f>INDEX(Risk_Matrix!$B$2:$D$4,MATCH(E756,Risk_Matrix!$A$2:$A$4,0),MATCH(F756,Risk_Matrix!$B$1:$D$1,0))</f>
        <v>Low</v>
      </c>
      <c r="H756" s="1">
        <v>46080</v>
      </c>
      <c r="I756" t="s">
        <v>1987</v>
      </c>
      <c r="J756" t="s">
        <v>1988</v>
      </c>
      <c r="K756" t="s">
        <v>1993</v>
      </c>
      <c r="L756">
        <f>IF(G756="High",3,IF(G756="Medium",2,1))</f>
        <v>1</v>
      </c>
    </row>
    <row r="757" spans="1:12">
      <c r="A757" t="s">
        <v>2783</v>
      </c>
      <c r="B757" t="s">
        <v>883</v>
      </c>
      <c r="C757" t="s">
        <v>2008</v>
      </c>
      <c r="D757" t="s">
        <v>2024</v>
      </c>
      <c r="E757" t="s">
        <v>1971</v>
      </c>
      <c r="F757" t="s">
        <v>57</v>
      </c>
      <c r="G757" t="str">
        <f>INDEX(Risk_Matrix!$B$2:$D$4,MATCH(E757,Risk_Matrix!$A$2:$A$4,0),MATCH(F757,Risk_Matrix!$B$1:$D$1,0))</f>
        <v>Low</v>
      </c>
      <c r="H757" s="1">
        <v>46106</v>
      </c>
      <c r="I757" t="s">
        <v>2002</v>
      </c>
      <c r="J757" t="s">
        <v>2003</v>
      </c>
      <c r="K757" t="s">
        <v>2010</v>
      </c>
      <c r="L757">
        <f>IF(G757="High",3,IF(G757="Medium",2,1))</f>
        <v>1</v>
      </c>
    </row>
    <row r="758" spans="1:12">
      <c r="A758" t="s">
        <v>2784</v>
      </c>
      <c r="B758" t="s">
        <v>886</v>
      </c>
      <c r="C758" t="s">
        <v>1985</v>
      </c>
      <c r="D758" t="s">
        <v>1986</v>
      </c>
      <c r="E758" t="s">
        <v>57</v>
      </c>
      <c r="F758" t="s">
        <v>57</v>
      </c>
      <c r="G758" t="str">
        <f>INDEX(Risk_Matrix!$B$2:$D$4,MATCH(E758,Risk_Matrix!$A$2:$A$4,0),MATCH(F758,Risk_Matrix!$B$1:$D$1,0))</f>
        <v>Low</v>
      </c>
      <c r="H758" s="1">
        <v>46109</v>
      </c>
      <c r="I758" t="s">
        <v>1987</v>
      </c>
      <c r="J758" t="s">
        <v>1997</v>
      </c>
      <c r="K758" t="s">
        <v>1989</v>
      </c>
      <c r="L758">
        <f>IF(G758="High",3,IF(G758="Medium",2,1))</f>
        <v>1</v>
      </c>
    </row>
    <row r="759" spans="1:12">
      <c r="A759" t="s">
        <v>2785</v>
      </c>
      <c r="B759" t="s">
        <v>886</v>
      </c>
      <c r="C759" t="s">
        <v>1991</v>
      </c>
      <c r="D759" t="s">
        <v>2014</v>
      </c>
      <c r="E759" t="s">
        <v>1971</v>
      </c>
      <c r="F759" t="s">
        <v>57</v>
      </c>
      <c r="G759" t="str">
        <f>INDEX(Risk_Matrix!$B$2:$D$4,MATCH(E759,Risk_Matrix!$A$2:$A$4,0),MATCH(F759,Risk_Matrix!$B$1:$D$1,0))</f>
        <v>Low</v>
      </c>
      <c r="H759" s="1">
        <v>46122</v>
      </c>
      <c r="I759" t="s">
        <v>1987</v>
      </c>
      <c r="J759" t="s">
        <v>1997</v>
      </c>
      <c r="K759" t="s">
        <v>1993</v>
      </c>
      <c r="L759">
        <f>IF(G759="High",3,IF(G759="Medium",2,1))</f>
        <v>1</v>
      </c>
    </row>
    <row r="760" spans="1:12">
      <c r="A760" t="s">
        <v>2786</v>
      </c>
      <c r="B760" t="s">
        <v>886</v>
      </c>
      <c r="C760" t="s">
        <v>1995</v>
      </c>
      <c r="D760" t="s">
        <v>1996</v>
      </c>
      <c r="E760" t="s">
        <v>57</v>
      </c>
      <c r="F760" t="s">
        <v>57</v>
      </c>
      <c r="G760" t="str">
        <f>INDEX(Risk_Matrix!$B$2:$D$4,MATCH(E760,Risk_Matrix!$A$2:$A$4,0),MATCH(F760,Risk_Matrix!$B$1:$D$1,0))</f>
        <v>Low</v>
      </c>
      <c r="H760" s="1">
        <v>46138</v>
      </c>
      <c r="I760" t="s">
        <v>2025</v>
      </c>
      <c r="J760" t="s">
        <v>2035</v>
      </c>
      <c r="K760" t="s">
        <v>2036</v>
      </c>
      <c r="L760">
        <f>IF(G760="High",3,IF(G760="Medium",2,1))</f>
        <v>1</v>
      </c>
    </row>
    <row r="761" spans="1:12">
      <c r="A761" t="s">
        <v>2787</v>
      </c>
      <c r="B761" t="s">
        <v>886</v>
      </c>
      <c r="C761" t="s">
        <v>2000</v>
      </c>
      <c r="D761" t="s">
        <v>2001</v>
      </c>
      <c r="E761" t="s">
        <v>57</v>
      </c>
      <c r="F761" t="s">
        <v>57</v>
      </c>
      <c r="G761" t="str">
        <f>INDEX(Risk_Matrix!$B$2:$D$4,MATCH(E761,Risk_Matrix!$A$2:$A$4,0),MATCH(F761,Risk_Matrix!$B$1:$D$1,0))</f>
        <v>Low</v>
      </c>
      <c r="H761" s="1">
        <v>46156</v>
      </c>
      <c r="I761" t="s">
        <v>2025</v>
      </c>
      <c r="J761" t="s">
        <v>2035</v>
      </c>
      <c r="K761" t="s">
        <v>1989</v>
      </c>
      <c r="L761">
        <f>IF(G761="High",3,IF(G761="Medium",2,1))</f>
        <v>1</v>
      </c>
    </row>
    <row r="762" spans="1:12">
      <c r="A762" t="s">
        <v>2788</v>
      </c>
      <c r="B762" t="s">
        <v>886</v>
      </c>
      <c r="C762" t="s">
        <v>2005</v>
      </c>
      <c r="D762" t="s">
        <v>2039</v>
      </c>
      <c r="E762" t="s">
        <v>1971</v>
      </c>
      <c r="F762" t="s">
        <v>57</v>
      </c>
      <c r="G762" t="str">
        <f>INDEX(Risk_Matrix!$B$2:$D$4,MATCH(E762,Risk_Matrix!$A$2:$A$4,0),MATCH(F762,Risk_Matrix!$B$1:$D$1,0))</f>
        <v>Low</v>
      </c>
      <c r="H762" s="1">
        <v>46102</v>
      </c>
      <c r="I762" t="s">
        <v>1987</v>
      </c>
      <c r="J762" t="s">
        <v>1997</v>
      </c>
      <c r="K762" t="s">
        <v>1993</v>
      </c>
      <c r="L762">
        <f>IF(G762="High",3,IF(G762="Medium",2,1))</f>
        <v>1</v>
      </c>
    </row>
    <row r="763" spans="1:12">
      <c r="A763" t="s">
        <v>2789</v>
      </c>
      <c r="B763" t="s">
        <v>886</v>
      </c>
      <c r="C763" t="s">
        <v>2008</v>
      </c>
      <c r="D763" t="s">
        <v>2024</v>
      </c>
      <c r="E763" t="s">
        <v>1971</v>
      </c>
      <c r="F763" t="s">
        <v>57</v>
      </c>
      <c r="G763" t="str">
        <f>INDEX(Risk_Matrix!$B$2:$D$4,MATCH(E763,Risk_Matrix!$A$2:$A$4,0),MATCH(F763,Risk_Matrix!$B$1:$D$1,0))</f>
        <v>Low</v>
      </c>
      <c r="H763" s="1">
        <v>46107</v>
      </c>
      <c r="I763" t="s">
        <v>2002</v>
      </c>
      <c r="J763" t="s">
        <v>2029</v>
      </c>
      <c r="K763" t="s">
        <v>2010</v>
      </c>
      <c r="L763">
        <f>IF(G763="High",3,IF(G763="Medium",2,1))</f>
        <v>1</v>
      </c>
    </row>
    <row r="764" spans="1:12">
      <c r="A764" t="s">
        <v>2790</v>
      </c>
      <c r="B764" t="s">
        <v>888</v>
      </c>
      <c r="C764" t="s">
        <v>1985</v>
      </c>
      <c r="D764" t="s">
        <v>2062</v>
      </c>
      <c r="E764" t="s">
        <v>1971</v>
      </c>
      <c r="F764" t="s">
        <v>57</v>
      </c>
      <c r="G764" t="str">
        <f>INDEX(Risk_Matrix!$B$2:$D$4,MATCH(E764,Risk_Matrix!$A$2:$A$4,0),MATCH(F764,Risk_Matrix!$B$1:$D$1,0))</f>
        <v>Low</v>
      </c>
      <c r="H764" s="1">
        <v>46125</v>
      </c>
      <c r="I764" t="s">
        <v>2002</v>
      </c>
      <c r="J764" t="s">
        <v>2029</v>
      </c>
      <c r="K764" t="s">
        <v>1989</v>
      </c>
      <c r="L764">
        <f>IF(G764="High",3,IF(G764="Medium",2,1))</f>
        <v>1</v>
      </c>
    </row>
    <row r="765" spans="1:12">
      <c r="A765" t="s">
        <v>2791</v>
      </c>
      <c r="B765" t="s">
        <v>888</v>
      </c>
      <c r="C765" t="s">
        <v>1991</v>
      </c>
      <c r="D765" t="s">
        <v>2014</v>
      </c>
      <c r="E765" t="s">
        <v>1971</v>
      </c>
      <c r="F765" t="s">
        <v>57</v>
      </c>
      <c r="G765" t="str">
        <f>INDEX(Risk_Matrix!$B$2:$D$4,MATCH(E765,Risk_Matrix!$A$2:$A$4,0),MATCH(F765,Risk_Matrix!$B$1:$D$1,0))</f>
        <v>Low</v>
      </c>
      <c r="H765" s="1">
        <v>46207</v>
      </c>
      <c r="I765" t="s">
        <v>1987</v>
      </c>
      <c r="J765" t="s">
        <v>1997</v>
      </c>
      <c r="K765" t="s">
        <v>1993</v>
      </c>
      <c r="L765">
        <f>IF(G765="High",3,IF(G765="Medium",2,1))</f>
        <v>1</v>
      </c>
    </row>
    <row r="766" spans="1:12">
      <c r="A766" t="s">
        <v>2792</v>
      </c>
      <c r="B766" t="s">
        <v>888</v>
      </c>
      <c r="C766" t="s">
        <v>1995</v>
      </c>
      <c r="D766" t="s">
        <v>2018</v>
      </c>
      <c r="E766" t="s">
        <v>47</v>
      </c>
      <c r="F766" t="s">
        <v>57</v>
      </c>
      <c r="G766" t="str">
        <f>INDEX(Risk_Matrix!$B$2:$D$4,MATCH(E766,Risk_Matrix!$A$2:$A$4,0),MATCH(F766,Risk_Matrix!$B$1:$D$1,0))</f>
        <v>Medium</v>
      </c>
      <c r="H766" s="1">
        <v>46158</v>
      </c>
      <c r="I766" t="s">
        <v>2015</v>
      </c>
      <c r="J766" t="s">
        <v>2032</v>
      </c>
      <c r="K766" t="s">
        <v>1998</v>
      </c>
      <c r="L766">
        <f>IF(G766="High",3,IF(G766="Medium",2,1))</f>
        <v>2</v>
      </c>
    </row>
    <row r="767" spans="1:12">
      <c r="A767" t="s">
        <v>2793</v>
      </c>
      <c r="B767" t="s">
        <v>888</v>
      </c>
      <c r="C767" t="s">
        <v>2000</v>
      </c>
      <c r="D767" t="s">
        <v>2020</v>
      </c>
      <c r="E767" t="s">
        <v>1971</v>
      </c>
      <c r="F767" t="s">
        <v>57</v>
      </c>
      <c r="G767" t="str">
        <f>INDEX(Risk_Matrix!$B$2:$D$4,MATCH(E767,Risk_Matrix!$A$2:$A$4,0),MATCH(F767,Risk_Matrix!$B$1:$D$1,0))</f>
        <v>Low</v>
      </c>
      <c r="H767" s="1">
        <v>46111</v>
      </c>
      <c r="I767" t="s">
        <v>2002</v>
      </c>
      <c r="J767" t="s">
        <v>2029</v>
      </c>
      <c r="K767" t="s">
        <v>1993</v>
      </c>
      <c r="L767">
        <f>IF(G767="High",3,IF(G767="Medium",2,1))</f>
        <v>1</v>
      </c>
    </row>
    <row r="768" spans="1:12">
      <c r="A768" t="s">
        <v>2794</v>
      </c>
      <c r="B768" t="s">
        <v>888</v>
      </c>
      <c r="C768" t="s">
        <v>2005</v>
      </c>
      <c r="D768" t="s">
        <v>2006</v>
      </c>
      <c r="E768" t="s">
        <v>1971</v>
      </c>
      <c r="F768" t="s">
        <v>1971</v>
      </c>
      <c r="G768" t="str">
        <f>INDEX(Risk_Matrix!$B$2:$D$4,MATCH(E768,Risk_Matrix!$A$2:$A$4,0),MATCH(F768,Risk_Matrix!$B$1:$D$1,0))</f>
        <v>Medium</v>
      </c>
      <c r="H768" s="1">
        <v>46191</v>
      </c>
      <c r="I768" t="s">
        <v>2015</v>
      </c>
      <c r="J768" t="s">
        <v>2016</v>
      </c>
      <c r="K768" t="s">
        <v>1993</v>
      </c>
      <c r="L768">
        <f>IF(G768="High",3,IF(G768="Medium",2,1))</f>
        <v>2</v>
      </c>
    </row>
    <row r="769" spans="1:12">
      <c r="A769" t="s">
        <v>2795</v>
      </c>
      <c r="B769" t="s">
        <v>888</v>
      </c>
      <c r="C769" t="s">
        <v>2008</v>
      </c>
      <c r="D769" t="s">
        <v>2024</v>
      </c>
      <c r="E769" t="s">
        <v>57</v>
      </c>
      <c r="F769" t="s">
        <v>47</v>
      </c>
      <c r="G769" t="str">
        <f>INDEX(Risk_Matrix!$B$2:$D$4,MATCH(E769,Risk_Matrix!$A$2:$A$4,0),MATCH(F769,Risk_Matrix!$B$1:$D$1,0))</f>
        <v>Medium</v>
      </c>
      <c r="H769" s="1">
        <v>46157</v>
      </c>
      <c r="I769" t="s">
        <v>2015</v>
      </c>
      <c r="J769" t="s">
        <v>2016</v>
      </c>
      <c r="K769" t="s">
        <v>2010</v>
      </c>
      <c r="L769">
        <f>IF(G769="High",3,IF(G769="Medium",2,1))</f>
        <v>2</v>
      </c>
    </row>
    <row r="770" spans="1:12">
      <c r="A770" t="s">
        <v>2796</v>
      </c>
      <c r="B770" t="s">
        <v>891</v>
      </c>
      <c r="C770" t="s">
        <v>1985</v>
      </c>
      <c r="D770" t="s">
        <v>2062</v>
      </c>
      <c r="E770" t="s">
        <v>57</v>
      </c>
      <c r="F770" t="s">
        <v>57</v>
      </c>
      <c r="G770" t="str">
        <f>INDEX(Risk_Matrix!$B$2:$D$4,MATCH(E770,Risk_Matrix!$A$2:$A$4,0),MATCH(F770,Risk_Matrix!$B$1:$D$1,0))</f>
        <v>Low</v>
      </c>
      <c r="H770" s="1">
        <v>46160</v>
      </c>
      <c r="I770" t="s">
        <v>2002</v>
      </c>
      <c r="J770" t="s">
        <v>2003</v>
      </c>
      <c r="K770" t="s">
        <v>1989</v>
      </c>
      <c r="L770">
        <f>IF(G770="High",3,IF(G770="Medium",2,1))</f>
        <v>1</v>
      </c>
    </row>
    <row r="771" spans="1:12">
      <c r="A771" t="s">
        <v>2797</v>
      </c>
      <c r="B771" t="s">
        <v>891</v>
      </c>
      <c r="C771" t="s">
        <v>1991</v>
      </c>
      <c r="D771" t="s">
        <v>2014</v>
      </c>
      <c r="E771" t="s">
        <v>1971</v>
      </c>
      <c r="F771" t="s">
        <v>47</v>
      </c>
      <c r="G771" t="str">
        <f>INDEX(Risk_Matrix!$B$2:$D$4,MATCH(E771,Risk_Matrix!$A$2:$A$4,0),MATCH(F771,Risk_Matrix!$B$1:$D$1,0))</f>
        <v>High</v>
      </c>
      <c r="H771" s="1">
        <v>46235</v>
      </c>
      <c r="I771" t="s">
        <v>2015</v>
      </c>
      <c r="J771" t="s">
        <v>2032</v>
      </c>
      <c r="K771" t="s">
        <v>2010</v>
      </c>
      <c r="L771">
        <f>IF(G771="High",3,IF(G771="Medium",2,1))</f>
        <v>3</v>
      </c>
    </row>
    <row r="772" spans="1:12">
      <c r="A772" t="s">
        <v>2798</v>
      </c>
      <c r="B772" t="s">
        <v>891</v>
      </c>
      <c r="C772" t="s">
        <v>1995</v>
      </c>
      <c r="D772" t="s">
        <v>1996</v>
      </c>
      <c r="E772" t="s">
        <v>57</v>
      </c>
      <c r="F772" t="s">
        <v>57</v>
      </c>
      <c r="G772" t="str">
        <f>INDEX(Risk_Matrix!$B$2:$D$4,MATCH(E772,Risk_Matrix!$A$2:$A$4,0),MATCH(F772,Risk_Matrix!$B$1:$D$1,0))</f>
        <v>Low</v>
      </c>
      <c r="H772" s="1">
        <v>46224</v>
      </c>
      <c r="I772" t="s">
        <v>2015</v>
      </c>
      <c r="J772" t="s">
        <v>2032</v>
      </c>
      <c r="K772" t="s">
        <v>2036</v>
      </c>
      <c r="L772">
        <f>IF(G772="High",3,IF(G772="Medium",2,1))</f>
        <v>1</v>
      </c>
    </row>
    <row r="773" spans="1:12">
      <c r="A773" t="s">
        <v>2799</v>
      </c>
      <c r="B773" t="s">
        <v>891</v>
      </c>
      <c r="C773" t="s">
        <v>2000</v>
      </c>
      <c r="D773" t="s">
        <v>2045</v>
      </c>
      <c r="E773" t="s">
        <v>57</v>
      </c>
      <c r="F773" t="s">
        <v>57</v>
      </c>
      <c r="G773" t="str">
        <f>INDEX(Risk_Matrix!$B$2:$D$4,MATCH(E773,Risk_Matrix!$A$2:$A$4,0),MATCH(F773,Risk_Matrix!$B$1:$D$1,0))</f>
        <v>Low</v>
      </c>
      <c r="H773" s="1">
        <v>46199</v>
      </c>
      <c r="I773" t="s">
        <v>2002</v>
      </c>
      <c r="J773" t="s">
        <v>2029</v>
      </c>
      <c r="K773" t="s">
        <v>1989</v>
      </c>
      <c r="L773">
        <f>IF(G773="High",3,IF(G773="Medium",2,1))</f>
        <v>1</v>
      </c>
    </row>
    <row r="774" spans="1:12">
      <c r="A774" t="s">
        <v>2800</v>
      </c>
      <c r="B774" t="s">
        <v>891</v>
      </c>
      <c r="C774" t="s">
        <v>2005</v>
      </c>
      <c r="D774" t="s">
        <v>2039</v>
      </c>
      <c r="E774" t="s">
        <v>47</v>
      </c>
      <c r="F774" t="s">
        <v>57</v>
      </c>
      <c r="G774" t="str">
        <f>INDEX(Risk_Matrix!$B$2:$D$4,MATCH(E774,Risk_Matrix!$A$2:$A$4,0),MATCH(F774,Risk_Matrix!$B$1:$D$1,0))</f>
        <v>Medium</v>
      </c>
      <c r="H774" s="1">
        <v>46209</v>
      </c>
      <c r="I774" t="s">
        <v>1987</v>
      </c>
      <c r="J774" t="s">
        <v>1988</v>
      </c>
      <c r="K774" t="s">
        <v>1993</v>
      </c>
      <c r="L774">
        <f>IF(G774="High",3,IF(G774="Medium",2,1))</f>
        <v>2</v>
      </c>
    </row>
    <row r="775" spans="1:12">
      <c r="A775" t="s">
        <v>2801</v>
      </c>
      <c r="B775" t="s">
        <v>891</v>
      </c>
      <c r="C775" t="s">
        <v>2008</v>
      </c>
      <c r="D775" t="s">
        <v>2009</v>
      </c>
      <c r="E775" t="s">
        <v>1971</v>
      </c>
      <c r="F775" t="s">
        <v>1971</v>
      </c>
      <c r="G775" t="str">
        <f>INDEX(Risk_Matrix!$B$2:$D$4,MATCH(E775,Risk_Matrix!$A$2:$A$4,0),MATCH(F775,Risk_Matrix!$B$1:$D$1,0))</f>
        <v>Medium</v>
      </c>
      <c r="H775" s="1">
        <v>46187</v>
      </c>
      <c r="I775" t="s">
        <v>2015</v>
      </c>
      <c r="J775" t="s">
        <v>2032</v>
      </c>
      <c r="K775" t="s">
        <v>2010</v>
      </c>
      <c r="L775">
        <f>IF(G775="High",3,IF(G775="Medium",2,1))</f>
        <v>2</v>
      </c>
    </row>
    <row r="776" spans="1:12">
      <c r="A776" t="s">
        <v>2802</v>
      </c>
      <c r="B776" t="s">
        <v>893</v>
      </c>
      <c r="C776" t="s">
        <v>1985</v>
      </c>
      <c r="D776" t="s">
        <v>2012</v>
      </c>
      <c r="E776" t="s">
        <v>47</v>
      </c>
      <c r="F776" t="s">
        <v>1971</v>
      </c>
      <c r="G776" t="str">
        <f>INDEX(Risk_Matrix!$B$2:$D$4,MATCH(E776,Risk_Matrix!$A$2:$A$4,0),MATCH(F776,Risk_Matrix!$B$1:$D$1,0))</f>
        <v>High</v>
      </c>
      <c r="H776" s="1">
        <v>46176</v>
      </c>
      <c r="I776" t="s">
        <v>2025</v>
      </c>
      <c r="J776" t="s">
        <v>2026</v>
      </c>
      <c r="K776" t="s">
        <v>1989</v>
      </c>
      <c r="L776">
        <f>IF(G776="High",3,IF(G776="Medium",2,1))</f>
        <v>3</v>
      </c>
    </row>
    <row r="777" spans="1:12">
      <c r="A777" t="s">
        <v>2803</v>
      </c>
      <c r="B777" t="s">
        <v>893</v>
      </c>
      <c r="C777" t="s">
        <v>1991</v>
      </c>
      <c r="D777" t="s">
        <v>2014</v>
      </c>
      <c r="E777" t="s">
        <v>57</v>
      </c>
      <c r="F777" t="s">
        <v>57</v>
      </c>
      <c r="G777" t="str">
        <f>INDEX(Risk_Matrix!$B$2:$D$4,MATCH(E777,Risk_Matrix!$A$2:$A$4,0),MATCH(F777,Risk_Matrix!$B$1:$D$1,0))</f>
        <v>Low</v>
      </c>
      <c r="H777" s="1">
        <v>46165</v>
      </c>
      <c r="I777" t="s">
        <v>2025</v>
      </c>
      <c r="J777" t="s">
        <v>2035</v>
      </c>
      <c r="K777" t="s">
        <v>1993</v>
      </c>
      <c r="L777">
        <f>IF(G777="High",3,IF(G777="Medium",2,1))</f>
        <v>1</v>
      </c>
    </row>
    <row r="778" spans="1:12">
      <c r="A778" t="s">
        <v>2804</v>
      </c>
      <c r="B778" t="s">
        <v>893</v>
      </c>
      <c r="C778" t="s">
        <v>1995</v>
      </c>
      <c r="D778" t="s">
        <v>2150</v>
      </c>
      <c r="E778" t="s">
        <v>57</v>
      </c>
      <c r="F778" t="s">
        <v>1971</v>
      </c>
      <c r="G778" t="str">
        <f>INDEX(Risk_Matrix!$B$2:$D$4,MATCH(E778,Risk_Matrix!$A$2:$A$4,0),MATCH(F778,Risk_Matrix!$B$1:$D$1,0))</f>
        <v>Low</v>
      </c>
      <c r="H778" s="1">
        <v>46129</v>
      </c>
      <c r="I778" t="s">
        <v>2025</v>
      </c>
      <c r="J778" t="s">
        <v>2026</v>
      </c>
      <c r="K778" t="s">
        <v>1998</v>
      </c>
      <c r="L778">
        <f>IF(G778="High",3,IF(G778="Medium",2,1))</f>
        <v>1</v>
      </c>
    </row>
    <row r="779" spans="1:12">
      <c r="A779" t="s">
        <v>2805</v>
      </c>
      <c r="B779" t="s">
        <v>893</v>
      </c>
      <c r="C779" t="s">
        <v>2000</v>
      </c>
      <c r="D779" t="s">
        <v>2001</v>
      </c>
      <c r="E779" t="s">
        <v>57</v>
      </c>
      <c r="F779" t="s">
        <v>57</v>
      </c>
      <c r="G779" t="str">
        <f>INDEX(Risk_Matrix!$B$2:$D$4,MATCH(E779,Risk_Matrix!$A$2:$A$4,0),MATCH(F779,Risk_Matrix!$B$1:$D$1,0))</f>
        <v>Low</v>
      </c>
      <c r="H779" s="1">
        <v>46067</v>
      </c>
      <c r="I779" t="s">
        <v>2025</v>
      </c>
      <c r="J779" t="s">
        <v>2026</v>
      </c>
      <c r="K779" t="s">
        <v>1993</v>
      </c>
      <c r="L779">
        <f>IF(G779="High",3,IF(G779="Medium",2,1))</f>
        <v>1</v>
      </c>
    </row>
    <row r="780" spans="1:12">
      <c r="A780" t="s">
        <v>2806</v>
      </c>
      <c r="B780" t="s">
        <v>893</v>
      </c>
      <c r="C780" t="s">
        <v>2005</v>
      </c>
      <c r="D780" t="s">
        <v>2006</v>
      </c>
      <c r="E780" t="s">
        <v>57</v>
      </c>
      <c r="F780" t="s">
        <v>57</v>
      </c>
      <c r="G780" t="str">
        <f>INDEX(Risk_Matrix!$B$2:$D$4,MATCH(E780,Risk_Matrix!$A$2:$A$4,0),MATCH(F780,Risk_Matrix!$B$1:$D$1,0))</f>
        <v>Low</v>
      </c>
      <c r="H780" s="1">
        <v>46153</v>
      </c>
      <c r="I780" t="s">
        <v>2025</v>
      </c>
      <c r="J780" t="s">
        <v>2026</v>
      </c>
      <c r="K780" t="s">
        <v>1993</v>
      </c>
      <c r="L780">
        <f>IF(G780="High",3,IF(G780="Medium",2,1))</f>
        <v>1</v>
      </c>
    </row>
    <row r="781" spans="1:12">
      <c r="A781" t="s">
        <v>2807</v>
      </c>
      <c r="B781" t="s">
        <v>893</v>
      </c>
      <c r="C781" t="s">
        <v>2008</v>
      </c>
      <c r="D781" t="s">
        <v>2009</v>
      </c>
      <c r="E781" t="s">
        <v>47</v>
      </c>
      <c r="F781" t="s">
        <v>1971</v>
      </c>
      <c r="G781" t="str">
        <f>INDEX(Risk_Matrix!$B$2:$D$4,MATCH(E781,Risk_Matrix!$A$2:$A$4,0),MATCH(F781,Risk_Matrix!$B$1:$D$1,0))</f>
        <v>High</v>
      </c>
      <c r="H781" s="1">
        <v>46172</v>
      </c>
      <c r="I781" t="s">
        <v>2025</v>
      </c>
      <c r="J781" t="s">
        <v>2026</v>
      </c>
      <c r="K781" t="s">
        <v>2010</v>
      </c>
      <c r="L781">
        <f>IF(G781="High",3,IF(G781="Medium",2,1))</f>
        <v>3</v>
      </c>
    </row>
    <row r="782" spans="1:12">
      <c r="A782" t="s">
        <v>2808</v>
      </c>
      <c r="B782" t="s">
        <v>896</v>
      </c>
      <c r="C782" t="s">
        <v>1985</v>
      </c>
      <c r="D782" t="s">
        <v>2028</v>
      </c>
      <c r="E782" t="s">
        <v>57</v>
      </c>
      <c r="F782" t="s">
        <v>57</v>
      </c>
      <c r="G782" t="str">
        <f>INDEX(Risk_Matrix!$B$2:$D$4,MATCH(E782,Risk_Matrix!$A$2:$A$4,0),MATCH(F782,Risk_Matrix!$B$1:$D$1,0))</f>
        <v>Low</v>
      </c>
      <c r="H782" s="1">
        <v>46237</v>
      </c>
      <c r="I782" t="s">
        <v>1987</v>
      </c>
      <c r="J782" t="s">
        <v>1988</v>
      </c>
      <c r="K782" t="s">
        <v>1989</v>
      </c>
      <c r="L782">
        <f>IF(G782="High",3,IF(G782="Medium",2,1))</f>
        <v>1</v>
      </c>
    </row>
    <row r="783" spans="1:12">
      <c r="A783" t="s">
        <v>2809</v>
      </c>
      <c r="B783" t="s">
        <v>896</v>
      </c>
      <c r="C783" t="s">
        <v>1991</v>
      </c>
      <c r="D783" t="s">
        <v>1992</v>
      </c>
      <c r="E783" t="s">
        <v>57</v>
      </c>
      <c r="F783" t="s">
        <v>1971</v>
      </c>
      <c r="G783" t="str">
        <f>INDEX(Risk_Matrix!$B$2:$D$4,MATCH(E783,Risk_Matrix!$A$2:$A$4,0),MATCH(F783,Risk_Matrix!$B$1:$D$1,0))</f>
        <v>Low</v>
      </c>
      <c r="H783" s="1">
        <v>46114</v>
      </c>
      <c r="I783" t="s">
        <v>1987</v>
      </c>
      <c r="J783" t="s">
        <v>1997</v>
      </c>
      <c r="K783" t="s">
        <v>1993</v>
      </c>
      <c r="L783">
        <f>IF(G783="High",3,IF(G783="Medium",2,1))</f>
        <v>1</v>
      </c>
    </row>
    <row r="784" spans="1:12">
      <c r="A784" t="s">
        <v>2810</v>
      </c>
      <c r="B784" t="s">
        <v>896</v>
      </c>
      <c r="C784" t="s">
        <v>1995</v>
      </c>
      <c r="D784" t="s">
        <v>1996</v>
      </c>
      <c r="E784" t="s">
        <v>1971</v>
      </c>
      <c r="F784" t="s">
        <v>47</v>
      </c>
      <c r="G784" t="str">
        <f>INDEX(Risk_Matrix!$B$2:$D$4,MATCH(E784,Risk_Matrix!$A$2:$A$4,0),MATCH(F784,Risk_Matrix!$B$1:$D$1,0))</f>
        <v>High</v>
      </c>
      <c r="H784" s="1">
        <v>46107</v>
      </c>
      <c r="I784" t="s">
        <v>2025</v>
      </c>
      <c r="J784" t="s">
        <v>2026</v>
      </c>
      <c r="K784" t="s">
        <v>1998</v>
      </c>
      <c r="L784">
        <f>IF(G784="High",3,IF(G784="Medium",2,1))</f>
        <v>3</v>
      </c>
    </row>
    <row r="785" spans="1:12">
      <c r="A785" t="s">
        <v>2811</v>
      </c>
      <c r="B785" t="s">
        <v>896</v>
      </c>
      <c r="C785" t="s">
        <v>2000</v>
      </c>
      <c r="D785" t="s">
        <v>2001</v>
      </c>
      <c r="E785" t="s">
        <v>57</v>
      </c>
      <c r="F785" t="s">
        <v>47</v>
      </c>
      <c r="G785" t="str">
        <f>INDEX(Risk_Matrix!$B$2:$D$4,MATCH(E785,Risk_Matrix!$A$2:$A$4,0),MATCH(F785,Risk_Matrix!$B$1:$D$1,0))</f>
        <v>Medium</v>
      </c>
      <c r="H785" s="1">
        <v>46200</v>
      </c>
      <c r="I785" t="s">
        <v>2015</v>
      </c>
      <c r="J785" t="s">
        <v>2032</v>
      </c>
      <c r="K785" t="s">
        <v>1989</v>
      </c>
      <c r="L785">
        <f>IF(G785="High",3,IF(G785="Medium",2,1))</f>
        <v>2</v>
      </c>
    </row>
    <row r="786" spans="1:12">
      <c r="A786" t="s">
        <v>2812</v>
      </c>
      <c r="B786" t="s">
        <v>896</v>
      </c>
      <c r="C786" t="s">
        <v>2005</v>
      </c>
      <c r="D786" t="s">
        <v>2022</v>
      </c>
      <c r="E786" t="s">
        <v>57</v>
      </c>
      <c r="F786" t="s">
        <v>57</v>
      </c>
      <c r="G786" t="str">
        <f>INDEX(Risk_Matrix!$B$2:$D$4,MATCH(E786,Risk_Matrix!$A$2:$A$4,0),MATCH(F786,Risk_Matrix!$B$1:$D$1,0))</f>
        <v>Low</v>
      </c>
      <c r="H786" s="1">
        <v>46199</v>
      </c>
      <c r="I786" t="s">
        <v>2015</v>
      </c>
      <c r="J786" t="s">
        <v>2016</v>
      </c>
      <c r="K786" t="s">
        <v>2036</v>
      </c>
      <c r="L786">
        <f>IF(G786="High",3,IF(G786="Medium",2,1))</f>
        <v>1</v>
      </c>
    </row>
    <row r="787" spans="1:12">
      <c r="A787" t="s">
        <v>2813</v>
      </c>
      <c r="B787" t="s">
        <v>896</v>
      </c>
      <c r="C787" t="s">
        <v>2008</v>
      </c>
      <c r="D787" t="s">
        <v>2009</v>
      </c>
      <c r="E787" t="s">
        <v>57</v>
      </c>
      <c r="F787" t="s">
        <v>57</v>
      </c>
      <c r="G787" t="str">
        <f>INDEX(Risk_Matrix!$B$2:$D$4,MATCH(E787,Risk_Matrix!$A$2:$A$4,0),MATCH(F787,Risk_Matrix!$B$1:$D$1,0))</f>
        <v>Low</v>
      </c>
      <c r="H787" s="1">
        <v>46210</v>
      </c>
      <c r="I787" t="s">
        <v>1987</v>
      </c>
      <c r="J787" t="s">
        <v>1988</v>
      </c>
      <c r="K787" t="s">
        <v>2010</v>
      </c>
      <c r="L787">
        <f>IF(G787="High",3,IF(G787="Medium",2,1))</f>
        <v>1</v>
      </c>
    </row>
    <row r="788" spans="1:12">
      <c r="A788" t="s">
        <v>2814</v>
      </c>
      <c r="B788" t="s">
        <v>898</v>
      </c>
      <c r="C788" t="s">
        <v>1985</v>
      </c>
      <c r="D788" t="s">
        <v>2012</v>
      </c>
      <c r="E788" t="s">
        <v>1971</v>
      </c>
      <c r="F788" t="s">
        <v>47</v>
      </c>
      <c r="G788" t="str">
        <f>INDEX(Risk_Matrix!$B$2:$D$4,MATCH(E788,Risk_Matrix!$A$2:$A$4,0),MATCH(F788,Risk_Matrix!$B$1:$D$1,0))</f>
        <v>High</v>
      </c>
      <c r="H788" s="1">
        <v>46195</v>
      </c>
      <c r="I788" t="s">
        <v>2015</v>
      </c>
      <c r="J788" t="s">
        <v>2032</v>
      </c>
      <c r="K788" t="s">
        <v>1989</v>
      </c>
      <c r="L788">
        <f>IF(G788="High",3,IF(G788="Medium",2,1))</f>
        <v>3</v>
      </c>
    </row>
    <row r="789" spans="1:12">
      <c r="A789" t="s">
        <v>2815</v>
      </c>
      <c r="B789" t="s">
        <v>898</v>
      </c>
      <c r="C789" t="s">
        <v>1991</v>
      </c>
      <c r="D789" t="s">
        <v>2064</v>
      </c>
      <c r="E789" t="s">
        <v>57</v>
      </c>
      <c r="F789" t="s">
        <v>1971</v>
      </c>
      <c r="G789" t="str">
        <f>INDEX(Risk_Matrix!$B$2:$D$4,MATCH(E789,Risk_Matrix!$A$2:$A$4,0),MATCH(F789,Risk_Matrix!$B$1:$D$1,0))</f>
        <v>Low</v>
      </c>
      <c r="H789" s="1">
        <v>46195</v>
      </c>
      <c r="I789" t="s">
        <v>1987</v>
      </c>
      <c r="J789" t="s">
        <v>1997</v>
      </c>
      <c r="K789" t="s">
        <v>2010</v>
      </c>
      <c r="L789">
        <f>IF(G789="High",3,IF(G789="Medium",2,1))</f>
        <v>1</v>
      </c>
    </row>
    <row r="790" spans="1:12">
      <c r="A790" t="s">
        <v>2816</v>
      </c>
      <c r="B790" t="s">
        <v>898</v>
      </c>
      <c r="C790" t="s">
        <v>1995</v>
      </c>
      <c r="D790" t="s">
        <v>2150</v>
      </c>
      <c r="E790" t="s">
        <v>47</v>
      </c>
      <c r="F790" t="s">
        <v>1971</v>
      </c>
      <c r="G790" t="str">
        <f>INDEX(Risk_Matrix!$B$2:$D$4,MATCH(E790,Risk_Matrix!$A$2:$A$4,0),MATCH(F790,Risk_Matrix!$B$1:$D$1,0))</f>
        <v>High</v>
      </c>
      <c r="H790" s="1">
        <v>46218</v>
      </c>
      <c r="I790" t="s">
        <v>2015</v>
      </c>
      <c r="J790" t="s">
        <v>2016</v>
      </c>
      <c r="K790" t="s">
        <v>2036</v>
      </c>
      <c r="L790">
        <f>IF(G790="High",3,IF(G790="Medium",2,1))</f>
        <v>3</v>
      </c>
    </row>
    <row r="791" spans="1:12">
      <c r="A791" t="s">
        <v>2817</v>
      </c>
      <c r="B791" t="s">
        <v>898</v>
      </c>
      <c r="C791" t="s">
        <v>2000</v>
      </c>
      <c r="D791" t="s">
        <v>2001</v>
      </c>
      <c r="E791" t="s">
        <v>57</v>
      </c>
      <c r="F791" t="s">
        <v>57</v>
      </c>
      <c r="G791" t="str">
        <f>INDEX(Risk_Matrix!$B$2:$D$4,MATCH(E791,Risk_Matrix!$A$2:$A$4,0),MATCH(F791,Risk_Matrix!$B$1:$D$1,0))</f>
        <v>Low</v>
      </c>
      <c r="H791" s="1">
        <v>46171</v>
      </c>
      <c r="I791" t="s">
        <v>2002</v>
      </c>
      <c r="J791" t="s">
        <v>2003</v>
      </c>
      <c r="K791" t="s">
        <v>1993</v>
      </c>
      <c r="L791">
        <f>IF(G791="High",3,IF(G791="Medium",2,1))</f>
        <v>1</v>
      </c>
    </row>
    <row r="792" spans="1:12">
      <c r="A792" t="s">
        <v>2818</v>
      </c>
      <c r="B792" t="s">
        <v>898</v>
      </c>
      <c r="C792" t="s">
        <v>2005</v>
      </c>
      <c r="D792" t="s">
        <v>2022</v>
      </c>
      <c r="E792" t="s">
        <v>57</v>
      </c>
      <c r="F792" t="s">
        <v>1971</v>
      </c>
      <c r="G792" t="str">
        <f>INDEX(Risk_Matrix!$B$2:$D$4,MATCH(E792,Risk_Matrix!$A$2:$A$4,0),MATCH(F792,Risk_Matrix!$B$1:$D$1,0))</f>
        <v>Low</v>
      </c>
      <c r="H792" s="1">
        <v>46084</v>
      </c>
      <c r="I792" t="s">
        <v>2025</v>
      </c>
      <c r="J792" t="s">
        <v>2026</v>
      </c>
      <c r="K792" t="s">
        <v>2036</v>
      </c>
      <c r="L792">
        <f>IF(G792="High",3,IF(G792="Medium",2,1))</f>
        <v>1</v>
      </c>
    </row>
    <row r="793" spans="1:12">
      <c r="A793" t="s">
        <v>2819</v>
      </c>
      <c r="B793" t="s">
        <v>898</v>
      </c>
      <c r="C793" t="s">
        <v>2008</v>
      </c>
      <c r="D793" t="s">
        <v>2009</v>
      </c>
      <c r="E793" t="s">
        <v>57</v>
      </c>
      <c r="F793" t="s">
        <v>57</v>
      </c>
      <c r="G793" t="str">
        <f>INDEX(Risk_Matrix!$B$2:$D$4,MATCH(E793,Risk_Matrix!$A$2:$A$4,0),MATCH(F793,Risk_Matrix!$B$1:$D$1,0))</f>
        <v>Low</v>
      </c>
      <c r="H793" s="1">
        <v>46140</v>
      </c>
      <c r="I793" t="s">
        <v>1987</v>
      </c>
      <c r="J793" t="s">
        <v>1988</v>
      </c>
      <c r="K793" t="s">
        <v>2010</v>
      </c>
      <c r="L793">
        <f>IF(G793="High",3,IF(G793="Medium",2,1))</f>
        <v>1</v>
      </c>
    </row>
    <row r="794" spans="1:12">
      <c r="A794" t="s">
        <v>2820</v>
      </c>
      <c r="B794" t="s">
        <v>900</v>
      </c>
      <c r="C794" t="s">
        <v>1985</v>
      </c>
      <c r="D794" t="s">
        <v>2028</v>
      </c>
      <c r="E794" t="s">
        <v>1971</v>
      </c>
      <c r="F794" t="s">
        <v>57</v>
      </c>
      <c r="G794" t="str">
        <f>INDEX(Risk_Matrix!$B$2:$D$4,MATCH(E794,Risk_Matrix!$A$2:$A$4,0),MATCH(F794,Risk_Matrix!$B$1:$D$1,0))</f>
        <v>Low</v>
      </c>
      <c r="H794" s="1">
        <v>46194</v>
      </c>
      <c r="I794" t="s">
        <v>1987</v>
      </c>
      <c r="J794" t="s">
        <v>1988</v>
      </c>
      <c r="K794" t="s">
        <v>1989</v>
      </c>
      <c r="L794">
        <f>IF(G794="High",3,IF(G794="Medium",2,1))</f>
        <v>1</v>
      </c>
    </row>
    <row r="795" spans="1:12">
      <c r="A795" t="s">
        <v>2821</v>
      </c>
      <c r="B795" t="s">
        <v>900</v>
      </c>
      <c r="C795" t="s">
        <v>1991</v>
      </c>
      <c r="D795" t="s">
        <v>2014</v>
      </c>
      <c r="E795" t="s">
        <v>57</v>
      </c>
      <c r="F795" t="s">
        <v>57</v>
      </c>
      <c r="G795" t="str">
        <f>INDEX(Risk_Matrix!$B$2:$D$4,MATCH(E795,Risk_Matrix!$A$2:$A$4,0),MATCH(F795,Risk_Matrix!$B$1:$D$1,0))</f>
        <v>Low</v>
      </c>
      <c r="H795" s="1">
        <v>46203</v>
      </c>
      <c r="I795" t="s">
        <v>2015</v>
      </c>
      <c r="J795" t="s">
        <v>2016</v>
      </c>
      <c r="K795" t="s">
        <v>2010</v>
      </c>
      <c r="L795">
        <f>IF(G795="High",3,IF(G795="Medium",2,1))</f>
        <v>1</v>
      </c>
    </row>
    <row r="796" spans="1:12">
      <c r="A796" t="s">
        <v>2822</v>
      </c>
      <c r="B796" t="s">
        <v>900</v>
      </c>
      <c r="C796" t="s">
        <v>1995</v>
      </c>
      <c r="D796" t="s">
        <v>1996</v>
      </c>
      <c r="E796" t="s">
        <v>1971</v>
      </c>
      <c r="F796" t="s">
        <v>1971</v>
      </c>
      <c r="G796" t="str">
        <f>INDEX(Risk_Matrix!$B$2:$D$4,MATCH(E796,Risk_Matrix!$A$2:$A$4,0),MATCH(F796,Risk_Matrix!$B$1:$D$1,0))</f>
        <v>Medium</v>
      </c>
      <c r="H796" s="1">
        <v>46220</v>
      </c>
      <c r="I796" t="s">
        <v>2015</v>
      </c>
      <c r="J796" t="s">
        <v>2016</v>
      </c>
      <c r="K796" t="s">
        <v>1998</v>
      </c>
      <c r="L796">
        <f>IF(G796="High",3,IF(G796="Medium",2,1))</f>
        <v>2</v>
      </c>
    </row>
    <row r="797" spans="1:12">
      <c r="A797" t="s">
        <v>2823</v>
      </c>
      <c r="B797" t="s">
        <v>900</v>
      </c>
      <c r="C797" t="s">
        <v>2000</v>
      </c>
      <c r="D797" t="s">
        <v>2045</v>
      </c>
      <c r="E797" t="s">
        <v>57</v>
      </c>
      <c r="F797" t="s">
        <v>57</v>
      </c>
      <c r="G797" t="str">
        <f>INDEX(Risk_Matrix!$B$2:$D$4,MATCH(E797,Risk_Matrix!$A$2:$A$4,0),MATCH(F797,Risk_Matrix!$B$1:$D$1,0))</f>
        <v>Low</v>
      </c>
      <c r="H797" s="1">
        <v>46200</v>
      </c>
      <c r="I797" t="s">
        <v>1987</v>
      </c>
      <c r="J797" t="s">
        <v>1997</v>
      </c>
      <c r="K797" t="s">
        <v>1993</v>
      </c>
      <c r="L797">
        <f>IF(G797="High",3,IF(G797="Medium",2,1))</f>
        <v>1</v>
      </c>
    </row>
    <row r="798" spans="1:12">
      <c r="A798" t="s">
        <v>2824</v>
      </c>
      <c r="B798" t="s">
        <v>900</v>
      </c>
      <c r="C798" t="s">
        <v>2005</v>
      </c>
      <c r="D798" t="s">
        <v>2006</v>
      </c>
      <c r="E798" t="s">
        <v>1971</v>
      </c>
      <c r="F798" t="s">
        <v>57</v>
      </c>
      <c r="G798" t="str">
        <f>INDEX(Risk_Matrix!$B$2:$D$4,MATCH(E798,Risk_Matrix!$A$2:$A$4,0),MATCH(F798,Risk_Matrix!$B$1:$D$1,0))</f>
        <v>Low</v>
      </c>
      <c r="H798" s="1">
        <v>46196</v>
      </c>
      <c r="I798" t="s">
        <v>2015</v>
      </c>
      <c r="J798" t="s">
        <v>2016</v>
      </c>
      <c r="K798" t="s">
        <v>1993</v>
      </c>
      <c r="L798">
        <f>IF(G798="High",3,IF(G798="Medium",2,1))</f>
        <v>1</v>
      </c>
    </row>
    <row r="799" spans="1:12">
      <c r="A799" t="s">
        <v>2825</v>
      </c>
      <c r="B799" t="s">
        <v>900</v>
      </c>
      <c r="C799" t="s">
        <v>2008</v>
      </c>
      <c r="D799" t="s">
        <v>2009</v>
      </c>
      <c r="E799" t="s">
        <v>47</v>
      </c>
      <c r="F799" t="s">
        <v>47</v>
      </c>
      <c r="G799" t="str">
        <f>INDEX(Risk_Matrix!$B$2:$D$4,MATCH(E799,Risk_Matrix!$A$2:$A$4,0),MATCH(F799,Risk_Matrix!$B$1:$D$1,0))</f>
        <v>High</v>
      </c>
      <c r="H799" s="1">
        <v>46153</v>
      </c>
      <c r="I799" t="s">
        <v>1987</v>
      </c>
      <c r="J799" t="s">
        <v>1997</v>
      </c>
      <c r="K799" t="s">
        <v>2010</v>
      </c>
      <c r="L799">
        <f>IF(G799="High",3,IF(G799="Medium",2,1))</f>
        <v>3</v>
      </c>
    </row>
    <row r="800" spans="1:12">
      <c r="A800" t="s">
        <v>2826</v>
      </c>
      <c r="B800" t="s">
        <v>902</v>
      </c>
      <c r="C800" t="s">
        <v>1985</v>
      </c>
      <c r="D800" t="s">
        <v>2012</v>
      </c>
      <c r="E800" t="s">
        <v>57</v>
      </c>
      <c r="F800" t="s">
        <v>47</v>
      </c>
      <c r="G800" t="str">
        <f>INDEX(Risk_Matrix!$B$2:$D$4,MATCH(E800,Risk_Matrix!$A$2:$A$4,0),MATCH(F800,Risk_Matrix!$B$1:$D$1,0))</f>
        <v>Medium</v>
      </c>
      <c r="H800" s="1">
        <v>46232</v>
      </c>
      <c r="I800" t="s">
        <v>2025</v>
      </c>
      <c r="J800" t="s">
        <v>2035</v>
      </c>
      <c r="K800" t="s">
        <v>1998</v>
      </c>
      <c r="L800">
        <f>IF(G800="High",3,IF(G800="Medium",2,1))</f>
        <v>2</v>
      </c>
    </row>
    <row r="801" spans="1:12">
      <c r="A801" t="s">
        <v>2827</v>
      </c>
      <c r="B801" t="s">
        <v>902</v>
      </c>
      <c r="C801" t="s">
        <v>1991</v>
      </c>
      <c r="D801" t="s">
        <v>2064</v>
      </c>
      <c r="E801" t="s">
        <v>57</v>
      </c>
      <c r="F801" t="s">
        <v>57</v>
      </c>
      <c r="G801" t="str">
        <f>INDEX(Risk_Matrix!$B$2:$D$4,MATCH(E801,Risk_Matrix!$A$2:$A$4,0),MATCH(F801,Risk_Matrix!$B$1:$D$1,0))</f>
        <v>Low</v>
      </c>
      <c r="H801" s="1">
        <v>46156</v>
      </c>
      <c r="I801" t="s">
        <v>1987</v>
      </c>
      <c r="J801" t="s">
        <v>1997</v>
      </c>
      <c r="K801" t="s">
        <v>1993</v>
      </c>
      <c r="L801">
        <f>IF(G801="High",3,IF(G801="Medium",2,1))</f>
        <v>1</v>
      </c>
    </row>
    <row r="802" spans="1:12">
      <c r="A802" t="s">
        <v>2828</v>
      </c>
      <c r="B802" t="s">
        <v>902</v>
      </c>
      <c r="C802" t="s">
        <v>1995</v>
      </c>
      <c r="D802" t="s">
        <v>2034</v>
      </c>
      <c r="E802" t="s">
        <v>57</v>
      </c>
      <c r="F802" t="s">
        <v>57</v>
      </c>
      <c r="G802" t="str">
        <f>INDEX(Risk_Matrix!$B$2:$D$4,MATCH(E802,Risk_Matrix!$A$2:$A$4,0),MATCH(F802,Risk_Matrix!$B$1:$D$1,0))</f>
        <v>Low</v>
      </c>
      <c r="H802" s="1">
        <v>46115</v>
      </c>
      <c r="I802" t="s">
        <v>2002</v>
      </c>
      <c r="J802" t="s">
        <v>2029</v>
      </c>
      <c r="K802" t="s">
        <v>2036</v>
      </c>
      <c r="L802">
        <f>IF(G802="High",3,IF(G802="Medium",2,1))</f>
        <v>1</v>
      </c>
    </row>
    <row r="803" spans="1:12">
      <c r="A803" t="s">
        <v>2829</v>
      </c>
      <c r="B803" t="s">
        <v>902</v>
      </c>
      <c r="C803" t="s">
        <v>2000</v>
      </c>
      <c r="D803" t="s">
        <v>2001</v>
      </c>
      <c r="E803" t="s">
        <v>1971</v>
      </c>
      <c r="F803" t="s">
        <v>57</v>
      </c>
      <c r="G803" t="str">
        <f>INDEX(Risk_Matrix!$B$2:$D$4,MATCH(E803,Risk_Matrix!$A$2:$A$4,0),MATCH(F803,Risk_Matrix!$B$1:$D$1,0))</f>
        <v>Low</v>
      </c>
      <c r="H803" s="1">
        <v>46119</v>
      </c>
      <c r="I803" t="s">
        <v>2002</v>
      </c>
      <c r="J803" t="s">
        <v>2003</v>
      </c>
      <c r="K803" t="s">
        <v>1989</v>
      </c>
      <c r="L803">
        <f>IF(G803="High",3,IF(G803="Medium",2,1))</f>
        <v>1</v>
      </c>
    </row>
    <row r="804" spans="1:12">
      <c r="A804" t="s">
        <v>2830</v>
      </c>
      <c r="B804" t="s">
        <v>902</v>
      </c>
      <c r="C804" t="s">
        <v>2005</v>
      </c>
      <c r="D804" t="s">
        <v>2006</v>
      </c>
      <c r="E804" t="s">
        <v>57</v>
      </c>
      <c r="F804" t="s">
        <v>57</v>
      </c>
      <c r="G804" t="str">
        <f>INDEX(Risk_Matrix!$B$2:$D$4,MATCH(E804,Risk_Matrix!$A$2:$A$4,0),MATCH(F804,Risk_Matrix!$B$1:$D$1,0))</f>
        <v>Low</v>
      </c>
      <c r="H804" s="1">
        <v>46143</v>
      </c>
      <c r="I804" t="s">
        <v>1987</v>
      </c>
      <c r="J804" t="s">
        <v>1988</v>
      </c>
      <c r="K804" t="s">
        <v>1993</v>
      </c>
      <c r="L804">
        <f>IF(G804="High",3,IF(G804="Medium",2,1))</f>
        <v>1</v>
      </c>
    </row>
    <row r="805" spans="1:12">
      <c r="A805" t="s">
        <v>2831</v>
      </c>
      <c r="B805" t="s">
        <v>902</v>
      </c>
      <c r="C805" t="s">
        <v>2008</v>
      </c>
      <c r="D805" t="s">
        <v>2024</v>
      </c>
      <c r="E805" t="s">
        <v>1971</v>
      </c>
      <c r="F805" t="s">
        <v>1971</v>
      </c>
      <c r="G805" t="str">
        <f>INDEX(Risk_Matrix!$B$2:$D$4,MATCH(E805,Risk_Matrix!$A$2:$A$4,0),MATCH(F805,Risk_Matrix!$B$1:$D$1,0))</f>
        <v>Medium</v>
      </c>
      <c r="H805" s="1">
        <v>46157</v>
      </c>
      <c r="I805" t="s">
        <v>2025</v>
      </c>
      <c r="J805" t="s">
        <v>2035</v>
      </c>
      <c r="K805" t="s">
        <v>2010</v>
      </c>
      <c r="L805">
        <f>IF(G805="High",3,IF(G805="Medium",2,1))</f>
        <v>2</v>
      </c>
    </row>
    <row r="806" spans="1:12">
      <c r="A806" t="s">
        <v>2832</v>
      </c>
      <c r="B806" t="s">
        <v>904</v>
      </c>
      <c r="C806" t="s">
        <v>1985</v>
      </c>
      <c r="D806" t="s">
        <v>2028</v>
      </c>
      <c r="E806" t="s">
        <v>1971</v>
      </c>
      <c r="F806" t="s">
        <v>57</v>
      </c>
      <c r="G806" t="str">
        <f>INDEX(Risk_Matrix!$B$2:$D$4,MATCH(E806,Risk_Matrix!$A$2:$A$4,0),MATCH(F806,Risk_Matrix!$B$1:$D$1,0))</f>
        <v>Low</v>
      </c>
      <c r="H806" s="1">
        <v>46225</v>
      </c>
      <c r="I806" t="s">
        <v>2002</v>
      </c>
      <c r="J806" t="s">
        <v>2003</v>
      </c>
      <c r="K806" t="s">
        <v>1989</v>
      </c>
      <c r="L806">
        <f>IF(G806="High",3,IF(G806="Medium",2,1))</f>
        <v>1</v>
      </c>
    </row>
    <row r="807" spans="1:12">
      <c r="A807" t="s">
        <v>2833</v>
      </c>
      <c r="B807" t="s">
        <v>904</v>
      </c>
      <c r="C807" t="s">
        <v>1991</v>
      </c>
      <c r="D807" t="s">
        <v>1992</v>
      </c>
      <c r="E807" t="s">
        <v>1971</v>
      </c>
      <c r="F807" t="s">
        <v>1971</v>
      </c>
      <c r="G807" t="str">
        <f>INDEX(Risk_Matrix!$B$2:$D$4,MATCH(E807,Risk_Matrix!$A$2:$A$4,0),MATCH(F807,Risk_Matrix!$B$1:$D$1,0))</f>
        <v>Medium</v>
      </c>
      <c r="H807" s="1">
        <v>46187</v>
      </c>
      <c r="I807" t="s">
        <v>2015</v>
      </c>
      <c r="J807" t="s">
        <v>2016</v>
      </c>
      <c r="K807" t="s">
        <v>1993</v>
      </c>
      <c r="L807">
        <f>IF(G807="High",3,IF(G807="Medium",2,1))</f>
        <v>2</v>
      </c>
    </row>
    <row r="808" spans="1:12">
      <c r="A808" t="s">
        <v>2834</v>
      </c>
      <c r="B808" t="s">
        <v>904</v>
      </c>
      <c r="C808" t="s">
        <v>1995</v>
      </c>
      <c r="D808" t="s">
        <v>2034</v>
      </c>
      <c r="E808" t="s">
        <v>57</v>
      </c>
      <c r="F808" t="s">
        <v>47</v>
      </c>
      <c r="G808" t="str">
        <f>INDEX(Risk_Matrix!$B$2:$D$4,MATCH(E808,Risk_Matrix!$A$2:$A$4,0),MATCH(F808,Risk_Matrix!$B$1:$D$1,0))</f>
        <v>Medium</v>
      </c>
      <c r="H808" s="1">
        <v>46234</v>
      </c>
      <c r="I808" t="s">
        <v>2015</v>
      </c>
      <c r="J808" t="s">
        <v>2016</v>
      </c>
      <c r="K808" t="s">
        <v>1998</v>
      </c>
      <c r="L808">
        <f>IF(G808="High",3,IF(G808="Medium",2,1))</f>
        <v>2</v>
      </c>
    </row>
    <row r="809" spans="1:12">
      <c r="A809" t="s">
        <v>2835</v>
      </c>
      <c r="B809" t="s">
        <v>904</v>
      </c>
      <c r="C809" t="s">
        <v>2000</v>
      </c>
      <c r="D809" t="s">
        <v>2001</v>
      </c>
      <c r="E809" t="s">
        <v>57</v>
      </c>
      <c r="F809" t="s">
        <v>47</v>
      </c>
      <c r="G809" t="str">
        <f>INDEX(Risk_Matrix!$B$2:$D$4,MATCH(E809,Risk_Matrix!$A$2:$A$4,0),MATCH(F809,Risk_Matrix!$B$1:$D$1,0))</f>
        <v>Medium</v>
      </c>
      <c r="H809" s="1">
        <v>46234</v>
      </c>
      <c r="I809" t="s">
        <v>2025</v>
      </c>
      <c r="J809" t="s">
        <v>2026</v>
      </c>
      <c r="K809" t="s">
        <v>1993</v>
      </c>
      <c r="L809">
        <f>IF(G809="High",3,IF(G809="Medium",2,1))</f>
        <v>2</v>
      </c>
    </row>
    <row r="810" spans="1:12">
      <c r="A810" t="s">
        <v>2836</v>
      </c>
      <c r="B810" t="s">
        <v>904</v>
      </c>
      <c r="C810" t="s">
        <v>2005</v>
      </c>
      <c r="D810" t="s">
        <v>2006</v>
      </c>
      <c r="E810" t="s">
        <v>1971</v>
      </c>
      <c r="F810" t="s">
        <v>57</v>
      </c>
      <c r="G810" t="str">
        <f>INDEX(Risk_Matrix!$B$2:$D$4,MATCH(E810,Risk_Matrix!$A$2:$A$4,0),MATCH(F810,Risk_Matrix!$B$1:$D$1,0))</f>
        <v>Low</v>
      </c>
      <c r="H810" s="1">
        <v>46173</v>
      </c>
      <c r="I810" t="s">
        <v>2015</v>
      </c>
      <c r="J810" t="s">
        <v>2016</v>
      </c>
      <c r="K810" t="s">
        <v>1993</v>
      </c>
      <c r="L810">
        <f>IF(G810="High",3,IF(G810="Medium",2,1))</f>
        <v>1</v>
      </c>
    </row>
    <row r="811" spans="1:12">
      <c r="A811" t="s">
        <v>2837</v>
      </c>
      <c r="B811" t="s">
        <v>904</v>
      </c>
      <c r="C811" t="s">
        <v>2008</v>
      </c>
      <c r="D811" t="s">
        <v>2009</v>
      </c>
      <c r="E811" t="s">
        <v>1971</v>
      </c>
      <c r="F811" t="s">
        <v>57</v>
      </c>
      <c r="G811" t="str">
        <f>INDEX(Risk_Matrix!$B$2:$D$4,MATCH(E811,Risk_Matrix!$A$2:$A$4,0),MATCH(F811,Risk_Matrix!$B$1:$D$1,0))</f>
        <v>Low</v>
      </c>
      <c r="H811" s="1">
        <v>46121</v>
      </c>
      <c r="I811" t="s">
        <v>1987</v>
      </c>
      <c r="J811" t="s">
        <v>1988</v>
      </c>
      <c r="K811" t="s">
        <v>2010</v>
      </c>
      <c r="L811">
        <f>IF(G811="High",3,IF(G811="Medium",2,1))</f>
        <v>1</v>
      </c>
    </row>
    <row r="812" spans="1:12">
      <c r="A812" t="s">
        <v>2838</v>
      </c>
      <c r="B812" t="s">
        <v>907</v>
      </c>
      <c r="C812" t="s">
        <v>1985</v>
      </c>
      <c r="D812" t="s">
        <v>1986</v>
      </c>
      <c r="E812" t="s">
        <v>57</v>
      </c>
      <c r="F812" t="s">
        <v>57</v>
      </c>
      <c r="G812" t="str">
        <f>INDEX(Risk_Matrix!$B$2:$D$4,MATCH(E812,Risk_Matrix!$A$2:$A$4,0),MATCH(F812,Risk_Matrix!$B$1:$D$1,0))</f>
        <v>Low</v>
      </c>
      <c r="H812" s="1">
        <v>46225</v>
      </c>
      <c r="I812" t="s">
        <v>2025</v>
      </c>
      <c r="J812" t="s">
        <v>2026</v>
      </c>
      <c r="K812" t="s">
        <v>1998</v>
      </c>
      <c r="L812">
        <f>IF(G812="High",3,IF(G812="Medium",2,1))</f>
        <v>1</v>
      </c>
    </row>
    <row r="813" spans="1:12">
      <c r="A813" t="s">
        <v>2839</v>
      </c>
      <c r="B813" t="s">
        <v>907</v>
      </c>
      <c r="C813" t="s">
        <v>1991</v>
      </c>
      <c r="D813" t="s">
        <v>1992</v>
      </c>
      <c r="E813" t="s">
        <v>57</v>
      </c>
      <c r="F813" t="s">
        <v>57</v>
      </c>
      <c r="G813" t="str">
        <f>INDEX(Risk_Matrix!$B$2:$D$4,MATCH(E813,Risk_Matrix!$A$2:$A$4,0),MATCH(F813,Risk_Matrix!$B$1:$D$1,0))</f>
        <v>Low</v>
      </c>
      <c r="H813" s="1">
        <v>46102</v>
      </c>
      <c r="I813" t="s">
        <v>2002</v>
      </c>
      <c r="J813" t="s">
        <v>2003</v>
      </c>
      <c r="K813" t="s">
        <v>1993</v>
      </c>
      <c r="L813">
        <f>IF(G813="High",3,IF(G813="Medium",2,1))</f>
        <v>1</v>
      </c>
    </row>
    <row r="814" spans="1:12">
      <c r="A814" t="s">
        <v>2840</v>
      </c>
      <c r="B814" t="s">
        <v>907</v>
      </c>
      <c r="C814" t="s">
        <v>1995</v>
      </c>
      <c r="D814" t="s">
        <v>1996</v>
      </c>
      <c r="E814" t="s">
        <v>47</v>
      </c>
      <c r="F814" t="s">
        <v>1971</v>
      </c>
      <c r="G814" t="str">
        <f>INDEX(Risk_Matrix!$B$2:$D$4,MATCH(E814,Risk_Matrix!$A$2:$A$4,0),MATCH(F814,Risk_Matrix!$B$1:$D$1,0))</f>
        <v>High</v>
      </c>
      <c r="H814" s="1">
        <v>46100</v>
      </c>
      <c r="I814" t="s">
        <v>1987</v>
      </c>
      <c r="J814" t="s">
        <v>1988</v>
      </c>
      <c r="K814" t="s">
        <v>1998</v>
      </c>
      <c r="L814">
        <f>IF(G814="High",3,IF(G814="Medium",2,1))</f>
        <v>3</v>
      </c>
    </row>
    <row r="815" spans="1:12">
      <c r="A815" t="s">
        <v>2841</v>
      </c>
      <c r="B815" t="s">
        <v>907</v>
      </c>
      <c r="C815" t="s">
        <v>2000</v>
      </c>
      <c r="D815" t="s">
        <v>2001</v>
      </c>
      <c r="E815" t="s">
        <v>1971</v>
      </c>
      <c r="F815" t="s">
        <v>1971</v>
      </c>
      <c r="G815" t="str">
        <f>INDEX(Risk_Matrix!$B$2:$D$4,MATCH(E815,Risk_Matrix!$A$2:$A$4,0),MATCH(F815,Risk_Matrix!$B$1:$D$1,0))</f>
        <v>Medium</v>
      </c>
      <c r="H815" s="1">
        <v>46206</v>
      </c>
      <c r="I815" t="s">
        <v>2015</v>
      </c>
      <c r="J815" t="s">
        <v>2016</v>
      </c>
      <c r="K815" t="s">
        <v>1989</v>
      </c>
      <c r="L815">
        <f>IF(G815="High",3,IF(G815="Medium",2,1))</f>
        <v>2</v>
      </c>
    </row>
    <row r="816" spans="1:12">
      <c r="A816" t="s">
        <v>2842</v>
      </c>
      <c r="B816" t="s">
        <v>907</v>
      </c>
      <c r="C816" t="s">
        <v>2005</v>
      </c>
      <c r="D816" t="s">
        <v>2006</v>
      </c>
      <c r="E816" t="s">
        <v>57</v>
      </c>
      <c r="F816" t="s">
        <v>57</v>
      </c>
      <c r="G816" t="str">
        <f>INDEX(Risk_Matrix!$B$2:$D$4,MATCH(E816,Risk_Matrix!$A$2:$A$4,0),MATCH(F816,Risk_Matrix!$B$1:$D$1,0))</f>
        <v>Low</v>
      </c>
      <c r="H816" s="1">
        <v>46168</v>
      </c>
      <c r="I816" t="s">
        <v>2015</v>
      </c>
      <c r="J816" t="s">
        <v>2016</v>
      </c>
      <c r="K816" t="s">
        <v>1993</v>
      </c>
      <c r="L816">
        <f>IF(G816="High",3,IF(G816="Medium",2,1))</f>
        <v>1</v>
      </c>
    </row>
    <row r="817" spans="1:12">
      <c r="A817" t="s">
        <v>2843</v>
      </c>
      <c r="B817" t="s">
        <v>907</v>
      </c>
      <c r="C817" t="s">
        <v>2008</v>
      </c>
      <c r="D817" t="s">
        <v>2054</v>
      </c>
      <c r="E817" t="s">
        <v>1971</v>
      </c>
      <c r="F817" t="s">
        <v>57</v>
      </c>
      <c r="G817" t="str">
        <f>INDEX(Risk_Matrix!$B$2:$D$4,MATCH(E817,Risk_Matrix!$A$2:$A$4,0),MATCH(F817,Risk_Matrix!$B$1:$D$1,0))</f>
        <v>Low</v>
      </c>
      <c r="H817" s="1">
        <v>46061</v>
      </c>
      <c r="I817" t="s">
        <v>2025</v>
      </c>
      <c r="J817" t="s">
        <v>2035</v>
      </c>
      <c r="K817" t="s">
        <v>2010</v>
      </c>
      <c r="L817">
        <f>IF(G817="High",3,IF(G817="Medium",2,1))</f>
        <v>1</v>
      </c>
    </row>
    <row r="818" spans="1:12">
      <c r="A818" t="s">
        <v>2844</v>
      </c>
      <c r="B818" t="s">
        <v>909</v>
      </c>
      <c r="C818" t="s">
        <v>1985</v>
      </c>
      <c r="D818" t="s">
        <v>1986</v>
      </c>
      <c r="E818" t="s">
        <v>57</v>
      </c>
      <c r="F818" t="s">
        <v>57</v>
      </c>
      <c r="G818" t="str">
        <f>INDEX(Risk_Matrix!$B$2:$D$4,MATCH(E818,Risk_Matrix!$A$2:$A$4,0),MATCH(F818,Risk_Matrix!$B$1:$D$1,0))</f>
        <v>Low</v>
      </c>
      <c r="H818" s="1">
        <v>46200</v>
      </c>
      <c r="I818" t="s">
        <v>2002</v>
      </c>
      <c r="J818" t="s">
        <v>2029</v>
      </c>
      <c r="K818" t="s">
        <v>1989</v>
      </c>
      <c r="L818">
        <f>IF(G818="High",3,IF(G818="Medium",2,1))</f>
        <v>1</v>
      </c>
    </row>
    <row r="819" spans="1:12">
      <c r="A819" t="s">
        <v>2845</v>
      </c>
      <c r="B819" t="s">
        <v>909</v>
      </c>
      <c r="C819" t="s">
        <v>1991</v>
      </c>
      <c r="D819" t="s">
        <v>2031</v>
      </c>
      <c r="E819" t="s">
        <v>47</v>
      </c>
      <c r="F819" t="s">
        <v>57</v>
      </c>
      <c r="G819" t="str">
        <f>INDEX(Risk_Matrix!$B$2:$D$4,MATCH(E819,Risk_Matrix!$A$2:$A$4,0),MATCH(F819,Risk_Matrix!$B$1:$D$1,0))</f>
        <v>Medium</v>
      </c>
      <c r="H819" s="1">
        <v>46086</v>
      </c>
      <c r="I819" t="s">
        <v>1987</v>
      </c>
      <c r="J819" t="s">
        <v>1988</v>
      </c>
      <c r="K819" t="s">
        <v>2010</v>
      </c>
      <c r="L819">
        <f>IF(G819="High",3,IF(G819="Medium",2,1))</f>
        <v>2</v>
      </c>
    </row>
    <row r="820" spans="1:12">
      <c r="A820" t="s">
        <v>2846</v>
      </c>
      <c r="B820" t="s">
        <v>909</v>
      </c>
      <c r="C820" t="s">
        <v>1995</v>
      </c>
      <c r="D820" t="s">
        <v>1996</v>
      </c>
      <c r="E820" t="s">
        <v>47</v>
      </c>
      <c r="F820" t="s">
        <v>57</v>
      </c>
      <c r="G820" t="str">
        <f>INDEX(Risk_Matrix!$B$2:$D$4,MATCH(E820,Risk_Matrix!$A$2:$A$4,0),MATCH(F820,Risk_Matrix!$B$1:$D$1,0))</f>
        <v>Medium</v>
      </c>
      <c r="H820" s="1">
        <v>46163</v>
      </c>
      <c r="I820" t="s">
        <v>2025</v>
      </c>
      <c r="J820" t="s">
        <v>2026</v>
      </c>
      <c r="K820" t="s">
        <v>1998</v>
      </c>
      <c r="L820">
        <f>IF(G820="High",3,IF(G820="Medium",2,1))</f>
        <v>2</v>
      </c>
    </row>
    <row r="821" spans="1:12">
      <c r="A821" t="s">
        <v>2847</v>
      </c>
      <c r="B821" t="s">
        <v>909</v>
      </c>
      <c r="C821" t="s">
        <v>2000</v>
      </c>
      <c r="D821" t="s">
        <v>2045</v>
      </c>
      <c r="E821" t="s">
        <v>57</v>
      </c>
      <c r="F821" t="s">
        <v>57</v>
      </c>
      <c r="G821" t="str">
        <f>INDEX(Risk_Matrix!$B$2:$D$4,MATCH(E821,Risk_Matrix!$A$2:$A$4,0),MATCH(F821,Risk_Matrix!$B$1:$D$1,0))</f>
        <v>Low</v>
      </c>
      <c r="H821" s="1">
        <v>46178</v>
      </c>
      <c r="I821" t="s">
        <v>2002</v>
      </c>
      <c r="J821" t="s">
        <v>2003</v>
      </c>
      <c r="K821" t="s">
        <v>1993</v>
      </c>
      <c r="L821">
        <f>IF(G821="High",3,IF(G821="Medium",2,1))</f>
        <v>1</v>
      </c>
    </row>
    <row r="822" spans="1:12">
      <c r="A822" t="s">
        <v>2848</v>
      </c>
      <c r="B822" t="s">
        <v>909</v>
      </c>
      <c r="C822" t="s">
        <v>2005</v>
      </c>
      <c r="D822" t="s">
        <v>2006</v>
      </c>
      <c r="E822" t="s">
        <v>1971</v>
      </c>
      <c r="F822" t="s">
        <v>57</v>
      </c>
      <c r="G822" t="str">
        <f>INDEX(Risk_Matrix!$B$2:$D$4,MATCH(E822,Risk_Matrix!$A$2:$A$4,0),MATCH(F822,Risk_Matrix!$B$1:$D$1,0))</f>
        <v>Low</v>
      </c>
      <c r="H822" s="1">
        <v>46095</v>
      </c>
      <c r="I822" t="s">
        <v>2025</v>
      </c>
      <c r="J822" t="s">
        <v>2035</v>
      </c>
      <c r="K822" t="s">
        <v>1993</v>
      </c>
      <c r="L822">
        <f>IF(G822="High",3,IF(G822="Medium",2,1))</f>
        <v>1</v>
      </c>
    </row>
    <row r="823" spans="1:12">
      <c r="A823" t="s">
        <v>2849</v>
      </c>
      <c r="B823" t="s">
        <v>909</v>
      </c>
      <c r="C823" t="s">
        <v>2008</v>
      </c>
      <c r="D823" t="s">
        <v>2024</v>
      </c>
      <c r="E823" t="s">
        <v>1971</v>
      </c>
      <c r="F823" t="s">
        <v>47</v>
      </c>
      <c r="G823" t="str">
        <f>INDEX(Risk_Matrix!$B$2:$D$4,MATCH(E823,Risk_Matrix!$A$2:$A$4,0),MATCH(F823,Risk_Matrix!$B$1:$D$1,0))</f>
        <v>High</v>
      </c>
      <c r="H823" s="1">
        <v>46156</v>
      </c>
      <c r="I823" t="s">
        <v>2025</v>
      </c>
      <c r="J823" t="s">
        <v>2026</v>
      </c>
      <c r="K823" t="s">
        <v>2010</v>
      </c>
      <c r="L823">
        <f>IF(G823="High",3,IF(G823="Medium",2,1))</f>
        <v>3</v>
      </c>
    </row>
    <row r="824" spans="1:12">
      <c r="A824" t="s">
        <v>2850</v>
      </c>
      <c r="B824" t="s">
        <v>911</v>
      </c>
      <c r="C824" t="s">
        <v>1985</v>
      </c>
      <c r="D824" t="s">
        <v>2012</v>
      </c>
      <c r="E824" t="s">
        <v>1971</v>
      </c>
      <c r="F824" t="s">
        <v>57</v>
      </c>
      <c r="G824" t="str">
        <f>INDEX(Risk_Matrix!$B$2:$D$4,MATCH(E824,Risk_Matrix!$A$2:$A$4,0),MATCH(F824,Risk_Matrix!$B$1:$D$1,0))</f>
        <v>Low</v>
      </c>
      <c r="H824" s="1">
        <v>46154</v>
      </c>
      <c r="I824" t="s">
        <v>2015</v>
      </c>
      <c r="J824" t="s">
        <v>2032</v>
      </c>
      <c r="K824" t="s">
        <v>1998</v>
      </c>
      <c r="L824">
        <f>IF(G824="High",3,IF(G824="Medium",2,1))</f>
        <v>1</v>
      </c>
    </row>
    <row r="825" spans="1:12">
      <c r="A825" t="s">
        <v>2851</v>
      </c>
      <c r="B825" t="s">
        <v>911</v>
      </c>
      <c r="C825" t="s">
        <v>1991</v>
      </c>
      <c r="D825" t="s">
        <v>2031</v>
      </c>
      <c r="E825" t="s">
        <v>57</v>
      </c>
      <c r="F825" t="s">
        <v>1971</v>
      </c>
      <c r="G825" t="str">
        <f>INDEX(Risk_Matrix!$B$2:$D$4,MATCH(E825,Risk_Matrix!$A$2:$A$4,0),MATCH(F825,Risk_Matrix!$B$1:$D$1,0))</f>
        <v>Low</v>
      </c>
      <c r="H825" s="1">
        <v>46186</v>
      </c>
      <c r="I825" t="s">
        <v>2002</v>
      </c>
      <c r="J825" t="s">
        <v>2003</v>
      </c>
      <c r="K825" t="s">
        <v>1993</v>
      </c>
      <c r="L825">
        <f>IF(G825="High",3,IF(G825="Medium",2,1))</f>
        <v>1</v>
      </c>
    </row>
    <row r="826" spans="1:12">
      <c r="A826" t="s">
        <v>2852</v>
      </c>
      <c r="B826" t="s">
        <v>911</v>
      </c>
      <c r="C826" t="s">
        <v>1995</v>
      </c>
      <c r="D826" t="s">
        <v>2034</v>
      </c>
      <c r="E826" t="s">
        <v>57</v>
      </c>
      <c r="F826" t="s">
        <v>57</v>
      </c>
      <c r="G826" t="str">
        <f>INDEX(Risk_Matrix!$B$2:$D$4,MATCH(E826,Risk_Matrix!$A$2:$A$4,0),MATCH(F826,Risk_Matrix!$B$1:$D$1,0))</f>
        <v>Low</v>
      </c>
      <c r="H826" s="1">
        <v>46232</v>
      </c>
      <c r="I826" t="s">
        <v>1987</v>
      </c>
      <c r="J826" t="s">
        <v>1988</v>
      </c>
      <c r="K826" t="s">
        <v>1998</v>
      </c>
      <c r="L826">
        <f>IF(G826="High",3,IF(G826="Medium",2,1))</f>
        <v>1</v>
      </c>
    </row>
    <row r="827" spans="1:12">
      <c r="A827" t="s">
        <v>2853</v>
      </c>
      <c r="B827" t="s">
        <v>911</v>
      </c>
      <c r="C827" t="s">
        <v>2000</v>
      </c>
      <c r="D827" t="s">
        <v>2001</v>
      </c>
      <c r="E827" t="s">
        <v>1971</v>
      </c>
      <c r="F827" t="s">
        <v>47</v>
      </c>
      <c r="G827" t="str">
        <f>INDEX(Risk_Matrix!$B$2:$D$4,MATCH(E827,Risk_Matrix!$A$2:$A$4,0),MATCH(F827,Risk_Matrix!$B$1:$D$1,0))</f>
        <v>High</v>
      </c>
      <c r="H827" s="1">
        <v>46171</v>
      </c>
      <c r="I827" t="s">
        <v>2015</v>
      </c>
      <c r="J827" t="s">
        <v>2032</v>
      </c>
      <c r="K827" t="s">
        <v>1989</v>
      </c>
      <c r="L827">
        <f>IF(G827="High",3,IF(G827="Medium",2,1))</f>
        <v>3</v>
      </c>
    </row>
    <row r="828" spans="1:12">
      <c r="A828" t="s">
        <v>2854</v>
      </c>
      <c r="B828" t="s">
        <v>911</v>
      </c>
      <c r="C828" t="s">
        <v>2005</v>
      </c>
      <c r="D828" t="s">
        <v>2006</v>
      </c>
      <c r="E828" t="s">
        <v>57</v>
      </c>
      <c r="F828" t="s">
        <v>57</v>
      </c>
      <c r="G828" t="str">
        <f>INDEX(Risk_Matrix!$B$2:$D$4,MATCH(E828,Risk_Matrix!$A$2:$A$4,0),MATCH(F828,Risk_Matrix!$B$1:$D$1,0))</f>
        <v>Low</v>
      </c>
      <c r="H828" s="1">
        <v>46063</v>
      </c>
      <c r="I828" t="s">
        <v>2025</v>
      </c>
      <c r="J828" t="s">
        <v>2035</v>
      </c>
      <c r="K828" t="s">
        <v>1993</v>
      </c>
      <c r="L828">
        <f>IF(G828="High",3,IF(G828="Medium",2,1))</f>
        <v>1</v>
      </c>
    </row>
    <row r="829" spans="1:12">
      <c r="A829" t="s">
        <v>2855</v>
      </c>
      <c r="B829" t="s">
        <v>911</v>
      </c>
      <c r="C829" t="s">
        <v>2008</v>
      </c>
      <c r="D829" t="s">
        <v>2024</v>
      </c>
      <c r="E829" t="s">
        <v>1971</v>
      </c>
      <c r="F829" t="s">
        <v>1971</v>
      </c>
      <c r="G829" t="str">
        <f>INDEX(Risk_Matrix!$B$2:$D$4,MATCH(E829,Risk_Matrix!$A$2:$A$4,0),MATCH(F829,Risk_Matrix!$B$1:$D$1,0))</f>
        <v>Medium</v>
      </c>
      <c r="H829" s="1">
        <v>46189</v>
      </c>
      <c r="I829" t="s">
        <v>2015</v>
      </c>
      <c r="J829" t="s">
        <v>2016</v>
      </c>
      <c r="K829" t="s">
        <v>2010</v>
      </c>
      <c r="L829">
        <f>IF(G829="High",3,IF(G829="Medium",2,1))</f>
        <v>2</v>
      </c>
    </row>
    <row r="830" spans="1:12">
      <c r="A830" t="s">
        <v>2856</v>
      </c>
      <c r="B830" t="s">
        <v>913</v>
      </c>
      <c r="C830" t="s">
        <v>1985</v>
      </c>
      <c r="D830" t="s">
        <v>2012</v>
      </c>
      <c r="E830" t="s">
        <v>57</v>
      </c>
      <c r="F830" t="s">
        <v>57</v>
      </c>
      <c r="G830" t="str">
        <f>INDEX(Risk_Matrix!$B$2:$D$4,MATCH(E830,Risk_Matrix!$A$2:$A$4,0),MATCH(F830,Risk_Matrix!$B$1:$D$1,0))</f>
        <v>Low</v>
      </c>
      <c r="H830" s="1">
        <v>46135</v>
      </c>
      <c r="I830" t="s">
        <v>1987</v>
      </c>
      <c r="J830" t="s">
        <v>1997</v>
      </c>
      <c r="K830" t="s">
        <v>1998</v>
      </c>
      <c r="L830">
        <f>IF(G830="High",3,IF(G830="Medium",2,1))</f>
        <v>1</v>
      </c>
    </row>
    <row r="831" spans="1:12">
      <c r="A831" t="s">
        <v>2857</v>
      </c>
      <c r="B831" t="s">
        <v>913</v>
      </c>
      <c r="C831" t="s">
        <v>1991</v>
      </c>
      <c r="D831" t="s">
        <v>2031</v>
      </c>
      <c r="E831" t="s">
        <v>1971</v>
      </c>
      <c r="F831" t="s">
        <v>1971</v>
      </c>
      <c r="G831" t="str">
        <f>INDEX(Risk_Matrix!$B$2:$D$4,MATCH(E831,Risk_Matrix!$A$2:$A$4,0),MATCH(F831,Risk_Matrix!$B$1:$D$1,0))</f>
        <v>Medium</v>
      </c>
      <c r="H831" s="1">
        <v>46222</v>
      </c>
      <c r="I831" t="s">
        <v>2025</v>
      </c>
      <c r="J831" t="s">
        <v>2026</v>
      </c>
      <c r="K831" t="s">
        <v>1993</v>
      </c>
      <c r="L831">
        <f>IF(G831="High",3,IF(G831="Medium",2,1))</f>
        <v>2</v>
      </c>
    </row>
    <row r="832" spans="1:12">
      <c r="A832" t="s">
        <v>2858</v>
      </c>
      <c r="B832" t="s">
        <v>913</v>
      </c>
      <c r="C832" t="s">
        <v>1995</v>
      </c>
      <c r="D832" t="s">
        <v>2150</v>
      </c>
      <c r="E832" t="s">
        <v>1971</v>
      </c>
      <c r="F832" t="s">
        <v>1971</v>
      </c>
      <c r="G832" t="str">
        <f>INDEX(Risk_Matrix!$B$2:$D$4,MATCH(E832,Risk_Matrix!$A$2:$A$4,0),MATCH(F832,Risk_Matrix!$B$1:$D$1,0))</f>
        <v>Medium</v>
      </c>
      <c r="H832" s="1">
        <v>46214</v>
      </c>
      <c r="I832" t="s">
        <v>2025</v>
      </c>
      <c r="J832" t="s">
        <v>2035</v>
      </c>
      <c r="K832" t="s">
        <v>2036</v>
      </c>
      <c r="L832">
        <f>IF(G832="High",3,IF(G832="Medium",2,1))</f>
        <v>2</v>
      </c>
    </row>
    <row r="833" spans="1:12">
      <c r="A833" t="s">
        <v>2859</v>
      </c>
      <c r="B833" t="s">
        <v>913</v>
      </c>
      <c r="C833" t="s">
        <v>2000</v>
      </c>
      <c r="D833" t="s">
        <v>2045</v>
      </c>
      <c r="E833" t="s">
        <v>47</v>
      </c>
      <c r="F833" t="s">
        <v>57</v>
      </c>
      <c r="G833" t="str">
        <f>INDEX(Risk_Matrix!$B$2:$D$4,MATCH(E833,Risk_Matrix!$A$2:$A$4,0),MATCH(F833,Risk_Matrix!$B$1:$D$1,0))</f>
        <v>Medium</v>
      </c>
      <c r="H833" s="1">
        <v>46218</v>
      </c>
      <c r="I833" t="s">
        <v>2025</v>
      </c>
      <c r="J833" t="s">
        <v>2026</v>
      </c>
      <c r="K833" t="s">
        <v>1989</v>
      </c>
      <c r="L833">
        <f>IF(G833="High",3,IF(G833="Medium",2,1))</f>
        <v>2</v>
      </c>
    </row>
    <row r="834" spans="1:12">
      <c r="A834" t="s">
        <v>2860</v>
      </c>
      <c r="B834" t="s">
        <v>913</v>
      </c>
      <c r="C834" t="s">
        <v>2005</v>
      </c>
      <c r="D834" t="s">
        <v>2039</v>
      </c>
      <c r="E834" t="s">
        <v>57</v>
      </c>
      <c r="F834" t="s">
        <v>1971</v>
      </c>
      <c r="G834" t="str">
        <f>INDEX(Risk_Matrix!$B$2:$D$4,MATCH(E834,Risk_Matrix!$A$2:$A$4,0),MATCH(F834,Risk_Matrix!$B$1:$D$1,0))</f>
        <v>Low</v>
      </c>
      <c r="H834" s="1">
        <v>46072</v>
      </c>
      <c r="I834" t="s">
        <v>1987</v>
      </c>
      <c r="J834" t="s">
        <v>1997</v>
      </c>
      <c r="K834" t="s">
        <v>1993</v>
      </c>
      <c r="L834">
        <f>IF(G834="High",3,IF(G834="Medium",2,1))</f>
        <v>1</v>
      </c>
    </row>
    <row r="835" spans="1:12">
      <c r="A835" t="s">
        <v>2861</v>
      </c>
      <c r="B835" t="s">
        <v>913</v>
      </c>
      <c r="C835" t="s">
        <v>2008</v>
      </c>
      <c r="D835" t="s">
        <v>2009</v>
      </c>
      <c r="E835" t="s">
        <v>57</v>
      </c>
      <c r="F835" t="s">
        <v>1971</v>
      </c>
      <c r="G835" t="str">
        <f>INDEX(Risk_Matrix!$B$2:$D$4,MATCH(E835,Risk_Matrix!$A$2:$A$4,0),MATCH(F835,Risk_Matrix!$B$1:$D$1,0))</f>
        <v>Low</v>
      </c>
      <c r="H835" s="1">
        <v>46207</v>
      </c>
      <c r="I835" t="s">
        <v>2015</v>
      </c>
      <c r="J835" t="s">
        <v>2016</v>
      </c>
      <c r="K835" t="s">
        <v>2010</v>
      </c>
      <c r="L835">
        <f>IF(G835="High",3,IF(G835="Medium",2,1))</f>
        <v>1</v>
      </c>
    </row>
    <row r="836" spans="1:12">
      <c r="A836" t="s">
        <v>2862</v>
      </c>
      <c r="B836" t="s">
        <v>915</v>
      </c>
      <c r="C836" t="s">
        <v>1985</v>
      </c>
      <c r="D836" t="s">
        <v>2012</v>
      </c>
      <c r="E836" t="s">
        <v>57</v>
      </c>
      <c r="F836" t="s">
        <v>1971</v>
      </c>
      <c r="G836" t="str">
        <f>INDEX(Risk_Matrix!$B$2:$D$4,MATCH(E836,Risk_Matrix!$A$2:$A$4,0),MATCH(F836,Risk_Matrix!$B$1:$D$1,0))</f>
        <v>Low</v>
      </c>
      <c r="H836" s="1">
        <v>46163</v>
      </c>
      <c r="I836" t="s">
        <v>1987</v>
      </c>
      <c r="J836" t="s">
        <v>1988</v>
      </c>
      <c r="K836" t="s">
        <v>1989</v>
      </c>
      <c r="L836">
        <f>IF(G836="High",3,IF(G836="Medium",2,1))</f>
        <v>1</v>
      </c>
    </row>
    <row r="837" spans="1:12">
      <c r="A837" t="s">
        <v>2863</v>
      </c>
      <c r="B837" t="s">
        <v>915</v>
      </c>
      <c r="C837" t="s">
        <v>1991</v>
      </c>
      <c r="D837" t="s">
        <v>2064</v>
      </c>
      <c r="E837" t="s">
        <v>1971</v>
      </c>
      <c r="F837" t="s">
        <v>1971</v>
      </c>
      <c r="G837" t="str">
        <f>INDEX(Risk_Matrix!$B$2:$D$4,MATCH(E837,Risk_Matrix!$A$2:$A$4,0),MATCH(F837,Risk_Matrix!$B$1:$D$1,0))</f>
        <v>Medium</v>
      </c>
      <c r="H837" s="1">
        <v>46144</v>
      </c>
      <c r="I837" t="s">
        <v>2025</v>
      </c>
      <c r="J837" t="s">
        <v>2035</v>
      </c>
      <c r="K837" t="s">
        <v>2010</v>
      </c>
      <c r="L837">
        <f>IF(G837="High",3,IF(G837="Medium",2,1))</f>
        <v>2</v>
      </c>
    </row>
    <row r="838" spans="1:12">
      <c r="A838" t="s">
        <v>2864</v>
      </c>
      <c r="B838" t="s">
        <v>915</v>
      </c>
      <c r="C838" t="s">
        <v>1995</v>
      </c>
      <c r="D838" t="s">
        <v>2034</v>
      </c>
      <c r="E838" t="s">
        <v>47</v>
      </c>
      <c r="F838" t="s">
        <v>1971</v>
      </c>
      <c r="G838" t="str">
        <f>INDEX(Risk_Matrix!$B$2:$D$4,MATCH(E838,Risk_Matrix!$A$2:$A$4,0),MATCH(F838,Risk_Matrix!$B$1:$D$1,0))</f>
        <v>High</v>
      </c>
      <c r="H838" s="1">
        <v>46181</v>
      </c>
      <c r="I838" t="s">
        <v>2025</v>
      </c>
      <c r="J838" t="s">
        <v>2026</v>
      </c>
      <c r="K838" t="s">
        <v>1998</v>
      </c>
      <c r="L838">
        <f>IF(G838="High",3,IF(G838="Medium",2,1))</f>
        <v>3</v>
      </c>
    </row>
    <row r="839" spans="1:12">
      <c r="A839" t="s">
        <v>2865</v>
      </c>
      <c r="B839" t="s">
        <v>915</v>
      </c>
      <c r="C839" t="s">
        <v>2000</v>
      </c>
      <c r="D839" t="s">
        <v>2001</v>
      </c>
      <c r="E839" t="s">
        <v>57</v>
      </c>
      <c r="F839" t="s">
        <v>1971</v>
      </c>
      <c r="G839" t="str">
        <f>INDEX(Risk_Matrix!$B$2:$D$4,MATCH(E839,Risk_Matrix!$A$2:$A$4,0),MATCH(F839,Risk_Matrix!$B$1:$D$1,0))</f>
        <v>Low</v>
      </c>
      <c r="H839" s="1">
        <v>46189</v>
      </c>
      <c r="I839" t="s">
        <v>2015</v>
      </c>
      <c r="J839" t="s">
        <v>2032</v>
      </c>
      <c r="K839" t="s">
        <v>1993</v>
      </c>
      <c r="L839">
        <f>IF(G839="High",3,IF(G839="Medium",2,1))</f>
        <v>1</v>
      </c>
    </row>
    <row r="840" spans="1:12">
      <c r="A840" t="s">
        <v>2866</v>
      </c>
      <c r="B840" t="s">
        <v>915</v>
      </c>
      <c r="C840" t="s">
        <v>2005</v>
      </c>
      <c r="D840" t="s">
        <v>2006</v>
      </c>
      <c r="E840" t="s">
        <v>57</v>
      </c>
      <c r="F840" t="s">
        <v>57</v>
      </c>
      <c r="G840" t="str">
        <f>INDEX(Risk_Matrix!$B$2:$D$4,MATCH(E840,Risk_Matrix!$A$2:$A$4,0),MATCH(F840,Risk_Matrix!$B$1:$D$1,0))</f>
        <v>Low</v>
      </c>
      <c r="H840" s="1">
        <v>46166</v>
      </c>
      <c r="I840" t="s">
        <v>2002</v>
      </c>
      <c r="J840" t="s">
        <v>2029</v>
      </c>
      <c r="K840" t="s">
        <v>1993</v>
      </c>
      <c r="L840">
        <f>IF(G840="High",3,IF(G840="Medium",2,1))</f>
        <v>1</v>
      </c>
    </row>
    <row r="841" spans="1:12">
      <c r="A841" t="s">
        <v>2867</v>
      </c>
      <c r="B841" t="s">
        <v>915</v>
      </c>
      <c r="C841" t="s">
        <v>2008</v>
      </c>
      <c r="D841" t="s">
        <v>2024</v>
      </c>
      <c r="E841" t="s">
        <v>57</v>
      </c>
      <c r="F841" t="s">
        <v>57</v>
      </c>
      <c r="G841" t="str">
        <f>INDEX(Risk_Matrix!$B$2:$D$4,MATCH(E841,Risk_Matrix!$A$2:$A$4,0),MATCH(F841,Risk_Matrix!$B$1:$D$1,0))</f>
        <v>Low</v>
      </c>
      <c r="H841" s="1">
        <v>46221</v>
      </c>
      <c r="I841" t="s">
        <v>2025</v>
      </c>
      <c r="J841" t="s">
        <v>2026</v>
      </c>
      <c r="K841" t="s">
        <v>2010</v>
      </c>
      <c r="L841">
        <f>IF(G841="High",3,IF(G841="Medium",2,1))</f>
        <v>1</v>
      </c>
    </row>
    <row r="842" spans="1:12">
      <c r="A842" t="s">
        <v>2868</v>
      </c>
      <c r="B842" t="s">
        <v>917</v>
      </c>
      <c r="C842" t="s">
        <v>1985</v>
      </c>
      <c r="D842" t="s">
        <v>2028</v>
      </c>
      <c r="E842" t="s">
        <v>1971</v>
      </c>
      <c r="F842" t="s">
        <v>47</v>
      </c>
      <c r="G842" t="str">
        <f>INDEX(Risk_Matrix!$B$2:$D$4,MATCH(E842,Risk_Matrix!$A$2:$A$4,0),MATCH(F842,Risk_Matrix!$B$1:$D$1,0))</f>
        <v>High</v>
      </c>
      <c r="H842" s="1">
        <v>46192</v>
      </c>
      <c r="I842" t="s">
        <v>2015</v>
      </c>
      <c r="J842" t="s">
        <v>2032</v>
      </c>
      <c r="K842" t="s">
        <v>1998</v>
      </c>
      <c r="L842">
        <f>IF(G842="High",3,IF(G842="Medium",2,1))</f>
        <v>3</v>
      </c>
    </row>
    <row r="843" spans="1:12">
      <c r="A843" t="s">
        <v>2869</v>
      </c>
      <c r="B843" t="s">
        <v>917</v>
      </c>
      <c r="C843" t="s">
        <v>1991</v>
      </c>
      <c r="D843" t="s">
        <v>2031</v>
      </c>
      <c r="E843" t="s">
        <v>57</v>
      </c>
      <c r="F843" t="s">
        <v>57</v>
      </c>
      <c r="G843" t="str">
        <f>INDEX(Risk_Matrix!$B$2:$D$4,MATCH(E843,Risk_Matrix!$A$2:$A$4,0),MATCH(F843,Risk_Matrix!$B$1:$D$1,0))</f>
        <v>Low</v>
      </c>
      <c r="H843" s="1">
        <v>46124</v>
      </c>
      <c r="I843" t="s">
        <v>2025</v>
      </c>
      <c r="J843" t="s">
        <v>2035</v>
      </c>
      <c r="K843" t="s">
        <v>2010</v>
      </c>
      <c r="L843">
        <f>IF(G843="High",3,IF(G843="Medium",2,1))</f>
        <v>1</v>
      </c>
    </row>
    <row r="844" spans="1:12">
      <c r="A844" t="s">
        <v>2870</v>
      </c>
      <c r="B844" t="s">
        <v>917</v>
      </c>
      <c r="C844" t="s">
        <v>1995</v>
      </c>
      <c r="D844" t="s">
        <v>2034</v>
      </c>
      <c r="E844" t="s">
        <v>57</v>
      </c>
      <c r="F844" t="s">
        <v>57</v>
      </c>
      <c r="G844" t="str">
        <f>INDEX(Risk_Matrix!$B$2:$D$4,MATCH(E844,Risk_Matrix!$A$2:$A$4,0),MATCH(F844,Risk_Matrix!$B$1:$D$1,0))</f>
        <v>Low</v>
      </c>
      <c r="H844" s="1">
        <v>46082</v>
      </c>
      <c r="I844" t="s">
        <v>2025</v>
      </c>
      <c r="J844" t="s">
        <v>2035</v>
      </c>
      <c r="K844" t="s">
        <v>2036</v>
      </c>
      <c r="L844">
        <f>IF(G844="High",3,IF(G844="Medium",2,1))</f>
        <v>1</v>
      </c>
    </row>
    <row r="845" spans="1:12">
      <c r="A845" t="s">
        <v>2871</v>
      </c>
      <c r="B845" t="s">
        <v>917</v>
      </c>
      <c r="C845" t="s">
        <v>2000</v>
      </c>
      <c r="D845" t="s">
        <v>2001</v>
      </c>
      <c r="E845" t="s">
        <v>47</v>
      </c>
      <c r="F845" t="s">
        <v>1971</v>
      </c>
      <c r="G845" t="str">
        <f>INDEX(Risk_Matrix!$B$2:$D$4,MATCH(E845,Risk_Matrix!$A$2:$A$4,0),MATCH(F845,Risk_Matrix!$B$1:$D$1,0))</f>
        <v>High</v>
      </c>
      <c r="H845" s="1">
        <v>46226</v>
      </c>
      <c r="I845" t="s">
        <v>2025</v>
      </c>
      <c r="J845" t="s">
        <v>2026</v>
      </c>
      <c r="K845" t="s">
        <v>1989</v>
      </c>
      <c r="L845">
        <f>IF(G845="High",3,IF(G845="Medium",2,1))</f>
        <v>3</v>
      </c>
    </row>
    <row r="846" spans="1:12">
      <c r="A846" t="s">
        <v>2872</v>
      </c>
      <c r="B846" t="s">
        <v>917</v>
      </c>
      <c r="C846" t="s">
        <v>2005</v>
      </c>
      <c r="D846" t="s">
        <v>2039</v>
      </c>
      <c r="E846" t="s">
        <v>1971</v>
      </c>
      <c r="F846" t="s">
        <v>57</v>
      </c>
      <c r="G846" t="str">
        <f>INDEX(Risk_Matrix!$B$2:$D$4,MATCH(E846,Risk_Matrix!$A$2:$A$4,0),MATCH(F846,Risk_Matrix!$B$1:$D$1,0))</f>
        <v>Low</v>
      </c>
      <c r="H846" s="1">
        <v>46069</v>
      </c>
      <c r="I846" t="s">
        <v>2002</v>
      </c>
      <c r="J846" t="s">
        <v>2003</v>
      </c>
      <c r="K846" t="s">
        <v>1993</v>
      </c>
      <c r="L846">
        <f>IF(G846="High",3,IF(G846="Medium",2,1))</f>
        <v>1</v>
      </c>
    </row>
    <row r="847" spans="1:12">
      <c r="A847" t="s">
        <v>2873</v>
      </c>
      <c r="B847" t="s">
        <v>917</v>
      </c>
      <c r="C847" t="s">
        <v>2008</v>
      </c>
      <c r="D847" t="s">
        <v>2009</v>
      </c>
      <c r="E847" t="s">
        <v>1971</v>
      </c>
      <c r="F847" t="s">
        <v>57</v>
      </c>
      <c r="G847" t="str">
        <f>INDEX(Risk_Matrix!$B$2:$D$4,MATCH(E847,Risk_Matrix!$A$2:$A$4,0),MATCH(F847,Risk_Matrix!$B$1:$D$1,0))</f>
        <v>Low</v>
      </c>
      <c r="H847" s="1">
        <v>46227</v>
      </c>
      <c r="I847" t="s">
        <v>2002</v>
      </c>
      <c r="J847" t="s">
        <v>2029</v>
      </c>
      <c r="K847" t="s">
        <v>2010</v>
      </c>
      <c r="L847">
        <f>IF(G847="High",3,IF(G847="Medium",2,1))</f>
        <v>1</v>
      </c>
    </row>
    <row r="848" spans="1:12">
      <c r="A848" t="s">
        <v>2874</v>
      </c>
      <c r="B848" t="s">
        <v>920</v>
      </c>
      <c r="C848" t="s">
        <v>1985</v>
      </c>
      <c r="D848" t="s">
        <v>2028</v>
      </c>
      <c r="E848" t="s">
        <v>47</v>
      </c>
      <c r="F848" t="s">
        <v>47</v>
      </c>
      <c r="G848" t="str">
        <f>INDEX(Risk_Matrix!$B$2:$D$4,MATCH(E848,Risk_Matrix!$A$2:$A$4,0),MATCH(F848,Risk_Matrix!$B$1:$D$1,0))</f>
        <v>High</v>
      </c>
      <c r="H848" s="1">
        <v>46134</v>
      </c>
      <c r="I848" t="s">
        <v>1987</v>
      </c>
      <c r="J848" t="s">
        <v>1997</v>
      </c>
      <c r="K848" t="s">
        <v>1989</v>
      </c>
      <c r="L848">
        <f>IF(G848="High",3,IF(G848="Medium",2,1))</f>
        <v>3</v>
      </c>
    </row>
    <row r="849" spans="1:12">
      <c r="A849" t="s">
        <v>2875</v>
      </c>
      <c r="B849" t="s">
        <v>920</v>
      </c>
      <c r="C849" t="s">
        <v>1991</v>
      </c>
      <c r="D849" t="s">
        <v>2064</v>
      </c>
      <c r="E849" t="s">
        <v>47</v>
      </c>
      <c r="F849" t="s">
        <v>1971</v>
      </c>
      <c r="G849" t="str">
        <f>INDEX(Risk_Matrix!$B$2:$D$4,MATCH(E849,Risk_Matrix!$A$2:$A$4,0),MATCH(F849,Risk_Matrix!$B$1:$D$1,0))</f>
        <v>High</v>
      </c>
      <c r="H849" s="1">
        <v>46224</v>
      </c>
      <c r="I849" t="s">
        <v>2015</v>
      </c>
      <c r="J849" t="s">
        <v>2032</v>
      </c>
      <c r="K849" t="s">
        <v>2010</v>
      </c>
      <c r="L849">
        <f>IF(G849="High",3,IF(G849="Medium",2,1))</f>
        <v>3</v>
      </c>
    </row>
    <row r="850" spans="1:12">
      <c r="A850" t="s">
        <v>2876</v>
      </c>
      <c r="B850" t="s">
        <v>920</v>
      </c>
      <c r="C850" t="s">
        <v>1995</v>
      </c>
      <c r="D850" t="s">
        <v>2018</v>
      </c>
      <c r="E850" t="s">
        <v>57</v>
      </c>
      <c r="F850" t="s">
        <v>57</v>
      </c>
      <c r="G850" t="str">
        <f>INDEX(Risk_Matrix!$B$2:$D$4,MATCH(E850,Risk_Matrix!$A$2:$A$4,0),MATCH(F850,Risk_Matrix!$B$1:$D$1,0))</f>
        <v>Low</v>
      </c>
      <c r="H850" s="1">
        <v>46085</v>
      </c>
      <c r="I850" t="s">
        <v>2002</v>
      </c>
      <c r="J850" t="s">
        <v>2029</v>
      </c>
      <c r="K850" t="s">
        <v>1998</v>
      </c>
      <c r="L850">
        <f>IF(G850="High",3,IF(G850="Medium",2,1))</f>
        <v>1</v>
      </c>
    </row>
    <row r="851" spans="1:12">
      <c r="A851" t="s">
        <v>2877</v>
      </c>
      <c r="B851" t="s">
        <v>920</v>
      </c>
      <c r="C851" t="s">
        <v>2000</v>
      </c>
      <c r="D851" t="s">
        <v>2045</v>
      </c>
      <c r="E851" t="s">
        <v>57</v>
      </c>
      <c r="F851" t="s">
        <v>57</v>
      </c>
      <c r="G851" t="str">
        <f>INDEX(Risk_Matrix!$B$2:$D$4,MATCH(E851,Risk_Matrix!$A$2:$A$4,0),MATCH(F851,Risk_Matrix!$B$1:$D$1,0))</f>
        <v>Low</v>
      </c>
      <c r="H851" s="1">
        <v>46223</v>
      </c>
      <c r="I851" t="s">
        <v>1987</v>
      </c>
      <c r="J851" t="s">
        <v>1988</v>
      </c>
      <c r="K851" t="s">
        <v>1993</v>
      </c>
      <c r="L851">
        <f>IF(G851="High",3,IF(G851="Medium",2,1))</f>
        <v>1</v>
      </c>
    </row>
    <row r="852" spans="1:12">
      <c r="A852" t="s">
        <v>2878</v>
      </c>
      <c r="B852" t="s">
        <v>920</v>
      </c>
      <c r="C852" t="s">
        <v>2005</v>
      </c>
      <c r="D852" t="s">
        <v>2022</v>
      </c>
      <c r="E852" t="s">
        <v>1971</v>
      </c>
      <c r="F852" t="s">
        <v>57</v>
      </c>
      <c r="G852" t="str">
        <f>INDEX(Risk_Matrix!$B$2:$D$4,MATCH(E852,Risk_Matrix!$A$2:$A$4,0),MATCH(F852,Risk_Matrix!$B$1:$D$1,0))</f>
        <v>Low</v>
      </c>
      <c r="H852" s="1">
        <v>46213</v>
      </c>
      <c r="I852" t="s">
        <v>2015</v>
      </c>
      <c r="J852" t="s">
        <v>2032</v>
      </c>
      <c r="K852" t="s">
        <v>1993</v>
      </c>
      <c r="L852">
        <f>IF(G852="High",3,IF(G852="Medium",2,1))</f>
        <v>1</v>
      </c>
    </row>
    <row r="853" spans="1:12">
      <c r="A853" t="s">
        <v>2879</v>
      </c>
      <c r="B853" t="s">
        <v>920</v>
      </c>
      <c r="C853" t="s">
        <v>2008</v>
      </c>
      <c r="D853" t="s">
        <v>2024</v>
      </c>
      <c r="E853" t="s">
        <v>1971</v>
      </c>
      <c r="F853" t="s">
        <v>57</v>
      </c>
      <c r="G853" t="str">
        <f>INDEX(Risk_Matrix!$B$2:$D$4,MATCH(E853,Risk_Matrix!$A$2:$A$4,0),MATCH(F853,Risk_Matrix!$B$1:$D$1,0))</f>
        <v>Low</v>
      </c>
      <c r="H853" s="1">
        <v>46171</v>
      </c>
      <c r="I853" t="s">
        <v>2015</v>
      </c>
      <c r="J853" t="s">
        <v>2016</v>
      </c>
      <c r="K853" t="s">
        <v>2010</v>
      </c>
      <c r="L853">
        <f>IF(G853="High",3,IF(G853="Medium",2,1))</f>
        <v>1</v>
      </c>
    </row>
    <row r="854" spans="1:12">
      <c r="A854" t="s">
        <v>2880</v>
      </c>
      <c r="B854" t="s">
        <v>922</v>
      </c>
      <c r="C854" t="s">
        <v>1985</v>
      </c>
      <c r="D854" t="s">
        <v>2028</v>
      </c>
      <c r="E854" t="s">
        <v>57</v>
      </c>
      <c r="F854" t="s">
        <v>57</v>
      </c>
      <c r="G854" t="str">
        <f>INDEX(Risk_Matrix!$B$2:$D$4,MATCH(E854,Risk_Matrix!$A$2:$A$4,0),MATCH(F854,Risk_Matrix!$B$1:$D$1,0))</f>
        <v>Low</v>
      </c>
      <c r="H854" s="1">
        <v>46211</v>
      </c>
      <c r="I854" t="s">
        <v>2015</v>
      </c>
      <c r="J854" t="s">
        <v>2032</v>
      </c>
      <c r="K854" t="s">
        <v>1989</v>
      </c>
      <c r="L854">
        <f>IF(G854="High",3,IF(G854="Medium",2,1))</f>
        <v>1</v>
      </c>
    </row>
    <row r="855" spans="1:12">
      <c r="A855" t="s">
        <v>2881</v>
      </c>
      <c r="B855" t="s">
        <v>922</v>
      </c>
      <c r="C855" t="s">
        <v>1991</v>
      </c>
      <c r="D855" t="s">
        <v>2031</v>
      </c>
      <c r="E855" t="s">
        <v>57</v>
      </c>
      <c r="F855" t="s">
        <v>1971</v>
      </c>
      <c r="G855" t="str">
        <f>INDEX(Risk_Matrix!$B$2:$D$4,MATCH(E855,Risk_Matrix!$A$2:$A$4,0),MATCH(F855,Risk_Matrix!$B$1:$D$1,0))</f>
        <v>Low</v>
      </c>
      <c r="H855" s="1">
        <v>46117</v>
      </c>
      <c r="I855" t="s">
        <v>1987</v>
      </c>
      <c r="J855" t="s">
        <v>1997</v>
      </c>
      <c r="K855" t="s">
        <v>1993</v>
      </c>
      <c r="L855">
        <f>IF(G855="High",3,IF(G855="Medium",2,1))</f>
        <v>1</v>
      </c>
    </row>
    <row r="856" spans="1:12">
      <c r="A856" t="s">
        <v>2882</v>
      </c>
      <c r="B856" t="s">
        <v>922</v>
      </c>
      <c r="C856" t="s">
        <v>1995</v>
      </c>
      <c r="D856" t="s">
        <v>2018</v>
      </c>
      <c r="E856" t="s">
        <v>57</v>
      </c>
      <c r="F856" t="s">
        <v>47</v>
      </c>
      <c r="G856" t="str">
        <f>INDEX(Risk_Matrix!$B$2:$D$4,MATCH(E856,Risk_Matrix!$A$2:$A$4,0),MATCH(F856,Risk_Matrix!$B$1:$D$1,0))</f>
        <v>Medium</v>
      </c>
      <c r="H856" s="1">
        <v>46074</v>
      </c>
      <c r="I856" t="s">
        <v>2002</v>
      </c>
      <c r="J856" t="s">
        <v>2029</v>
      </c>
      <c r="K856" t="s">
        <v>1998</v>
      </c>
      <c r="L856">
        <f>IF(G856="High",3,IF(G856="Medium",2,1))</f>
        <v>2</v>
      </c>
    </row>
    <row r="857" spans="1:12">
      <c r="A857" t="s">
        <v>2883</v>
      </c>
      <c r="B857" t="s">
        <v>922</v>
      </c>
      <c r="C857" t="s">
        <v>2000</v>
      </c>
      <c r="D857" t="s">
        <v>2020</v>
      </c>
      <c r="E857" t="s">
        <v>1971</v>
      </c>
      <c r="F857" t="s">
        <v>1971</v>
      </c>
      <c r="G857" t="str">
        <f>INDEX(Risk_Matrix!$B$2:$D$4,MATCH(E857,Risk_Matrix!$A$2:$A$4,0),MATCH(F857,Risk_Matrix!$B$1:$D$1,0))</f>
        <v>Medium</v>
      </c>
      <c r="H857" s="1">
        <v>46187</v>
      </c>
      <c r="I857" t="s">
        <v>1987</v>
      </c>
      <c r="J857" t="s">
        <v>1997</v>
      </c>
      <c r="K857" t="s">
        <v>1993</v>
      </c>
      <c r="L857">
        <f>IF(G857="High",3,IF(G857="Medium",2,1))</f>
        <v>2</v>
      </c>
    </row>
    <row r="858" spans="1:12">
      <c r="A858" t="s">
        <v>2884</v>
      </c>
      <c r="B858" t="s">
        <v>922</v>
      </c>
      <c r="C858" t="s">
        <v>2005</v>
      </c>
      <c r="D858" t="s">
        <v>2039</v>
      </c>
      <c r="E858" t="s">
        <v>1971</v>
      </c>
      <c r="F858" t="s">
        <v>57</v>
      </c>
      <c r="G858" t="str">
        <f>INDEX(Risk_Matrix!$B$2:$D$4,MATCH(E858,Risk_Matrix!$A$2:$A$4,0),MATCH(F858,Risk_Matrix!$B$1:$D$1,0))</f>
        <v>Low</v>
      </c>
      <c r="H858" s="1">
        <v>46072</v>
      </c>
      <c r="I858" t="s">
        <v>1987</v>
      </c>
      <c r="J858" t="s">
        <v>1988</v>
      </c>
      <c r="K858" t="s">
        <v>1993</v>
      </c>
      <c r="L858">
        <f>IF(G858="High",3,IF(G858="Medium",2,1))</f>
        <v>1</v>
      </c>
    </row>
    <row r="859" spans="1:12">
      <c r="A859" t="s">
        <v>2885</v>
      </c>
      <c r="B859" t="s">
        <v>922</v>
      </c>
      <c r="C859" t="s">
        <v>2008</v>
      </c>
      <c r="D859" t="s">
        <v>2054</v>
      </c>
      <c r="E859" t="s">
        <v>1971</v>
      </c>
      <c r="F859" t="s">
        <v>1971</v>
      </c>
      <c r="G859" t="str">
        <f>INDEX(Risk_Matrix!$B$2:$D$4,MATCH(E859,Risk_Matrix!$A$2:$A$4,0),MATCH(F859,Risk_Matrix!$B$1:$D$1,0))</f>
        <v>Medium</v>
      </c>
      <c r="H859" s="1">
        <v>46197</v>
      </c>
      <c r="I859" t="s">
        <v>2025</v>
      </c>
      <c r="J859" t="s">
        <v>2035</v>
      </c>
      <c r="K859" t="s">
        <v>2010</v>
      </c>
      <c r="L859">
        <f>IF(G859="High",3,IF(G859="Medium",2,1))</f>
        <v>2</v>
      </c>
    </row>
    <row r="860" spans="1:12">
      <c r="A860" t="s">
        <v>2886</v>
      </c>
      <c r="B860" t="s">
        <v>925</v>
      </c>
      <c r="C860" t="s">
        <v>1985</v>
      </c>
      <c r="D860" t="s">
        <v>2012</v>
      </c>
      <c r="E860" t="s">
        <v>1971</v>
      </c>
      <c r="F860" t="s">
        <v>47</v>
      </c>
      <c r="G860" t="str">
        <f>INDEX(Risk_Matrix!$B$2:$D$4,MATCH(E860,Risk_Matrix!$A$2:$A$4,0),MATCH(F860,Risk_Matrix!$B$1:$D$1,0))</f>
        <v>High</v>
      </c>
      <c r="H860" s="1">
        <v>46067</v>
      </c>
      <c r="I860" t="s">
        <v>2025</v>
      </c>
      <c r="J860" t="s">
        <v>2035</v>
      </c>
      <c r="K860" t="s">
        <v>1989</v>
      </c>
      <c r="L860">
        <f>IF(G860="High",3,IF(G860="Medium",2,1))</f>
        <v>3</v>
      </c>
    </row>
    <row r="861" spans="1:12">
      <c r="A861" t="s">
        <v>2887</v>
      </c>
      <c r="B861" t="s">
        <v>925</v>
      </c>
      <c r="C861" t="s">
        <v>1991</v>
      </c>
      <c r="D861" t="s">
        <v>2014</v>
      </c>
      <c r="E861" t="s">
        <v>47</v>
      </c>
      <c r="F861" t="s">
        <v>1971</v>
      </c>
      <c r="G861" t="str">
        <f>INDEX(Risk_Matrix!$B$2:$D$4,MATCH(E861,Risk_Matrix!$A$2:$A$4,0),MATCH(F861,Risk_Matrix!$B$1:$D$1,0))</f>
        <v>High</v>
      </c>
      <c r="H861" s="1">
        <v>46082</v>
      </c>
      <c r="I861" t="s">
        <v>2025</v>
      </c>
      <c r="J861" t="s">
        <v>2035</v>
      </c>
      <c r="K861" t="s">
        <v>2010</v>
      </c>
      <c r="L861">
        <f>IF(G861="High",3,IF(G861="Medium",2,1))</f>
        <v>3</v>
      </c>
    </row>
    <row r="862" spans="1:12">
      <c r="A862" t="s">
        <v>2888</v>
      </c>
      <c r="B862" t="s">
        <v>925</v>
      </c>
      <c r="C862" t="s">
        <v>1995</v>
      </c>
      <c r="D862" t="s">
        <v>2034</v>
      </c>
      <c r="E862" t="s">
        <v>57</v>
      </c>
      <c r="F862" t="s">
        <v>57</v>
      </c>
      <c r="G862" t="str">
        <f>INDEX(Risk_Matrix!$B$2:$D$4,MATCH(E862,Risk_Matrix!$A$2:$A$4,0),MATCH(F862,Risk_Matrix!$B$1:$D$1,0))</f>
        <v>Low</v>
      </c>
      <c r="H862" s="1">
        <v>46167</v>
      </c>
      <c r="I862" t="s">
        <v>2015</v>
      </c>
      <c r="J862" t="s">
        <v>2016</v>
      </c>
      <c r="K862" t="s">
        <v>1998</v>
      </c>
      <c r="L862">
        <f>IF(G862="High",3,IF(G862="Medium",2,1))</f>
        <v>1</v>
      </c>
    </row>
    <row r="863" spans="1:12">
      <c r="A863" t="s">
        <v>2889</v>
      </c>
      <c r="B863" t="s">
        <v>925</v>
      </c>
      <c r="C863" t="s">
        <v>2000</v>
      </c>
      <c r="D863" t="s">
        <v>2045</v>
      </c>
      <c r="E863" t="s">
        <v>57</v>
      </c>
      <c r="F863" t="s">
        <v>1971</v>
      </c>
      <c r="G863" t="str">
        <f>INDEX(Risk_Matrix!$B$2:$D$4,MATCH(E863,Risk_Matrix!$A$2:$A$4,0),MATCH(F863,Risk_Matrix!$B$1:$D$1,0))</f>
        <v>Low</v>
      </c>
      <c r="H863" s="1">
        <v>46135</v>
      </c>
      <c r="I863" t="s">
        <v>1987</v>
      </c>
      <c r="J863" t="s">
        <v>1997</v>
      </c>
      <c r="K863" t="s">
        <v>1989</v>
      </c>
      <c r="L863">
        <f>IF(G863="High",3,IF(G863="Medium",2,1))</f>
        <v>1</v>
      </c>
    </row>
    <row r="864" spans="1:12">
      <c r="A864" t="s">
        <v>2890</v>
      </c>
      <c r="B864" t="s">
        <v>925</v>
      </c>
      <c r="C864" t="s">
        <v>2005</v>
      </c>
      <c r="D864" t="s">
        <v>2039</v>
      </c>
      <c r="E864" t="s">
        <v>47</v>
      </c>
      <c r="F864" t="s">
        <v>47</v>
      </c>
      <c r="G864" t="str">
        <f>INDEX(Risk_Matrix!$B$2:$D$4,MATCH(E864,Risk_Matrix!$A$2:$A$4,0),MATCH(F864,Risk_Matrix!$B$1:$D$1,0))</f>
        <v>High</v>
      </c>
      <c r="H864" s="1">
        <v>46214</v>
      </c>
      <c r="I864" t="s">
        <v>2015</v>
      </c>
      <c r="J864" t="s">
        <v>2032</v>
      </c>
      <c r="K864" t="s">
        <v>1993</v>
      </c>
      <c r="L864">
        <f>IF(G864="High",3,IF(G864="Medium",2,1))</f>
        <v>3</v>
      </c>
    </row>
    <row r="865" spans="1:12">
      <c r="A865" t="s">
        <v>2891</v>
      </c>
      <c r="B865" t="s">
        <v>925</v>
      </c>
      <c r="C865" t="s">
        <v>2008</v>
      </c>
      <c r="D865" t="s">
        <v>2009</v>
      </c>
      <c r="E865" t="s">
        <v>47</v>
      </c>
      <c r="F865" t="s">
        <v>47</v>
      </c>
      <c r="G865" t="str">
        <f>INDEX(Risk_Matrix!$B$2:$D$4,MATCH(E865,Risk_Matrix!$A$2:$A$4,0),MATCH(F865,Risk_Matrix!$B$1:$D$1,0))</f>
        <v>High</v>
      </c>
      <c r="H865" s="1">
        <v>46183</v>
      </c>
      <c r="I865" t="s">
        <v>2015</v>
      </c>
      <c r="J865" t="s">
        <v>2032</v>
      </c>
      <c r="K865" t="s">
        <v>2010</v>
      </c>
      <c r="L865">
        <f>IF(G865="High",3,IF(G865="Medium",2,1))</f>
        <v>3</v>
      </c>
    </row>
    <row r="866" spans="1:12">
      <c r="A866" t="s">
        <v>2892</v>
      </c>
      <c r="B866" t="s">
        <v>928</v>
      </c>
      <c r="C866" t="s">
        <v>1985</v>
      </c>
      <c r="D866" t="s">
        <v>2012</v>
      </c>
      <c r="E866" t="s">
        <v>1971</v>
      </c>
      <c r="F866" t="s">
        <v>1971</v>
      </c>
      <c r="G866" t="str">
        <f>INDEX(Risk_Matrix!$B$2:$D$4,MATCH(E866,Risk_Matrix!$A$2:$A$4,0),MATCH(F866,Risk_Matrix!$B$1:$D$1,0))</f>
        <v>Medium</v>
      </c>
      <c r="H866" s="1">
        <v>46201</v>
      </c>
      <c r="I866" t="s">
        <v>2015</v>
      </c>
      <c r="J866" t="s">
        <v>2032</v>
      </c>
      <c r="K866" t="s">
        <v>1989</v>
      </c>
      <c r="L866">
        <f>IF(G866="High",3,IF(G866="Medium",2,1))</f>
        <v>2</v>
      </c>
    </row>
    <row r="867" spans="1:12">
      <c r="A867" t="s">
        <v>2893</v>
      </c>
      <c r="B867" t="s">
        <v>928</v>
      </c>
      <c r="C867" t="s">
        <v>1991</v>
      </c>
      <c r="D867" t="s">
        <v>2064</v>
      </c>
      <c r="E867" t="s">
        <v>47</v>
      </c>
      <c r="F867" t="s">
        <v>57</v>
      </c>
      <c r="G867" t="str">
        <f>INDEX(Risk_Matrix!$B$2:$D$4,MATCH(E867,Risk_Matrix!$A$2:$A$4,0),MATCH(F867,Risk_Matrix!$B$1:$D$1,0))</f>
        <v>Medium</v>
      </c>
      <c r="H867" s="1">
        <v>46066</v>
      </c>
      <c r="I867" t="s">
        <v>1987</v>
      </c>
      <c r="J867" t="s">
        <v>1997</v>
      </c>
      <c r="K867" t="s">
        <v>1993</v>
      </c>
      <c r="L867">
        <f>IF(G867="High",3,IF(G867="Medium",2,1))</f>
        <v>2</v>
      </c>
    </row>
    <row r="868" spans="1:12">
      <c r="A868" t="s">
        <v>2894</v>
      </c>
      <c r="B868" t="s">
        <v>928</v>
      </c>
      <c r="C868" t="s">
        <v>1995</v>
      </c>
      <c r="D868" t="s">
        <v>1996</v>
      </c>
      <c r="E868" t="s">
        <v>1971</v>
      </c>
      <c r="F868" t="s">
        <v>47</v>
      </c>
      <c r="G868" t="str">
        <f>INDEX(Risk_Matrix!$B$2:$D$4,MATCH(E868,Risk_Matrix!$A$2:$A$4,0),MATCH(F868,Risk_Matrix!$B$1:$D$1,0))</f>
        <v>High</v>
      </c>
      <c r="H868" s="1">
        <v>46075</v>
      </c>
      <c r="I868" t="s">
        <v>2025</v>
      </c>
      <c r="J868" t="s">
        <v>2026</v>
      </c>
      <c r="K868" t="s">
        <v>2036</v>
      </c>
      <c r="L868">
        <f>IF(G868="High",3,IF(G868="Medium",2,1))</f>
        <v>3</v>
      </c>
    </row>
    <row r="869" spans="1:12">
      <c r="A869" t="s">
        <v>2895</v>
      </c>
      <c r="B869" t="s">
        <v>928</v>
      </c>
      <c r="C869" t="s">
        <v>2000</v>
      </c>
      <c r="D869" t="s">
        <v>2001</v>
      </c>
      <c r="E869" t="s">
        <v>57</v>
      </c>
      <c r="F869" t="s">
        <v>1971</v>
      </c>
      <c r="G869" t="str">
        <f>INDEX(Risk_Matrix!$B$2:$D$4,MATCH(E869,Risk_Matrix!$A$2:$A$4,0),MATCH(F869,Risk_Matrix!$B$1:$D$1,0))</f>
        <v>Low</v>
      </c>
      <c r="H869" s="1">
        <v>46208</v>
      </c>
      <c r="I869" t="s">
        <v>2015</v>
      </c>
      <c r="J869" t="s">
        <v>2032</v>
      </c>
      <c r="K869" t="s">
        <v>1989</v>
      </c>
      <c r="L869">
        <f>IF(G869="High",3,IF(G869="Medium",2,1))</f>
        <v>1</v>
      </c>
    </row>
    <row r="870" spans="1:12">
      <c r="A870" t="s">
        <v>2896</v>
      </c>
      <c r="B870" t="s">
        <v>928</v>
      </c>
      <c r="C870" t="s">
        <v>2005</v>
      </c>
      <c r="D870" t="s">
        <v>2022</v>
      </c>
      <c r="E870" t="s">
        <v>1971</v>
      </c>
      <c r="F870" t="s">
        <v>1971</v>
      </c>
      <c r="G870" t="str">
        <f>INDEX(Risk_Matrix!$B$2:$D$4,MATCH(E870,Risk_Matrix!$A$2:$A$4,0),MATCH(F870,Risk_Matrix!$B$1:$D$1,0))</f>
        <v>Medium</v>
      </c>
      <c r="H870" s="1">
        <v>46163</v>
      </c>
      <c r="I870" t="s">
        <v>2025</v>
      </c>
      <c r="J870" t="s">
        <v>2035</v>
      </c>
      <c r="K870" t="s">
        <v>1993</v>
      </c>
      <c r="L870">
        <f>IF(G870="High",3,IF(G870="Medium",2,1))</f>
        <v>2</v>
      </c>
    </row>
    <row r="871" spans="1:12">
      <c r="A871" t="s">
        <v>2897</v>
      </c>
      <c r="B871" t="s">
        <v>928</v>
      </c>
      <c r="C871" t="s">
        <v>2008</v>
      </c>
      <c r="D871" t="s">
        <v>2054</v>
      </c>
      <c r="E871" t="s">
        <v>1971</v>
      </c>
      <c r="F871" t="s">
        <v>1971</v>
      </c>
      <c r="G871" t="str">
        <f>INDEX(Risk_Matrix!$B$2:$D$4,MATCH(E871,Risk_Matrix!$A$2:$A$4,0),MATCH(F871,Risk_Matrix!$B$1:$D$1,0))</f>
        <v>Medium</v>
      </c>
      <c r="H871" s="1">
        <v>46196</v>
      </c>
      <c r="I871" t="s">
        <v>2025</v>
      </c>
      <c r="J871" t="s">
        <v>2026</v>
      </c>
      <c r="K871" t="s">
        <v>2010</v>
      </c>
      <c r="L871">
        <f>IF(G871="High",3,IF(G871="Medium",2,1))</f>
        <v>2</v>
      </c>
    </row>
    <row r="872" spans="1:12">
      <c r="A872" t="s">
        <v>2898</v>
      </c>
      <c r="B872" t="s">
        <v>930</v>
      </c>
      <c r="C872" t="s">
        <v>1985</v>
      </c>
      <c r="D872" t="s">
        <v>2012</v>
      </c>
      <c r="E872" t="s">
        <v>1971</v>
      </c>
      <c r="F872" t="s">
        <v>1971</v>
      </c>
      <c r="G872" t="str">
        <f>INDEX(Risk_Matrix!$B$2:$D$4,MATCH(E872,Risk_Matrix!$A$2:$A$4,0),MATCH(F872,Risk_Matrix!$B$1:$D$1,0))</f>
        <v>Medium</v>
      </c>
      <c r="H872" s="1">
        <v>46142</v>
      </c>
      <c r="I872" t="s">
        <v>2025</v>
      </c>
      <c r="J872" t="s">
        <v>2035</v>
      </c>
      <c r="K872" t="s">
        <v>1998</v>
      </c>
      <c r="L872">
        <f>IF(G872="High",3,IF(G872="Medium",2,1))</f>
        <v>2</v>
      </c>
    </row>
    <row r="873" spans="1:12">
      <c r="A873" t="s">
        <v>2899</v>
      </c>
      <c r="B873" t="s">
        <v>930</v>
      </c>
      <c r="C873" t="s">
        <v>1991</v>
      </c>
      <c r="D873" t="s">
        <v>2064</v>
      </c>
      <c r="E873" t="s">
        <v>57</v>
      </c>
      <c r="F873" t="s">
        <v>1971</v>
      </c>
      <c r="G873" t="str">
        <f>INDEX(Risk_Matrix!$B$2:$D$4,MATCH(E873,Risk_Matrix!$A$2:$A$4,0),MATCH(F873,Risk_Matrix!$B$1:$D$1,0))</f>
        <v>Low</v>
      </c>
      <c r="H873" s="1">
        <v>46207</v>
      </c>
      <c r="I873" t="s">
        <v>2015</v>
      </c>
      <c r="J873" t="s">
        <v>2016</v>
      </c>
      <c r="K873" t="s">
        <v>1993</v>
      </c>
      <c r="L873">
        <f>IF(G873="High",3,IF(G873="Medium",2,1))</f>
        <v>1</v>
      </c>
    </row>
    <row r="874" spans="1:12">
      <c r="A874" t="s">
        <v>2900</v>
      </c>
      <c r="B874" t="s">
        <v>930</v>
      </c>
      <c r="C874" t="s">
        <v>1995</v>
      </c>
      <c r="D874" t="s">
        <v>2150</v>
      </c>
      <c r="E874" t="s">
        <v>1971</v>
      </c>
      <c r="F874" t="s">
        <v>57</v>
      </c>
      <c r="G874" t="str">
        <f>INDEX(Risk_Matrix!$B$2:$D$4,MATCH(E874,Risk_Matrix!$A$2:$A$4,0),MATCH(F874,Risk_Matrix!$B$1:$D$1,0))</f>
        <v>Low</v>
      </c>
      <c r="H874" s="1">
        <v>46059</v>
      </c>
      <c r="I874" t="s">
        <v>2025</v>
      </c>
      <c r="J874" t="s">
        <v>2026</v>
      </c>
      <c r="K874" t="s">
        <v>2036</v>
      </c>
      <c r="L874">
        <f>IF(G874="High",3,IF(G874="Medium",2,1))</f>
        <v>1</v>
      </c>
    </row>
    <row r="875" spans="1:12">
      <c r="A875" t="s">
        <v>2901</v>
      </c>
      <c r="B875" t="s">
        <v>930</v>
      </c>
      <c r="C875" t="s">
        <v>2000</v>
      </c>
      <c r="D875" t="s">
        <v>2001</v>
      </c>
      <c r="E875" t="s">
        <v>1971</v>
      </c>
      <c r="F875" t="s">
        <v>57</v>
      </c>
      <c r="G875" t="str">
        <f>INDEX(Risk_Matrix!$B$2:$D$4,MATCH(E875,Risk_Matrix!$A$2:$A$4,0),MATCH(F875,Risk_Matrix!$B$1:$D$1,0))</f>
        <v>Low</v>
      </c>
      <c r="H875" s="1">
        <v>46106</v>
      </c>
      <c r="I875" t="s">
        <v>1987</v>
      </c>
      <c r="J875" t="s">
        <v>1997</v>
      </c>
      <c r="K875" t="s">
        <v>1993</v>
      </c>
      <c r="L875">
        <f>IF(G875="High",3,IF(G875="Medium",2,1))</f>
        <v>1</v>
      </c>
    </row>
    <row r="876" spans="1:12">
      <c r="A876" t="s">
        <v>2902</v>
      </c>
      <c r="B876" t="s">
        <v>930</v>
      </c>
      <c r="C876" t="s">
        <v>2005</v>
      </c>
      <c r="D876" t="s">
        <v>2039</v>
      </c>
      <c r="E876" t="s">
        <v>1971</v>
      </c>
      <c r="F876" t="s">
        <v>47</v>
      </c>
      <c r="G876" t="str">
        <f>INDEX(Risk_Matrix!$B$2:$D$4,MATCH(E876,Risk_Matrix!$A$2:$A$4,0),MATCH(F876,Risk_Matrix!$B$1:$D$1,0))</f>
        <v>High</v>
      </c>
      <c r="H876" s="1">
        <v>46192</v>
      </c>
      <c r="I876" t="s">
        <v>2015</v>
      </c>
      <c r="J876" t="s">
        <v>2032</v>
      </c>
      <c r="K876" t="s">
        <v>1993</v>
      </c>
      <c r="L876">
        <f>IF(G876="High",3,IF(G876="Medium",2,1))</f>
        <v>3</v>
      </c>
    </row>
    <row r="877" spans="1:12">
      <c r="A877" t="s">
        <v>2903</v>
      </c>
      <c r="B877" t="s">
        <v>930</v>
      </c>
      <c r="C877" t="s">
        <v>2008</v>
      </c>
      <c r="D877" t="s">
        <v>2009</v>
      </c>
      <c r="E877" t="s">
        <v>57</v>
      </c>
      <c r="F877" t="s">
        <v>57</v>
      </c>
      <c r="G877" t="str">
        <f>INDEX(Risk_Matrix!$B$2:$D$4,MATCH(E877,Risk_Matrix!$A$2:$A$4,0),MATCH(F877,Risk_Matrix!$B$1:$D$1,0))</f>
        <v>Low</v>
      </c>
      <c r="H877" s="1">
        <v>46213</v>
      </c>
      <c r="I877" t="s">
        <v>1987</v>
      </c>
      <c r="J877" t="s">
        <v>1988</v>
      </c>
      <c r="K877" t="s">
        <v>2010</v>
      </c>
      <c r="L877">
        <f>IF(G877="High",3,IF(G877="Medium",2,1))</f>
        <v>1</v>
      </c>
    </row>
    <row r="878" spans="1:12">
      <c r="A878" t="s">
        <v>2904</v>
      </c>
      <c r="B878" t="s">
        <v>932</v>
      </c>
      <c r="C878" t="s">
        <v>1985</v>
      </c>
      <c r="D878" t="s">
        <v>2062</v>
      </c>
      <c r="E878" t="s">
        <v>57</v>
      </c>
      <c r="F878" t="s">
        <v>57</v>
      </c>
      <c r="G878" t="str">
        <f>INDEX(Risk_Matrix!$B$2:$D$4,MATCH(E878,Risk_Matrix!$A$2:$A$4,0),MATCH(F878,Risk_Matrix!$B$1:$D$1,0))</f>
        <v>Low</v>
      </c>
      <c r="H878" s="1">
        <v>46177</v>
      </c>
      <c r="I878" t="s">
        <v>1987</v>
      </c>
      <c r="J878" t="s">
        <v>1988</v>
      </c>
      <c r="K878" t="s">
        <v>1989</v>
      </c>
      <c r="L878">
        <f>IF(G878="High",3,IF(G878="Medium",2,1))</f>
        <v>1</v>
      </c>
    </row>
    <row r="879" spans="1:12">
      <c r="A879" t="s">
        <v>2905</v>
      </c>
      <c r="B879" t="s">
        <v>932</v>
      </c>
      <c r="C879" t="s">
        <v>1991</v>
      </c>
      <c r="D879" t="s">
        <v>2064</v>
      </c>
      <c r="E879" t="s">
        <v>1971</v>
      </c>
      <c r="F879" t="s">
        <v>57</v>
      </c>
      <c r="G879" t="str">
        <f>INDEX(Risk_Matrix!$B$2:$D$4,MATCH(E879,Risk_Matrix!$A$2:$A$4,0),MATCH(F879,Risk_Matrix!$B$1:$D$1,0))</f>
        <v>Low</v>
      </c>
      <c r="H879" s="1">
        <v>46104</v>
      </c>
      <c r="I879" t="s">
        <v>1987</v>
      </c>
      <c r="J879" t="s">
        <v>1988</v>
      </c>
      <c r="K879" t="s">
        <v>1993</v>
      </c>
      <c r="L879">
        <f>IF(G879="High",3,IF(G879="Medium",2,1))</f>
        <v>1</v>
      </c>
    </row>
    <row r="880" spans="1:12">
      <c r="A880" t="s">
        <v>2906</v>
      </c>
      <c r="B880" t="s">
        <v>932</v>
      </c>
      <c r="C880" t="s">
        <v>1995</v>
      </c>
      <c r="D880" t="s">
        <v>2150</v>
      </c>
      <c r="E880" t="s">
        <v>57</v>
      </c>
      <c r="F880" t="s">
        <v>57</v>
      </c>
      <c r="G880" t="str">
        <f>INDEX(Risk_Matrix!$B$2:$D$4,MATCH(E880,Risk_Matrix!$A$2:$A$4,0),MATCH(F880,Risk_Matrix!$B$1:$D$1,0))</f>
        <v>Low</v>
      </c>
      <c r="H880" s="1">
        <v>46138</v>
      </c>
      <c r="I880" t="s">
        <v>2025</v>
      </c>
      <c r="J880" t="s">
        <v>2035</v>
      </c>
      <c r="K880" t="s">
        <v>1998</v>
      </c>
      <c r="L880">
        <f>IF(G880="High",3,IF(G880="Medium",2,1))</f>
        <v>1</v>
      </c>
    </row>
    <row r="881" spans="1:12">
      <c r="A881" t="s">
        <v>2907</v>
      </c>
      <c r="B881" t="s">
        <v>932</v>
      </c>
      <c r="C881" t="s">
        <v>2000</v>
      </c>
      <c r="D881" t="s">
        <v>2045</v>
      </c>
      <c r="E881" t="s">
        <v>57</v>
      </c>
      <c r="F881" t="s">
        <v>47</v>
      </c>
      <c r="G881" t="str">
        <f>INDEX(Risk_Matrix!$B$2:$D$4,MATCH(E881,Risk_Matrix!$A$2:$A$4,0),MATCH(F881,Risk_Matrix!$B$1:$D$1,0))</f>
        <v>Medium</v>
      </c>
      <c r="H881" s="1">
        <v>46152</v>
      </c>
      <c r="I881" t="s">
        <v>2015</v>
      </c>
      <c r="J881" t="s">
        <v>2016</v>
      </c>
      <c r="K881" t="s">
        <v>1993</v>
      </c>
      <c r="L881">
        <f>IF(G881="High",3,IF(G881="Medium",2,1))</f>
        <v>2</v>
      </c>
    </row>
    <row r="882" spans="1:12">
      <c r="A882" t="s">
        <v>2908</v>
      </c>
      <c r="B882" t="s">
        <v>932</v>
      </c>
      <c r="C882" t="s">
        <v>2005</v>
      </c>
      <c r="D882" t="s">
        <v>2039</v>
      </c>
      <c r="E882" t="s">
        <v>57</v>
      </c>
      <c r="F882" t="s">
        <v>57</v>
      </c>
      <c r="G882" t="str">
        <f>INDEX(Risk_Matrix!$B$2:$D$4,MATCH(E882,Risk_Matrix!$A$2:$A$4,0),MATCH(F882,Risk_Matrix!$B$1:$D$1,0))</f>
        <v>Low</v>
      </c>
      <c r="H882" s="1">
        <v>46164</v>
      </c>
      <c r="I882" t="s">
        <v>2025</v>
      </c>
      <c r="J882" t="s">
        <v>2035</v>
      </c>
      <c r="K882" t="s">
        <v>1993</v>
      </c>
      <c r="L882">
        <f>IF(G882="High",3,IF(G882="Medium",2,1))</f>
        <v>1</v>
      </c>
    </row>
    <row r="883" spans="1:12">
      <c r="A883" t="s">
        <v>2909</v>
      </c>
      <c r="B883" t="s">
        <v>932</v>
      </c>
      <c r="C883" t="s">
        <v>2008</v>
      </c>
      <c r="D883" t="s">
        <v>2009</v>
      </c>
      <c r="E883" t="s">
        <v>1971</v>
      </c>
      <c r="F883" t="s">
        <v>1971</v>
      </c>
      <c r="G883" t="str">
        <f>INDEX(Risk_Matrix!$B$2:$D$4,MATCH(E883,Risk_Matrix!$A$2:$A$4,0),MATCH(F883,Risk_Matrix!$B$1:$D$1,0))</f>
        <v>Medium</v>
      </c>
      <c r="H883" s="1">
        <v>46133</v>
      </c>
      <c r="I883" t="s">
        <v>2025</v>
      </c>
      <c r="J883" t="s">
        <v>2026</v>
      </c>
      <c r="K883" t="s">
        <v>2010</v>
      </c>
      <c r="L883">
        <f>IF(G883="High",3,IF(G883="Medium",2,1))</f>
        <v>2</v>
      </c>
    </row>
    <row r="884" spans="1:12">
      <c r="A884" t="s">
        <v>2910</v>
      </c>
      <c r="B884" t="s">
        <v>934</v>
      </c>
      <c r="C884" t="s">
        <v>1985</v>
      </c>
      <c r="D884" t="s">
        <v>2012</v>
      </c>
      <c r="E884" t="s">
        <v>57</v>
      </c>
      <c r="F884" t="s">
        <v>1971</v>
      </c>
      <c r="G884" t="str">
        <f>INDEX(Risk_Matrix!$B$2:$D$4,MATCH(E884,Risk_Matrix!$A$2:$A$4,0),MATCH(F884,Risk_Matrix!$B$1:$D$1,0))</f>
        <v>Low</v>
      </c>
      <c r="H884" s="1">
        <v>46223</v>
      </c>
      <c r="I884" t="s">
        <v>2025</v>
      </c>
      <c r="J884" t="s">
        <v>2035</v>
      </c>
      <c r="K884" t="s">
        <v>1989</v>
      </c>
      <c r="L884">
        <f>IF(G884="High",3,IF(G884="Medium",2,1))</f>
        <v>1</v>
      </c>
    </row>
    <row r="885" spans="1:12">
      <c r="A885" t="s">
        <v>2911</v>
      </c>
      <c r="B885" t="s">
        <v>934</v>
      </c>
      <c r="C885" t="s">
        <v>1991</v>
      </c>
      <c r="D885" t="s">
        <v>2031</v>
      </c>
      <c r="E885" t="s">
        <v>1971</v>
      </c>
      <c r="F885" t="s">
        <v>57</v>
      </c>
      <c r="G885" t="str">
        <f>INDEX(Risk_Matrix!$B$2:$D$4,MATCH(E885,Risk_Matrix!$A$2:$A$4,0),MATCH(F885,Risk_Matrix!$B$1:$D$1,0))</f>
        <v>Low</v>
      </c>
      <c r="H885" s="1">
        <v>46097</v>
      </c>
      <c r="I885" t="s">
        <v>1987</v>
      </c>
      <c r="J885" t="s">
        <v>1988</v>
      </c>
      <c r="K885" t="s">
        <v>2010</v>
      </c>
      <c r="L885">
        <f>IF(G885="High",3,IF(G885="Medium",2,1))</f>
        <v>1</v>
      </c>
    </row>
    <row r="886" spans="1:12">
      <c r="A886" t="s">
        <v>2912</v>
      </c>
      <c r="B886" t="s">
        <v>934</v>
      </c>
      <c r="C886" t="s">
        <v>1995</v>
      </c>
      <c r="D886" t="s">
        <v>1996</v>
      </c>
      <c r="E886" t="s">
        <v>1971</v>
      </c>
      <c r="F886" t="s">
        <v>47</v>
      </c>
      <c r="G886" t="str">
        <f>INDEX(Risk_Matrix!$B$2:$D$4,MATCH(E886,Risk_Matrix!$A$2:$A$4,0),MATCH(F886,Risk_Matrix!$B$1:$D$1,0))</f>
        <v>High</v>
      </c>
      <c r="H886" s="1">
        <v>46056</v>
      </c>
      <c r="I886" t="s">
        <v>2025</v>
      </c>
      <c r="J886" t="s">
        <v>2026</v>
      </c>
      <c r="K886" t="s">
        <v>1998</v>
      </c>
      <c r="L886">
        <f>IF(G886="High",3,IF(G886="Medium",2,1))</f>
        <v>3</v>
      </c>
    </row>
    <row r="887" spans="1:12">
      <c r="A887" t="s">
        <v>2913</v>
      </c>
      <c r="B887" t="s">
        <v>934</v>
      </c>
      <c r="C887" t="s">
        <v>2000</v>
      </c>
      <c r="D887" t="s">
        <v>2045</v>
      </c>
      <c r="E887" t="s">
        <v>1971</v>
      </c>
      <c r="F887" t="s">
        <v>47</v>
      </c>
      <c r="G887" t="str">
        <f>INDEX(Risk_Matrix!$B$2:$D$4,MATCH(E887,Risk_Matrix!$A$2:$A$4,0),MATCH(F887,Risk_Matrix!$B$1:$D$1,0))</f>
        <v>High</v>
      </c>
      <c r="H887" s="1">
        <v>46220</v>
      </c>
      <c r="I887" t="s">
        <v>2015</v>
      </c>
      <c r="J887" t="s">
        <v>2032</v>
      </c>
      <c r="K887" t="s">
        <v>1993</v>
      </c>
      <c r="L887">
        <f>IF(G887="High",3,IF(G887="Medium",2,1))</f>
        <v>3</v>
      </c>
    </row>
    <row r="888" spans="1:12">
      <c r="A888" t="s">
        <v>2914</v>
      </c>
      <c r="B888" t="s">
        <v>934</v>
      </c>
      <c r="C888" t="s">
        <v>2005</v>
      </c>
      <c r="D888" t="s">
        <v>2022</v>
      </c>
      <c r="E888" t="s">
        <v>57</v>
      </c>
      <c r="F888" t="s">
        <v>57</v>
      </c>
      <c r="G888" t="str">
        <f>INDEX(Risk_Matrix!$B$2:$D$4,MATCH(E888,Risk_Matrix!$A$2:$A$4,0),MATCH(F888,Risk_Matrix!$B$1:$D$1,0))</f>
        <v>Low</v>
      </c>
      <c r="H888" s="1">
        <v>46182</v>
      </c>
      <c r="I888" t="s">
        <v>2025</v>
      </c>
      <c r="J888" t="s">
        <v>2026</v>
      </c>
      <c r="K888" t="s">
        <v>1993</v>
      </c>
      <c r="L888">
        <f>IF(G888="High",3,IF(G888="Medium",2,1))</f>
        <v>1</v>
      </c>
    </row>
    <row r="889" spans="1:12">
      <c r="A889" t="s">
        <v>2915</v>
      </c>
      <c r="B889" t="s">
        <v>934</v>
      </c>
      <c r="C889" t="s">
        <v>2008</v>
      </c>
      <c r="D889" t="s">
        <v>2054</v>
      </c>
      <c r="E889" t="s">
        <v>1971</v>
      </c>
      <c r="F889" t="s">
        <v>57</v>
      </c>
      <c r="G889" t="str">
        <f>INDEX(Risk_Matrix!$B$2:$D$4,MATCH(E889,Risk_Matrix!$A$2:$A$4,0),MATCH(F889,Risk_Matrix!$B$1:$D$1,0))</f>
        <v>Low</v>
      </c>
      <c r="H889" s="1">
        <v>46063</v>
      </c>
      <c r="I889" t="s">
        <v>2025</v>
      </c>
      <c r="J889" t="s">
        <v>2035</v>
      </c>
      <c r="K889" t="s">
        <v>2010</v>
      </c>
      <c r="L889">
        <f>IF(G889="High",3,IF(G889="Medium",2,1))</f>
        <v>1</v>
      </c>
    </row>
    <row r="890" spans="1:12">
      <c r="A890" t="s">
        <v>2916</v>
      </c>
      <c r="B890" t="s">
        <v>935</v>
      </c>
      <c r="C890" t="s">
        <v>1985</v>
      </c>
      <c r="D890" t="s">
        <v>1986</v>
      </c>
      <c r="E890" t="s">
        <v>57</v>
      </c>
      <c r="F890" t="s">
        <v>57</v>
      </c>
      <c r="G890" t="str">
        <f>INDEX(Risk_Matrix!$B$2:$D$4,MATCH(E890,Risk_Matrix!$A$2:$A$4,0),MATCH(F890,Risk_Matrix!$B$1:$D$1,0))</f>
        <v>Low</v>
      </c>
      <c r="H890" s="1">
        <v>46112</v>
      </c>
      <c r="I890" t="s">
        <v>2002</v>
      </c>
      <c r="J890" t="s">
        <v>2029</v>
      </c>
      <c r="K890" t="s">
        <v>1998</v>
      </c>
      <c r="L890">
        <f>IF(G890="High",3,IF(G890="Medium",2,1))</f>
        <v>1</v>
      </c>
    </row>
    <row r="891" spans="1:12">
      <c r="A891" t="s">
        <v>2917</v>
      </c>
      <c r="B891" t="s">
        <v>935</v>
      </c>
      <c r="C891" t="s">
        <v>1991</v>
      </c>
      <c r="D891" t="s">
        <v>2031</v>
      </c>
      <c r="E891" t="s">
        <v>1971</v>
      </c>
      <c r="F891" t="s">
        <v>57</v>
      </c>
      <c r="G891" t="str">
        <f>INDEX(Risk_Matrix!$B$2:$D$4,MATCH(E891,Risk_Matrix!$A$2:$A$4,0),MATCH(F891,Risk_Matrix!$B$1:$D$1,0))</f>
        <v>Low</v>
      </c>
      <c r="H891" s="1">
        <v>46076</v>
      </c>
      <c r="I891" t="s">
        <v>1987</v>
      </c>
      <c r="J891" t="s">
        <v>1997</v>
      </c>
      <c r="K891" t="s">
        <v>2010</v>
      </c>
      <c r="L891">
        <f>IF(G891="High",3,IF(G891="Medium",2,1))</f>
        <v>1</v>
      </c>
    </row>
    <row r="892" spans="1:12">
      <c r="A892" t="s">
        <v>2918</v>
      </c>
      <c r="B892" t="s">
        <v>935</v>
      </c>
      <c r="C892" t="s">
        <v>1995</v>
      </c>
      <c r="D892" t="s">
        <v>2034</v>
      </c>
      <c r="E892" t="s">
        <v>57</v>
      </c>
      <c r="F892" t="s">
        <v>57</v>
      </c>
      <c r="G892" t="str">
        <f>INDEX(Risk_Matrix!$B$2:$D$4,MATCH(E892,Risk_Matrix!$A$2:$A$4,0),MATCH(F892,Risk_Matrix!$B$1:$D$1,0))</f>
        <v>Low</v>
      </c>
      <c r="H892" s="1">
        <v>46225</v>
      </c>
      <c r="I892" t="s">
        <v>2002</v>
      </c>
      <c r="J892" t="s">
        <v>2003</v>
      </c>
      <c r="K892" t="s">
        <v>1998</v>
      </c>
      <c r="L892">
        <f>IF(G892="High",3,IF(G892="Medium",2,1))</f>
        <v>1</v>
      </c>
    </row>
    <row r="893" spans="1:12">
      <c r="A893" t="s">
        <v>2919</v>
      </c>
      <c r="B893" t="s">
        <v>935</v>
      </c>
      <c r="C893" t="s">
        <v>2000</v>
      </c>
      <c r="D893" t="s">
        <v>2001</v>
      </c>
      <c r="E893" t="s">
        <v>1971</v>
      </c>
      <c r="F893" t="s">
        <v>1971</v>
      </c>
      <c r="G893" t="str">
        <f>INDEX(Risk_Matrix!$B$2:$D$4,MATCH(E893,Risk_Matrix!$A$2:$A$4,0),MATCH(F893,Risk_Matrix!$B$1:$D$1,0))</f>
        <v>Medium</v>
      </c>
      <c r="H893" s="1">
        <v>46086</v>
      </c>
      <c r="I893" t="s">
        <v>1987</v>
      </c>
      <c r="J893" t="s">
        <v>1997</v>
      </c>
      <c r="K893" t="s">
        <v>1993</v>
      </c>
      <c r="L893">
        <f>IF(G893="High",3,IF(G893="Medium",2,1))</f>
        <v>2</v>
      </c>
    </row>
    <row r="894" spans="1:12">
      <c r="A894" t="s">
        <v>2920</v>
      </c>
      <c r="B894" t="s">
        <v>935</v>
      </c>
      <c r="C894" t="s">
        <v>2005</v>
      </c>
      <c r="D894" t="s">
        <v>2006</v>
      </c>
      <c r="E894" t="s">
        <v>1971</v>
      </c>
      <c r="F894" t="s">
        <v>1971</v>
      </c>
      <c r="G894" t="str">
        <f>INDEX(Risk_Matrix!$B$2:$D$4,MATCH(E894,Risk_Matrix!$A$2:$A$4,0),MATCH(F894,Risk_Matrix!$B$1:$D$1,0))</f>
        <v>Medium</v>
      </c>
      <c r="H894" s="1">
        <v>46230</v>
      </c>
      <c r="I894" t="s">
        <v>2002</v>
      </c>
      <c r="J894" t="s">
        <v>2029</v>
      </c>
      <c r="K894" t="s">
        <v>2036</v>
      </c>
      <c r="L894">
        <f>IF(G894="High",3,IF(G894="Medium",2,1))</f>
        <v>2</v>
      </c>
    </row>
    <row r="895" spans="1:12">
      <c r="A895" t="s">
        <v>2921</v>
      </c>
      <c r="B895" t="s">
        <v>935</v>
      </c>
      <c r="C895" t="s">
        <v>2008</v>
      </c>
      <c r="D895" t="s">
        <v>2054</v>
      </c>
      <c r="E895" t="s">
        <v>47</v>
      </c>
      <c r="F895" t="s">
        <v>47</v>
      </c>
      <c r="G895" t="str">
        <f>INDEX(Risk_Matrix!$B$2:$D$4,MATCH(E895,Risk_Matrix!$A$2:$A$4,0),MATCH(F895,Risk_Matrix!$B$1:$D$1,0))</f>
        <v>High</v>
      </c>
      <c r="H895" s="1">
        <v>46175</v>
      </c>
      <c r="I895" t="s">
        <v>2015</v>
      </c>
      <c r="J895" t="s">
        <v>2016</v>
      </c>
      <c r="K895" t="s">
        <v>2010</v>
      </c>
      <c r="L895">
        <f>IF(G895="High",3,IF(G895="Medium",2,1))</f>
        <v>3</v>
      </c>
    </row>
    <row r="896" spans="1:12">
      <c r="A896" t="s">
        <v>2922</v>
      </c>
      <c r="B896" t="s">
        <v>938</v>
      </c>
      <c r="C896" t="s">
        <v>1985</v>
      </c>
      <c r="D896" t="s">
        <v>2028</v>
      </c>
      <c r="E896" t="s">
        <v>1971</v>
      </c>
      <c r="F896" t="s">
        <v>57</v>
      </c>
      <c r="G896" t="str">
        <f>INDEX(Risk_Matrix!$B$2:$D$4,MATCH(E896,Risk_Matrix!$A$2:$A$4,0),MATCH(F896,Risk_Matrix!$B$1:$D$1,0))</f>
        <v>Low</v>
      </c>
      <c r="H896" s="1">
        <v>46202</v>
      </c>
      <c r="I896" t="s">
        <v>2002</v>
      </c>
      <c r="J896" t="s">
        <v>2029</v>
      </c>
      <c r="K896" t="s">
        <v>1989</v>
      </c>
      <c r="L896">
        <f>IF(G896="High",3,IF(G896="Medium",2,1))</f>
        <v>1</v>
      </c>
    </row>
    <row r="897" spans="1:12">
      <c r="A897" t="s">
        <v>2923</v>
      </c>
      <c r="B897" t="s">
        <v>938</v>
      </c>
      <c r="C897" t="s">
        <v>1991</v>
      </c>
      <c r="D897" t="s">
        <v>1992</v>
      </c>
      <c r="E897" t="s">
        <v>47</v>
      </c>
      <c r="F897" t="s">
        <v>1971</v>
      </c>
      <c r="G897" t="str">
        <f>INDEX(Risk_Matrix!$B$2:$D$4,MATCH(E897,Risk_Matrix!$A$2:$A$4,0),MATCH(F897,Risk_Matrix!$B$1:$D$1,0))</f>
        <v>High</v>
      </c>
      <c r="H897" s="1">
        <v>46190</v>
      </c>
      <c r="I897" t="s">
        <v>2015</v>
      </c>
      <c r="J897" t="s">
        <v>2016</v>
      </c>
      <c r="K897" t="s">
        <v>2010</v>
      </c>
      <c r="L897">
        <f>IF(G897="High",3,IF(G897="Medium",2,1))</f>
        <v>3</v>
      </c>
    </row>
    <row r="898" spans="1:12">
      <c r="A898" t="s">
        <v>2924</v>
      </c>
      <c r="B898" t="s">
        <v>938</v>
      </c>
      <c r="C898" t="s">
        <v>1995</v>
      </c>
      <c r="D898" t="s">
        <v>2034</v>
      </c>
      <c r="E898" t="s">
        <v>57</v>
      </c>
      <c r="F898" t="s">
        <v>57</v>
      </c>
      <c r="G898" t="str">
        <f>INDEX(Risk_Matrix!$B$2:$D$4,MATCH(E898,Risk_Matrix!$A$2:$A$4,0),MATCH(F898,Risk_Matrix!$B$1:$D$1,0))</f>
        <v>Low</v>
      </c>
      <c r="H898" s="1">
        <v>46199</v>
      </c>
      <c r="I898" t="s">
        <v>2002</v>
      </c>
      <c r="J898" t="s">
        <v>2003</v>
      </c>
      <c r="K898" t="s">
        <v>1998</v>
      </c>
      <c r="L898">
        <f>IF(G898="High",3,IF(G898="Medium",2,1))</f>
        <v>1</v>
      </c>
    </row>
    <row r="899" spans="1:12">
      <c r="A899" t="s">
        <v>2925</v>
      </c>
      <c r="B899" t="s">
        <v>938</v>
      </c>
      <c r="C899" t="s">
        <v>2000</v>
      </c>
      <c r="D899" t="s">
        <v>2020</v>
      </c>
      <c r="E899" t="s">
        <v>57</v>
      </c>
      <c r="F899" t="s">
        <v>57</v>
      </c>
      <c r="G899" t="str">
        <f>INDEX(Risk_Matrix!$B$2:$D$4,MATCH(E899,Risk_Matrix!$A$2:$A$4,0),MATCH(F899,Risk_Matrix!$B$1:$D$1,0))</f>
        <v>Low</v>
      </c>
      <c r="H899" s="1">
        <v>46230</v>
      </c>
      <c r="I899" t="s">
        <v>2025</v>
      </c>
      <c r="J899" t="s">
        <v>2026</v>
      </c>
      <c r="K899" t="s">
        <v>1993</v>
      </c>
      <c r="L899">
        <f>IF(G899="High",3,IF(G899="Medium",2,1))</f>
        <v>1</v>
      </c>
    </row>
    <row r="900" spans="1:12">
      <c r="A900" t="s">
        <v>2926</v>
      </c>
      <c r="B900" t="s">
        <v>938</v>
      </c>
      <c r="C900" t="s">
        <v>2005</v>
      </c>
      <c r="D900" t="s">
        <v>2022</v>
      </c>
      <c r="E900" t="s">
        <v>57</v>
      </c>
      <c r="F900" t="s">
        <v>1971</v>
      </c>
      <c r="G900" t="str">
        <f>INDEX(Risk_Matrix!$B$2:$D$4,MATCH(E900,Risk_Matrix!$A$2:$A$4,0),MATCH(F900,Risk_Matrix!$B$1:$D$1,0))</f>
        <v>Low</v>
      </c>
      <c r="H900" s="1">
        <v>46064</v>
      </c>
      <c r="I900" t="s">
        <v>2025</v>
      </c>
      <c r="J900" t="s">
        <v>2026</v>
      </c>
      <c r="K900" t="s">
        <v>1993</v>
      </c>
      <c r="L900">
        <f>IF(G900="High",3,IF(G900="Medium",2,1))</f>
        <v>1</v>
      </c>
    </row>
    <row r="901" spans="1:12">
      <c r="A901" t="s">
        <v>2927</v>
      </c>
      <c r="B901" t="s">
        <v>938</v>
      </c>
      <c r="C901" t="s">
        <v>2008</v>
      </c>
      <c r="D901" t="s">
        <v>2054</v>
      </c>
      <c r="E901" t="s">
        <v>47</v>
      </c>
      <c r="F901" t="s">
        <v>47</v>
      </c>
      <c r="G901" t="str">
        <f>INDEX(Risk_Matrix!$B$2:$D$4,MATCH(E901,Risk_Matrix!$A$2:$A$4,0),MATCH(F901,Risk_Matrix!$B$1:$D$1,0))</f>
        <v>High</v>
      </c>
      <c r="H901" s="1">
        <v>46225</v>
      </c>
      <c r="I901" t="s">
        <v>2015</v>
      </c>
      <c r="J901" t="s">
        <v>2032</v>
      </c>
      <c r="K901" t="s">
        <v>1998</v>
      </c>
      <c r="L901">
        <f>IF(G901="High",3,IF(G901="Medium",2,1))</f>
        <v>3</v>
      </c>
    </row>
    <row r="902" spans="1:12">
      <c r="A902" t="s">
        <v>2928</v>
      </c>
      <c r="B902" t="s">
        <v>941</v>
      </c>
      <c r="C902" t="s">
        <v>1985</v>
      </c>
      <c r="D902" t="s">
        <v>1986</v>
      </c>
      <c r="E902" t="s">
        <v>57</v>
      </c>
      <c r="F902" t="s">
        <v>57</v>
      </c>
      <c r="G902" t="str">
        <f>INDEX(Risk_Matrix!$B$2:$D$4,MATCH(E902,Risk_Matrix!$A$2:$A$4,0),MATCH(F902,Risk_Matrix!$B$1:$D$1,0))</f>
        <v>Low</v>
      </c>
      <c r="H902" s="1">
        <v>46213</v>
      </c>
      <c r="I902" t="s">
        <v>2015</v>
      </c>
      <c r="J902" t="s">
        <v>2016</v>
      </c>
      <c r="K902" t="s">
        <v>1989</v>
      </c>
      <c r="L902">
        <f>IF(G902="High",3,IF(G902="Medium",2,1))</f>
        <v>1</v>
      </c>
    </row>
    <row r="903" spans="1:12">
      <c r="A903" t="s">
        <v>2929</v>
      </c>
      <c r="B903" t="s">
        <v>941</v>
      </c>
      <c r="C903" t="s">
        <v>1991</v>
      </c>
      <c r="D903" t="s">
        <v>1992</v>
      </c>
      <c r="E903" t="s">
        <v>47</v>
      </c>
      <c r="F903" t="s">
        <v>57</v>
      </c>
      <c r="G903" t="str">
        <f>INDEX(Risk_Matrix!$B$2:$D$4,MATCH(E903,Risk_Matrix!$A$2:$A$4,0),MATCH(F903,Risk_Matrix!$B$1:$D$1,0))</f>
        <v>Medium</v>
      </c>
      <c r="H903" s="1">
        <v>46181</v>
      </c>
      <c r="I903" t="s">
        <v>2015</v>
      </c>
      <c r="J903" t="s">
        <v>2032</v>
      </c>
      <c r="K903" t="s">
        <v>1993</v>
      </c>
      <c r="L903">
        <f>IF(G903="High",3,IF(G903="Medium",2,1))</f>
        <v>2</v>
      </c>
    </row>
    <row r="904" spans="1:12">
      <c r="A904" t="s">
        <v>2930</v>
      </c>
      <c r="B904" t="s">
        <v>941</v>
      </c>
      <c r="C904" t="s">
        <v>1995</v>
      </c>
      <c r="D904" t="s">
        <v>2034</v>
      </c>
      <c r="E904" t="s">
        <v>1971</v>
      </c>
      <c r="F904" t="s">
        <v>57</v>
      </c>
      <c r="G904" t="str">
        <f>INDEX(Risk_Matrix!$B$2:$D$4,MATCH(E904,Risk_Matrix!$A$2:$A$4,0),MATCH(F904,Risk_Matrix!$B$1:$D$1,0))</f>
        <v>Low</v>
      </c>
      <c r="H904" s="1">
        <v>46172</v>
      </c>
      <c r="I904" t="s">
        <v>1987</v>
      </c>
      <c r="J904" t="s">
        <v>1997</v>
      </c>
      <c r="K904" t="s">
        <v>2036</v>
      </c>
      <c r="L904">
        <f>IF(G904="High",3,IF(G904="Medium",2,1))</f>
        <v>1</v>
      </c>
    </row>
    <row r="905" spans="1:12">
      <c r="A905" t="s">
        <v>2931</v>
      </c>
      <c r="B905" t="s">
        <v>941</v>
      </c>
      <c r="C905" t="s">
        <v>2000</v>
      </c>
      <c r="D905" t="s">
        <v>2020</v>
      </c>
      <c r="E905" t="s">
        <v>1971</v>
      </c>
      <c r="F905" t="s">
        <v>47</v>
      </c>
      <c r="G905" t="str">
        <f>INDEX(Risk_Matrix!$B$2:$D$4,MATCH(E905,Risk_Matrix!$A$2:$A$4,0),MATCH(F905,Risk_Matrix!$B$1:$D$1,0))</f>
        <v>High</v>
      </c>
      <c r="H905" s="1">
        <v>46184</v>
      </c>
      <c r="I905" t="s">
        <v>2015</v>
      </c>
      <c r="J905" t="s">
        <v>2016</v>
      </c>
      <c r="K905" t="s">
        <v>1993</v>
      </c>
      <c r="L905">
        <f>IF(G905="High",3,IF(G905="Medium",2,1))</f>
        <v>3</v>
      </c>
    </row>
    <row r="906" spans="1:12">
      <c r="A906" t="s">
        <v>2932</v>
      </c>
      <c r="B906" t="s">
        <v>941</v>
      </c>
      <c r="C906" t="s">
        <v>2005</v>
      </c>
      <c r="D906" t="s">
        <v>2006</v>
      </c>
      <c r="E906" t="s">
        <v>57</v>
      </c>
      <c r="F906" t="s">
        <v>1971</v>
      </c>
      <c r="G906" t="str">
        <f>INDEX(Risk_Matrix!$B$2:$D$4,MATCH(E906,Risk_Matrix!$A$2:$A$4,0),MATCH(F906,Risk_Matrix!$B$1:$D$1,0))</f>
        <v>Low</v>
      </c>
      <c r="H906" s="1">
        <v>46157</v>
      </c>
      <c r="I906" t="s">
        <v>2015</v>
      </c>
      <c r="J906" t="s">
        <v>2032</v>
      </c>
      <c r="K906" t="s">
        <v>1993</v>
      </c>
      <c r="L906">
        <f>IF(G906="High",3,IF(G906="Medium",2,1))</f>
        <v>1</v>
      </c>
    </row>
    <row r="907" spans="1:12">
      <c r="A907" t="s">
        <v>2933</v>
      </c>
      <c r="B907" t="s">
        <v>941</v>
      </c>
      <c r="C907" t="s">
        <v>2008</v>
      </c>
      <c r="D907" t="s">
        <v>2024</v>
      </c>
      <c r="E907" t="s">
        <v>57</v>
      </c>
      <c r="F907" t="s">
        <v>57</v>
      </c>
      <c r="G907" t="str">
        <f>INDEX(Risk_Matrix!$B$2:$D$4,MATCH(E907,Risk_Matrix!$A$2:$A$4,0),MATCH(F907,Risk_Matrix!$B$1:$D$1,0))</f>
        <v>Low</v>
      </c>
      <c r="H907" s="1">
        <v>46125</v>
      </c>
      <c r="I907" t="s">
        <v>2002</v>
      </c>
      <c r="J907" t="s">
        <v>2029</v>
      </c>
      <c r="K907" t="s">
        <v>2010</v>
      </c>
      <c r="L907">
        <f>IF(G907="High",3,IF(G907="Medium",2,1))</f>
        <v>1</v>
      </c>
    </row>
    <row r="908" spans="1:12">
      <c r="A908" t="s">
        <v>2934</v>
      </c>
      <c r="B908" t="s">
        <v>943</v>
      </c>
      <c r="C908" t="s">
        <v>1985</v>
      </c>
      <c r="D908" t="s">
        <v>2028</v>
      </c>
      <c r="E908" t="s">
        <v>57</v>
      </c>
      <c r="F908" t="s">
        <v>1971</v>
      </c>
      <c r="G908" t="str">
        <f>INDEX(Risk_Matrix!$B$2:$D$4,MATCH(E908,Risk_Matrix!$A$2:$A$4,0),MATCH(F908,Risk_Matrix!$B$1:$D$1,0))</f>
        <v>Low</v>
      </c>
      <c r="H908" s="1">
        <v>46056</v>
      </c>
      <c r="I908" t="s">
        <v>1987</v>
      </c>
      <c r="J908" t="s">
        <v>1988</v>
      </c>
      <c r="K908" t="s">
        <v>1989</v>
      </c>
      <c r="L908">
        <f>IF(G908="High",3,IF(G908="Medium",2,1))</f>
        <v>1</v>
      </c>
    </row>
    <row r="909" spans="1:12">
      <c r="A909" t="s">
        <v>2935</v>
      </c>
      <c r="B909" t="s">
        <v>943</v>
      </c>
      <c r="C909" t="s">
        <v>1991</v>
      </c>
      <c r="D909" t="s">
        <v>2031</v>
      </c>
      <c r="E909" t="s">
        <v>1971</v>
      </c>
      <c r="F909" t="s">
        <v>57</v>
      </c>
      <c r="G909" t="str">
        <f>INDEX(Risk_Matrix!$B$2:$D$4,MATCH(E909,Risk_Matrix!$A$2:$A$4,0),MATCH(F909,Risk_Matrix!$B$1:$D$1,0))</f>
        <v>Low</v>
      </c>
      <c r="H909" s="1">
        <v>46167</v>
      </c>
      <c r="I909" t="s">
        <v>2025</v>
      </c>
      <c r="J909" t="s">
        <v>2026</v>
      </c>
      <c r="K909" t="s">
        <v>2010</v>
      </c>
      <c r="L909">
        <f>IF(G909="High",3,IF(G909="Medium",2,1))</f>
        <v>1</v>
      </c>
    </row>
    <row r="910" spans="1:12">
      <c r="A910" t="s">
        <v>2936</v>
      </c>
      <c r="B910" t="s">
        <v>943</v>
      </c>
      <c r="C910" t="s">
        <v>1995</v>
      </c>
      <c r="D910" t="s">
        <v>2150</v>
      </c>
      <c r="E910" t="s">
        <v>57</v>
      </c>
      <c r="F910" t="s">
        <v>57</v>
      </c>
      <c r="G910" t="str">
        <f>INDEX(Risk_Matrix!$B$2:$D$4,MATCH(E910,Risk_Matrix!$A$2:$A$4,0),MATCH(F910,Risk_Matrix!$B$1:$D$1,0))</f>
        <v>Low</v>
      </c>
      <c r="H910" s="1">
        <v>46220</v>
      </c>
      <c r="I910" t="s">
        <v>1987</v>
      </c>
      <c r="J910" t="s">
        <v>1988</v>
      </c>
      <c r="K910" t="s">
        <v>1998</v>
      </c>
      <c r="L910">
        <f>IF(G910="High",3,IF(G910="Medium",2,1))</f>
        <v>1</v>
      </c>
    </row>
    <row r="911" spans="1:12">
      <c r="A911" t="s">
        <v>2937</v>
      </c>
      <c r="B911" t="s">
        <v>943</v>
      </c>
      <c r="C911" t="s">
        <v>2000</v>
      </c>
      <c r="D911" t="s">
        <v>2020</v>
      </c>
      <c r="E911" t="s">
        <v>1971</v>
      </c>
      <c r="F911" t="s">
        <v>57</v>
      </c>
      <c r="G911" t="str">
        <f>INDEX(Risk_Matrix!$B$2:$D$4,MATCH(E911,Risk_Matrix!$A$2:$A$4,0),MATCH(F911,Risk_Matrix!$B$1:$D$1,0))</f>
        <v>Low</v>
      </c>
      <c r="H911" s="1">
        <v>46142</v>
      </c>
      <c r="I911" t="s">
        <v>1987</v>
      </c>
      <c r="J911" t="s">
        <v>1997</v>
      </c>
      <c r="K911" t="s">
        <v>1989</v>
      </c>
      <c r="L911">
        <f>IF(G911="High",3,IF(G911="Medium",2,1))</f>
        <v>1</v>
      </c>
    </row>
    <row r="912" spans="1:12">
      <c r="A912" t="s">
        <v>2938</v>
      </c>
      <c r="B912" t="s">
        <v>943</v>
      </c>
      <c r="C912" t="s">
        <v>2005</v>
      </c>
      <c r="D912" t="s">
        <v>2039</v>
      </c>
      <c r="E912" t="s">
        <v>47</v>
      </c>
      <c r="F912" t="s">
        <v>1971</v>
      </c>
      <c r="G912" t="str">
        <f>INDEX(Risk_Matrix!$B$2:$D$4,MATCH(E912,Risk_Matrix!$A$2:$A$4,0),MATCH(F912,Risk_Matrix!$B$1:$D$1,0))</f>
        <v>High</v>
      </c>
      <c r="H912" s="1">
        <v>46204</v>
      </c>
      <c r="I912" t="s">
        <v>2025</v>
      </c>
      <c r="J912" t="s">
        <v>2035</v>
      </c>
      <c r="K912" t="s">
        <v>1993</v>
      </c>
      <c r="L912">
        <f>IF(G912="High",3,IF(G912="Medium",2,1))</f>
        <v>3</v>
      </c>
    </row>
    <row r="913" spans="1:12">
      <c r="A913" t="s">
        <v>2939</v>
      </c>
      <c r="B913" t="s">
        <v>943</v>
      </c>
      <c r="C913" t="s">
        <v>2008</v>
      </c>
      <c r="D913" t="s">
        <v>2024</v>
      </c>
      <c r="E913" t="s">
        <v>47</v>
      </c>
      <c r="F913" t="s">
        <v>1971</v>
      </c>
      <c r="G913" t="str">
        <f>INDEX(Risk_Matrix!$B$2:$D$4,MATCH(E913,Risk_Matrix!$A$2:$A$4,0),MATCH(F913,Risk_Matrix!$B$1:$D$1,0))</f>
        <v>High</v>
      </c>
      <c r="H913" s="1">
        <v>46186</v>
      </c>
      <c r="I913" t="s">
        <v>2015</v>
      </c>
      <c r="J913" t="s">
        <v>2016</v>
      </c>
      <c r="K913" t="s">
        <v>2010</v>
      </c>
      <c r="L913">
        <f>IF(G913="High",3,IF(G913="Medium",2,1))</f>
        <v>3</v>
      </c>
    </row>
    <row r="914" spans="1:12">
      <c r="A914" t="s">
        <v>2940</v>
      </c>
      <c r="B914" t="s">
        <v>946</v>
      </c>
      <c r="C914" t="s">
        <v>1985</v>
      </c>
      <c r="D914" t="s">
        <v>2062</v>
      </c>
      <c r="E914" t="s">
        <v>47</v>
      </c>
      <c r="F914" t="s">
        <v>1971</v>
      </c>
      <c r="G914" t="str">
        <f>INDEX(Risk_Matrix!$B$2:$D$4,MATCH(E914,Risk_Matrix!$A$2:$A$4,0),MATCH(F914,Risk_Matrix!$B$1:$D$1,0))</f>
        <v>High</v>
      </c>
      <c r="H914" s="1">
        <v>46085</v>
      </c>
      <c r="I914" t="s">
        <v>2025</v>
      </c>
      <c r="J914" t="s">
        <v>2026</v>
      </c>
      <c r="K914" t="s">
        <v>1989</v>
      </c>
      <c r="L914">
        <f>IF(G914="High",3,IF(G914="Medium",2,1))</f>
        <v>3</v>
      </c>
    </row>
    <row r="915" spans="1:12">
      <c r="A915" t="s">
        <v>2941</v>
      </c>
      <c r="B915" t="s">
        <v>946</v>
      </c>
      <c r="C915" t="s">
        <v>1991</v>
      </c>
      <c r="D915" t="s">
        <v>2031</v>
      </c>
      <c r="E915" t="s">
        <v>57</v>
      </c>
      <c r="F915" t="s">
        <v>1971</v>
      </c>
      <c r="G915" t="str">
        <f>INDEX(Risk_Matrix!$B$2:$D$4,MATCH(E915,Risk_Matrix!$A$2:$A$4,0),MATCH(F915,Risk_Matrix!$B$1:$D$1,0))</f>
        <v>Low</v>
      </c>
      <c r="H915" s="1">
        <v>46102</v>
      </c>
      <c r="I915" t="s">
        <v>2025</v>
      </c>
      <c r="J915" t="s">
        <v>2035</v>
      </c>
      <c r="K915" t="s">
        <v>2010</v>
      </c>
      <c r="L915">
        <f>IF(G915="High",3,IF(G915="Medium",2,1))</f>
        <v>1</v>
      </c>
    </row>
    <row r="916" spans="1:12">
      <c r="A916" t="s">
        <v>2942</v>
      </c>
      <c r="B916" t="s">
        <v>946</v>
      </c>
      <c r="C916" t="s">
        <v>1995</v>
      </c>
      <c r="D916" t="s">
        <v>2018</v>
      </c>
      <c r="E916" t="s">
        <v>57</v>
      </c>
      <c r="F916" t="s">
        <v>57</v>
      </c>
      <c r="G916" t="str">
        <f>INDEX(Risk_Matrix!$B$2:$D$4,MATCH(E916,Risk_Matrix!$A$2:$A$4,0),MATCH(F916,Risk_Matrix!$B$1:$D$1,0))</f>
        <v>Low</v>
      </c>
      <c r="H916" s="1">
        <v>46214</v>
      </c>
      <c r="I916" t="s">
        <v>2025</v>
      </c>
      <c r="J916" t="s">
        <v>2035</v>
      </c>
      <c r="K916" t="s">
        <v>2036</v>
      </c>
      <c r="L916">
        <f>IF(G916="High",3,IF(G916="Medium",2,1))</f>
        <v>1</v>
      </c>
    </row>
    <row r="917" spans="1:12">
      <c r="A917" t="s">
        <v>2943</v>
      </c>
      <c r="B917" t="s">
        <v>946</v>
      </c>
      <c r="C917" t="s">
        <v>2000</v>
      </c>
      <c r="D917" t="s">
        <v>2001</v>
      </c>
      <c r="E917" t="s">
        <v>1971</v>
      </c>
      <c r="F917" t="s">
        <v>57</v>
      </c>
      <c r="G917" t="str">
        <f>INDEX(Risk_Matrix!$B$2:$D$4,MATCH(E917,Risk_Matrix!$A$2:$A$4,0),MATCH(F917,Risk_Matrix!$B$1:$D$1,0))</f>
        <v>Low</v>
      </c>
      <c r="H917" s="1">
        <v>46091</v>
      </c>
      <c r="I917" t="s">
        <v>2025</v>
      </c>
      <c r="J917" t="s">
        <v>2026</v>
      </c>
      <c r="K917" t="s">
        <v>1993</v>
      </c>
      <c r="L917">
        <f>IF(G917="High",3,IF(G917="Medium",2,1))</f>
        <v>1</v>
      </c>
    </row>
    <row r="918" spans="1:12">
      <c r="A918" t="s">
        <v>2944</v>
      </c>
      <c r="B918" t="s">
        <v>946</v>
      </c>
      <c r="C918" t="s">
        <v>2005</v>
      </c>
      <c r="D918" t="s">
        <v>2006</v>
      </c>
      <c r="E918" t="s">
        <v>57</v>
      </c>
      <c r="F918" t="s">
        <v>57</v>
      </c>
      <c r="G918" t="str">
        <f>INDEX(Risk_Matrix!$B$2:$D$4,MATCH(E918,Risk_Matrix!$A$2:$A$4,0),MATCH(F918,Risk_Matrix!$B$1:$D$1,0))</f>
        <v>Low</v>
      </c>
      <c r="H918" s="1">
        <v>46130</v>
      </c>
      <c r="I918" t="s">
        <v>1987</v>
      </c>
      <c r="J918" t="s">
        <v>1988</v>
      </c>
      <c r="K918" t="s">
        <v>2036</v>
      </c>
      <c r="L918">
        <f>IF(G918="High",3,IF(G918="Medium",2,1))</f>
        <v>1</v>
      </c>
    </row>
    <row r="919" spans="1:12">
      <c r="A919" t="s">
        <v>2945</v>
      </c>
      <c r="B919" t="s">
        <v>946</v>
      </c>
      <c r="C919" t="s">
        <v>2008</v>
      </c>
      <c r="D919" t="s">
        <v>2054</v>
      </c>
      <c r="E919" t="s">
        <v>1971</v>
      </c>
      <c r="F919" t="s">
        <v>57</v>
      </c>
      <c r="G919" t="str">
        <f>INDEX(Risk_Matrix!$B$2:$D$4,MATCH(E919,Risk_Matrix!$A$2:$A$4,0),MATCH(F919,Risk_Matrix!$B$1:$D$1,0))</f>
        <v>Low</v>
      </c>
      <c r="H919" s="1">
        <v>46226</v>
      </c>
      <c r="I919" t="s">
        <v>2002</v>
      </c>
      <c r="J919" t="s">
        <v>2003</v>
      </c>
      <c r="K919" t="s">
        <v>2010</v>
      </c>
      <c r="L919">
        <f>IF(G919="High",3,IF(G919="Medium",2,1))</f>
        <v>1</v>
      </c>
    </row>
    <row r="920" spans="1:12">
      <c r="A920" t="s">
        <v>2946</v>
      </c>
      <c r="B920" t="s">
        <v>947</v>
      </c>
      <c r="C920" t="s">
        <v>1985</v>
      </c>
      <c r="D920" t="s">
        <v>2028</v>
      </c>
      <c r="E920" t="s">
        <v>1971</v>
      </c>
      <c r="F920" t="s">
        <v>57</v>
      </c>
      <c r="G920" t="str">
        <f>INDEX(Risk_Matrix!$B$2:$D$4,MATCH(E920,Risk_Matrix!$A$2:$A$4,0),MATCH(F920,Risk_Matrix!$B$1:$D$1,0))</f>
        <v>Low</v>
      </c>
      <c r="H920" s="1">
        <v>46169</v>
      </c>
      <c r="I920" t="s">
        <v>1987</v>
      </c>
      <c r="J920" t="s">
        <v>1988</v>
      </c>
      <c r="K920" t="s">
        <v>1989</v>
      </c>
      <c r="L920">
        <f>IF(G920="High",3,IF(G920="Medium",2,1))</f>
        <v>1</v>
      </c>
    </row>
    <row r="921" spans="1:12">
      <c r="A921" t="s">
        <v>2947</v>
      </c>
      <c r="B921" t="s">
        <v>947</v>
      </c>
      <c r="C921" t="s">
        <v>1991</v>
      </c>
      <c r="D921" t="s">
        <v>2031</v>
      </c>
      <c r="E921" t="s">
        <v>1971</v>
      </c>
      <c r="F921" t="s">
        <v>57</v>
      </c>
      <c r="G921" t="str">
        <f>INDEX(Risk_Matrix!$B$2:$D$4,MATCH(E921,Risk_Matrix!$A$2:$A$4,0),MATCH(F921,Risk_Matrix!$B$1:$D$1,0))</f>
        <v>Low</v>
      </c>
      <c r="H921" s="1">
        <v>46221</v>
      </c>
      <c r="I921" t="s">
        <v>2025</v>
      </c>
      <c r="J921" t="s">
        <v>2026</v>
      </c>
      <c r="K921" t="s">
        <v>1993</v>
      </c>
      <c r="L921">
        <f>IF(G921="High",3,IF(G921="Medium",2,1))</f>
        <v>1</v>
      </c>
    </row>
    <row r="922" spans="1:12">
      <c r="A922" t="s">
        <v>2948</v>
      </c>
      <c r="B922" t="s">
        <v>947</v>
      </c>
      <c r="C922" t="s">
        <v>1995</v>
      </c>
      <c r="D922" t="s">
        <v>2034</v>
      </c>
      <c r="E922" t="s">
        <v>1971</v>
      </c>
      <c r="F922" t="s">
        <v>1971</v>
      </c>
      <c r="G922" t="str">
        <f>INDEX(Risk_Matrix!$B$2:$D$4,MATCH(E922,Risk_Matrix!$A$2:$A$4,0),MATCH(F922,Risk_Matrix!$B$1:$D$1,0))</f>
        <v>Medium</v>
      </c>
      <c r="H922" s="1">
        <v>46203</v>
      </c>
      <c r="I922" t="s">
        <v>1987</v>
      </c>
      <c r="J922" t="s">
        <v>1988</v>
      </c>
      <c r="K922" t="s">
        <v>2036</v>
      </c>
      <c r="L922">
        <f>IF(G922="High",3,IF(G922="Medium",2,1))</f>
        <v>2</v>
      </c>
    </row>
    <row r="923" spans="1:12">
      <c r="A923" t="s">
        <v>2949</v>
      </c>
      <c r="B923" t="s">
        <v>947</v>
      </c>
      <c r="C923" t="s">
        <v>2000</v>
      </c>
      <c r="D923" t="s">
        <v>2045</v>
      </c>
      <c r="E923" t="s">
        <v>57</v>
      </c>
      <c r="F923" t="s">
        <v>57</v>
      </c>
      <c r="G923" t="str">
        <f>INDEX(Risk_Matrix!$B$2:$D$4,MATCH(E923,Risk_Matrix!$A$2:$A$4,0),MATCH(F923,Risk_Matrix!$B$1:$D$1,0))</f>
        <v>Low</v>
      </c>
      <c r="H923" s="1">
        <v>46233</v>
      </c>
      <c r="I923" t="s">
        <v>2002</v>
      </c>
      <c r="J923" t="s">
        <v>2003</v>
      </c>
      <c r="K923" t="s">
        <v>1989</v>
      </c>
      <c r="L923">
        <f>IF(G923="High",3,IF(G923="Medium",2,1))</f>
        <v>1</v>
      </c>
    </row>
    <row r="924" spans="1:12">
      <c r="A924" t="s">
        <v>2950</v>
      </c>
      <c r="B924" t="s">
        <v>947</v>
      </c>
      <c r="C924" t="s">
        <v>2005</v>
      </c>
      <c r="D924" t="s">
        <v>2039</v>
      </c>
      <c r="E924" t="s">
        <v>47</v>
      </c>
      <c r="F924" t="s">
        <v>57</v>
      </c>
      <c r="G924" t="str">
        <f>INDEX(Risk_Matrix!$B$2:$D$4,MATCH(E924,Risk_Matrix!$A$2:$A$4,0),MATCH(F924,Risk_Matrix!$B$1:$D$1,0))</f>
        <v>Medium</v>
      </c>
      <c r="H924" s="1">
        <v>46212</v>
      </c>
      <c r="I924" t="s">
        <v>1987</v>
      </c>
      <c r="J924" t="s">
        <v>1997</v>
      </c>
      <c r="K924" t="s">
        <v>1993</v>
      </c>
      <c r="L924">
        <f>IF(G924="High",3,IF(G924="Medium",2,1))</f>
        <v>2</v>
      </c>
    </row>
    <row r="925" spans="1:12">
      <c r="A925" t="s">
        <v>2951</v>
      </c>
      <c r="B925" t="s">
        <v>947</v>
      </c>
      <c r="C925" t="s">
        <v>2008</v>
      </c>
      <c r="D925" t="s">
        <v>2054</v>
      </c>
      <c r="E925" t="s">
        <v>57</v>
      </c>
      <c r="F925" t="s">
        <v>57</v>
      </c>
      <c r="G925" t="str">
        <f>INDEX(Risk_Matrix!$B$2:$D$4,MATCH(E925,Risk_Matrix!$A$2:$A$4,0),MATCH(F925,Risk_Matrix!$B$1:$D$1,0))</f>
        <v>Low</v>
      </c>
      <c r="H925" s="1">
        <v>46152</v>
      </c>
      <c r="I925" t="s">
        <v>2002</v>
      </c>
      <c r="J925" t="s">
        <v>2029</v>
      </c>
      <c r="K925" t="s">
        <v>2010</v>
      </c>
      <c r="L925">
        <f>IF(G925="High",3,IF(G925="Medium",2,1))</f>
        <v>1</v>
      </c>
    </row>
    <row r="926" spans="1:12">
      <c r="A926" t="s">
        <v>2952</v>
      </c>
      <c r="B926" t="s">
        <v>949</v>
      </c>
      <c r="C926" t="s">
        <v>1985</v>
      </c>
      <c r="D926" t="s">
        <v>2012</v>
      </c>
      <c r="E926" t="s">
        <v>57</v>
      </c>
      <c r="F926" t="s">
        <v>57</v>
      </c>
      <c r="G926" t="str">
        <f>INDEX(Risk_Matrix!$B$2:$D$4,MATCH(E926,Risk_Matrix!$A$2:$A$4,0),MATCH(F926,Risk_Matrix!$B$1:$D$1,0))</f>
        <v>Low</v>
      </c>
      <c r="H926" s="1">
        <v>46193</v>
      </c>
      <c r="I926" t="s">
        <v>1987</v>
      </c>
      <c r="J926" t="s">
        <v>1988</v>
      </c>
      <c r="K926" t="s">
        <v>1989</v>
      </c>
      <c r="L926">
        <f>IF(G926="High",3,IF(G926="Medium",2,1))</f>
        <v>1</v>
      </c>
    </row>
    <row r="927" spans="1:12">
      <c r="A927" t="s">
        <v>2953</v>
      </c>
      <c r="B927" t="s">
        <v>949</v>
      </c>
      <c r="C927" t="s">
        <v>1991</v>
      </c>
      <c r="D927" t="s">
        <v>2031</v>
      </c>
      <c r="E927" t="s">
        <v>57</v>
      </c>
      <c r="F927" t="s">
        <v>1971</v>
      </c>
      <c r="G927" t="str">
        <f>INDEX(Risk_Matrix!$B$2:$D$4,MATCH(E927,Risk_Matrix!$A$2:$A$4,0),MATCH(F927,Risk_Matrix!$B$1:$D$1,0))</f>
        <v>Low</v>
      </c>
      <c r="H927" s="1">
        <v>46114</v>
      </c>
      <c r="I927" t="s">
        <v>1987</v>
      </c>
      <c r="J927" t="s">
        <v>1997</v>
      </c>
      <c r="K927" t="s">
        <v>2010</v>
      </c>
      <c r="L927">
        <f>IF(G927="High",3,IF(G927="Medium",2,1))</f>
        <v>1</v>
      </c>
    </row>
    <row r="928" spans="1:12">
      <c r="A928" t="s">
        <v>2954</v>
      </c>
      <c r="B928" t="s">
        <v>949</v>
      </c>
      <c r="C928" t="s">
        <v>1995</v>
      </c>
      <c r="D928" t="s">
        <v>1996</v>
      </c>
      <c r="E928" t="s">
        <v>1971</v>
      </c>
      <c r="F928" t="s">
        <v>57</v>
      </c>
      <c r="G928" t="str">
        <f>INDEX(Risk_Matrix!$B$2:$D$4,MATCH(E928,Risk_Matrix!$A$2:$A$4,0),MATCH(F928,Risk_Matrix!$B$1:$D$1,0))</f>
        <v>Low</v>
      </c>
      <c r="H928" s="1">
        <v>46215</v>
      </c>
      <c r="I928" t="s">
        <v>1987</v>
      </c>
      <c r="J928" t="s">
        <v>1988</v>
      </c>
      <c r="K928" t="s">
        <v>2036</v>
      </c>
      <c r="L928">
        <f>IF(G928="High",3,IF(G928="Medium",2,1))</f>
        <v>1</v>
      </c>
    </row>
    <row r="929" spans="1:12">
      <c r="A929" t="s">
        <v>2955</v>
      </c>
      <c r="B929" t="s">
        <v>949</v>
      </c>
      <c r="C929" t="s">
        <v>2000</v>
      </c>
      <c r="D929" t="s">
        <v>2020</v>
      </c>
      <c r="E929" t="s">
        <v>57</v>
      </c>
      <c r="F929" t="s">
        <v>57</v>
      </c>
      <c r="G929" t="str">
        <f>INDEX(Risk_Matrix!$B$2:$D$4,MATCH(E929,Risk_Matrix!$A$2:$A$4,0),MATCH(F929,Risk_Matrix!$B$1:$D$1,0))</f>
        <v>Low</v>
      </c>
      <c r="H929" s="1">
        <v>46212</v>
      </c>
      <c r="I929" t="s">
        <v>1987</v>
      </c>
      <c r="J929" t="s">
        <v>1988</v>
      </c>
      <c r="K929" t="s">
        <v>1989</v>
      </c>
      <c r="L929">
        <f>IF(G929="High",3,IF(G929="Medium",2,1))</f>
        <v>1</v>
      </c>
    </row>
    <row r="930" spans="1:12">
      <c r="A930" t="s">
        <v>2956</v>
      </c>
      <c r="B930" t="s">
        <v>949</v>
      </c>
      <c r="C930" t="s">
        <v>2005</v>
      </c>
      <c r="D930" t="s">
        <v>2039</v>
      </c>
      <c r="E930" t="s">
        <v>1971</v>
      </c>
      <c r="F930" t="s">
        <v>47</v>
      </c>
      <c r="G930" t="str">
        <f>INDEX(Risk_Matrix!$B$2:$D$4,MATCH(E930,Risk_Matrix!$A$2:$A$4,0),MATCH(F930,Risk_Matrix!$B$1:$D$1,0))</f>
        <v>High</v>
      </c>
      <c r="H930" s="1">
        <v>46181</v>
      </c>
      <c r="I930" t="s">
        <v>2015</v>
      </c>
      <c r="J930" t="s">
        <v>2032</v>
      </c>
      <c r="K930" t="s">
        <v>1993</v>
      </c>
      <c r="L930">
        <f>IF(G930="High",3,IF(G930="Medium",2,1))</f>
        <v>3</v>
      </c>
    </row>
    <row r="931" spans="1:12">
      <c r="A931" t="s">
        <v>2957</v>
      </c>
      <c r="B931" t="s">
        <v>949</v>
      </c>
      <c r="C931" t="s">
        <v>2008</v>
      </c>
      <c r="D931" t="s">
        <v>2024</v>
      </c>
      <c r="E931" t="s">
        <v>47</v>
      </c>
      <c r="F931" t="s">
        <v>57</v>
      </c>
      <c r="G931" t="str">
        <f>INDEX(Risk_Matrix!$B$2:$D$4,MATCH(E931,Risk_Matrix!$A$2:$A$4,0),MATCH(F931,Risk_Matrix!$B$1:$D$1,0))</f>
        <v>Medium</v>
      </c>
      <c r="H931" s="1">
        <v>46223</v>
      </c>
      <c r="I931" t="s">
        <v>2015</v>
      </c>
      <c r="J931" t="s">
        <v>2016</v>
      </c>
      <c r="K931" t="s">
        <v>2010</v>
      </c>
      <c r="L931">
        <f>IF(G931="High",3,IF(G931="Medium",2,1))</f>
        <v>2</v>
      </c>
    </row>
    <row r="932" spans="1:12">
      <c r="A932" t="s">
        <v>2958</v>
      </c>
      <c r="B932" t="s">
        <v>950</v>
      </c>
      <c r="C932" t="s">
        <v>1985</v>
      </c>
      <c r="D932" t="s">
        <v>2012</v>
      </c>
      <c r="E932" t="s">
        <v>57</v>
      </c>
      <c r="F932" t="s">
        <v>47</v>
      </c>
      <c r="G932" t="str">
        <f>INDEX(Risk_Matrix!$B$2:$D$4,MATCH(E932,Risk_Matrix!$A$2:$A$4,0),MATCH(F932,Risk_Matrix!$B$1:$D$1,0))</f>
        <v>Medium</v>
      </c>
      <c r="H932" s="1">
        <v>46162</v>
      </c>
      <c r="I932" t="s">
        <v>2002</v>
      </c>
      <c r="J932" t="s">
        <v>2003</v>
      </c>
      <c r="K932" t="s">
        <v>1989</v>
      </c>
      <c r="L932">
        <f>IF(G932="High",3,IF(G932="Medium",2,1))</f>
        <v>2</v>
      </c>
    </row>
    <row r="933" spans="1:12">
      <c r="A933" t="s">
        <v>2959</v>
      </c>
      <c r="B933" t="s">
        <v>950</v>
      </c>
      <c r="C933" t="s">
        <v>1991</v>
      </c>
      <c r="D933" t="s">
        <v>2014</v>
      </c>
      <c r="E933" t="s">
        <v>57</v>
      </c>
      <c r="F933" t="s">
        <v>1971</v>
      </c>
      <c r="G933" t="str">
        <f>INDEX(Risk_Matrix!$B$2:$D$4,MATCH(E933,Risk_Matrix!$A$2:$A$4,0),MATCH(F933,Risk_Matrix!$B$1:$D$1,0))</f>
        <v>Low</v>
      </c>
      <c r="H933" s="1">
        <v>46114</v>
      </c>
      <c r="I933" t="s">
        <v>1987</v>
      </c>
      <c r="J933" t="s">
        <v>1988</v>
      </c>
      <c r="K933" t="s">
        <v>1993</v>
      </c>
      <c r="L933">
        <f>IF(G933="High",3,IF(G933="Medium",2,1))</f>
        <v>1</v>
      </c>
    </row>
    <row r="934" spans="1:12">
      <c r="A934" t="s">
        <v>2960</v>
      </c>
      <c r="B934" t="s">
        <v>950</v>
      </c>
      <c r="C934" t="s">
        <v>1995</v>
      </c>
      <c r="D934" t="s">
        <v>2034</v>
      </c>
      <c r="E934" t="s">
        <v>57</v>
      </c>
      <c r="F934" t="s">
        <v>57</v>
      </c>
      <c r="G934" t="str">
        <f>INDEX(Risk_Matrix!$B$2:$D$4,MATCH(E934,Risk_Matrix!$A$2:$A$4,0),MATCH(F934,Risk_Matrix!$B$1:$D$1,0))</f>
        <v>Low</v>
      </c>
      <c r="H934" s="1">
        <v>46209</v>
      </c>
      <c r="I934" t="s">
        <v>1987</v>
      </c>
      <c r="J934" t="s">
        <v>1988</v>
      </c>
      <c r="K934" t="s">
        <v>1998</v>
      </c>
      <c r="L934">
        <f>IF(G934="High",3,IF(G934="Medium",2,1))</f>
        <v>1</v>
      </c>
    </row>
    <row r="935" spans="1:12">
      <c r="A935" t="s">
        <v>2961</v>
      </c>
      <c r="B935" t="s">
        <v>950</v>
      </c>
      <c r="C935" t="s">
        <v>2000</v>
      </c>
      <c r="D935" t="s">
        <v>2045</v>
      </c>
      <c r="E935" t="s">
        <v>47</v>
      </c>
      <c r="F935" t="s">
        <v>47</v>
      </c>
      <c r="G935" t="str">
        <f>INDEX(Risk_Matrix!$B$2:$D$4,MATCH(E935,Risk_Matrix!$A$2:$A$4,0),MATCH(F935,Risk_Matrix!$B$1:$D$1,0))</f>
        <v>High</v>
      </c>
      <c r="H935" s="1">
        <v>46179</v>
      </c>
      <c r="I935" t="s">
        <v>2025</v>
      </c>
      <c r="J935" t="s">
        <v>2026</v>
      </c>
      <c r="K935" t="s">
        <v>1989</v>
      </c>
      <c r="L935">
        <f>IF(G935="High",3,IF(G935="Medium",2,1))</f>
        <v>3</v>
      </c>
    </row>
    <row r="936" spans="1:12">
      <c r="A936" t="s">
        <v>2962</v>
      </c>
      <c r="B936" t="s">
        <v>950</v>
      </c>
      <c r="C936" t="s">
        <v>2005</v>
      </c>
      <c r="D936" t="s">
        <v>2022</v>
      </c>
      <c r="E936" t="s">
        <v>57</v>
      </c>
      <c r="F936" t="s">
        <v>1971</v>
      </c>
      <c r="G936" t="str">
        <f>INDEX(Risk_Matrix!$B$2:$D$4,MATCH(E936,Risk_Matrix!$A$2:$A$4,0),MATCH(F936,Risk_Matrix!$B$1:$D$1,0))</f>
        <v>Low</v>
      </c>
      <c r="H936" s="1">
        <v>46178</v>
      </c>
      <c r="I936" t="s">
        <v>2015</v>
      </c>
      <c r="J936" t="s">
        <v>2032</v>
      </c>
      <c r="K936" t="s">
        <v>1993</v>
      </c>
      <c r="L936">
        <f>IF(G936="High",3,IF(G936="Medium",2,1))</f>
        <v>1</v>
      </c>
    </row>
    <row r="937" spans="1:12">
      <c r="A937" t="s">
        <v>2963</v>
      </c>
      <c r="B937" t="s">
        <v>950</v>
      </c>
      <c r="C937" t="s">
        <v>2008</v>
      </c>
      <c r="D937" t="s">
        <v>2024</v>
      </c>
      <c r="E937" t="s">
        <v>57</v>
      </c>
      <c r="F937" t="s">
        <v>57</v>
      </c>
      <c r="G937" t="str">
        <f>INDEX(Risk_Matrix!$B$2:$D$4,MATCH(E937,Risk_Matrix!$A$2:$A$4,0),MATCH(F937,Risk_Matrix!$B$1:$D$1,0))</f>
        <v>Low</v>
      </c>
      <c r="H937" s="1">
        <v>46226</v>
      </c>
      <c r="I937" t="s">
        <v>2015</v>
      </c>
      <c r="J937" t="s">
        <v>2032</v>
      </c>
      <c r="K937" t="s">
        <v>2010</v>
      </c>
      <c r="L937">
        <f>IF(G937="High",3,IF(G937="Medium",2,1))</f>
        <v>1</v>
      </c>
    </row>
    <row r="938" spans="1:12">
      <c r="A938" t="s">
        <v>2964</v>
      </c>
      <c r="B938" t="s">
        <v>952</v>
      </c>
      <c r="C938" t="s">
        <v>1985</v>
      </c>
      <c r="D938" t="s">
        <v>2062</v>
      </c>
      <c r="E938" t="s">
        <v>57</v>
      </c>
      <c r="F938" t="s">
        <v>1971</v>
      </c>
      <c r="G938" t="str">
        <f>INDEX(Risk_Matrix!$B$2:$D$4,MATCH(E938,Risk_Matrix!$A$2:$A$4,0),MATCH(F938,Risk_Matrix!$B$1:$D$1,0))</f>
        <v>Low</v>
      </c>
      <c r="H938" s="1">
        <v>46207</v>
      </c>
      <c r="I938" t="s">
        <v>2025</v>
      </c>
      <c r="J938" t="s">
        <v>2035</v>
      </c>
      <c r="K938" t="s">
        <v>1998</v>
      </c>
      <c r="L938">
        <f>IF(G938="High",3,IF(G938="Medium",2,1))</f>
        <v>1</v>
      </c>
    </row>
    <row r="939" spans="1:12">
      <c r="A939" t="s">
        <v>2965</v>
      </c>
      <c r="B939" t="s">
        <v>952</v>
      </c>
      <c r="C939" t="s">
        <v>1991</v>
      </c>
      <c r="D939" t="s">
        <v>2014</v>
      </c>
      <c r="E939" t="s">
        <v>47</v>
      </c>
      <c r="F939" t="s">
        <v>57</v>
      </c>
      <c r="G939" t="str">
        <f>INDEX(Risk_Matrix!$B$2:$D$4,MATCH(E939,Risk_Matrix!$A$2:$A$4,0),MATCH(F939,Risk_Matrix!$B$1:$D$1,0))</f>
        <v>Medium</v>
      </c>
      <c r="H939" s="1">
        <v>46236</v>
      </c>
      <c r="I939" t="s">
        <v>2002</v>
      </c>
      <c r="J939" t="s">
        <v>2029</v>
      </c>
      <c r="K939" t="s">
        <v>1993</v>
      </c>
      <c r="L939">
        <f>IF(G939="High",3,IF(G939="Medium",2,1))</f>
        <v>2</v>
      </c>
    </row>
    <row r="940" spans="1:12">
      <c r="A940" t="s">
        <v>2966</v>
      </c>
      <c r="B940" t="s">
        <v>952</v>
      </c>
      <c r="C940" t="s">
        <v>1995</v>
      </c>
      <c r="D940" t="s">
        <v>2018</v>
      </c>
      <c r="E940" t="s">
        <v>57</v>
      </c>
      <c r="F940" t="s">
        <v>47</v>
      </c>
      <c r="G940" t="str">
        <f>INDEX(Risk_Matrix!$B$2:$D$4,MATCH(E940,Risk_Matrix!$A$2:$A$4,0),MATCH(F940,Risk_Matrix!$B$1:$D$1,0))</f>
        <v>Medium</v>
      </c>
      <c r="H940" s="1">
        <v>46223</v>
      </c>
      <c r="I940" t="s">
        <v>2015</v>
      </c>
      <c r="J940" t="s">
        <v>2032</v>
      </c>
      <c r="K940" t="s">
        <v>2036</v>
      </c>
      <c r="L940">
        <f>IF(G940="High",3,IF(G940="Medium",2,1))</f>
        <v>2</v>
      </c>
    </row>
    <row r="941" spans="1:12">
      <c r="A941" t="s">
        <v>2967</v>
      </c>
      <c r="B941" t="s">
        <v>952</v>
      </c>
      <c r="C941" t="s">
        <v>2000</v>
      </c>
      <c r="D941" t="s">
        <v>2045</v>
      </c>
      <c r="E941" t="s">
        <v>57</v>
      </c>
      <c r="F941" t="s">
        <v>57</v>
      </c>
      <c r="G941" t="str">
        <f>INDEX(Risk_Matrix!$B$2:$D$4,MATCH(E941,Risk_Matrix!$A$2:$A$4,0),MATCH(F941,Risk_Matrix!$B$1:$D$1,0))</f>
        <v>Low</v>
      </c>
      <c r="H941" s="1">
        <v>46121</v>
      </c>
      <c r="I941" t="s">
        <v>2025</v>
      </c>
      <c r="J941" t="s">
        <v>2026</v>
      </c>
      <c r="K941" t="s">
        <v>1993</v>
      </c>
      <c r="L941">
        <f>IF(G941="High",3,IF(G941="Medium",2,1))</f>
        <v>1</v>
      </c>
    </row>
    <row r="942" spans="1:12">
      <c r="A942" t="s">
        <v>2968</v>
      </c>
      <c r="B942" t="s">
        <v>952</v>
      </c>
      <c r="C942" t="s">
        <v>2005</v>
      </c>
      <c r="D942" t="s">
        <v>2039</v>
      </c>
      <c r="E942" t="s">
        <v>1971</v>
      </c>
      <c r="F942" t="s">
        <v>57</v>
      </c>
      <c r="G942" t="str">
        <f>INDEX(Risk_Matrix!$B$2:$D$4,MATCH(E942,Risk_Matrix!$A$2:$A$4,0),MATCH(F942,Risk_Matrix!$B$1:$D$1,0))</f>
        <v>Low</v>
      </c>
      <c r="H942" s="1">
        <v>46216</v>
      </c>
      <c r="I942" t="s">
        <v>2002</v>
      </c>
      <c r="J942" t="s">
        <v>2003</v>
      </c>
      <c r="K942" t="s">
        <v>1993</v>
      </c>
      <c r="L942">
        <f>IF(G942="High",3,IF(G942="Medium",2,1))</f>
        <v>1</v>
      </c>
    </row>
    <row r="943" spans="1:12">
      <c r="A943" t="s">
        <v>2969</v>
      </c>
      <c r="B943" t="s">
        <v>952</v>
      </c>
      <c r="C943" t="s">
        <v>2008</v>
      </c>
      <c r="D943" t="s">
        <v>2024</v>
      </c>
      <c r="E943" t="s">
        <v>1971</v>
      </c>
      <c r="F943" t="s">
        <v>1971</v>
      </c>
      <c r="G943" t="str">
        <f>INDEX(Risk_Matrix!$B$2:$D$4,MATCH(E943,Risk_Matrix!$A$2:$A$4,0),MATCH(F943,Risk_Matrix!$B$1:$D$1,0))</f>
        <v>Medium</v>
      </c>
      <c r="H943" s="1">
        <v>46200</v>
      </c>
      <c r="I943" t="s">
        <v>1987</v>
      </c>
      <c r="J943" t="s">
        <v>1988</v>
      </c>
      <c r="K943" t="s">
        <v>1998</v>
      </c>
      <c r="L943">
        <f>IF(G943="High",3,IF(G943="Medium",2,1))</f>
        <v>2</v>
      </c>
    </row>
    <row r="944" spans="1:12">
      <c r="A944" t="s">
        <v>2970</v>
      </c>
      <c r="B944" t="s">
        <v>954</v>
      </c>
      <c r="C944" t="s">
        <v>1985</v>
      </c>
      <c r="D944" t="s">
        <v>2062</v>
      </c>
      <c r="E944" t="s">
        <v>57</v>
      </c>
      <c r="F944" t="s">
        <v>57</v>
      </c>
      <c r="G944" t="str">
        <f>INDEX(Risk_Matrix!$B$2:$D$4,MATCH(E944,Risk_Matrix!$A$2:$A$4,0),MATCH(F944,Risk_Matrix!$B$1:$D$1,0))</f>
        <v>Low</v>
      </c>
      <c r="H944" s="1">
        <v>46174</v>
      </c>
      <c r="I944" t="s">
        <v>2015</v>
      </c>
      <c r="J944" t="s">
        <v>2016</v>
      </c>
      <c r="K944" t="s">
        <v>1998</v>
      </c>
      <c r="L944">
        <f>IF(G944="High",3,IF(G944="Medium",2,1))</f>
        <v>1</v>
      </c>
    </row>
    <row r="945" spans="1:12">
      <c r="A945" t="s">
        <v>2971</v>
      </c>
      <c r="B945" t="s">
        <v>954</v>
      </c>
      <c r="C945" t="s">
        <v>1991</v>
      </c>
      <c r="D945" t="s">
        <v>2064</v>
      </c>
      <c r="E945" t="s">
        <v>57</v>
      </c>
      <c r="F945" t="s">
        <v>1971</v>
      </c>
      <c r="G945" t="str">
        <f>INDEX(Risk_Matrix!$B$2:$D$4,MATCH(E945,Risk_Matrix!$A$2:$A$4,0),MATCH(F945,Risk_Matrix!$B$1:$D$1,0))</f>
        <v>Low</v>
      </c>
      <c r="H945" s="1">
        <v>46145</v>
      </c>
      <c r="I945" t="s">
        <v>1987</v>
      </c>
      <c r="J945" t="s">
        <v>1997</v>
      </c>
      <c r="K945" t="s">
        <v>1993</v>
      </c>
      <c r="L945">
        <f>IF(G945="High",3,IF(G945="Medium",2,1))</f>
        <v>1</v>
      </c>
    </row>
    <row r="946" spans="1:12">
      <c r="A946" t="s">
        <v>2972</v>
      </c>
      <c r="B946" t="s">
        <v>954</v>
      </c>
      <c r="C946" t="s">
        <v>1995</v>
      </c>
      <c r="D946" t="s">
        <v>2034</v>
      </c>
      <c r="E946" t="s">
        <v>57</v>
      </c>
      <c r="F946" t="s">
        <v>47</v>
      </c>
      <c r="G946" t="str">
        <f>INDEX(Risk_Matrix!$B$2:$D$4,MATCH(E946,Risk_Matrix!$A$2:$A$4,0),MATCH(F946,Risk_Matrix!$B$1:$D$1,0))</f>
        <v>Medium</v>
      </c>
      <c r="H946" s="1">
        <v>46097</v>
      </c>
      <c r="I946" t="s">
        <v>2025</v>
      </c>
      <c r="J946" t="s">
        <v>2026</v>
      </c>
      <c r="K946" t="s">
        <v>2036</v>
      </c>
      <c r="L946">
        <f>IF(G946="High",3,IF(G946="Medium",2,1))</f>
        <v>2</v>
      </c>
    </row>
    <row r="947" spans="1:12">
      <c r="A947" t="s">
        <v>2973</v>
      </c>
      <c r="B947" t="s">
        <v>954</v>
      </c>
      <c r="C947" t="s">
        <v>2000</v>
      </c>
      <c r="D947" t="s">
        <v>2020</v>
      </c>
      <c r="E947" t="s">
        <v>57</v>
      </c>
      <c r="F947" t="s">
        <v>57</v>
      </c>
      <c r="G947" t="str">
        <f>INDEX(Risk_Matrix!$B$2:$D$4,MATCH(E947,Risk_Matrix!$A$2:$A$4,0),MATCH(F947,Risk_Matrix!$B$1:$D$1,0))</f>
        <v>Low</v>
      </c>
      <c r="H947" s="1">
        <v>46186</v>
      </c>
      <c r="I947" t="s">
        <v>2025</v>
      </c>
      <c r="J947" t="s">
        <v>2026</v>
      </c>
      <c r="K947" t="s">
        <v>1989</v>
      </c>
      <c r="L947">
        <f>IF(G947="High",3,IF(G947="Medium",2,1))</f>
        <v>1</v>
      </c>
    </row>
    <row r="948" spans="1:12">
      <c r="A948" t="s">
        <v>2974</v>
      </c>
      <c r="B948" t="s">
        <v>954</v>
      </c>
      <c r="C948" t="s">
        <v>2005</v>
      </c>
      <c r="D948" t="s">
        <v>2006</v>
      </c>
      <c r="E948" t="s">
        <v>57</v>
      </c>
      <c r="F948" t="s">
        <v>47</v>
      </c>
      <c r="G948" t="str">
        <f>INDEX(Risk_Matrix!$B$2:$D$4,MATCH(E948,Risk_Matrix!$A$2:$A$4,0),MATCH(F948,Risk_Matrix!$B$1:$D$1,0))</f>
        <v>Medium</v>
      </c>
      <c r="H948" s="1">
        <v>46134</v>
      </c>
      <c r="I948" t="s">
        <v>1987</v>
      </c>
      <c r="J948" t="s">
        <v>1997</v>
      </c>
      <c r="K948" t="s">
        <v>1993</v>
      </c>
      <c r="L948">
        <f>IF(G948="High",3,IF(G948="Medium",2,1))</f>
        <v>2</v>
      </c>
    </row>
    <row r="949" spans="1:12">
      <c r="A949" t="s">
        <v>2975</v>
      </c>
      <c r="B949" t="s">
        <v>954</v>
      </c>
      <c r="C949" t="s">
        <v>2008</v>
      </c>
      <c r="D949" t="s">
        <v>2054</v>
      </c>
      <c r="E949" t="s">
        <v>57</v>
      </c>
      <c r="F949" t="s">
        <v>1971</v>
      </c>
      <c r="G949" t="str">
        <f>INDEX(Risk_Matrix!$B$2:$D$4,MATCH(E949,Risk_Matrix!$A$2:$A$4,0),MATCH(F949,Risk_Matrix!$B$1:$D$1,0))</f>
        <v>Low</v>
      </c>
      <c r="H949" s="1">
        <v>46197</v>
      </c>
      <c r="I949" t="s">
        <v>2002</v>
      </c>
      <c r="J949" t="s">
        <v>2003</v>
      </c>
      <c r="K949" t="s">
        <v>2010</v>
      </c>
      <c r="L949">
        <f>IF(G949="High",3,IF(G949="Medium",2,1))</f>
        <v>1</v>
      </c>
    </row>
    <row r="950" spans="1:12">
      <c r="A950" t="s">
        <v>2976</v>
      </c>
      <c r="B950" t="s">
        <v>956</v>
      </c>
      <c r="C950" t="s">
        <v>1985</v>
      </c>
      <c r="D950" t="s">
        <v>2062</v>
      </c>
      <c r="E950" t="s">
        <v>1971</v>
      </c>
      <c r="F950" t="s">
        <v>1971</v>
      </c>
      <c r="G950" t="str">
        <f>INDEX(Risk_Matrix!$B$2:$D$4,MATCH(E950,Risk_Matrix!$A$2:$A$4,0),MATCH(F950,Risk_Matrix!$B$1:$D$1,0))</f>
        <v>Medium</v>
      </c>
      <c r="H950" s="1">
        <v>46081</v>
      </c>
      <c r="I950" t="s">
        <v>1987</v>
      </c>
      <c r="J950" t="s">
        <v>1997</v>
      </c>
      <c r="K950" t="s">
        <v>1989</v>
      </c>
      <c r="L950">
        <f>IF(G950="High",3,IF(G950="Medium",2,1))</f>
        <v>2</v>
      </c>
    </row>
    <row r="951" spans="1:12">
      <c r="A951" t="s">
        <v>2977</v>
      </c>
      <c r="B951" t="s">
        <v>956</v>
      </c>
      <c r="C951" t="s">
        <v>1991</v>
      </c>
      <c r="D951" t="s">
        <v>1992</v>
      </c>
      <c r="E951" t="s">
        <v>57</v>
      </c>
      <c r="F951" t="s">
        <v>57</v>
      </c>
      <c r="G951" t="str">
        <f>INDEX(Risk_Matrix!$B$2:$D$4,MATCH(E951,Risk_Matrix!$A$2:$A$4,0),MATCH(F951,Risk_Matrix!$B$1:$D$1,0))</f>
        <v>Low</v>
      </c>
      <c r="H951" s="1">
        <v>46201</v>
      </c>
      <c r="I951" t="s">
        <v>2025</v>
      </c>
      <c r="J951" t="s">
        <v>2035</v>
      </c>
      <c r="K951" t="s">
        <v>2010</v>
      </c>
      <c r="L951">
        <f>IF(G951="High",3,IF(G951="Medium",2,1))</f>
        <v>1</v>
      </c>
    </row>
    <row r="952" spans="1:12">
      <c r="A952" t="s">
        <v>2978</v>
      </c>
      <c r="B952" t="s">
        <v>956</v>
      </c>
      <c r="C952" t="s">
        <v>1995</v>
      </c>
      <c r="D952" t="s">
        <v>2150</v>
      </c>
      <c r="E952" t="s">
        <v>57</v>
      </c>
      <c r="F952" t="s">
        <v>57</v>
      </c>
      <c r="G952" t="str">
        <f>INDEX(Risk_Matrix!$B$2:$D$4,MATCH(E952,Risk_Matrix!$A$2:$A$4,0),MATCH(F952,Risk_Matrix!$B$1:$D$1,0))</f>
        <v>Low</v>
      </c>
      <c r="H952" s="1">
        <v>46210</v>
      </c>
      <c r="I952" t="s">
        <v>1987</v>
      </c>
      <c r="J952" t="s">
        <v>1988</v>
      </c>
      <c r="K952" t="s">
        <v>1998</v>
      </c>
      <c r="L952">
        <f>IF(G952="High",3,IF(G952="Medium",2,1))</f>
        <v>1</v>
      </c>
    </row>
    <row r="953" spans="1:12">
      <c r="A953" t="s">
        <v>2979</v>
      </c>
      <c r="B953" t="s">
        <v>956</v>
      </c>
      <c r="C953" t="s">
        <v>2000</v>
      </c>
      <c r="D953" t="s">
        <v>2020</v>
      </c>
      <c r="E953" t="s">
        <v>57</v>
      </c>
      <c r="F953" t="s">
        <v>1971</v>
      </c>
      <c r="G953" t="str">
        <f>INDEX(Risk_Matrix!$B$2:$D$4,MATCH(E953,Risk_Matrix!$A$2:$A$4,0),MATCH(F953,Risk_Matrix!$B$1:$D$1,0))</f>
        <v>Low</v>
      </c>
      <c r="H953" s="1">
        <v>46098</v>
      </c>
      <c r="I953" t="s">
        <v>2002</v>
      </c>
      <c r="J953" t="s">
        <v>2029</v>
      </c>
      <c r="K953" t="s">
        <v>1993</v>
      </c>
      <c r="L953">
        <f>IF(G953="High",3,IF(G953="Medium",2,1))</f>
        <v>1</v>
      </c>
    </row>
    <row r="954" spans="1:12">
      <c r="A954" t="s">
        <v>2980</v>
      </c>
      <c r="B954" t="s">
        <v>956</v>
      </c>
      <c r="C954" t="s">
        <v>2005</v>
      </c>
      <c r="D954" t="s">
        <v>2022</v>
      </c>
      <c r="E954" t="s">
        <v>47</v>
      </c>
      <c r="F954" t="s">
        <v>1971</v>
      </c>
      <c r="G954" t="str">
        <f>INDEX(Risk_Matrix!$B$2:$D$4,MATCH(E954,Risk_Matrix!$A$2:$A$4,0),MATCH(F954,Risk_Matrix!$B$1:$D$1,0))</f>
        <v>High</v>
      </c>
      <c r="H954" s="1">
        <v>46227</v>
      </c>
      <c r="I954" t="s">
        <v>2015</v>
      </c>
      <c r="J954" t="s">
        <v>2016</v>
      </c>
      <c r="K954" t="s">
        <v>1993</v>
      </c>
      <c r="L954">
        <f>IF(G954="High",3,IF(G954="Medium",2,1))</f>
        <v>3</v>
      </c>
    </row>
    <row r="955" spans="1:12">
      <c r="A955" t="s">
        <v>2981</v>
      </c>
      <c r="B955" t="s">
        <v>956</v>
      </c>
      <c r="C955" t="s">
        <v>2008</v>
      </c>
      <c r="D955" t="s">
        <v>2009</v>
      </c>
      <c r="E955" t="s">
        <v>57</v>
      </c>
      <c r="F955" t="s">
        <v>47</v>
      </c>
      <c r="G955" t="str">
        <f>INDEX(Risk_Matrix!$B$2:$D$4,MATCH(E955,Risk_Matrix!$A$2:$A$4,0),MATCH(F955,Risk_Matrix!$B$1:$D$1,0))</f>
        <v>Medium</v>
      </c>
      <c r="H955" s="1">
        <v>46208</v>
      </c>
      <c r="I955" t="s">
        <v>2015</v>
      </c>
      <c r="J955" t="s">
        <v>2032</v>
      </c>
      <c r="K955" t="s">
        <v>2010</v>
      </c>
      <c r="L955">
        <f>IF(G955="High",3,IF(G955="Medium",2,1))</f>
        <v>2</v>
      </c>
    </row>
    <row r="956" spans="1:12">
      <c r="A956" t="s">
        <v>2982</v>
      </c>
      <c r="B956" t="s">
        <v>958</v>
      </c>
      <c r="C956" t="s">
        <v>1985</v>
      </c>
      <c r="D956" t="s">
        <v>2012</v>
      </c>
      <c r="E956" t="s">
        <v>57</v>
      </c>
      <c r="F956" t="s">
        <v>47</v>
      </c>
      <c r="G956" t="str">
        <f>INDEX(Risk_Matrix!$B$2:$D$4,MATCH(E956,Risk_Matrix!$A$2:$A$4,0),MATCH(F956,Risk_Matrix!$B$1:$D$1,0))</f>
        <v>Medium</v>
      </c>
      <c r="H956" s="1">
        <v>46199</v>
      </c>
      <c r="I956" t="s">
        <v>1987</v>
      </c>
      <c r="J956" t="s">
        <v>1988</v>
      </c>
      <c r="K956" t="s">
        <v>1998</v>
      </c>
      <c r="L956">
        <f>IF(G956="High",3,IF(G956="Medium",2,1))</f>
        <v>2</v>
      </c>
    </row>
    <row r="957" spans="1:12">
      <c r="A957" t="s">
        <v>2983</v>
      </c>
      <c r="B957" t="s">
        <v>958</v>
      </c>
      <c r="C957" t="s">
        <v>1991</v>
      </c>
      <c r="D957" t="s">
        <v>1992</v>
      </c>
      <c r="E957" t="s">
        <v>57</v>
      </c>
      <c r="F957" t="s">
        <v>57</v>
      </c>
      <c r="G957" t="str">
        <f>INDEX(Risk_Matrix!$B$2:$D$4,MATCH(E957,Risk_Matrix!$A$2:$A$4,0),MATCH(F957,Risk_Matrix!$B$1:$D$1,0))</f>
        <v>Low</v>
      </c>
      <c r="H957" s="1">
        <v>46206</v>
      </c>
      <c r="I957" t="s">
        <v>2002</v>
      </c>
      <c r="J957" t="s">
        <v>2003</v>
      </c>
      <c r="K957" t="s">
        <v>2010</v>
      </c>
      <c r="L957">
        <f>IF(G957="High",3,IF(G957="Medium",2,1))</f>
        <v>1</v>
      </c>
    </row>
    <row r="958" spans="1:12">
      <c r="A958" t="s">
        <v>2984</v>
      </c>
      <c r="B958" t="s">
        <v>958</v>
      </c>
      <c r="C958" t="s">
        <v>1995</v>
      </c>
      <c r="D958" t="s">
        <v>1996</v>
      </c>
      <c r="E958" t="s">
        <v>47</v>
      </c>
      <c r="F958" t="s">
        <v>57</v>
      </c>
      <c r="G958" t="str">
        <f>INDEX(Risk_Matrix!$B$2:$D$4,MATCH(E958,Risk_Matrix!$A$2:$A$4,0),MATCH(F958,Risk_Matrix!$B$1:$D$1,0))</f>
        <v>Medium</v>
      </c>
      <c r="H958" s="1">
        <v>46163</v>
      </c>
      <c r="I958" t="s">
        <v>2015</v>
      </c>
      <c r="J958" t="s">
        <v>2016</v>
      </c>
      <c r="K958" t="s">
        <v>2036</v>
      </c>
      <c r="L958">
        <f>IF(G958="High",3,IF(G958="Medium",2,1))</f>
        <v>2</v>
      </c>
    </row>
    <row r="959" spans="1:12">
      <c r="A959" t="s">
        <v>2985</v>
      </c>
      <c r="B959" t="s">
        <v>958</v>
      </c>
      <c r="C959" t="s">
        <v>2000</v>
      </c>
      <c r="D959" t="s">
        <v>2045</v>
      </c>
      <c r="E959" t="s">
        <v>57</v>
      </c>
      <c r="F959" t="s">
        <v>1971</v>
      </c>
      <c r="G959" t="str">
        <f>INDEX(Risk_Matrix!$B$2:$D$4,MATCH(E959,Risk_Matrix!$A$2:$A$4,0),MATCH(F959,Risk_Matrix!$B$1:$D$1,0))</f>
        <v>Low</v>
      </c>
      <c r="H959" s="1">
        <v>46161</v>
      </c>
      <c r="I959" t="s">
        <v>2002</v>
      </c>
      <c r="J959" t="s">
        <v>2003</v>
      </c>
      <c r="K959" t="s">
        <v>1993</v>
      </c>
      <c r="L959">
        <f>IF(G959="High",3,IF(G959="Medium",2,1))</f>
        <v>1</v>
      </c>
    </row>
    <row r="960" spans="1:12">
      <c r="A960" t="s">
        <v>2986</v>
      </c>
      <c r="B960" t="s">
        <v>958</v>
      </c>
      <c r="C960" t="s">
        <v>2005</v>
      </c>
      <c r="D960" t="s">
        <v>2006</v>
      </c>
      <c r="E960" t="s">
        <v>57</v>
      </c>
      <c r="F960" t="s">
        <v>57</v>
      </c>
      <c r="G960" t="str">
        <f>INDEX(Risk_Matrix!$B$2:$D$4,MATCH(E960,Risk_Matrix!$A$2:$A$4,0),MATCH(F960,Risk_Matrix!$B$1:$D$1,0))</f>
        <v>Low</v>
      </c>
      <c r="H960" s="1">
        <v>46235</v>
      </c>
      <c r="I960" t="s">
        <v>1987</v>
      </c>
      <c r="J960" t="s">
        <v>1997</v>
      </c>
      <c r="K960" t="s">
        <v>1993</v>
      </c>
      <c r="L960">
        <f>IF(G960="High",3,IF(G960="Medium",2,1))</f>
        <v>1</v>
      </c>
    </row>
    <row r="961" spans="1:12">
      <c r="A961" t="s">
        <v>2987</v>
      </c>
      <c r="B961" t="s">
        <v>958</v>
      </c>
      <c r="C961" t="s">
        <v>2008</v>
      </c>
      <c r="D961" t="s">
        <v>2024</v>
      </c>
      <c r="E961" t="s">
        <v>1971</v>
      </c>
      <c r="F961" t="s">
        <v>57</v>
      </c>
      <c r="G961" t="str">
        <f>INDEX(Risk_Matrix!$B$2:$D$4,MATCH(E961,Risk_Matrix!$A$2:$A$4,0),MATCH(F961,Risk_Matrix!$B$1:$D$1,0))</f>
        <v>Low</v>
      </c>
      <c r="H961" s="1">
        <v>46150</v>
      </c>
      <c r="I961" t="s">
        <v>2025</v>
      </c>
      <c r="J961" t="s">
        <v>2035</v>
      </c>
      <c r="K961" t="s">
        <v>1998</v>
      </c>
      <c r="L961">
        <f>IF(G961="High",3,IF(G961="Medium",2,1))</f>
        <v>1</v>
      </c>
    </row>
    <row r="962" spans="1:12">
      <c r="A962" t="s">
        <v>2988</v>
      </c>
      <c r="B962" t="s">
        <v>960</v>
      </c>
      <c r="C962" t="s">
        <v>1985</v>
      </c>
      <c r="D962" t="s">
        <v>2012</v>
      </c>
      <c r="E962" t="s">
        <v>1971</v>
      </c>
      <c r="F962" t="s">
        <v>57</v>
      </c>
      <c r="G962" t="str">
        <f>INDEX(Risk_Matrix!$B$2:$D$4,MATCH(E962,Risk_Matrix!$A$2:$A$4,0),MATCH(F962,Risk_Matrix!$B$1:$D$1,0))</f>
        <v>Low</v>
      </c>
      <c r="H962" s="1">
        <v>46071</v>
      </c>
      <c r="I962" t="s">
        <v>1987</v>
      </c>
      <c r="J962" t="s">
        <v>1997</v>
      </c>
      <c r="K962" t="s">
        <v>1989</v>
      </c>
      <c r="L962">
        <f>IF(G962="High",3,IF(G962="Medium",2,1))</f>
        <v>1</v>
      </c>
    </row>
    <row r="963" spans="1:12">
      <c r="A963" t="s">
        <v>2989</v>
      </c>
      <c r="B963" t="s">
        <v>960</v>
      </c>
      <c r="C963" t="s">
        <v>1991</v>
      </c>
      <c r="D963" t="s">
        <v>2064</v>
      </c>
      <c r="E963" t="s">
        <v>47</v>
      </c>
      <c r="F963" t="s">
        <v>57</v>
      </c>
      <c r="G963" t="str">
        <f>INDEX(Risk_Matrix!$B$2:$D$4,MATCH(E963,Risk_Matrix!$A$2:$A$4,0),MATCH(F963,Risk_Matrix!$B$1:$D$1,0))</f>
        <v>Medium</v>
      </c>
      <c r="H963" s="1">
        <v>46102</v>
      </c>
      <c r="I963" t="s">
        <v>2025</v>
      </c>
      <c r="J963" t="s">
        <v>2035</v>
      </c>
      <c r="K963" t="s">
        <v>2010</v>
      </c>
      <c r="L963">
        <f>IF(G963="High",3,IF(G963="Medium",2,1))</f>
        <v>2</v>
      </c>
    </row>
    <row r="964" spans="1:12">
      <c r="A964" t="s">
        <v>2990</v>
      </c>
      <c r="B964" t="s">
        <v>960</v>
      </c>
      <c r="C964" t="s">
        <v>1995</v>
      </c>
      <c r="D964" t="s">
        <v>2018</v>
      </c>
      <c r="E964" t="s">
        <v>57</v>
      </c>
      <c r="F964" t="s">
        <v>57</v>
      </c>
      <c r="G964" t="str">
        <f>INDEX(Risk_Matrix!$B$2:$D$4,MATCH(E964,Risk_Matrix!$A$2:$A$4,0),MATCH(F964,Risk_Matrix!$B$1:$D$1,0))</f>
        <v>Low</v>
      </c>
      <c r="H964" s="1">
        <v>46087</v>
      </c>
      <c r="I964" t="s">
        <v>1987</v>
      </c>
      <c r="J964" t="s">
        <v>1988</v>
      </c>
      <c r="K964" t="s">
        <v>2036</v>
      </c>
      <c r="L964">
        <f>IF(G964="High",3,IF(G964="Medium",2,1))</f>
        <v>1</v>
      </c>
    </row>
    <row r="965" spans="1:12">
      <c r="A965" t="s">
        <v>2991</v>
      </c>
      <c r="B965" t="s">
        <v>960</v>
      </c>
      <c r="C965" t="s">
        <v>2000</v>
      </c>
      <c r="D965" t="s">
        <v>2001</v>
      </c>
      <c r="E965" t="s">
        <v>47</v>
      </c>
      <c r="F965" t="s">
        <v>1971</v>
      </c>
      <c r="G965" t="str">
        <f>INDEX(Risk_Matrix!$B$2:$D$4,MATCH(E965,Risk_Matrix!$A$2:$A$4,0),MATCH(F965,Risk_Matrix!$B$1:$D$1,0))</f>
        <v>High</v>
      </c>
      <c r="H965" s="1">
        <v>46210</v>
      </c>
      <c r="I965" t="s">
        <v>2015</v>
      </c>
      <c r="J965" t="s">
        <v>2016</v>
      </c>
      <c r="K965" t="s">
        <v>1993</v>
      </c>
      <c r="L965">
        <f>IF(G965="High",3,IF(G965="Medium",2,1))</f>
        <v>3</v>
      </c>
    </row>
    <row r="966" spans="1:12">
      <c r="A966" t="s">
        <v>2992</v>
      </c>
      <c r="B966" t="s">
        <v>960</v>
      </c>
      <c r="C966" t="s">
        <v>2005</v>
      </c>
      <c r="D966" t="s">
        <v>2006</v>
      </c>
      <c r="E966" t="s">
        <v>57</v>
      </c>
      <c r="F966" t="s">
        <v>57</v>
      </c>
      <c r="G966" t="str">
        <f>INDEX(Risk_Matrix!$B$2:$D$4,MATCH(E966,Risk_Matrix!$A$2:$A$4,0),MATCH(F966,Risk_Matrix!$B$1:$D$1,0))</f>
        <v>Low</v>
      </c>
      <c r="H966" s="1">
        <v>46179</v>
      </c>
      <c r="I966" t="s">
        <v>2015</v>
      </c>
      <c r="J966" t="s">
        <v>2032</v>
      </c>
      <c r="K966" t="s">
        <v>2036</v>
      </c>
      <c r="L966">
        <f>IF(G966="High",3,IF(G966="Medium",2,1))</f>
        <v>1</v>
      </c>
    </row>
    <row r="967" spans="1:12">
      <c r="A967" t="s">
        <v>2993</v>
      </c>
      <c r="B967" t="s">
        <v>960</v>
      </c>
      <c r="C967" t="s">
        <v>2008</v>
      </c>
      <c r="D967" t="s">
        <v>2009</v>
      </c>
      <c r="E967" t="s">
        <v>47</v>
      </c>
      <c r="F967" t="s">
        <v>47</v>
      </c>
      <c r="G967" t="str">
        <f>INDEX(Risk_Matrix!$B$2:$D$4,MATCH(E967,Risk_Matrix!$A$2:$A$4,0),MATCH(F967,Risk_Matrix!$B$1:$D$1,0))</f>
        <v>High</v>
      </c>
      <c r="H967" s="1">
        <v>46118</v>
      </c>
      <c r="I967" t="s">
        <v>2025</v>
      </c>
      <c r="J967" t="s">
        <v>2035</v>
      </c>
      <c r="K967" t="s">
        <v>2010</v>
      </c>
      <c r="L967">
        <f>IF(G967="High",3,IF(G967="Medium",2,1))</f>
        <v>3</v>
      </c>
    </row>
    <row r="968" spans="1:12">
      <c r="A968" t="s">
        <v>2994</v>
      </c>
      <c r="B968" t="s">
        <v>962</v>
      </c>
      <c r="C968" t="s">
        <v>1985</v>
      </c>
      <c r="D968" t="s">
        <v>2028</v>
      </c>
      <c r="E968" t="s">
        <v>1971</v>
      </c>
      <c r="F968" t="s">
        <v>47</v>
      </c>
      <c r="G968" t="str">
        <f>INDEX(Risk_Matrix!$B$2:$D$4,MATCH(E968,Risk_Matrix!$A$2:$A$4,0),MATCH(F968,Risk_Matrix!$B$1:$D$1,0))</f>
        <v>High</v>
      </c>
      <c r="H968" s="1">
        <v>46086</v>
      </c>
      <c r="I968" t="s">
        <v>2025</v>
      </c>
      <c r="J968" t="s">
        <v>2026</v>
      </c>
      <c r="K968" t="s">
        <v>1998</v>
      </c>
      <c r="L968">
        <f>IF(G968="High",3,IF(G968="Medium",2,1))</f>
        <v>3</v>
      </c>
    </row>
    <row r="969" spans="1:12">
      <c r="A969" t="s">
        <v>2995</v>
      </c>
      <c r="B969" t="s">
        <v>962</v>
      </c>
      <c r="C969" t="s">
        <v>1991</v>
      </c>
      <c r="D969" t="s">
        <v>2064</v>
      </c>
      <c r="E969" t="s">
        <v>1971</v>
      </c>
      <c r="F969" t="s">
        <v>57</v>
      </c>
      <c r="G969" t="str">
        <f>INDEX(Risk_Matrix!$B$2:$D$4,MATCH(E969,Risk_Matrix!$A$2:$A$4,0),MATCH(F969,Risk_Matrix!$B$1:$D$1,0))</f>
        <v>Low</v>
      </c>
      <c r="H969" s="1">
        <v>46122</v>
      </c>
      <c r="I969" t="s">
        <v>2025</v>
      </c>
      <c r="J969" t="s">
        <v>2035</v>
      </c>
      <c r="K969" t="s">
        <v>2010</v>
      </c>
      <c r="L969">
        <f>IF(G969="High",3,IF(G969="Medium",2,1))</f>
        <v>1</v>
      </c>
    </row>
    <row r="970" spans="1:12">
      <c r="A970" t="s">
        <v>2996</v>
      </c>
      <c r="B970" t="s">
        <v>962</v>
      </c>
      <c r="C970" t="s">
        <v>1995</v>
      </c>
      <c r="D970" t="s">
        <v>2034</v>
      </c>
      <c r="E970" t="s">
        <v>57</v>
      </c>
      <c r="F970" t="s">
        <v>57</v>
      </c>
      <c r="G970" t="str">
        <f>INDEX(Risk_Matrix!$B$2:$D$4,MATCH(E970,Risk_Matrix!$A$2:$A$4,0),MATCH(F970,Risk_Matrix!$B$1:$D$1,0))</f>
        <v>Low</v>
      </c>
      <c r="H970" s="1">
        <v>46063</v>
      </c>
      <c r="I970" t="s">
        <v>2025</v>
      </c>
      <c r="J970" t="s">
        <v>2035</v>
      </c>
      <c r="K970" t="s">
        <v>2036</v>
      </c>
      <c r="L970">
        <f>IF(G970="High",3,IF(G970="Medium",2,1))</f>
        <v>1</v>
      </c>
    </row>
    <row r="971" spans="1:12">
      <c r="A971" t="s">
        <v>2997</v>
      </c>
      <c r="B971" t="s">
        <v>962</v>
      </c>
      <c r="C971" t="s">
        <v>2000</v>
      </c>
      <c r="D971" t="s">
        <v>2020</v>
      </c>
      <c r="E971" t="s">
        <v>57</v>
      </c>
      <c r="F971" t="s">
        <v>57</v>
      </c>
      <c r="G971" t="str">
        <f>INDEX(Risk_Matrix!$B$2:$D$4,MATCH(E971,Risk_Matrix!$A$2:$A$4,0),MATCH(F971,Risk_Matrix!$B$1:$D$1,0))</f>
        <v>Low</v>
      </c>
      <c r="H971" s="1">
        <v>46156</v>
      </c>
      <c r="I971" t="s">
        <v>1987</v>
      </c>
      <c r="J971" t="s">
        <v>1997</v>
      </c>
      <c r="K971" t="s">
        <v>1989</v>
      </c>
      <c r="L971">
        <f>IF(G971="High",3,IF(G971="Medium",2,1))</f>
        <v>1</v>
      </c>
    </row>
    <row r="972" spans="1:12">
      <c r="A972" t="s">
        <v>2998</v>
      </c>
      <c r="B972" t="s">
        <v>962</v>
      </c>
      <c r="C972" t="s">
        <v>2005</v>
      </c>
      <c r="D972" t="s">
        <v>2022</v>
      </c>
      <c r="E972" t="s">
        <v>57</v>
      </c>
      <c r="F972" t="s">
        <v>47</v>
      </c>
      <c r="G972" t="str">
        <f>INDEX(Risk_Matrix!$B$2:$D$4,MATCH(E972,Risk_Matrix!$A$2:$A$4,0),MATCH(F972,Risk_Matrix!$B$1:$D$1,0))</f>
        <v>Medium</v>
      </c>
      <c r="H972" s="1">
        <v>46095</v>
      </c>
      <c r="I972" t="s">
        <v>2025</v>
      </c>
      <c r="J972" t="s">
        <v>2026</v>
      </c>
      <c r="K972" t="s">
        <v>1993</v>
      </c>
      <c r="L972">
        <f>IF(G972="High",3,IF(G972="Medium",2,1))</f>
        <v>2</v>
      </c>
    </row>
    <row r="973" spans="1:12">
      <c r="A973" t="s">
        <v>2999</v>
      </c>
      <c r="B973" t="s">
        <v>962</v>
      </c>
      <c r="C973" t="s">
        <v>2008</v>
      </c>
      <c r="D973" t="s">
        <v>2054</v>
      </c>
      <c r="E973" t="s">
        <v>57</v>
      </c>
      <c r="F973" t="s">
        <v>57</v>
      </c>
      <c r="G973" t="str">
        <f>INDEX(Risk_Matrix!$B$2:$D$4,MATCH(E973,Risk_Matrix!$A$2:$A$4,0),MATCH(F973,Risk_Matrix!$B$1:$D$1,0))</f>
        <v>Low</v>
      </c>
      <c r="H973" s="1">
        <v>46090</v>
      </c>
      <c r="I973" t="s">
        <v>1987</v>
      </c>
      <c r="J973" t="s">
        <v>1988</v>
      </c>
      <c r="K973" t="s">
        <v>2010</v>
      </c>
      <c r="L973">
        <f>IF(G973="High",3,IF(G973="Medium",2,1))</f>
        <v>1</v>
      </c>
    </row>
    <row r="974" spans="1:12">
      <c r="A974" t="s">
        <v>3000</v>
      </c>
      <c r="B974" t="s">
        <v>964</v>
      </c>
      <c r="C974" t="s">
        <v>1985</v>
      </c>
      <c r="D974" t="s">
        <v>2062</v>
      </c>
      <c r="E974" t="s">
        <v>47</v>
      </c>
      <c r="F974" t="s">
        <v>47</v>
      </c>
      <c r="G974" t="str">
        <f>INDEX(Risk_Matrix!$B$2:$D$4,MATCH(E974,Risk_Matrix!$A$2:$A$4,0),MATCH(F974,Risk_Matrix!$B$1:$D$1,0))</f>
        <v>High</v>
      </c>
      <c r="H974" s="1">
        <v>46072</v>
      </c>
      <c r="I974" t="s">
        <v>2025</v>
      </c>
      <c r="J974" t="s">
        <v>2035</v>
      </c>
      <c r="K974" t="s">
        <v>1989</v>
      </c>
      <c r="L974">
        <f>IF(G974="High",3,IF(G974="Medium",2,1))</f>
        <v>3</v>
      </c>
    </row>
    <row r="975" spans="1:12">
      <c r="A975" t="s">
        <v>3001</v>
      </c>
      <c r="B975" t="s">
        <v>964</v>
      </c>
      <c r="C975" t="s">
        <v>1991</v>
      </c>
      <c r="D975" t="s">
        <v>2031</v>
      </c>
      <c r="E975" t="s">
        <v>57</v>
      </c>
      <c r="F975" t="s">
        <v>57</v>
      </c>
      <c r="G975" t="str">
        <f>INDEX(Risk_Matrix!$B$2:$D$4,MATCH(E975,Risk_Matrix!$A$2:$A$4,0),MATCH(F975,Risk_Matrix!$B$1:$D$1,0))</f>
        <v>Low</v>
      </c>
      <c r="H975" s="1">
        <v>46160</v>
      </c>
      <c r="I975" t="s">
        <v>1987</v>
      </c>
      <c r="J975" t="s">
        <v>1997</v>
      </c>
      <c r="K975" t="s">
        <v>1993</v>
      </c>
      <c r="L975">
        <f>IF(G975="High",3,IF(G975="Medium",2,1))</f>
        <v>1</v>
      </c>
    </row>
    <row r="976" spans="1:12">
      <c r="A976" t="s">
        <v>3002</v>
      </c>
      <c r="B976" t="s">
        <v>964</v>
      </c>
      <c r="C976" t="s">
        <v>1995</v>
      </c>
      <c r="D976" t="s">
        <v>2034</v>
      </c>
      <c r="E976" t="s">
        <v>57</v>
      </c>
      <c r="F976" t="s">
        <v>1971</v>
      </c>
      <c r="G976" t="str">
        <f>INDEX(Risk_Matrix!$B$2:$D$4,MATCH(E976,Risk_Matrix!$A$2:$A$4,0),MATCH(F976,Risk_Matrix!$B$1:$D$1,0))</f>
        <v>Low</v>
      </c>
      <c r="H976" s="1">
        <v>46221</v>
      </c>
      <c r="I976" t="s">
        <v>2002</v>
      </c>
      <c r="J976" t="s">
        <v>2029</v>
      </c>
      <c r="K976" t="s">
        <v>2036</v>
      </c>
      <c r="L976">
        <f>IF(G976="High",3,IF(G976="Medium",2,1))</f>
        <v>1</v>
      </c>
    </row>
    <row r="977" spans="1:12">
      <c r="A977" t="s">
        <v>3003</v>
      </c>
      <c r="B977" t="s">
        <v>964</v>
      </c>
      <c r="C977" t="s">
        <v>2000</v>
      </c>
      <c r="D977" t="s">
        <v>2045</v>
      </c>
      <c r="E977" t="s">
        <v>57</v>
      </c>
      <c r="F977" t="s">
        <v>57</v>
      </c>
      <c r="G977" t="str">
        <f>INDEX(Risk_Matrix!$B$2:$D$4,MATCH(E977,Risk_Matrix!$A$2:$A$4,0),MATCH(F977,Risk_Matrix!$B$1:$D$1,0))</f>
        <v>Low</v>
      </c>
      <c r="H977" s="1">
        <v>46195</v>
      </c>
      <c r="I977" t="s">
        <v>1987</v>
      </c>
      <c r="J977" t="s">
        <v>1988</v>
      </c>
      <c r="K977" t="s">
        <v>1993</v>
      </c>
      <c r="L977">
        <f>IF(G977="High",3,IF(G977="Medium",2,1))</f>
        <v>1</v>
      </c>
    </row>
    <row r="978" spans="1:12">
      <c r="A978" t="s">
        <v>3004</v>
      </c>
      <c r="B978" t="s">
        <v>964</v>
      </c>
      <c r="C978" t="s">
        <v>2005</v>
      </c>
      <c r="D978" t="s">
        <v>2022</v>
      </c>
      <c r="E978" t="s">
        <v>1971</v>
      </c>
      <c r="F978" t="s">
        <v>57</v>
      </c>
      <c r="G978" t="str">
        <f>INDEX(Risk_Matrix!$B$2:$D$4,MATCH(E978,Risk_Matrix!$A$2:$A$4,0),MATCH(F978,Risk_Matrix!$B$1:$D$1,0))</f>
        <v>Low</v>
      </c>
      <c r="H978" s="1">
        <v>46221</v>
      </c>
      <c r="I978" t="s">
        <v>2002</v>
      </c>
      <c r="J978" t="s">
        <v>2029</v>
      </c>
      <c r="K978" t="s">
        <v>1993</v>
      </c>
      <c r="L978">
        <f>IF(G978="High",3,IF(G978="Medium",2,1))</f>
        <v>1</v>
      </c>
    </row>
    <row r="979" spans="1:12">
      <c r="A979" t="s">
        <v>3005</v>
      </c>
      <c r="B979" t="s">
        <v>964</v>
      </c>
      <c r="C979" t="s">
        <v>2008</v>
      </c>
      <c r="D979" t="s">
        <v>2009</v>
      </c>
      <c r="E979" t="s">
        <v>1971</v>
      </c>
      <c r="F979" t="s">
        <v>57</v>
      </c>
      <c r="G979" t="str">
        <f>INDEX(Risk_Matrix!$B$2:$D$4,MATCH(E979,Risk_Matrix!$A$2:$A$4,0),MATCH(F979,Risk_Matrix!$B$1:$D$1,0))</f>
        <v>Low</v>
      </c>
      <c r="H979" s="1">
        <v>46174</v>
      </c>
      <c r="I979" t="s">
        <v>2015</v>
      </c>
      <c r="J979" t="s">
        <v>2032</v>
      </c>
      <c r="K979" t="s">
        <v>2010</v>
      </c>
      <c r="L979">
        <f>IF(G979="High",3,IF(G979="Medium",2,1))</f>
        <v>1</v>
      </c>
    </row>
    <row r="980" spans="1:12">
      <c r="A980" t="s">
        <v>3006</v>
      </c>
      <c r="B980" t="s">
        <v>967</v>
      </c>
      <c r="C980" t="s">
        <v>1985</v>
      </c>
      <c r="D980" t="s">
        <v>1986</v>
      </c>
      <c r="E980" t="s">
        <v>57</v>
      </c>
      <c r="F980" t="s">
        <v>1971</v>
      </c>
      <c r="G980" t="str">
        <f>INDEX(Risk_Matrix!$B$2:$D$4,MATCH(E980,Risk_Matrix!$A$2:$A$4,0),MATCH(F980,Risk_Matrix!$B$1:$D$1,0))</f>
        <v>Low</v>
      </c>
      <c r="H980" s="1">
        <v>46070</v>
      </c>
      <c r="I980" t="s">
        <v>1987</v>
      </c>
      <c r="J980" t="s">
        <v>1988</v>
      </c>
      <c r="K980" t="s">
        <v>1998</v>
      </c>
      <c r="L980">
        <f>IF(G980="High",3,IF(G980="Medium",2,1))</f>
        <v>1</v>
      </c>
    </row>
    <row r="981" spans="1:12">
      <c r="A981" t="s">
        <v>3007</v>
      </c>
      <c r="B981" t="s">
        <v>967</v>
      </c>
      <c r="C981" t="s">
        <v>1991</v>
      </c>
      <c r="D981" t="s">
        <v>2014</v>
      </c>
      <c r="E981" t="s">
        <v>57</v>
      </c>
      <c r="F981" t="s">
        <v>57</v>
      </c>
      <c r="G981" t="str">
        <f>INDEX(Risk_Matrix!$B$2:$D$4,MATCH(E981,Risk_Matrix!$A$2:$A$4,0),MATCH(F981,Risk_Matrix!$B$1:$D$1,0))</f>
        <v>Low</v>
      </c>
      <c r="H981" s="1">
        <v>46222</v>
      </c>
      <c r="I981" t="s">
        <v>1987</v>
      </c>
      <c r="J981" t="s">
        <v>1988</v>
      </c>
      <c r="K981" t="s">
        <v>1993</v>
      </c>
      <c r="L981">
        <f>IF(G981="High",3,IF(G981="Medium",2,1))</f>
        <v>1</v>
      </c>
    </row>
    <row r="982" spans="1:12">
      <c r="A982" t="s">
        <v>3008</v>
      </c>
      <c r="B982" t="s">
        <v>967</v>
      </c>
      <c r="C982" t="s">
        <v>1995</v>
      </c>
      <c r="D982" t="s">
        <v>2018</v>
      </c>
      <c r="E982" t="s">
        <v>57</v>
      </c>
      <c r="F982" t="s">
        <v>1971</v>
      </c>
      <c r="G982" t="str">
        <f>INDEX(Risk_Matrix!$B$2:$D$4,MATCH(E982,Risk_Matrix!$A$2:$A$4,0),MATCH(F982,Risk_Matrix!$B$1:$D$1,0))</f>
        <v>Low</v>
      </c>
      <c r="H982" s="1">
        <v>46230</v>
      </c>
      <c r="I982" t="s">
        <v>2015</v>
      </c>
      <c r="J982" t="s">
        <v>2016</v>
      </c>
      <c r="K982" t="s">
        <v>2036</v>
      </c>
      <c r="L982">
        <f>IF(G982="High",3,IF(G982="Medium",2,1))</f>
        <v>1</v>
      </c>
    </row>
    <row r="983" spans="1:12">
      <c r="A983" t="s">
        <v>3009</v>
      </c>
      <c r="B983" t="s">
        <v>967</v>
      </c>
      <c r="C983" t="s">
        <v>2000</v>
      </c>
      <c r="D983" t="s">
        <v>2045</v>
      </c>
      <c r="E983" t="s">
        <v>1971</v>
      </c>
      <c r="F983" t="s">
        <v>47</v>
      </c>
      <c r="G983" t="str">
        <f>INDEX(Risk_Matrix!$B$2:$D$4,MATCH(E983,Risk_Matrix!$A$2:$A$4,0),MATCH(F983,Risk_Matrix!$B$1:$D$1,0))</f>
        <v>High</v>
      </c>
      <c r="H983" s="1">
        <v>46139</v>
      </c>
      <c r="I983" t="s">
        <v>2025</v>
      </c>
      <c r="J983" t="s">
        <v>2035</v>
      </c>
      <c r="K983" t="s">
        <v>1993</v>
      </c>
      <c r="L983">
        <f>IF(G983="High",3,IF(G983="Medium",2,1))</f>
        <v>3</v>
      </c>
    </row>
    <row r="984" spans="1:12">
      <c r="A984" t="s">
        <v>3010</v>
      </c>
      <c r="B984" t="s">
        <v>967</v>
      </c>
      <c r="C984" t="s">
        <v>2005</v>
      </c>
      <c r="D984" t="s">
        <v>2039</v>
      </c>
      <c r="E984" t="s">
        <v>1971</v>
      </c>
      <c r="F984" t="s">
        <v>1971</v>
      </c>
      <c r="G984" t="str">
        <f>INDEX(Risk_Matrix!$B$2:$D$4,MATCH(E984,Risk_Matrix!$A$2:$A$4,0),MATCH(F984,Risk_Matrix!$B$1:$D$1,0))</f>
        <v>Medium</v>
      </c>
      <c r="H984" s="1">
        <v>46124</v>
      </c>
      <c r="I984" t="s">
        <v>2025</v>
      </c>
      <c r="J984" t="s">
        <v>2035</v>
      </c>
      <c r="K984" t="s">
        <v>1993</v>
      </c>
      <c r="L984">
        <f>IF(G984="High",3,IF(G984="Medium",2,1))</f>
        <v>2</v>
      </c>
    </row>
    <row r="985" spans="1:12">
      <c r="A985" t="s">
        <v>3011</v>
      </c>
      <c r="B985" t="s">
        <v>967</v>
      </c>
      <c r="C985" t="s">
        <v>2008</v>
      </c>
      <c r="D985" t="s">
        <v>2009</v>
      </c>
      <c r="E985" t="s">
        <v>1971</v>
      </c>
      <c r="F985" t="s">
        <v>1971</v>
      </c>
      <c r="G985" t="str">
        <f>INDEX(Risk_Matrix!$B$2:$D$4,MATCH(E985,Risk_Matrix!$A$2:$A$4,0),MATCH(F985,Risk_Matrix!$B$1:$D$1,0))</f>
        <v>Medium</v>
      </c>
      <c r="H985" s="1">
        <v>46198</v>
      </c>
      <c r="I985" t="s">
        <v>2025</v>
      </c>
      <c r="J985" t="s">
        <v>2035</v>
      </c>
      <c r="K985" t="s">
        <v>1998</v>
      </c>
      <c r="L985">
        <f>IF(G985="High",3,IF(G985="Medium",2,1))</f>
        <v>2</v>
      </c>
    </row>
    <row r="986" spans="1:12">
      <c r="A986" t="s">
        <v>3012</v>
      </c>
      <c r="B986" t="s">
        <v>970</v>
      </c>
      <c r="C986" t="s">
        <v>1985</v>
      </c>
      <c r="D986" t="s">
        <v>2012</v>
      </c>
      <c r="E986" t="s">
        <v>47</v>
      </c>
      <c r="F986" t="s">
        <v>47</v>
      </c>
      <c r="G986" t="str">
        <f>INDEX(Risk_Matrix!$B$2:$D$4,MATCH(E986,Risk_Matrix!$A$2:$A$4,0),MATCH(F986,Risk_Matrix!$B$1:$D$1,0))</f>
        <v>High</v>
      </c>
      <c r="H986" s="1">
        <v>46077</v>
      </c>
      <c r="I986" t="s">
        <v>2025</v>
      </c>
      <c r="J986" t="s">
        <v>2035</v>
      </c>
      <c r="K986" t="s">
        <v>1998</v>
      </c>
      <c r="L986">
        <f>IF(G986="High",3,IF(G986="Medium",2,1))</f>
        <v>3</v>
      </c>
    </row>
    <row r="987" spans="1:12">
      <c r="A987" t="s">
        <v>3013</v>
      </c>
      <c r="B987" t="s">
        <v>970</v>
      </c>
      <c r="C987" t="s">
        <v>1991</v>
      </c>
      <c r="D987" t="s">
        <v>2064</v>
      </c>
      <c r="E987" t="s">
        <v>57</v>
      </c>
      <c r="F987" t="s">
        <v>57</v>
      </c>
      <c r="G987" t="str">
        <f>INDEX(Risk_Matrix!$B$2:$D$4,MATCH(E987,Risk_Matrix!$A$2:$A$4,0),MATCH(F987,Risk_Matrix!$B$1:$D$1,0))</f>
        <v>Low</v>
      </c>
      <c r="H987" s="1">
        <v>46078</v>
      </c>
      <c r="I987" t="s">
        <v>2025</v>
      </c>
      <c r="J987" t="s">
        <v>2035</v>
      </c>
      <c r="K987" t="s">
        <v>1993</v>
      </c>
      <c r="L987">
        <f>IF(G987="High",3,IF(G987="Medium",2,1))</f>
        <v>1</v>
      </c>
    </row>
    <row r="988" spans="1:12">
      <c r="A988" t="s">
        <v>3014</v>
      </c>
      <c r="B988" t="s">
        <v>970</v>
      </c>
      <c r="C988" t="s">
        <v>1995</v>
      </c>
      <c r="D988" t="s">
        <v>2018</v>
      </c>
      <c r="E988" t="s">
        <v>57</v>
      </c>
      <c r="F988" t="s">
        <v>57</v>
      </c>
      <c r="G988" t="str">
        <f>INDEX(Risk_Matrix!$B$2:$D$4,MATCH(E988,Risk_Matrix!$A$2:$A$4,0),MATCH(F988,Risk_Matrix!$B$1:$D$1,0))</f>
        <v>Low</v>
      </c>
      <c r="H988" s="1">
        <v>46162</v>
      </c>
      <c r="I988" t="s">
        <v>2015</v>
      </c>
      <c r="J988" t="s">
        <v>2032</v>
      </c>
      <c r="K988" t="s">
        <v>1998</v>
      </c>
      <c r="L988">
        <f>IF(G988="High",3,IF(G988="Medium",2,1))</f>
        <v>1</v>
      </c>
    </row>
    <row r="989" spans="1:12">
      <c r="A989" t="s">
        <v>3015</v>
      </c>
      <c r="B989" t="s">
        <v>970</v>
      </c>
      <c r="C989" t="s">
        <v>2000</v>
      </c>
      <c r="D989" t="s">
        <v>2001</v>
      </c>
      <c r="E989" t="s">
        <v>57</v>
      </c>
      <c r="F989" t="s">
        <v>1971</v>
      </c>
      <c r="G989" t="str">
        <f>INDEX(Risk_Matrix!$B$2:$D$4,MATCH(E989,Risk_Matrix!$A$2:$A$4,0),MATCH(F989,Risk_Matrix!$B$1:$D$1,0))</f>
        <v>Low</v>
      </c>
      <c r="H989" s="1">
        <v>46228</v>
      </c>
      <c r="I989" t="s">
        <v>2015</v>
      </c>
      <c r="J989" t="s">
        <v>2032</v>
      </c>
      <c r="K989" t="s">
        <v>1993</v>
      </c>
      <c r="L989">
        <f>IF(G989="High",3,IF(G989="Medium",2,1))</f>
        <v>1</v>
      </c>
    </row>
    <row r="990" spans="1:12">
      <c r="A990" t="s">
        <v>3016</v>
      </c>
      <c r="B990" t="s">
        <v>970</v>
      </c>
      <c r="C990" t="s">
        <v>2005</v>
      </c>
      <c r="D990" t="s">
        <v>2006</v>
      </c>
      <c r="E990" t="s">
        <v>57</v>
      </c>
      <c r="F990" t="s">
        <v>1971</v>
      </c>
      <c r="G990" t="str">
        <f>INDEX(Risk_Matrix!$B$2:$D$4,MATCH(E990,Risk_Matrix!$A$2:$A$4,0),MATCH(F990,Risk_Matrix!$B$1:$D$1,0))</f>
        <v>Low</v>
      </c>
      <c r="H990" s="1">
        <v>46172</v>
      </c>
      <c r="I990" t="s">
        <v>1987</v>
      </c>
      <c r="J990" t="s">
        <v>1997</v>
      </c>
      <c r="K990" t="s">
        <v>1993</v>
      </c>
      <c r="L990">
        <f>IF(G990="High",3,IF(G990="Medium",2,1))</f>
        <v>1</v>
      </c>
    </row>
    <row r="991" spans="1:12">
      <c r="A991" t="s">
        <v>3017</v>
      </c>
      <c r="B991" t="s">
        <v>970</v>
      </c>
      <c r="C991" t="s">
        <v>2008</v>
      </c>
      <c r="D991" t="s">
        <v>2054</v>
      </c>
      <c r="E991" t="s">
        <v>57</v>
      </c>
      <c r="F991" t="s">
        <v>57</v>
      </c>
      <c r="G991" t="str">
        <f>INDEX(Risk_Matrix!$B$2:$D$4,MATCH(E991,Risk_Matrix!$A$2:$A$4,0),MATCH(F991,Risk_Matrix!$B$1:$D$1,0))</f>
        <v>Low</v>
      </c>
      <c r="H991" s="1">
        <v>46198</v>
      </c>
      <c r="I991" t="s">
        <v>2015</v>
      </c>
      <c r="J991" t="s">
        <v>2016</v>
      </c>
      <c r="K991" t="s">
        <v>2010</v>
      </c>
      <c r="L991">
        <f>IF(G991="High",3,IF(G991="Medium",2,1))</f>
        <v>1</v>
      </c>
    </row>
    <row r="992" spans="1:12">
      <c r="A992" t="s">
        <v>3018</v>
      </c>
      <c r="B992" t="s">
        <v>973</v>
      </c>
      <c r="C992" t="s">
        <v>1985</v>
      </c>
      <c r="D992" t="s">
        <v>1986</v>
      </c>
      <c r="E992" t="s">
        <v>1971</v>
      </c>
      <c r="F992" t="s">
        <v>57</v>
      </c>
      <c r="G992" t="str">
        <f>INDEX(Risk_Matrix!$B$2:$D$4,MATCH(E992,Risk_Matrix!$A$2:$A$4,0),MATCH(F992,Risk_Matrix!$B$1:$D$1,0))</f>
        <v>Low</v>
      </c>
      <c r="H992" s="1">
        <v>46089</v>
      </c>
      <c r="I992" t="s">
        <v>2002</v>
      </c>
      <c r="J992" t="s">
        <v>2029</v>
      </c>
      <c r="K992" t="s">
        <v>1998</v>
      </c>
      <c r="L992">
        <f>IF(G992="High",3,IF(G992="Medium",2,1))</f>
        <v>1</v>
      </c>
    </row>
    <row r="993" spans="1:12">
      <c r="A993" t="s">
        <v>3019</v>
      </c>
      <c r="B993" t="s">
        <v>973</v>
      </c>
      <c r="C993" t="s">
        <v>1991</v>
      </c>
      <c r="D993" t="s">
        <v>1992</v>
      </c>
      <c r="E993" t="s">
        <v>47</v>
      </c>
      <c r="F993" t="s">
        <v>1971</v>
      </c>
      <c r="G993" t="str">
        <f>INDEX(Risk_Matrix!$B$2:$D$4,MATCH(E993,Risk_Matrix!$A$2:$A$4,0),MATCH(F993,Risk_Matrix!$B$1:$D$1,0))</f>
        <v>High</v>
      </c>
      <c r="H993" s="1">
        <v>46059</v>
      </c>
      <c r="I993" t="s">
        <v>2025</v>
      </c>
      <c r="J993" t="s">
        <v>2026</v>
      </c>
      <c r="K993" t="s">
        <v>1993</v>
      </c>
      <c r="L993">
        <f>IF(G993="High",3,IF(G993="Medium",2,1))</f>
        <v>3</v>
      </c>
    </row>
    <row r="994" spans="1:12">
      <c r="A994" t="s">
        <v>3020</v>
      </c>
      <c r="B994" t="s">
        <v>973</v>
      </c>
      <c r="C994" t="s">
        <v>1995</v>
      </c>
      <c r="D994" t="s">
        <v>2018</v>
      </c>
      <c r="E994" t="s">
        <v>1971</v>
      </c>
      <c r="F994" t="s">
        <v>57</v>
      </c>
      <c r="G994" t="str">
        <f>INDEX(Risk_Matrix!$B$2:$D$4,MATCH(E994,Risk_Matrix!$A$2:$A$4,0),MATCH(F994,Risk_Matrix!$B$1:$D$1,0))</f>
        <v>Low</v>
      </c>
      <c r="H994" s="1">
        <v>46127</v>
      </c>
      <c r="I994" t="s">
        <v>2002</v>
      </c>
      <c r="J994" t="s">
        <v>2029</v>
      </c>
      <c r="K994" t="s">
        <v>1998</v>
      </c>
      <c r="L994">
        <f>IF(G994="High",3,IF(G994="Medium",2,1))</f>
        <v>1</v>
      </c>
    </row>
    <row r="995" spans="1:12">
      <c r="A995" t="s">
        <v>3021</v>
      </c>
      <c r="B995" t="s">
        <v>973</v>
      </c>
      <c r="C995" t="s">
        <v>2000</v>
      </c>
      <c r="D995" t="s">
        <v>2001</v>
      </c>
      <c r="E995" t="s">
        <v>57</v>
      </c>
      <c r="F995" t="s">
        <v>57</v>
      </c>
      <c r="G995" t="str">
        <f>INDEX(Risk_Matrix!$B$2:$D$4,MATCH(E995,Risk_Matrix!$A$2:$A$4,0),MATCH(F995,Risk_Matrix!$B$1:$D$1,0))</f>
        <v>Low</v>
      </c>
      <c r="H995" s="1">
        <v>46172</v>
      </c>
      <c r="I995" t="s">
        <v>2015</v>
      </c>
      <c r="J995" t="s">
        <v>2032</v>
      </c>
      <c r="K995" t="s">
        <v>1993</v>
      </c>
      <c r="L995">
        <f>IF(G995="High",3,IF(G995="Medium",2,1))</f>
        <v>1</v>
      </c>
    </row>
    <row r="996" spans="1:12">
      <c r="A996" t="s">
        <v>3022</v>
      </c>
      <c r="B996" t="s">
        <v>973</v>
      </c>
      <c r="C996" t="s">
        <v>2005</v>
      </c>
      <c r="D996" t="s">
        <v>2006</v>
      </c>
      <c r="E996" t="s">
        <v>1971</v>
      </c>
      <c r="F996" t="s">
        <v>57</v>
      </c>
      <c r="G996" t="str">
        <f>INDEX(Risk_Matrix!$B$2:$D$4,MATCH(E996,Risk_Matrix!$A$2:$A$4,0),MATCH(F996,Risk_Matrix!$B$1:$D$1,0))</f>
        <v>Low</v>
      </c>
      <c r="H996" s="1">
        <v>46134</v>
      </c>
      <c r="I996" t="s">
        <v>1987</v>
      </c>
      <c r="J996" t="s">
        <v>1988</v>
      </c>
      <c r="K996" t="s">
        <v>1993</v>
      </c>
      <c r="L996">
        <f>IF(G996="High",3,IF(G996="Medium",2,1))</f>
        <v>1</v>
      </c>
    </row>
    <row r="997" spans="1:12">
      <c r="A997" t="s">
        <v>3023</v>
      </c>
      <c r="B997" t="s">
        <v>973</v>
      </c>
      <c r="C997" t="s">
        <v>2008</v>
      </c>
      <c r="D997" t="s">
        <v>2054</v>
      </c>
      <c r="E997" t="s">
        <v>57</v>
      </c>
      <c r="F997" t="s">
        <v>57</v>
      </c>
      <c r="G997" t="str">
        <f>INDEX(Risk_Matrix!$B$2:$D$4,MATCH(E997,Risk_Matrix!$A$2:$A$4,0),MATCH(F997,Risk_Matrix!$B$1:$D$1,0))</f>
        <v>Low</v>
      </c>
      <c r="H997" s="1">
        <v>46207</v>
      </c>
      <c r="I997" t="s">
        <v>2002</v>
      </c>
      <c r="J997" t="s">
        <v>2003</v>
      </c>
      <c r="K997" t="s">
        <v>2010</v>
      </c>
      <c r="L997">
        <f>IF(G997="High",3,IF(G997="Medium",2,1))</f>
        <v>1</v>
      </c>
    </row>
    <row r="998" spans="1:12">
      <c r="A998" t="s">
        <v>3024</v>
      </c>
      <c r="B998" t="s">
        <v>975</v>
      </c>
      <c r="C998" t="s">
        <v>1985</v>
      </c>
      <c r="D998" t="s">
        <v>1986</v>
      </c>
      <c r="E998" t="s">
        <v>1971</v>
      </c>
      <c r="F998" t="s">
        <v>1971</v>
      </c>
      <c r="G998" t="str">
        <f>INDEX(Risk_Matrix!$B$2:$D$4,MATCH(E998,Risk_Matrix!$A$2:$A$4,0),MATCH(F998,Risk_Matrix!$B$1:$D$1,0))</f>
        <v>Medium</v>
      </c>
      <c r="H998" s="1">
        <v>46206</v>
      </c>
      <c r="I998" t="s">
        <v>2015</v>
      </c>
      <c r="J998" t="s">
        <v>2016</v>
      </c>
      <c r="K998" t="s">
        <v>1998</v>
      </c>
      <c r="L998">
        <f>IF(G998="High",3,IF(G998="Medium",2,1))</f>
        <v>2</v>
      </c>
    </row>
    <row r="999" spans="1:12">
      <c r="A999" t="s">
        <v>3025</v>
      </c>
      <c r="B999" t="s">
        <v>975</v>
      </c>
      <c r="C999" t="s">
        <v>1991</v>
      </c>
      <c r="D999" t="s">
        <v>2031</v>
      </c>
      <c r="E999" t="s">
        <v>1971</v>
      </c>
      <c r="F999" t="s">
        <v>47</v>
      </c>
      <c r="G999" t="str">
        <f>INDEX(Risk_Matrix!$B$2:$D$4,MATCH(E999,Risk_Matrix!$A$2:$A$4,0),MATCH(F999,Risk_Matrix!$B$1:$D$1,0))</f>
        <v>High</v>
      </c>
      <c r="H999" s="1">
        <v>46228</v>
      </c>
      <c r="I999" t="s">
        <v>2015</v>
      </c>
      <c r="J999" t="s">
        <v>2032</v>
      </c>
      <c r="K999" t="s">
        <v>1993</v>
      </c>
      <c r="L999">
        <f>IF(G999="High",3,IF(G999="Medium",2,1))</f>
        <v>3</v>
      </c>
    </row>
    <row r="1000" spans="1:12">
      <c r="A1000" t="s">
        <v>3026</v>
      </c>
      <c r="B1000" t="s">
        <v>975</v>
      </c>
      <c r="C1000" t="s">
        <v>1995</v>
      </c>
      <c r="D1000" t="s">
        <v>2150</v>
      </c>
      <c r="E1000" t="s">
        <v>47</v>
      </c>
      <c r="F1000" t="s">
        <v>57</v>
      </c>
      <c r="G1000" t="str">
        <f>INDEX(Risk_Matrix!$B$2:$D$4,MATCH(E1000,Risk_Matrix!$A$2:$A$4,0),MATCH(F1000,Risk_Matrix!$B$1:$D$1,0))</f>
        <v>Medium</v>
      </c>
      <c r="H1000" s="1">
        <v>46224</v>
      </c>
      <c r="I1000" t="s">
        <v>1987</v>
      </c>
      <c r="J1000" t="s">
        <v>1988</v>
      </c>
      <c r="K1000" t="s">
        <v>2036</v>
      </c>
      <c r="L1000">
        <f>IF(G1000="High",3,IF(G1000="Medium",2,1))</f>
        <v>2</v>
      </c>
    </row>
    <row r="1001" spans="1:12">
      <c r="A1001" t="s">
        <v>3027</v>
      </c>
      <c r="B1001" t="s">
        <v>975</v>
      </c>
      <c r="C1001" t="s">
        <v>2000</v>
      </c>
      <c r="D1001" t="s">
        <v>2045</v>
      </c>
      <c r="E1001" t="s">
        <v>57</v>
      </c>
      <c r="F1001" t="s">
        <v>57</v>
      </c>
      <c r="G1001" t="str">
        <f>INDEX(Risk_Matrix!$B$2:$D$4,MATCH(E1001,Risk_Matrix!$A$2:$A$4,0),MATCH(F1001,Risk_Matrix!$B$1:$D$1,0))</f>
        <v>Low</v>
      </c>
      <c r="H1001" s="1">
        <v>46096</v>
      </c>
      <c r="I1001" t="s">
        <v>2025</v>
      </c>
      <c r="J1001" t="s">
        <v>2026</v>
      </c>
      <c r="K1001" t="s">
        <v>1993</v>
      </c>
      <c r="L1001">
        <f>IF(G1001="High",3,IF(G1001="Medium",2,1))</f>
        <v>1</v>
      </c>
    </row>
    <row r="1002" spans="1:12">
      <c r="A1002" t="s">
        <v>3028</v>
      </c>
      <c r="B1002" t="s">
        <v>975</v>
      </c>
      <c r="C1002" t="s">
        <v>2005</v>
      </c>
      <c r="D1002" t="s">
        <v>2006</v>
      </c>
      <c r="E1002" t="s">
        <v>57</v>
      </c>
      <c r="F1002" t="s">
        <v>57</v>
      </c>
      <c r="G1002" t="str">
        <f>INDEX(Risk_Matrix!$B$2:$D$4,MATCH(E1002,Risk_Matrix!$A$2:$A$4,0),MATCH(F1002,Risk_Matrix!$B$1:$D$1,0))</f>
        <v>Low</v>
      </c>
      <c r="H1002" s="1">
        <v>46167</v>
      </c>
      <c r="I1002" t="s">
        <v>1987</v>
      </c>
      <c r="J1002" t="s">
        <v>1997</v>
      </c>
      <c r="K1002" t="s">
        <v>1993</v>
      </c>
      <c r="L1002">
        <f>IF(G1002="High",3,IF(G1002="Medium",2,1))</f>
        <v>1</v>
      </c>
    </row>
    <row r="1003" spans="1:12">
      <c r="A1003" t="s">
        <v>3029</v>
      </c>
      <c r="B1003" t="s">
        <v>975</v>
      </c>
      <c r="C1003" t="s">
        <v>2008</v>
      </c>
      <c r="D1003" t="s">
        <v>2009</v>
      </c>
      <c r="E1003" t="s">
        <v>57</v>
      </c>
      <c r="F1003" t="s">
        <v>57</v>
      </c>
      <c r="G1003" t="str">
        <f>INDEX(Risk_Matrix!$B$2:$D$4,MATCH(E1003,Risk_Matrix!$A$2:$A$4,0),MATCH(F1003,Risk_Matrix!$B$1:$D$1,0))</f>
        <v>Low</v>
      </c>
      <c r="H1003" s="1">
        <v>46231</v>
      </c>
      <c r="I1003" t="s">
        <v>2015</v>
      </c>
      <c r="J1003" t="s">
        <v>2032</v>
      </c>
      <c r="K1003" t="s">
        <v>2010</v>
      </c>
      <c r="L1003">
        <f>IF(G1003="High",3,IF(G1003="Medium",2,1))</f>
        <v>1</v>
      </c>
    </row>
    <row r="1004" spans="1:12">
      <c r="A1004" t="s">
        <v>3030</v>
      </c>
      <c r="B1004" t="s">
        <v>977</v>
      </c>
      <c r="C1004" t="s">
        <v>1985</v>
      </c>
      <c r="D1004" t="s">
        <v>2012</v>
      </c>
      <c r="E1004" t="s">
        <v>57</v>
      </c>
      <c r="F1004" t="s">
        <v>57</v>
      </c>
      <c r="G1004" t="str">
        <f>INDEX(Risk_Matrix!$B$2:$D$4,MATCH(E1004,Risk_Matrix!$A$2:$A$4,0),MATCH(F1004,Risk_Matrix!$B$1:$D$1,0))</f>
        <v>Low</v>
      </c>
      <c r="H1004" s="1">
        <v>46060</v>
      </c>
      <c r="I1004" t="s">
        <v>2025</v>
      </c>
      <c r="J1004" t="s">
        <v>2035</v>
      </c>
      <c r="K1004" t="s">
        <v>1989</v>
      </c>
      <c r="L1004">
        <f>IF(G1004="High",3,IF(G1004="Medium",2,1))</f>
        <v>1</v>
      </c>
    </row>
    <row r="1005" spans="1:12">
      <c r="A1005" t="s">
        <v>3031</v>
      </c>
      <c r="B1005" t="s">
        <v>977</v>
      </c>
      <c r="C1005" t="s">
        <v>1991</v>
      </c>
      <c r="D1005" t="s">
        <v>2064</v>
      </c>
      <c r="E1005" t="s">
        <v>57</v>
      </c>
      <c r="F1005" t="s">
        <v>1971</v>
      </c>
      <c r="G1005" t="str">
        <f>INDEX(Risk_Matrix!$B$2:$D$4,MATCH(E1005,Risk_Matrix!$A$2:$A$4,0),MATCH(F1005,Risk_Matrix!$B$1:$D$1,0))</f>
        <v>Low</v>
      </c>
      <c r="H1005" s="1">
        <v>46175</v>
      </c>
      <c r="I1005" t="s">
        <v>2015</v>
      </c>
      <c r="J1005" t="s">
        <v>2032</v>
      </c>
      <c r="K1005" t="s">
        <v>1993</v>
      </c>
      <c r="L1005">
        <f>IF(G1005="High",3,IF(G1005="Medium",2,1))</f>
        <v>1</v>
      </c>
    </row>
    <row r="1006" spans="1:12">
      <c r="A1006" t="s">
        <v>3032</v>
      </c>
      <c r="B1006" t="s">
        <v>977</v>
      </c>
      <c r="C1006" t="s">
        <v>1995</v>
      </c>
      <c r="D1006" t="s">
        <v>2034</v>
      </c>
      <c r="E1006" t="s">
        <v>1971</v>
      </c>
      <c r="F1006" t="s">
        <v>1971</v>
      </c>
      <c r="G1006" t="str">
        <f>INDEX(Risk_Matrix!$B$2:$D$4,MATCH(E1006,Risk_Matrix!$A$2:$A$4,0),MATCH(F1006,Risk_Matrix!$B$1:$D$1,0))</f>
        <v>Medium</v>
      </c>
      <c r="H1006" s="1">
        <v>46160</v>
      </c>
      <c r="I1006" t="s">
        <v>2015</v>
      </c>
      <c r="J1006" t="s">
        <v>2032</v>
      </c>
      <c r="K1006" t="s">
        <v>1998</v>
      </c>
      <c r="L1006">
        <f>IF(G1006="High",3,IF(G1006="Medium",2,1))</f>
        <v>2</v>
      </c>
    </row>
    <row r="1007" spans="1:12">
      <c r="A1007" t="s">
        <v>3033</v>
      </c>
      <c r="B1007" t="s">
        <v>977</v>
      </c>
      <c r="C1007" t="s">
        <v>2000</v>
      </c>
      <c r="D1007" t="s">
        <v>2045</v>
      </c>
      <c r="E1007" t="s">
        <v>57</v>
      </c>
      <c r="F1007" t="s">
        <v>47</v>
      </c>
      <c r="G1007" t="str">
        <f>INDEX(Risk_Matrix!$B$2:$D$4,MATCH(E1007,Risk_Matrix!$A$2:$A$4,0),MATCH(F1007,Risk_Matrix!$B$1:$D$1,0))</f>
        <v>Medium</v>
      </c>
      <c r="H1007" s="1">
        <v>46189</v>
      </c>
      <c r="I1007" t="s">
        <v>2015</v>
      </c>
      <c r="J1007" t="s">
        <v>2016</v>
      </c>
      <c r="K1007" t="s">
        <v>1989</v>
      </c>
      <c r="L1007">
        <f>IF(G1007="High",3,IF(G1007="Medium",2,1))</f>
        <v>2</v>
      </c>
    </row>
    <row r="1008" spans="1:12">
      <c r="A1008" t="s">
        <v>3034</v>
      </c>
      <c r="B1008" t="s">
        <v>977</v>
      </c>
      <c r="C1008" t="s">
        <v>2005</v>
      </c>
      <c r="D1008" t="s">
        <v>2006</v>
      </c>
      <c r="E1008" t="s">
        <v>47</v>
      </c>
      <c r="F1008" t="s">
        <v>57</v>
      </c>
      <c r="G1008" t="str">
        <f>INDEX(Risk_Matrix!$B$2:$D$4,MATCH(E1008,Risk_Matrix!$A$2:$A$4,0),MATCH(F1008,Risk_Matrix!$B$1:$D$1,0))</f>
        <v>Medium</v>
      </c>
      <c r="H1008" s="1">
        <v>46171</v>
      </c>
      <c r="I1008" t="s">
        <v>2015</v>
      </c>
      <c r="J1008" t="s">
        <v>2016</v>
      </c>
      <c r="K1008" t="s">
        <v>2036</v>
      </c>
      <c r="L1008">
        <f>IF(G1008="High",3,IF(G1008="Medium",2,1))</f>
        <v>2</v>
      </c>
    </row>
    <row r="1009" spans="1:12">
      <c r="A1009" t="s">
        <v>3035</v>
      </c>
      <c r="B1009" t="s">
        <v>977</v>
      </c>
      <c r="C1009" t="s">
        <v>2008</v>
      </c>
      <c r="D1009" t="s">
        <v>2024</v>
      </c>
      <c r="E1009" t="s">
        <v>1971</v>
      </c>
      <c r="F1009" t="s">
        <v>57</v>
      </c>
      <c r="G1009" t="str">
        <f>INDEX(Risk_Matrix!$B$2:$D$4,MATCH(E1009,Risk_Matrix!$A$2:$A$4,0),MATCH(F1009,Risk_Matrix!$B$1:$D$1,0))</f>
        <v>Low</v>
      </c>
      <c r="H1009" s="1">
        <v>46081</v>
      </c>
      <c r="I1009" t="s">
        <v>1987</v>
      </c>
      <c r="J1009" t="s">
        <v>1997</v>
      </c>
      <c r="K1009" t="s">
        <v>2010</v>
      </c>
      <c r="L1009">
        <f>IF(G1009="High",3,IF(G1009="Medium",2,1))</f>
        <v>1</v>
      </c>
    </row>
    <row r="1010" spans="1:12">
      <c r="A1010" t="s">
        <v>3036</v>
      </c>
      <c r="B1010" t="s">
        <v>979</v>
      </c>
      <c r="C1010" t="s">
        <v>1985</v>
      </c>
      <c r="D1010" t="s">
        <v>2012</v>
      </c>
      <c r="E1010" t="s">
        <v>57</v>
      </c>
      <c r="F1010" t="s">
        <v>1971</v>
      </c>
      <c r="G1010" t="str">
        <f>INDEX(Risk_Matrix!$B$2:$D$4,MATCH(E1010,Risk_Matrix!$A$2:$A$4,0),MATCH(F1010,Risk_Matrix!$B$1:$D$1,0))</f>
        <v>Low</v>
      </c>
      <c r="H1010" s="1">
        <v>46099</v>
      </c>
      <c r="I1010" t="s">
        <v>1987</v>
      </c>
      <c r="J1010" t="s">
        <v>1997</v>
      </c>
      <c r="K1010" t="s">
        <v>1998</v>
      </c>
      <c r="L1010">
        <f>IF(G1010="High",3,IF(G1010="Medium",2,1))</f>
        <v>1</v>
      </c>
    </row>
    <row r="1011" spans="1:12">
      <c r="A1011" t="s">
        <v>3037</v>
      </c>
      <c r="B1011" t="s">
        <v>979</v>
      </c>
      <c r="C1011" t="s">
        <v>1991</v>
      </c>
      <c r="D1011" t="s">
        <v>1992</v>
      </c>
      <c r="E1011" t="s">
        <v>47</v>
      </c>
      <c r="F1011" t="s">
        <v>1971</v>
      </c>
      <c r="G1011" t="str">
        <f>INDEX(Risk_Matrix!$B$2:$D$4,MATCH(E1011,Risk_Matrix!$A$2:$A$4,0),MATCH(F1011,Risk_Matrix!$B$1:$D$1,0))</f>
        <v>High</v>
      </c>
      <c r="H1011" s="1">
        <v>46162</v>
      </c>
      <c r="I1011" t="s">
        <v>2025</v>
      </c>
      <c r="J1011" t="s">
        <v>2035</v>
      </c>
      <c r="K1011" t="s">
        <v>2010</v>
      </c>
      <c r="L1011">
        <f>IF(G1011="High",3,IF(G1011="Medium",2,1))</f>
        <v>3</v>
      </c>
    </row>
    <row r="1012" spans="1:12">
      <c r="A1012" t="s">
        <v>3038</v>
      </c>
      <c r="B1012" t="s">
        <v>979</v>
      </c>
      <c r="C1012" t="s">
        <v>1995</v>
      </c>
      <c r="D1012" t="s">
        <v>2018</v>
      </c>
      <c r="E1012" t="s">
        <v>1971</v>
      </c>
      <c r="F1012" t="s">
        <v>47</v>
      </c>
      <c r="G1012" t="str">
        <f>INDEX(Risk_Matrix!$B$2:$D$4,MATCH(E1012,Risk_Matrix!$A$2:$A$4,0),MATCH(F1012,Risk_Matrix!$B$1:$D$1,0))</f>
        <v>High</v>
      </c>
      <c r="H1012" s="1">
        <v>46213</v>
      </c>
      <c r="I1012" t="s">
        <v>2025</v>
      </c>
      <c r="J1012" t="s">
        <v>2035</v>
      </c>
      <c r="K1012" t="s">
        <v>2036</v>
      </c>
      <c r="L1012">
        <f>IF(G1012="High",3,IF(G1012="Medium",2,1))</f>
        <v>3</v>
      </c>
    </row>
    <row r="1013" spans="1:12">
      <c r="A1013" t="s">
        <v>3039</v>
      </c>
      <c r="B1013" t="s">
        <v>979</v>
      </c>
      <c r="C1013" t="s">
        <v>2000</v>
      </c>
      <c r="D1013" t="s">
        <v>2001</v>
      </c>
      <c r="E1013" t="s">
        <v>47</v>
      </c>
      <c r="F1013" t="s">
        <v>57</v>
      </c>
      <c r="G1013" t="str">
        <f>INDEX(Risk_Matrix!$B$2:$D$4,MATCH(E1013,Risk_Matrix!$A$2:$A$4,0),MATCH(F1013,Risk_Matrix!$B$1:$D$1,0))</f>
        <v>Medium</v>
      </c>
      <c r="H1013" s="1">
        <v>46237</v>
      </c>
      <c r="I1013" t="s">
        <v>2025</v>
      </c>
      <c r="J1013" t="s">
        <v>2026</v>
      </c>
      <c r="K1013" t="s">
        <v>1993</v>
      </c>
      <c r="L1013">
        <f>IF(G1013="High",3,IF(G1013="Medium",2,1))</f>
        <v>2</v>
      </c>
    </row>
    <row r="1014" spans="1:12">
      <c r="A1014" t="s">
        <v>3040</v>
      </c>
      <c r="B1014" t="s">
        <v>979</v>
      </c>
      <c r="C1014" t="s">
        <v>2005</v>
      </c>
      <c r="D1014" t="s">
        <v>2006</v>
      </c>
      <c r="E1014" t="s">
        <v>57</v>
      </c>
      <c r="F1014" t="s">
        <v>1971</v>
      </c>
      <c r="G1014" t="str">
        <f>INDEX(Risk_Matrix!$B$2:$D$4,MATCH(E1014,Risk_Matrix!$A$2:$A$4,0),MATCH(F1014,Risk_Matrix!$B$1:$D$1,0))</f>
        <v>Low</v>
      </c>
      <c r="H1014" s="1">
        <v>46183</v>
      </c>
      <c r="I1014" t="s">
        <v>2015</v>
      </c>
      <c r="J1014" t="s">
        <v>2016</v>
      </c>
      <c r="K1014" t="s">
        <v>1993</v>
      </c>
      <c r="L1014">
        <f>IF(G1014="High",3,IF(G1014="Medium",2,1))</f>
        <v>1</v>
      </c>
    </row>
    <row r="1015" spans="1:12">
      <c r="A1015" t="s">
        <v>3041</v>
      </c>
      <c r="B1015" t="s">
        <v>979</v>
      </c>
      <c r="C1015" t="s">
        <v>2008</v>
      </c>
      <c r="D1015" t="s">
        <v>2054</v>
      </c>
      <c r="E1015" t="s">
        <v>47</v>
      </c>
      <c r="F1015" t="s">
        <v>47</v>
      </c>
      <c r="G1015" t="str">
        <f>INDEX(Risk_Matrix!$B$2:$D$4,MATCH(E1015,Risk_Matrix!$A$2:$A$4,0),MATCH(F1015,Risk_Matrix!$B$1:$D$1,0))</f>
        <v>High</v>
      </c>
      <c r="H1015" s="1">
        <v>46195</v>
      </c>
      <c r="I1015" t="s">
        <v>2015</v>
      </c>
      <c r="J1015" t="s">
        <v>2016</v>
      </c>
      <c r="K1015" t="s">
        <v>2010</v>
      </c>
      <c r="L1015">
        <f>IF(G1015="High",3,IF(G1015="Medium",2,1))</f>
        <v>3</v>
      </c>
    </row>
    <row r="1016" spans="1:12">
      <c r="A1016" t="s">
        <v>3042</v>
      </c>
      <c r="B1016" t="s">
        <v>981</v>
      </c>
      <c r="C1016" t="s">
        <v>1985</v>
      </c>
      <c r="D1016" t="s">
        <v>2062</v>
      </c>
      <c r="E1016" t="s">
        <v>1971</v>
      </c>
      <c r="F1016" t="s">
        <v>1971</v>
      </c>
      <c r="G1016" t="str">
        <f>INDEX(Risk_Matrix!$B$2:$D$4,MATCH(E1016,Risk_Matrix!$A$2:$A$4,0),MATCH(F1016,Risk_Matrix!$B$1:$D$1,0))</f>
        <v>Medium</v>
      </c>
      <c r="H1016" s="1">
        <v>46127</v>
      </c>
      <c r="I1016" t="s">
        <v>2025</v>
      </c>
      <c r="J1016" t="s">
        <v>2035</v>
      </c>
      <c r="K1016" t="s">
        <v>1998</v>
      </c>
      <c r="L1016">
        <f>IF(G1016="High",3,IF(G1016="Medium",2,1))</f>
        <v>2</v>
      </c>
    </row>
    <row r="1017" spans="1:12">
      <c r="A1017" t="s">
        <v>3043</v>
      </c>
      <c r="B1017" t="s">
        <v>981</v>
      </c>
      <c r="C1017" t="s">
        <v>1991</v>
      </c>
      <c r="D1017" t="s">
        <v>2064</v>
      </c>
      <c r="E1017" t="s">
        <v>1971</v>
      </c>
      <c r="F1017" t="s">
        <v>47</v>
      </c>
      <c r="G1017" t="str">
        <f>INDEX(Risk_Matrix!$B$2:$D$4,MATCH(E1017,Risk_Matrix!$A$2:$A$4,0),MATCH(F1017,Risk_Matrix!$B$1:$D$1,0))</f>
        <v>High</v>
      </c>
      <c r="H1017" s="1">
        <v>46189</v>
      </c>
      <c r="I1017" t="s">
        <v>2015</v>
      </c>
      <c r="J1017" t="s">
        <v>2032</v>
      </c>
      <c r="K1017" t="s">
        <v>2010</v>
      </c>
      <c r="L1017">
        <f>IF(G1017="High",3,IF(G1017="Medium",2,1))</f>
        <v>3</v>
      </c>
    </row>
    <row r="1018" spans="1:12">
      <c r="A1018" t="s">
        <v>3044</v>
      </c>
      <c r="B1018" t="s">
        <v>981</v>
      </c>
      <c r="C1018" t="s">
        <v>1995</v>
      </c>
      <c r="D1018" t="s">
        <v>2150</v>
      </c>
      <c r="E1018" t="s">
        <v>57</v>
      </c>
      <c r="F1018" t="s">
        <v>1971</v>
      </c>
      <c r="G1018" t="str">
        <f>INDEX(Risk_Matrix!$B$2:$D$4,MATCH(E1018,Risk_Matrix!$A$2:$A$4,0),MATCH(F1018,Risk_Matrix!$B$1:$D$1,0))</f>
        <v>Low</v>
      </c>
      <c r="H1018" s="1">
        <v>46183</v>
      </c>
      <c r="I1018" t="s">
        <v>2015</v>
      </c>
      <c r="J1018" t="s">
        <v>2016</v>
      </c>
      <c r="K1018" t="s">
        <v>2036</v>
      </c>
      <c r="L1018">
        <f>IF(G1018="High",3,IF(G1018="Medium",2,1))</f>
        <v>1</v>
      </c>
    </row>
    <row r="1019" spans="1:12">
      <c r="A1019" t="s">
        <v>3045</v>
      </c>
      <c r="B1019" t="s">
        <v>981</v>
      </c>
      <c r="C1019" t="s">
        <v>2000</v>
      </c>
      <c r="D1019" t="s">
        <v>2001</v>
      </c>
      <c r="E1019" t="s">
        <v>47</v>
      </c>
      <c r="F1019" t="s">
        <v>57</v>
      </c>
      <c r="G1019" t="str">
        <f>INDEX(Risk_Matrix!$B$2:$D$4,MATCH(E1019,Risk_Matrix!$A$2:$A$4,0),MATCH(F1019,Risk_Matrix!$B$1:$D$1,0))</f>
        <v>Medium</v>
      </c>
      <c r="H1019" s="1">
        <v>46108</v>
      </c>
      <c r="I1019" t="s">
        <v>1987</v>
      </c>
      <c r="J1019" t="s">
        <v>1988</v>
      </c>
      <c r="K1019" t="s">
        <v>1989</v>
      </c>
      <c r="L1019">
        <f>IF(G1019="High",3,IF(G1019="Medium",2,1))</f>
        <v>2</v>
      </c>
    </row>
    <row r="1020" spans="1:12">
      <c r="A1020" t="s">
        <v>3046</v>
      </c>
      <c r="B1020" t="s">
        <v>981</v>
      </c>
      <c r="C1020" t="s">
        <v>2005</v>
      </c>
      <c r="D1020" t="s">
        <v>2006</v>
      </c>
      <c r="E1020" t="s">
        <v>57</v>
      </c>
      <c r="F1020" t="s">
        <v>57</v>
      </c>
      <c r="G1020" t="str">
        <f>INDEX(Risk_Matrix!$B$2:$D$4,MATCH(E1020,Risk_Matrix!$A$2:$A$4,0),MATCH(F1020,Risk_Matrix!$B$1:$D$1,0))</f>
        <v>Low</v>
      </c>
      <c r="H1020" s="1">
        <v>46211</v>
      </c>
      <c r="I1020" t="s">
        <v>1987</v>
      </c>
      <c r="J1020" t="s">
        <v>1997</v>
      </c>
      <c r="K1020" t="s">
        <v>1993</v>
      </c>
      <c r="L1020">
        <f>IF(G1020="High",3,IF(G1020="Medium",2,1))</f>
        <v>1</v>
      </c>
    </row>
    <row r="1021" spans="1:12">
      <c r="A1021" t="s">
        <v>3047</v>
      </c>
      <c r="B1021" t="s">
        <v>981</v>
      </c>
      <c r="C1021" t="s">
        <v>2008</v>
      </c>
      <c r="D1021" t="s">
        <v>2009</v>
      </c>
      <c r="E1021" t="s">
        <v>1971</v>
      </c>
      <c r="F1021" t="s">
        <v>57</v>
      </c>
      <c r="G1021" t="str">
        <f>INDEX(Risk_Matrix!$B$2:$D$4,MATCH(E1021,Risk_Matrix!$A$2:$A$4,0),MATCH(F1021,Risk_Matrix!$B$1:$D$1,0))</f>
        <v>Low</v>
      </c>
      <c r="H1021" s="1">
        <v>46130</v>
      </c>
      <c r="I1021" t="s">
        <v>2025</v>
      </c>
      <c r="J1021" t="s">
        <v>2035</v>
      </c>
      <c r="K1021" t="s">
        <v>2010</v>
      </c>
      <c r="L1021">
        <f>IF(G1021="High",3,IF(G1021="Medium",2,1))</f>
        <v>1</v>
      </c>
    </row>
    <row r="1022" spans="1:12">
      <c r="A1022" t="s">
        <v>3048</v>
      </c>
      <c r="B1022" t="s">
        <v>982</v>
      </c>
      <c r="C1022" t="s">
        <v>1985</v>
      </c>
      <c r="D1022" t="s">
        <v>2012</v>
      </c>
      <c r="E1022" t="s">
        <v>47</v>
      </c>
      <c r="F1022" t="s">
        <v>47</v>
      </c>
      <c r="G1022" t="str">
        <f>INDEX(Risk_Matrix!$B$2:$D$4,MATCH(E1022,Risk_Matrix!$A$2:$A$4,0),MATCH(F1022,Risk_Matrix!$B$1:$D$1,0))</f>
        <v>High</v>
      </c>
      <c r="H1022" s="1">
        <v>46207</v>
      </c>
      <c r="I1022" t="s">
        <v>2015</v>
      </c>
      <c r="J1022" t="s">
        <v>2032</v>
      </c>
      <c r="K1022" t="s">
        <v>1989</v>
      </c>
      <c r="L1022">
        <f>IF(G1022="High",3,IF(G1022="Medium",2,1))</f>
        <v>3</v>
      </c>
    </row>
    <row r="1023" spans="1:12">
      <c r="A1023" t="s">
        <v>3049</v>
      </c>
      <c r="B1023" t="s">
        <v>982</v>
      </c>
      <c r="C1023" t="s">
        <v>1991</v>
      </c>
      <c r="D1023" t="s">
        <v>2031</v>
      </c>
      <c r="E1023" t="s">
        <v>57</v>
      </c>
      <c r="F1023" t="s">
        <v>1971</v>
      </c>
      <c r="G1023" t="str">
        <f>INDEX(Risk_Matrix!$B$2:$D$4,MATCH(E1023,Risk_Matrix!$A$2:$A$4,0),MATCH(F1023,Risk_Matrix!$B$1:$D$1,0))</f>
        <v>Low</v>
      </c>
      <c r="H1023" s="1">
        <v>46124</v>
      </c>
      <c r="I1023" t="s">
        <v>1987</v>
      </c>
      <c r="J1023" t="s">
        <v>1997</v>
      </c>
      <c r="K1023" t="s">
        <v>2010</v>
      </c>
      <c r="L1023">
        <f>IF(G1023="High",3,IF(G1023="Medium",2,1))</f>
        <v>1</v>
      </c>
    </row>
    <row r="1024" spans="1:12">
      <c r="A1024" t="s">
        <v>3050</v>
      </c>
      <c r="B1024" t="s">
        <v>982</v>
      </c>
      <c r="C1024" t="s">
        <v>1995</v>
      </c>
      <c r="D1024" t="s">
        <v>2150</v>
      </c>
      <c r="E1024" t="s">
        <v>47</v>
      </c>
      <c r="F1024" t="s">
        <v>47</v>
      </c>
      <c r="G1024" t="str">
        <f>INDEX(Risk_Matrix!$B$2:$D$4,MATCH(E1024,Risk_Matrix!$A$2:$A$4,0),MATCH(F1024,Risk_Matrix!$B$1:$D$1,0))</f>
        <v>High</v>
      </c>
      <c r="H1024" s="1">
        <v>46197</v>
      </c>
      <c r="I1024" t="s">
        <v>2015</v>
      </c>
      <c r="J1024" t="s">
        <v>2032</v>
      </c>
      <c r="K1024" t="s">
        <v>2036</v>
      </c>
      <c r="L1024">
        <f>IF(G1024="High",3,IF(G1024="Medium",2,1))</f>
        <v>3</v>
      </c>
    </row>
    <row r="1025" spans="1:12">
      <c r="A1025" t="s">
        <v>3051</v>
      </c>
      <c r="B1025" t="s">
        <v>982</v>
      </c>
      <c r="C1025" t="s">
        <v>2000</v>
      </c>
      <c r="D1025" t="s">
        <v>2020</v>
      </c>
      <c r="E1025" t="s">
        <v>1971</v>
      </c>
      <c r="F1025" t="s">
        <v>47</v>
      </c>
      <c r="G1025" t="str">
        <f>INDEX(Risk_Matrix!$B$2:$D$4,MATCH(E1025,Risk_Matrix!$A$2:$A$4,0),MATCH(F1025,Risk_Matrix!$B$1:$D$1,0))</f>
        <v>High</v>
      </c>
      <c r="H1025" s="1">
        <v>46213</v>
      </c>
      <c r="I1025" t="s">
        <v>2015</v>
      </c>
      <c r="J1025" t="s">
        <v>2032</v>
      </c>
      <c r="K1025" t="s">
        <v>1989</v>
      </c>
      <c r="L1025">
        <f>IF(G1025="High",3,IF(G1025="Medium",2,1))</f>
        <v>3</v>
      </c>
    </row>
    <row r="1026" spans="1:12">
      <c r="A1026" t="s">
        <v>3052</v>
      </c>
      <c r="B1026" t="s">
        <v>982</v>
      </c>
      <c r="C1026" t="s">
        <v>2005</v>
      </c>
      <c r="D1026" t="s">
        <v>2022</v>
      </c>
      <c r="E1026" t="s">
        <v>1971</v>
      </c>
      <c r="F1026" t="s">
        <v>1971</v>
      </c>
      <c r="G1026" t="str">
        <f>INDEX(Risk_Matrix!$B$2:$D$4,MATCH(E1026,Risk_Matrix!$A$2:$A$4,0),MATCH(F1026,Risk_Matrix!$B$1:$D$1,0))</f>
        <v>Medium</v>
      </c>
      <c r="H1026" s="1">
        <v>46112</v>
      </c>
      <c r="I1026" t="s">
        <v>2025</v>
      </c>
      <c r="J1026" t="s">
        <v>2026</v>
      </c>
      <c r="K1026" t="s">
        <v>1993</v>
      </c>
      <c r="L1026">
        <f>IF(G1026="High",3,IF(G1026="Medium",2,1))</f>
        <v>2</v>
      </c>
    </row>
    <row r="1027" spans="1:12">
      <c r="A1027" t="s">
        <v>3053</v>
      </c>
      <c r="B1027" t="s">
        <v>982</v>
      </c>
      <c r="C1027" t="s">
        <v>2008</v>
      </c>
      <c r="D1027" t="s">
        <v>2024</v>
      </c>
      <c r="E1027" t="s">
        <v>57</v>
      </c>
      <c r="F1027" t="s">
        <v>47</v>
      </c>
      <c r="G1027" t="str">
        <f>INDEX(Risk_Matrix!$B$2:$D$4,MATCH(E1027,Risk_Matrix!$A$2:$A$4,0),MATCH(F1027,Risk_Matrix!$B$1:$D$1,0))</f>
        <v>Medium</v>
      </c>
      <c r="H1027" s="1">
        <v>46227</v>
      </c>
      <c r="I1027" t="s">
        <v>2025</v>
      </c>
      <c r="J1027" t="s">
        <v>2035</v>
      </c>
      <c r="K1027" t="s">
        <v>2010</v>
      </c>
      <c r="L1027">
        <f>IF(G1027="High",3,IF(G1027="Medium",2,1))</f>
        <v>2</v>
      </c>
    </row>
    <row r="1028" spans="1:12">
      <c r="A1028" t="s">
        <v>3054</v>
      </c>
      <c r="B1028" t="s">
        <v>984</v>
      </c>
      <c r="C1028" t="s">
        <v>1985</v>
      </c>
      <c r="D1028" t="s">
        <v>2028</v>
      </c>
      <c r="E1028" t="s">
        <v>1971</v>
      </c>
      <c r="F1028" t="s">
        <v>1971</v>
      </c>
      <c r="G1028" t="str">
        <f>INDEX(Risk_Matrix!$B$2:$D$4,MATCH(E1028,Risk_Matrix!$A$2:$A$4,0),MATCH(F1028,Risk_Matrix!$B$1:$D$1,0))</f>
        <v>Medium</v>
      </c>
      <c r="H1028" s="1">
        <v>46149</v>
      </c>
      <c r="I1028" t="s">
        <v>1987</v>
      </c>
      <c r="J1028" t="s">
        <v>1997</v>
      </c>
      <c r="K1028" t="s">
        <v>1989</v>
      </c>
      <c r="L1028">
        <f>IF(G1028="High",3,IF(G1028="Medium",2,1))</f>
        <v>2</v>
      </c>
    </row>
    <row r="1029" spans="1:12">
      <c r="A1029" t="s">
        <v>3055</v>
      </c>
      <c r="B1029" t="s">
        <v>984</v>
      </c>
      <c r="C1029" t="s">
        <v>1991</v>
      </c>
      <c r="D1029" t="s">
        <v>2014</v>
      </c>
      <c r="E1029" t="s">
        <v>1971</v>
      </c>
      <c r="F1029" t="s">
        <v>57</v>
      </c>
      <c r="G1029" t="str">
        <f>INDEX(Risk_Matrix!$B$2:$D$4,MATCH(E1029,Risk_Matrix!$A$2:$A$4,0),MATCH(F1029,Risk_Matrix!$B$1:$D$1,0))</f>
        <v>Low</v>
      </c>
      <c r="H1029" s="1">
        <v>46085</v>
      </c>
      <c r="I1029" t="s">
        <v>2002</v>
      </c>
      <c r="J1029" t="s">
        <v>2003</v>
      </c>
      <c r="K1029" t="s">
        <v>2010</v>
      </c>
      <c r="L1029">
        <f>IF(G1029="High",3,IF(G1029="Medium",2,1))</f>
        <v>1</v>
      </c>
    </row>
    <row r="1030" spans="1:12">
      <c r="A1030" t="s">
        <v>3056</v>
      </c>
      <c r="B1030" t="s">
        <v>984</v>
      </c>
      <c r="C1030" t="s">
        <v>1995</v>
      </c>
      <c r="D1030" t="s">
        <v>2018</v>
      </c>
      <c r="E1030" t="s">
        <v>57</v>
      </c>
      <c r="F1030" t="s">
        <v>57</v>
      </c>
      <c r="G1030" t="str">
        <f>INDEX(Risk_Matrix!$B$2:$D$4,MATCH(E1030,Risk_Matrix!$A$2:$A$4,0),MATCH(F1030,Risk_Matrix!$B$1:$D$1,0))</f>
        <v>Low</v>
      </c>
      <c r="H1030" s="1">
        <v>46125</v>
      </c>
      <c r="I1030" t="s">
        <v>2025</v>
      </c>
      <c r="J1030" t="s">
        <v>2026</v>
      </c>
      <c r="K1030" t="s">
        <v>2036</v>
      </c>
      <c r="L1030">
        <f>IF(G1030="High",3,IF(G1030="Medium",2,1))</f>
        <v>1</v>
      </c>
    </row>
    <row r="1031" spans="1:12">
      <c r="A1031" t="s">
        <v>3057</v>
      </c>
      <c r="B1031" t="s">
        <v>984</v>
      </c>
      <c r="C1031" t="s">
        <v>2000</v>
      </c>
      <c r="D1031" t="s">
        <v>2020</v>
      </c>
      <c r="E1031" t="s">
        <v>1971</v>
      </c>
      <c r="F1031" t="s">
        <v>47</v>
      </c>
      <c r="G1031" t="str">
        <f>INDEX(Risk_Matrix!$B$2:$D$4,MATCH(E1031,Risk_Matrix!$A$2:$A$4,0),MATCH(F1031,Risk_Matrix!$B$1:$D$1,0))</f>
        <v>High</v>
      </c>
      <c r="H1031" s="1">
        <v>46099</v>
      </c>
      <c r="I1031" t="s">
        <v>2025</v>
      </c>
      <c r="J1031" t="s">
        <v>2026</v>
      </c>
      <c r="K1031" t="s">
        <v>1993</v>
      </c>
      <c r="L1031">
        <f>IF(G1031="High",3,IF(G1031="Medium",2,1))</f>
        <v>3</v>
      </c>
    </row>
    <row r="1032" spans="1:12">
      <c r="A1032" t="s">
        <v>3058</v>
      </c>
      <c r="B1032" t="s">
        <v>984</v>
      </c>
      <c r="C1032" t="s">
        <v>2005</v>
      </c>
      <c r="D1032" t="s">
        <v>2006</v>
      </c>
      <c r="E1032" t="s">
        <v>47</v>
      </c>
      <c r="F1032" t="s">
        <v>47</v>
      </c>
      <c r="G1032" t="str">
        <f>INDEX(Risk_Matrix!$B$2:$D$4,MATCH(E1032,Risk_Matrix!$A$2:$A$4,0),MATCH(F1032,Risk_Matrix!$B$1:$D$1,0))</f>
        <v>High</v>
      </c>
      <c r="H1032" s="1">
        <v>46180</v>
      </c>
      <c r="I1032" t="s">
        <v>2002</v>
      </c>
      <c r="J1032" t="s">
        <v>2003</v>
      </c>
      <c r="K1032" t="s">
        <v>1993</v>
      </c>
      <c r="L1032">
        <f>IF(G1032="High",3,IF(G1032="Medium",2,1))</f>
        <v>3</v>
      </c>
    </row>
    <row r="1033" spans="1:12">
      <c r="A1033" t="s">
        <v>3059</v>
      </c>
      <c r="B1033" t="s">
        <v>984</v>
      </c>
      <c r="C1033" t="s">
        <v>2008</v>
      </c>
      <c r="D1033" t="s">
        <v>2054</v>
      </c>
      <c r="E1033" t="s">
        <v>57</v>
      </c>
      <c r="F1033" t="s">
        <v>57</v>
      </c>
      <c r="G1033" t="str">
        <f>INDEX(Risk_Matrix!$B$2:$D$4,MATCH(E1033,Risk_Matrix!$A$2:$A$4,0),MATCH(F1033,Risk_Matrix!$B$1:$D$1,0))</f>
        <v>Low</v>
      </c>
      <c r="H1033" s="1">
        <v>46103</v>
      </c>
      <c r="I1033" t="s">
        <v>1987</v>
      </c>
      <c r="J1033" t="s">
        <v>1997</v>
      </c>
      <c r="K1033" t="s">
        <v>2010</v>
      </c>
      <c r="L1033">
        <f>IF(G1033="High",3,IF(G1033="Medium",2,1))</f>
        <v>1</v>
      </c>
    </row>
    <row r="1034" spans="1:12">
      <c r="A1034" t="s">
        <v>3060</v>
      </c>
      <c r="B1034" t="s">
        <v>986</v>
      </c>
      <c r="C1034" t="s">
        <v>1985</v>
      </c>
      <c r="D1034" t="s">
        <v>2062</v>
      </c>
      <c r="E1034" t="s">
        <v>47</v>
      </c>
      <c r="F1034" t="s">
        <v>57</v>
      </c>
      <c r="G1034" t="str">
        <f>INDEX(Risk_Matrix!$B$2:$D$4,MATCH(E1034,Risk_Matrix!$A$2:$A$4,0),MATCH(F1034,Risk_Matrix!$B$1:$D$1,0))</f>
        <v>Medium</v>
      </c>
      <c r="H1034" s="1">
        <v>46222</v>
      </c>
      <c r="I1034" t="s">
        <v>2002</v>
      </c>
      <c r="J1034" t="s">
        <v>2003</v>
      </c>
      <c r="K1034" t="s">
        <v>1998</v>
      </c>
      <c r="L1034">
        <f>IF(G1034="High",3,IF(G1034="Medium",2,1))</f>
        <v>2</v>
      </c>
    </row>
    <row r="1035" spans="1:12">
      <c r="A1035" t="s">
        <v>3061</v>
      </c>
      <c r="B1035" t="s">
        <v>986</v>
      </c>
      <c r="C1035" t="s">
        <v>1991</v>
      </c>
      <c r="D1035" t="s">
        <v>2064</v>
      </c>
      <c r="E1035" t="s">
        <v>57</v>
      </c>
      <c r="F1035" t="s">
        <v>1971</v>
      </c>
      <c r="G1035" t="str">
        <f>INDEX(Risk_Matrix!$B$2:$D$4,MATCH(E1035,Risk_Matrix!$A$2:$A$4,0),MATCH(F1035,Risk_Matrix!$B$1:$D$1,0))</f>
        <v>Low</v>
      </c>
      <c r="H1035" s="1">
        <v>46078</v>
      </c>
      <c r="I1035" t="s">
        <v>2002</v>
      </c>
      <c r="J1035" t="s">
        <v>2003</v>
      </c>
      <c r="K1035" t="s">
        <v>1993</v>
      </c>
      <c r="L1035">
        <f>IF(G1035="High",3,IF(G1035="Medium",2,1))</f>
        <v>1</v>
      </c>
    </row>
    <row r="1036" spans="1:12">
      <c r="A1036" t="s">
        <v>3062</v>
      </c>
      <c r="B1036" t="s">
        <v>986</v>
      </c>
      <c r="C1036" t="s">
        <v>1995</v>
      </c>
      <c r="D1036" t="s">
        <v>2150</v>
      </c>
      <c r="E1036" t="s">
        <v>47</v>
      </c>
      <c r="F1036" t="s">
        <v>1971</v>
      </c>
      <c r="G1036" t="str">
        <f>INDEX(Risk_Matrix!$B$2:$D$4,MATCH(E1036,Risk_Matrix!$A$2:$A$4,0),MATCH(F1036,Risk_Matrix!$B$1:$D$1,0))</f>
        <v>High</v>
      </c>
      <c r="H1036" s="1">
        <v>46163</v>
      </c>
      <c r="I1036" t="s">
        <v>2015</v>
      </c>
      <c r="J1036" t="s">
        <v>2032</v>
      </c>
      <c r="K1036" t="s">
        <v>2036</v>
      </c>
      <c r="L1036">
        <f>IF(G1036="High",3,IF(G1036="Medium",2,1))</f>
        <v>3</v>
      </c>
    </row>
    <row r="1037" spans="1:12">
      <c r="A1037" t="s">
        <v>3063</v>
      </c>
      <c r="B1037" t="s">
        <v>986</v>
      </c>
      <c r="C1037" t="s">
        <v>2000</v>
      </c>
      <c r="D1037" t="s">
        <v>2001</v>
      </c>
      <c r="E1037" t="s">
        <v>1971</v>
      </c>
      <c r="F1037" t="s">
        <v>57</v>
      </c>
      <c r="G1037" t="str">
        <f>INDEX(Risk_Matrix!$B$2:$D$4,MATCH(E1037,Risk_Matrix!$A$2:$A$4,0),MATCH(F1037,Risk_Matrix!$B$1:$D$1,0))</f>
        <v>Low</v>
      </c>
      <c r="H1037" s="1">
        <v>46189</v>
      </c>
      <c r="I1037" t="s">
        <v>2002</v>
      </c>
      <c r="J1037" t="s">
        <v>2029</v>
      </c>
      <c r="K1037" t="s">
        <v>1989</v>
      </c>
      <c r="L1037">
        <f>IF(G1037="High",3,IF(G1037="Medium",2,1))</f>
        <v>1</v>
      </c>
    </row>
    <row r="1038" spans="1:12">
      <c r="A1038" t="s">
        <v>3064</v>
      </c>
      <c r="B1038" t="s">
        <v>986</v>
      </c>
      <c r="C1038" t="s">
        <v>2005</v>
      </c>
      <c r="D1038" t="s">
        <v>2039</v>
      </c>
      <c r="E1038" t="s">
        <v>57</v>
      </c>
      <c r="F1038" t="s">
        <v>1971</v>
      </c>
      <c r="G1038" t="str">
        <f>INDEX(Risk_Matrix!$B$2:$D$4,MATCH(E1038,Risk_Matrix!$A$2:$A$4,0),MATCH(F1038,Risk_Matrix!$B$1:$D$1,0))</f>
        <v>Low</v>
      </c>
      <c r="H1038" s="1">
        <v>46063</v>
      </c>
      <c r="I1038" t="s">
        <v>2002</v>
      </c>
      <c r="J1038" t="s">
        <v>2029</v>
      </c>
      <c r="K1038" t="s">
        <v>1993</v>
      </c>
      <c r="L1038">
        <f>IF(G1038="High",3,IF(G1038="Medium",2,1))</f>
        <v>1</v>
      </c>
    </row>
    <row r="1039" spans="1:12">
      <c r="A1039" t="s">
        <v>3065</v>
      </c>
      <c r="B1039" t="s">
        <v>986</v>
      </c>
      <c r="C1039" t="s">
        <v>2008</v>
      </c>
      <c r="D1039" t="s">
        <v>2009</v>
      </c>
      <c r="E1039" t="s">
        <v>47</v>
      </c>
      <c r="F1039" t="s">
        <v>1971</v>
      </c>
      <c r="G1039" t="str">
        <f>INDEX(Risk_Matrix!$B$2:$D$4,MATCH(E1039,Risk_Matrix!$A$2:$A$4,0),MATCH(F1039,Risk_Matrix!$B$1:$D$1,0))</f>
        <v>High</v>
      </c>
      <c r="H1039" s="1">
        <v>46198</v>
      </c>
      <c r="I1039" t="s">
        <v>2015</v>
      </c>
      <c r="J1039" t="s">
        <v>2016</v>
      </c>
      <c r="K1039" t="s">
        <v>2010</v>
      </c>
      <c r="L1039">
        <f>IF(G1039="High",3,IF(G1039="Medium",2,1))</f>
        <v>3</v>
      </c>
    </row>
    <row r="1040" spans="1:12">
      <c r="A1040" t="s">
        <v>3066</v>
      </c>
      <c r="B1040" t="s">
        <v>988</v>
      </c>
      <c r="C1040" t="s">
        <v>1985</v>
      </c>
      <c r="D1040" t="s">
        <v>2012</v>
      </c>
      <c r="E1040" t="s">
        <v>57</v>
      </c>
      <c r="F1040" t="s">
        <v>1971</v>
      </c>
      <c r="G1040" t="str">
        <f>INDEX(Risk_Matrix!$B$2:$D$4,MATCH(E1040,Risk_Matrix!$A$2:$A$4,0),MATCH(F1040,Risk_Matrix!$B$1:$D$1,0))</f>
        <v>Low</v>
      </c>
      <c r="H1040" s="1">
        <v>46073</v>
      </c>
      <c r="I1040" t="s">
        <v>1987</v>
      </c>
      <c r="J1040" t="s">
        <v>1997</v>
      </c>
      <c r="K1040" t="s">
        <v>1998</v>
      </c>
      <c r="L1040">
        <f>IF(G1040="High",3,IF(G1040="Medium",2,1))</f>
        <v>1</v>
      </c>
    </row>
    <row r="1041" spans="1:12">
      <c r="A1041" t="s">
        <v>3067</v>
      </c>
      <c r="B1041" t="s">
        <v>988</v>
      </c>
      <c r="C1041" t="s">
        <v>1991</v>
      </c>
      <c r="D1041" t="s">
        <v>2064</v>
      </c>
      <c r="E1041" t="s">
        <v>57</v>
      </c>
      <c r="F1041" t="s">
        <v>57</v>
      </c>
      <c r="G1041" t="str">
        <f>INDEX(Risk_Matrix!$B$2:$D$4,MATCH(E1041,Risk_Matrix!$A$2:$A$4,0),MATCH(F1041,Risk_Matrix!$B$1:$D$1,0))</f>
        <v>Low</v>
      </c>
      <c r="H1041" s="1">
        <v>46057</v>
      </c>
      <c r="I1041" t="s">
        <v>1987</v>
      </c>
      <c r="J1041" t="s">
        <v>1997</v>
      </c>
      <c r="K1041" t="s">
        <v>1993</v>
      </c>
      <c r="L1041">
        <f>IF(G1041="High",3,IF(G1041="Medium",2,1))</f>
        <v>1</v>
      </c>
    </row>
    <row r="1042" spans="1:12">
      <c r="A1042" t="s">
        <v>3068</v>
      </c>
      <c r="B1042" t="s">
        <v>988</v>
      </c>
      <c r="C1042" t="s">
        <v>1995</v>
      </c>
      <c r="D1042" t="s">
        <v>1996</v>
      </c>
      <c r="E1042" t="s">
        <v>57</v>
      </c>
      <c r="F1042" t="s">
        <v>47</v>
      </c>
      <c r="G1042" t="str">
        <f>INDEX(Risk_Matrix!$B$2:$D$4,MATCH(E1042,Risk_Matrix!$A$2:$A$4,0),MATCH(F1042,Risk_Matrix!$B$1:$D$1,0))</f>
        <v>Medium</v>
      </c>
      <c r="H1042" s="1">
        <v>46181</v>
      </c>
      <c r="I1042" t="s">
        <v>1987</v>
      </c>
      <c r="J1042" t="s">
        <v>1988</v>
      </c>
      <c r="K1042" t="s">
        <v>1998</v>
      </c>
      <c r="L1042">
        <f>IF(G1042="High",3,IF(G1042="Medium",2,1))</f>
        <v>2</v>
      </c>
    </row>
    <row r="1043" spans="1:12">
      <c r="A1043" t="s">
        <v>3069</v>
      </c>
      <c r="B1043" t="s">
        <v>988</v>
      </c>
      <c r="C1043" t="s">
        <v>2000</v>
      </c>
      <c r="D1043" t="s">
        <v>2001</v>
      </c>
      <c r="E1043" t="s">
        <v>47</v>
      </c>
      <c r="F1043" t="s">
        <v>57</v>
      </c>
      <c r="G1043" t="str">
        <f>INDEX(Risk_Matrix!$B$2:$D$4,MATCH(E1043,Risk_Matrix!$A$2:$A$4,0),MATCH(F1043,Risk_Matrix!$B$1:$D$1,0))</f>
        <v>Medium</v>
      </c>
      <c r="H1043" s="1">
        <v>46171</v>
      </c>
      <c r="I1043" t="s">
        <v>2015</v>
      </c>
      <c r="J1043" t="s">
        <v>2016</v>
      </c>
      <c r="K1043" t="s">
        <v>1989</v>
      </c>
      <c r="L1043">
        <f>IF(G1043="High",3,IF(G1043="Medium",2,1))</f>
        <v>2</v>
      </c>
    </row>
    <row r="1044" spans="1:12">
      <c r="A1044" t="s">
        <v>3070</v>
      </c>
      <c r="B1044" t="s">
        <v>988</v>
      </c>
      <c r="C1044" t="s">
        <v>2005</v>
      </c>
      <c r="D1044" t="s">
        <v>2039</v>
      </c>
      <c r="E1044" t="s">
        <v>57</v>
      </c>
      <c r="F1044" t="s">
        <v>57</v>
      </c>
      <c r="G1044" t="str">
        <f>INDEX(Risk_Matrix!$B$2:$D$4,MATCH(E1044,Risk_Matrix!$A$2:$A$4,0),MATCH(F1044,Risk_Matrix!$B$1:$D$1,0))</f>
        <v>Low</v>
      </c>
      <c r="H1044" s="1">
        <v>46147</v>
      </c>
      <c r="I1044" t="s">
        <v>1987</v>
      </c>
      <c r="J1044" t="s">
        <v>1988</v>
      </c>
      <c r="K1044" t="s">
        <v>1993</v>
      </c>
      <c r="L1044">
        <f>IF(G1044="High",3,IF(G1044="Medium",2,1))</f>
        <v>1</v>
      </c>
    </row>
    <row r="1045" spans="1:12">
      <c r="A1045" t="s">
        <v>3071</v>
      </c>
      <c r="B1045" t="s">
        <v>988</v>
      </c>
      <c r="C1045" t="s">
        <v>2008</v>
      </c>
      <c r="D1045" t="s">
        <v>2024</v>
      </c>
      <c r="E1045" t="s">
        <v>57</v>
      </c>
      <c r="F1045" t="s">
        <v>1971</v>
      </c>
      <c r="G1045" t="str">
        <f>INDEX(Risk_Matrix!$B$2:$D$4,MATCH(E1045,Risk_Matrix!$A$2:$A$4,0),MATCH(F1045,Risk_Matrix!$B$1:$D$1,0))</f>
        <v>Low</v>
      </c>
      <c r="H1045" s="1">
        <v>46136</v>
      </c>
      <c r="I1045" t="s">
        <v>2002</v>
      </c>
      <c r="J1045" t="s">
        <v>2003</v>
      </c>
      <c r="K1045" t="s">
        <v>2010</v>
      </c>
      <c r="L1045">
        <f>IF(G1045="High",3,IF(G1045="Medium",2,1))</f>
        <v>1</v>
      </c>
    </row>
    <row r="1046" spans="1:12">
      <c r="A1046" t="s">
        <v>3072</v>
      </c>
      <c r="B1046" t="s">
        <v>990</v>
      </c>
      <c r="C1046" t="s">
        <v>1985</v>
      </c>
      <c r="D1046" t="s">
        <v>2062</v>
      </c>
      <c r="E1046" t="s">
        <v>57</v>
      </c>
      <c r="F1046" t="s">
        <v>1971</v>
      </c>
      <c r="G1046" t="str">
        <f>INDEX(Risk_Matrix!$B$2:$D$4,MATCH(E1046,Risk_Matrix!$A$2:$A$4,0),MATCH(F1046,Risk_Matrix!$B$1:$D$1,0))</f>
        <v>Low</v>
      </c>
      <c r="H1046" s="1">
        <v>46172</v>
      </c>
      <c r="I1046" t="s">
        <v>2025</v>
      </c>
      <c r="J1046" t="s">
        <v>2026</v>
      </c>
      <c r="K1046" t="s">
        <v>1998</v>
      </c>
      <c r="L1046">
        <f>IF(G1046="High",3,IF(G1046="Medium",2,1))</f>
        <v>1</v>
      </c>
    </row>
    <row r="1047" spans="1:12">
      <c r="A1047" t="s">
        <v>3073</v>
      </c>
      <c r="B1047" t="s">
        <v>990</v>
      </c>
      <c r="C1047" t="s">
        <v>1991</v>
      </c>
      <c r="D1047" t="s">
        <v>2064</v>
      </c>
      <c r="E1047" t="s">
        <v>47</v>
      </c>
      <c r="F1047" t="s">
        <v>47</v>
      </c>
      <c r="G1047" t="str">
        <f>INDEX(Risk_Matrix!$B$2:$D$4,MATCH(E1047,Risk_Matrix!$A$2:$A$4,0),MATCH(F1047,Risk_Matrix!$B$1:$D$1,0))</f>
        <v>High</v>
      </c>
      <c r="H1047" s="1">
        <v>46157</v>
      </c>
      <c r="I1047" t="s">
        <v>2015</v>
      </c>
      <c r="J1047" t="s">
        <v>2016</v>
      </c>
      <c r="K1047" t="s">
        <v>2010</v>
      </c>
      <c r="L1047">
        <f>IF(G1047="High",3,IF(G1047="Medium",2,1))</f>
        <v>3</v>
      </c>
    </row>
    <row r="1048" spans="1:12">
      <c r="A1048" t="s">
        <v>3074</v>
      </c>
      <c r="B1048" t="s">
        <v>990</v>
      </c>
      <c r="C1048" t="s">
        <v>1995</v>
      </c>
      <c r="D1048" t="s">
        <v>2034</v>
      </c>
      <c r="E1048" t="s">
        <v>57</v>
      </c>
      <c r="F1048" t="s">
        <v>57</v>
      </c>
      <c r="G1048" t="str">
        <f>INDEX(Risk_Matrix!$B$2:$D$4,MATCH(E1048,Risk_Matrix!$A$2:$A$4,0),MATCH(F1048,Risk_Matrix!$B$1:$D$1,0))</f>
        <v>Low</v>
      </c>
      <c r="H1048" s="1">
        <v>46087</v>
      </c>
      <c r="I1048" t="s">
        <v>2002</v>
      </c>
      <c r="J1048" t="s">
        <v>2029</v>
      </c>
      <c r="K1048" t="s">
        <v>1998</v>
      </c>
      <c r="L1048">
        <f>IF(G1048="High",3,IF(G1048="Medium",2,1))</f>
        <v>1</v>
      </c>
    </row>
    <row r="1049" spans="1:12">
      <c r="A1049" t="s">
        <v>3075</v>
      </c>
      <c r="B1049" t="s">
        <v>990</v>
      </c>
      <c r="C1049" t="s">
        <v>2000</v>
      </c>
      <c r="D1049" t="s">
        <v>2020</v>
      </c>
      <c r="E1049" t="s">
        <v>1971</v>
      </c>
      <c r="F1049" t="s">
        <v>57</v>
      </c>
      <c r="G1049" t="str">
        <f>INDEX(Risk_Matrix!$B$2:$D$4,MATCH(E1049,Risk_Matrix!$A$2:$A$4,0),MATCH(F1049,Risk_Matrix!$B$1:$D$1,0))</f>
        <v>Low</v>
      </c>
      <c r="H1049" s="1">
        <v>46139</v>
      </c>
      <c r="I1049" t="s">
        <v>2002</v>
      </c>
      <c r="J1049" t="s">
        <v>2029</v>
      </c>
      <c r="K1049" t="s">
        <v>1993</v>
      </c>
      <c r="L1049">
        <f>IF(G1049="High",3,IF(G1049="Medium",2,1))</f>
        <v>1</v>
      </c>
    </row>
    <row r="1050" spans="1:12">
      <c r="A1050" t="s">
        <v>3076</v>
      </c>
      <c r="B1050" t="s">
        <v>990</v>
      </c>
      <c r="C1050" t="s">
        <v>2005</v>
      </c>
      <c r="D1050" t="s">
        <v>2022</v>
      </c>
      <c r="E1050" t="s">
        <v>57</v>
      </c>
      <c r="F1050" t="s">
        <v>1971</v>
      </c>
      <c r="G1050" t="str">
        <f>INDEX(Risk_Matrix!$B$2:$D$4,MATCH(E1050,Risk_Matrix!$A$2:$A$4,0),MATCH(F1050,Risk_Matrix!$B$1:$D$1,0))</f>
        <v>Low</v>
      </c>
      <c r="H1050" s="1">
        <v>46154</v>
      </c>
      <c r="I1050" t="s">
        <v>1987</v>
      </c>
      <c r="J1050" t="s">
        <v>1997</v>
      </c>
      <c r="K1050" t="s">
        <v>1993</v>
      </c>
      <c r="L1050">
        <f>IF(G1050="High",3,IF(G1050="Medium",2,1))</f>
        <v>1</v>
      </c>
    </row>
    <row r="1051" spans="1:12">
      <c r="A1051" t="s">
        <v>3077</v>
      </c>
      <c r="B1051" t="s">
        <v>990</v>
      </c>
      <c r="C1051" t="s">
        <v>2008</v>
      </c>
      <c r="D1051" t="s">
        <v>2024</v>
      </c>
      <c r="E1051" t="s">
        <v>47</v>
      </c>
      <c r="F1051" t="s">
        <v>57</v>
      </c>
      <c r="G1051" t="str">
        <f>INDEX(Risk_Matrix!$B$2:$D$4,MATCH(E1051,Risk_Matrix!$A$2:$A$4,0),MATCH(F1051,Risk_Matrix!$B$1:$D$1,0))</f>
        <v>Medium</v>
      </c>
      <c r="H1051" s="1">
        <v>46057</v>
      </c>
      <c r="I1051" t="s">
        <v>2025</v>
      </c>
      <c r="J1051" t="s">
        <v>2035</v>
      </c>
      <c r="K1051" t="s">
        <v>2010</v>
      </c>
      <c r="L1051">
        <f>IF(G1051="High",3,IF(G1051="Medium",2,1))</f>
        <v>2</v>
      </c>
    </row>
    <row r="1052" spans="1:12">
      <c r="A1052" t="s">
        <v>3078</v>
      </c>
      <c r="B1052" t="s">
        <v>992</v>
      </c>
      <c r="C1052" t="s">
        <v>1985</v>
      </c>
      <c r="D1052" t="s">
        <v>2028</v>
      </c>
      <c r="E1052" t="s">
        <v>57</v>
      </c>
      <c r="F1052" t="s">
        <v>1971</v>
      </c>
      <c r="G1052" t="str">
        <f>INDEX(Risk_Matrix!$B$2:$D$4,MATCH(E1052,Risk_Matrix!$A$2:$A$4,0),MATCH(F1052,Risk_Matrix!$B$1:$D$1,0))</f>
        <v>Low</v>
      </c>
      <c r="H1052" s="1">
        <v>46194</v>
      </c>
      <c r="I1052" t="s">
        <v>1987</v>
      </c>
      <c r="J1052" t="s">
        <v>1997</v>
      </c>
      <c r="K1052" t="s">
        <v>1989</v>
      </c>
      <c r="L1052">
        <f>IF(G1052="High",3,IF(G1052="Medium",2,1))</f>
        <v>1</v>
      </c>
    </row>
    <row r="1053" spans="1:12">
      <c r="A1053" t="s">
        <v>3079</v>
      </c>
      <c r="B1053" t="s">
        <v>992</v>
      </c>
      <c r="C1053" t="s">
        <v>1991</v>
      </c>
      <c r="D1053" t="s">
        <v>2064</v>
      </c>
      <c r="E1053" t="s">
        <v>1971</v>
      </c>
      <c r="F1053" t="s">
        <v>47</v>
      </c>
      <c r="G1053" t="str">
        <f>INDEX(Risk_Matrix!$B$2:$D$4,MATCH(E1053,Risk_Matrix!$A$2:$A$4,0),MATCH(F1053,Risk_Matrix!$B$1:$D$1,0))</f>
        <v>High</v>
      </c>
      <c r="H1053" s="1">
        <v>46228</v>
      </c>
      <c r="I1053" t="s">
        <v>2015</v>
      </c>
      <c r="J1053" t="s">
        <v>2032</v>
      </c>
      <c r="K1053" t="s">
        <v>2010</v>
      </c>
      <c r="L1053">
        <f>IF(G1053="High",3,IF(G1053="Medium",2,1))</f>
        <v>3</v>
      </c>
    </row>
    <row r="1054" spans="1:12">
      <c r="A1054" t="s">
        <v>3080</v>
      </c>
      <c r="B1054" t="s">
        <v>992</v>
      </c>
      <c r="C1054" t="s">
        <v>1995</v>
      </c>
      <c r="D1054" t="s">
        <v>2034</v>
      </c>
      <c r="E1054" t="s">
        <v>57</v>
      </c>
      <c r="F1054" t="s">
        <v>1971</v>
      </c>
      <c r="G1054" t="str">
        <f>INDEX(Risk_Matrix!$B$2:$D$4,MATCH(E1054,Risk_Matrix!$A$2:$A$4,0),MATCH(F1054,Risk_Matrix!$B$1:$D$1,0))</f>
        <v>Low</v>
      </c>
      <c r="H1054" s="1">
        <v>46146</v>
      </c>
      <c r="I1054" t="s">
        <v>2025</v>
      </c>
      <c r="J1054" t="s">
        <v>2026</v>
      </c>
      <c r="K1054" t="s">
        <v>2036</v>
      </c>
      <c r="L1054">
        <f>IF(G1054="High",3,IF(G1054="Medium",2,1))</f>
        <v>1</v>
      </c>
    </row>
    <row r="1055" spans="1:12">
      <c r="A1055" t="s">
        <v>3081</v>
      </c>
      <c r="B1055" t="s">
        <v>992</v>
      </c>
      <c r="C1055" t="s">
        <v>2000</v>
      </c>
      <c r="D1055" t="s">
        <v>2045</v>
      </c>
      <c r="E1055" t="s">
        <v>57</v>
      </c>
      <c r="F1055" t="s">
        <v>57</v>
      </c>
      <c r="G1055" t="str">
        <f>INDEX(Risk_Matrix!$B$2:$D$4,MATCH(E1055,Risk_Matrix!$A$2:$A$4,0),MATCH(F1055,Risk_Matrix!$B$1:$D$1,0))</f>
        <v>Low</v>
      </c>
      <c r="H1055" s="1">
        <v>46210</v>
      </c>
      <c r="I1055" t="s">
        <v>2015</v>
      </c>
      <c r="J1055" t="s">
        <v>2016</v>
      </c>
      <c r="K1055" t="s">
        <v>1993</v>
      </c>
      <c r="L1055">
        <f>IF(G1055="High",3,IF(G1055="Medium",2,1))</f>
        <v>1</v>
      </c>
    </row>
    <row r="1056" spans="1:12">
      <c r="A1056" t="s">
        <v>3082</v>
      </c>
      <c r="B1056" t="s">
        <v>992</v>
      </c>
      <c r="C1056" t="s">
        <v>2005</v>
      </c>
      <c r="D1056" t="s">
        <v>2006</v>
      </c>
      <c r="E1056" t="s">
        <v>57</v>
      </c>
      <c r="F1056" t="s">
        <v>57</v>
      </c>
      <c r="G1056" t="str">
        <f>INDEX(Risk_Matrix!$B$2:$D$4,MATCH(E1056,Risk_Matrix!$A$2:$A$4,0),MATCH(F1056,Risk_Matrix!$B$1:$D$1,0))</f>
        <v>Low</v>
      </c>
      <c r="H1056" s="1">
        <v>46156</v>
      </c>
      <c r="I1056" t="s">
        <v>2002</v>
      </c>
      <c r="J1056" t="s">
        <v>2003</v>
      </c>
      <c r="K1056" t="s">
        <v>1993</v>
      </c>
      <c r="L1056">
        <f>IF(G1056="High",3,IF(G1056="Medium",2,1))</f>
        <v>1</v>
      </c>
    </row>
    <row r="1057" spans="1:12">
      <c r="A1057" t="s">
        <v>3083</v>
      </c>
      <c r="B1057" t="s">
        <v>992</v>
      </c>
      <c r="C1057" t="s">
        <v>2008</v>
      </c>
      <c r="D1057" t="s">
        <v>2024</v>
      </c>
      <c r="E1057" t="s">
        <v>47</v>
      </c>
      <c r="F1057" t="s">
        <v>47</v>
      </c>
      <c r="G1057" t="str">
        <f>INDEX(Risk_Matrix!$B$2:$D$4,MATCH(E1057,Risk_Matrix!$A$2:$A$4,0),MATCH(F1057,Risk_Matrix!$B$1:$D$1,0))</f>
        <v>High</v>
      </c>
      <c r="H1057" s="1">
        <v>46228</v>
      </c>
      <c r="I1057" t="s">
        <v>2015</v>
      </c>
      <c r="J1057" t="s">
        <v>2032</v>
      </c>
      <c r="K1057" t="s">
        <v>2010</v>
      </c>
      <c r="L1057">
        <f>IF(G1057="High",3,IF(G1057="Medium",2,1))</f>
        <v>3</v>
      </c>
    </row>
    <row r="1058" spans="1:12">
      <c r="A1058" t="s">
        <v>3084</v>
      </c>
      <c r="B1058" t="s">
        <v>995</v>
      </c>
      <c r="C1058" t="s">
        <v>1985</v>
      </c>
      <c r="D1058" t="s">
        <v>2028</v>
      </c>
      <c r="E1058" t="s">
        <v>57</v>
      </c>
      <c r="F1058" t="s">
        <v>1971</v>
      </c>
      <c r="G1058" t="str">
        <f>INDEX(Risk_Matrix!$B$2:$D$4,MATCH(E1058,Risk_Matrix!$A$2:$A$4,0),MATCH(F1058,Risk_Matrix!$B$1:$D$1,0))</f>
        <v>Low</v>
      </c>
      <c r="H1058" s="1">
        <v>46196</v>
      </c>
      <c r="I1058" t="s">
        <v>2002</v>
      </c>
      <c r="J1058" t="s">
        <v>2029</v>
      </c>
      <c r="K1058" t="s">
        <v>1989</v>
      </c>
      <c r="L1058">
        <f>IF(G1058="High",3,IF(G1058="Medium",2,1))</f>
        <v>1</v>
      </c>
    </row>
    <row r="1059" spans="1:12">
      <c r="A1059" t="s">
        <v>3085</v>
      </c>
      <c r="B1059" t="s">
        <v>995</v>
      </c>
      <c r="C1059" t="s">
        <v>1991</v>
      </c>
      <c r="D1059" t="s">
        <v>1992</v>
      </c>
      <c r="E1059" t="s">
        <v>57</v>
      </c>
      <c r="F1059" t="s">
        <v>57</v>
      </c>
      <c r="G1059" t="str">
        <f>INDEX(Risk_Matrix!$B$2:$D$4,MATCH(E1059,Risk_Matrix!$A$2:$A$4,0),MATCH(F1059,Risk_Matrix!$B$1:$D$1,0))</f>
        <v>Low</v>
      </c>
      <c r="H1059" s="1">
        <v>46207</v>
      </c>
      <c r="I1059" t="s">
        <v>2015</v>
      </c>
      <c r="J1059" t="s">
        <v>2016</v>
      </c>
      <c r="K1059" t="s">
        <v>2010</v>
      </c>
      <c r="L1059">
        <f>IF(G1059="High",3,IF(G1059="Medium",2,1))</f>
        <v>1</v>
      </c>
    </row>
    <row r="1060" spans="1:12">
      <c r="A1060" t="s">
        <v>3086</v>
      </c>
      <c r="B1060" t="s">
        <v>995</v>
      </c>
      <c r="C1060" t="s">
        <v>1995</v>
      </c>
      <c r="D1060" t="s">
        <v>2150</v>
      </c>
      <c r="E1060" t="s">
        <v>47</v>
      </c>
      <c r="F1060" t="s">
        <v>1971</v>
      </c>
      <c r="G1060" t="str">
        <f>INDEX(Risk_Matrix!$B$2:$D$4,MATCH(E1060,Risk_Matrix!$A$2:$A$4,0),MATCH(F1060,Risk_Matrix!$B$1:$D$1,0))</f>
        <v>High</v>
      </c>
      <c r="H1060" s="1">
        <v>46126</v>
      </c>
      <c r="I1060" t="s">
        <v>2025</v>
      </c>
      <c r="J1060" t="s">
        <v>2035</v>
      </c>
      <c r="K1060" t="s">
        <v>2036</v>
      </c>
      <c r="L1060">
        <f>IF(G1060="High",3,IF(G1060="Medium",2,1))</f>
        <v>3</v>
      </c>
    </row>
    <row r="1061" spans="1:12">
      <c r="A1061" t="s">
        <v>3087</v>
      </c>
      <c r="B1061" t="s">
        <v>995</v>
      </c>
      <c r="C1061" t="s">
        <v>2000</v>
      </c>
      <c r="D1061" t="s">
        <v>2001</v>
      </c>
      <c r="E1061" t="s">
        <v>57</v>
      </c>
      <c r="F1061" t="s">
        <v>57</v>
      </c>
      <c r="G1061" t="str">
        <f>INDEX(Risk_Matrix!$B$2:$D$4,MATCH(E1061,Risk_Matrix!$A$2:$A$4,0),MATCH(F1061,Risk_Matrix!$B$1:$D$1,0))</f>
        <v>Low</v>
      </c>
      <c r="H1061" s="1">
        <v>46055</v>
      </c>
      <c r="I1061" t="s">
        <v>2025</v>
      </c>
      <c r="J1061" t="s">
        <v>2035</v>
      </c>
      <c r="K1061" t="s">
        <v>1989</v>
      </c>
      <c r="L1061">
        <f>IF(G1061="High",3,IF(G1061="Medium",2,1))</f>
        <v>1</v>
      </c>
    </row>
    <row r="1062" spans="1:12">
      <c r="A1062" t="s">
        <v>3088</v>
      </c>
      <c r="B1062" t="s">
        <v>995</v>
      </c>
      <c r="C1062" t="s">
        <v>2005</v>
      </c>
      <c r="D1062" t="s">
        <v>2006</v>
      </c>
      <c r="E1062" t="s">
        <v>47</v>
      </c>
      <c r="F1062" t="s">
        <v>57</v>
      </c>
      <c r="G1062" t="str">
        <f>INDEX(Risk_Matrix!$B$2:$D$4,MATCH(E1062,Risk_Matrix!$A$2:$A$4,0),MATCH(F1062,Risk_Matrix!$B$1:$D$1,0))</f>
        <v>Medium</v>
      </c>
      <c r="H1062" s="1">
        <v>46177</v>
      </c>
      <c r="I1062" t="s">
        <v>2015</v>
      </c>
      <c r="J1062" t="s">
        <v>2032</v>
      </c>
      <c r="K1062" t="s">
        <v>1993</v>
      </c>
      <c r="L1062">
        <f>IF(G1062="High",3,IF(G1062="Medium",2,1))</f>
        <v>2</v>
      </c>
    </row>
    <row r="1063" spans="1:12">
      <c r="A1063" t="s">
        <v>3089</v>
      </c>
      <c r="B1063" t="s">
        <v>995</v>
      </c>
      <c r="C1063" t="s">
        <v>2008</v>
      </c>
      <c r="D1063" t="s">
        <v>2024</v>
      </c>
      <c r="E1063" t="s">
        <v>47</v>
      </c>
      <c r="F1063" t="s">
        <v>47</v>
      </c>
      <c r="G1063" t="str">
        <f>INDEX(Risk_Matrix!$B$2:$D$4,MATCH(E1063,Risk_Matrix!$A$2:$A$4,0),MATCH(F1063,Risk_Matrix!$B$1:$D$1,0))</f>
        <v>High</v>
      </c>
      <c r="H1063" s="1">
        <v>46168</v>
      </c>
      <c r="I1063" t="s">
        <v>2015</v>
      </c>
      <c r="J1063" t="s">
        <v>2016</v>
      </c>
      <c r="K1063" t="s">
        <v>2010</v>
      </c>
      <c r="L1063">
        <f>IF(G1063="High",3,IF(G1063="Medium",2,1))</f>
        <v>3</v>
      </c>
    </row>
    <row r="1064" spans="1:12">
      <c r="A1064" t="s">
        <v>3090</v>
      </c>
      <c r="B1064" t="s">
        <v>998</v>
      </c>
      <c r="C1064" t="s">
        <v>1985</v>
      </c>
      <c r="D1064" t="s">
        <v>1986</v>
      </c>
      <c r="E1064" t="s">
        <v>47</v>
      </c>
      <c r="F1064" t="s">
        <v>1971</v>
      </c>
      <c r="G1064" t="str">
        <f>INDEX(Risk_Matrix!$B$2:$D$4,MATCH(E1064,Risk_Matrix!$A$2:$A$4,0),MATCH(F1064,Risk_Matrix!$B$1:$D$1,0))</f>
        <v>High</v>
      </c>
      <c r="H1064" s="1">
        <v>46084</v>
      </c>
      <c r="I1064" t="s">
        <v>1987</v>
      </c>
      <c r="J1064" t="s">
        <v>1997</v>
      </c>
      <c r="K1064" t="s">
        <v>1989</v>
      </c>
      <c r="L1064">
        <f>IF(G1064="High",3,IF(G1064="Medium",2,1))</f>
        <v>3</v>
      </c>
    </row>
    <row r="1065" spans="1:12">
      <c r="A1065" t="s">
        <v>3091</v>
      </c>
      <c r="B1065" t="s">
        <v>998</v>
      </c>
      <c r="C1065" t="s">
        <v>1991</v>
      </c>
      <c r="D1065" t="s">
        <v>2064</v>
      </c>
      <c r="E1065" t="s">
        <v>1971</v>
      </c>
      <c r="F1065" t="s">
        <v>1971</v>
      </c>
      <c r="G1065" t="str">
        <f>INDEX(Risk_Matrix!$B$2:$D$4,MATCH(E1065,Risk_Matrix!$A$2:$A$4,0),MATCH(F1065,Risk_Matrix!$B$1:$D$1,0))</f>
        <v>Medium</v>
      </c>
      <c r="H1065" s="1">
        <v>46193</v>
      </c>
      <c r="I1065" t="s">
        <v>2025</v>
      </c>
      <c r="J1065" t="s">
        <v>2026</v>
      </c>
      <c r="K1065" t="s">
        <v>1993</v>
      </c>
      <c r="L1065">
        <f>IF(G1065="High",3,IF(G1065="Medium",2,1))</f>
        <v>2</v>
      </c>
    </row>
    <row r="1066" spans="1:12">
      <c r="A1066" t="s">
        <v>3092</v>
      </c>
      <c r="B1066" t="s">
        <v>998</v>
      </c>
      <c r="C1066" t="s">
        <v>1995</v>
      </c>
      <c r="D1066" t="s">
        <v>1996</v>
      </c>
      <c r="E1066" t="s">
        <v>57</v>
      </c>
      <c r="F1066" t="s">
        <v>1971</v>
      </c>
      <c r="G1066" t="str">
        <f>INDEX(Risk_Matrix!$B$2:$D$4,MATCH(E1066,Risk_Matrix!$A$2:$A$4,0),MATCH(F1066,Risk_Matrix!$B$1:$D$1,0))</f>
        <v>Low</v>
      </c>
      <c r="H1066" s="1">
        <v>46212</v>
      </c>
      <c r="I1066" t="s">
        <v>2025</v>
      </c>
      <c r="J1066" t="s">
        <v>2035</v>
      </c>
      <c r="K1066" t="s">
        <v>1998</v>
      </c>
      <c r="L1066">
        <f>IF(G1066="High",3,IF(G1066="Medium",2,1))</f>
        <v>1</v>
      </c>
    </row>
    <row r="1067" spans="1:12">
      <c r="A1067" t="s">
        <v>3093</v>
      </c>
      <c r="B1067" t="s">
        <v>998</v>
      </c>
      <c r="C1067" t="s">
        <v>2000</v>
      </c>
      <c r="D1067" t="s">
        <v>2045</v>
      </c>
      <c r="E1067" t="s">
        <v>1971</v>
      </c>
      <c r="F1067" t="s">
        <v>57</v>
      </c>
      <c r="G1067" t="str">
        <f>INDEX(Risk_Matrix!$B$2:$D$4,MATCH(E1067,Risk_Matrix!$A$2:$A$4,0),MATCH(F1067,Risk_Matrix!$B$1:$D$1,0))</f>
        <v>Low</v>
      </c>
      <c r="H1067" s="1">
        <v>46209</v>
      </c>
      <c r="I1067" t="s">
        <v>2015</v>
      </c>
      <c r="J1067" t="s">
        <v>2016</v>
      </c>
      <c r="K1067" t="s">
        <v>1993</v>
      </c>
      <c r="L1067">
        <f>IF(G1067="High",3,IF(G1067="Medium",2,1))</f>
        <v>1</v>
      </c>
    </row>
    <row r="1068" spans="1:12">
      <c r="A1068" t="s">
        <v>3094</v>
      </c>
      <c r="B1068" t="s">
        <v>998</v>
      </c>
      <c r="C1068" t="s">
        <v>2005</v>
      </c>
      <c r="D1068" t="s">
        <v>2006</v>
      </c>
      <c r="E1068" t="s">
        <v>57</v>
      </c>
      <c r="F1068" t="s">
        <v>1971</v>
      </c>
      <c r="G1068" t="str">
        <f>INDEX(Risk_Matrix!$B$2:$D$4,MATCH(E1068,Risk_Matrix!$A$2:$A$4,0),MATCH(F1068,Risk_Matrix!$B$1:$D$1,0))</f>
        <v>Low</v>
      </c>
      <c r="H1068" s="1">
        <v>46084</v>
      </c>
      <c r="I1068" t="s">
        <v>2002</v>
      </c>
      <c r="J1068" t="s">
        <v>2029</v>
      </c>
      <c r="K1068" t="s">
        <v>1993</v>
      </c>
      <c r="L1068">
        <f>IF(G1068="High",3,IF(G1068="Medium",2,1))</f>
        <v>1</v>
      </c>
    </row>
    <row r="1069" spans="1:12">
      <c r="A1069" t="s">
        <v>3095</v>
      </c>
      <c r="B1069" t="s">
        <v>998</v>
      </c>
      <c r="C1069" t="s">
        <v>2008</v>
      </c>
      <c r="D1069" t="s">
        <v>2009</v>
      </c>
      <c r="E1069" t="s">
        <v>1971</v>
      </c>
      <c r="F1069" t="s">
        <v>57</v>
      </c>
      <c r="G1069" t="str">
        <f>INDEX(Risk_Matrix!$B$2:$D$4,MATCH(E1069,Risk_Matrix!$A$2:$A$4,0),MATCH(F1069,Risk_Matrix!$B$1:$D$1,0))</f>
        <v>Low</v>
      </c>
      <c r="H1069" s="1">
        <v>46182</v>
      </c>
      <c r="I1069" t="s">
        <v>2025</v>
      </c>
      <c r="J1069" t="s">
        <v>2026</v>
      </c>
      <c r="K1069" t="s">
        <v>2010</v>
      </c>
      <c r="L1069">
        <f>IF(G1069="High",3,IF(G1069="Medium",2,1))</f>
        <v>1</v>
      </c>
    </row>
    <row r="1070" spans="1:12">
      <c r="A1070" t="s">
        <v>3096</v>
      </c>
      <c r="B1070" t="s">
        <v>1000</v>
      </c>
      <c r="C1070" t="s">
        <v>1985</v>
      </c>
      <c r="D1070" t="s">
        <v>1986</v>
      </c>
      <c r="E1070" t="s">
        <v>57</v>
      </c>
      <c r="F1070" t="s">
        <v>57</v>
      </c>
      <c r="G1070" t="str">
        <f>INDEX(Risk_Matrix!$B$2:$D$4,MATCH(E1070,Risk_Matrix!$A$2:$A$4,0),MATCH(F1070,Risk_Matrix!$B$1:$D$1,0))</f>
        <v>Low</v>
      </c>
      <c r="H1070" s="1">
        <v>46174</v>
      </c>
      <c r="I1070" t="s">
        <v>2002</v>
      </c>
      <c r="J1070" t="s">
        <v>2029</v>
      </c>
      <c r="K1070" t="s">
        <v>1989</v>
      </c>
      <c r="L1070">
        <f>IF(G1070="High",3,IF(G1070="Medium",2,1))</f>
        <v>1</v>
      </c>
    </row>
    <row r="1071" spans="1:12">
      <c r="A1071" t="s">
        <v>3097</v>
      </c>
      <c r="B1071" t="s">
        <v>1000</v>
      </c>
      <c r="C1071" t="s">
        <v>1991</v>
      </c>
      <c r="D1071" t="s">
        <v>2014</v>
      </c>
      <c r="E1071" t="s">
        <v>1971</v>
      </c>
      <c r="F1071" t="s">
        <v>1971</v>
      </c>
      <c r="G1071" t="str">
        <f>INDEX(Risk_Matrix!$B$2:$D$4,MATCH(E1071,Risk_Matrix!$A$2:$A$4,0),MATCH(F1071,Risk_Matrix!$B$1:$D$1,0))</f>
        <v>Medium</v>
      </c>
      <c r="H1071" s="1">
        <v>46214</v>
      </c>
      <c r="I1071" t="s">
        <v>2015</v>
      </c>
      <c r="J1071" t="s">
        <v>2016</v>
      </c>
      <c r="K1071" t="s">
        <v>1993</v>
      </c>
      <c r="L1071">
        <f>IF(G1071="High",3,IF(G1071="Medium",2,1))</f>
        <v>2</v>
      </c>
    </row>
    <row r="1072" spans="1:12">
      <c r="A1072" t="s">
        <v>3098</v>
      </c>
      <c r="B1072" t="s">
        <v>1000</v>
      </c>
      <c r="C1072" t="s">
        <v>1995</v>
      </c>
      <c r="D1072" t="s">
        <v>2018</v>
      </c>
      <c r="E1072" t="s">
        <v>1971</v>
      </c>
      <c r="F1072" t="s">
        <v>57</v>
      </c>
      <c r="G1072" t="str">
        <f>INDEX(Risk_Matrix!$B$2:$D$4,MATCH(E1072,Risk_Matrix!$A$2:$A$4,0),MATCH(F1072,Risk_Matrix!$B$1:$D$1,0))</f>
        <v>Low</v>
      </c>
      <c r="H1072" s="1">
        <v>46135</v>
      </c>
      <c r="I1072" t="s">
        <v>2002</v>
      </c>
      <c r="J1072" t="s">
        <v>2003</v>
      </c>
      <c r="K1072" t="s">
        <v>1998</v>
      </c>
      <c r="L1072">
        <f>IF(G1072="High",3,IF(G1072="Medium",2,1))</f>
        <v>1</v>
      </c>
    </row>
    <row r="1073" spans="1:12">
      <c r="A1073" t="s">
        <v>3099</v>
      </c>
      <c r="B1073" t="s">
        <v>1000</v>
      </c>
      <c r="C1073" t="s">
        <v>2000</v>
      </c>
      <c r="D1073" t="s">
        <v>2001</v>
      </c>
      <c r="E1073" t="s">
        <v>57</v>
      </c>
      <c r="F1073" t="s">
        <v>57</v>
      </c>
      <c r="G1073" t="str">
        <f>INDEX(Risk_Matrix!$B$2:$D$4,MATCH(E1073,Risk_Matrix!$A$2:$A$4,0),MATCH(F1073,Risk_Matrix!$B$1:$D$1,0))</f>
        <v>Low</v>
      </c>
      <c r="H1073" s="1">
        <v>46199</v>
      </c>
      <c r="I1073" t="s">
        <v>1987</v>
      </c>
      <c r="J1073" t="s">
        <v>1988</v>
      </c>
      <c r="K1073" t="s">
        <v>1993</v>
      </c>
      <c r="L1073">
        <f>IF(G1073="High",3,IF(G1073="Medium",2,1))</f>
        <v>1</v>
      </c>
    </row>
    <row r="1074" spans="1:12">
      <c r="A1074" t="s">
        <v>3100</v>
      </c>
      <c r="B1074" t="s">
        <v>1000</v>
      </c>
      <c r="C1074" t="s">
        <v>2005</v>
      </c>
      <c r="D1074" t="s">
        <v>2022</v>
      </c>
      <c r="E1074" t="s">
        <v>57</v>
      </c>
      <c r="F1074" t="s">
        <v>57</v>
      </c>
      <c r="G1074" t="str">
        <f>INDEX(Risk_Matrix!$B$2:$D$4,MATCH(E1074,Risk_Matrix!$A$2:$A$4,0),MATCH(F1074,Risk_Matrix!$B$1:$D$1,0))</f>
        <v>Low</v>
      </c>
      <c r="H1074" s="1">
        <v>46183</v>
      </c>
      <c r="I1074" t="s">
        <v>1987</v>
      </c>
      <c r="J1074" t="s">
        <v>1988</v>
      </c>
      <c r="K1074" t="s">
        <v>1993</v>
      </c>
      <c r="L1074">
        <f>IF(G1074="High",3,IF(G1074="Medium",2,1))</f>
        <v>1</v>
      </c>
    </row>
    <row r="1075" spans="1:12">
      <c r="A1075" t="s">
        <v>3101</v>
      </c>
      <c r="B1075" t="s">
        <v>1000</v>
      </c>
      <c r="C1075" t="s">
        <v>2008</v>
      </c>
      <c r="D1075" t="s">
        <v>2054</v>
      </c>
      <c r="E1075" t="s">
        <v>1971</v>
      </c>
      <c r="F1075" t="s">
        <v>47</v>
      </c>
      <c r="G1075" t="str">
        <f>INDEX(Risk_Matrix!$B$2:$D$4,MATCH(E1075,Risk_Matrix!$A$2:$A$4,0),MATCH(F1075,Risk_Matrix!$B$1:$D$1,0))</f>
        <v>High</v>
      </c>
      <c r="H1075" s="1">
        <v>46167</v>
      </c>
      <c r="I1075" t="s">
        <v>2025</v>
      </c>
      <c r="J1075" t="s">
        <v>2026</v>
      </c>
      <c r="K1075" t="s">
        <v>2010</v>
      </c>
      <c r="L1075">
        <f>IF(G1075="High",3,IF(G1075="Medium",2,1))</f>
        <v>3</v>
      </c>
    </row>
    <row r="1076" spans="1:12">
      <c r="A1076" t="s">
        <v>3102</v>
      </c>
      <c r="B1076" t="s">
        <v>1001</v>
      </c>
      <c r="C1076" t="s">
        <v>1985</v>
      </c>
      <c r="D1076" t="s">
        <v>2062</v>
      </c>
      <c r="E1076" t="s">
        <v>57</v>
      </c>
      <c r="F1076" t="s">
        <v>1971</v>
      </c>
      <c r="G1076" t="str">
        <f>INDEX(Risk_Matrix!$B$2:$D$4,MATCH(E1076,Risk_Matrix!$A$2:$A$4,0),MATCH(F1076,Risk_Matrix!$B$1:$D$1,0))</f>
        <v>Low</v>
      </c>
      <c r="H1076" s="1">
        <v>46195</v>
      </c>
      <c r="I1076" t="s">
        <v>2002</v>
      </c>
      <c r="J1076" t="s">
        <v>2029</v>
      </c>
      <c r="K1076" t="s">
        <v>1989</v>
      </c>
      <c r="L1076">
        <f>IF(G1076="High",3,IF(G1076="Medium",2,1))</f>
        <v>1</v>
      </c>
    </row>
    <row r="1077" spans="1:12">
      <c r="A1077" t="s">
        <v>3103</v>
      </c>
      <c r="B1077" t="s">
        <v>1001</v>
      </c>
      <c r="C1077" t="s">
        <v>1991</v>
      </c>
      <c r="D1077" t="s">
        <v>2014</v>
      </c>
      <c r="E1077" t="s">
        <v>1971</v>
      </c>
      <c r="F1077" t="s">
        <v>47</v>
      </c>
      <c r="G1077" t="str">
        <f>INDEX(Risk_Matrix!$B$2:$D$4,MATCH(E1077,Risk_Matrix!$A$2:$A$4,0),MATCH(F1077,Risk_Matrix!$B$1:$D$1,0))</f>
        <v>High</v>
      </c>
      <c r="H1077" s="1">
        <v>46208</v>
      </c>
      <c r="I1077" t="s">
        <v>1987</v>
      </c>
      <c r="J1077" t="s">
        <v>1997</v>
      </c>
      <c r="K1077" t="s">
        <v>1993</v>
      </c>
      <c r="L1077">
        <f>IF(G1077="High",3,IF(G1077="Medium",2,1))</f>
        <v>3</v>
      </c>
    </row>
    <row r="1078" spans="1:12">
      <c r="A1078" t="s">
        <v>3104</v>
      </c>
      <c r="B1078" t="s">
        <v>1001</v>
      </c>
      <c r="C1078" t="s">
        <v>1995</v>
      </c>
      <c r="D1078" t="s">
        <v>2034</v>
      </c>
      <c r="E1078" t="s">
        <v>47</v>
      </c>
      <c r="F1078" t="s">
        <v>1971</v>
      </c>
      <c r="G1078" t="str">
        <f>INDEX(Risk_Matrix!$B$2:$D$4,MATCH(E1078,Risk_Matrix!$A$2:$A$4,0),MATCH(F1078,Risk_Matrix!$B$1:$D$1,0))</f>
        <v>High</v>
      </c>
      <c r="H1078" s="1">
        <v>46151</v>
      </c>
      <c r="I1078" t="s">
        <v>2025</v>
      </c>
      <c r="J1078" t="s">
        <v>2026</v>
      </c>
      <c r="K1078" t="s">
        <v>1998</v>
      </c>
      <c r="L1078">
        <f>IF(G1078="High",3,IF(G1078="Medium",2,1))</f>
        <v>3</v>
      </c>
    </row>
    <row r="1079" spans="1:12">
      <c r="A1079" t="s">
        <v>3105</v>
      </c>
      <c r="B1079" t="s">
        <v>1001</v>
      </c>
      <c r="C1079" t="s">
        <v>2000</v>
      </c>
      <c r="D1079" t="s">
        <v>2020</v>
      </c>
      <c r="E1079" t="s">
        <v>1971</v>
      </c>
      <c r="F1079" t="s">
        <v>57</v>
      </c>
      <c r="G1079" t="str">
        <f>INDEX(Risk_Matrix!$B$2:$D$4,MATCH(E1079,Risk_Matrix!$A$2:$A$4,0),MATCH(F1079,Risk_Matrix!$B$1:$D$1,0))</f>
        <v>Low</v>
      </c>
      <c r="H1079" s="1">
        <v>46113</v>
      </c>
      <c r="I1079" t="s">
        <v>2025</v>
      </c>
      <c r="J1079" t="s">
        <v>2026</v>
      </c>
      <c r="K1079" t="s">
        <v>1993</v>
      </c>
      <c r="L1079">
        <f>IF(G1079="High",3,IF(G1079="Medium",2,1))</f>
        <v>1</v>
      </c>
    </row>
    <row r="1080" spans="1:12">
      <c r="A1080" t="s">
        <v>3106</v>
      </c>
      <c r="B1080" t="s">
        <v>1001</v>
      </c>
      <c r="C1080" t="s">
        <v>2005</v>
      </c>
      <c r="D1080" t="s">
        <v>2039</v>
      </c>
      <c r="E1080" t="s">
        <v>47</v>
      </c>
      <c r="F1080" t="s">
        <v>1971</v>
      </c>
      <c r="G1080" t="str">
        <f>INDEX(Risk_Matrix!$B$2:$D$4,MATCH(E1080,Risk_Matrix!$A$2:$A$4,0),MATCH(F1080,Risk_Matrix!$B$1:$D$1,0))</f>
        <v>High</v>
      </c>
      <c r="H1080" s="1">
        <v>46232</v>
      </c>
      <c r="I1080" t="s">
        <v>2015</v>
      </c>
      <c r="J1080" t="s">
        <v>2032</v>
      </c>
      <c r="K1080" t="s">
        <v>1993</v>
      </c>
      <c r="L1080">
        <f>IF(G1080="High",3,IF(G1080="Medium",2,1))</f>
        <v>3</v>
      </c>
    </row>
    <row r="1081" spans="1:12">
      <c r="A1081" t="s">
        <v>3107</v>
      </c>
      <c r="B1081" t="s">
        <v>1001</v>
      </c>
      <c r="C1081" t="s">
        <v>2008</v>
      </c>
      <c r="D1081" t="s">
        <v>2024</v>
      </c>
      <c r="E1081" t="s">
        <v>47</v>
      </c>
      <c r="F1081" t="s">
        <v>57</v>
      </c>
      <c r="G1081" t="str">
        <f>INDEX(Risk_Matrix!$B$2:$D$4,MATCH(E1081,Risk_Matrix!$A$2:$A$4,0),MATCH(F1081,Risk_Matrix!$B$1:$D$1,0))</f>
        <v>Medium</v>
      </c>
      <c r="H1081" s="1">
        <v>46215</v>
      </c>
      <c r="I1081" t="s">
        <v>2025</v>
      </c>
      <c r="J1081" t="s">
        <v>2035</v>
      </c>
      <c r="K1081" t="s">
        <v>2010</v>
      </c>
      <c r="L1081">
        <f>IF(G1081="High",3,IF(G1081="Medium",2,1))</f>
        <v>2</v>
      </c>
    </row>
    <row r="1082" spans="1:12">
      <c r="A1082" t="s">
        <v>3108</v>
      </c>
      <c r="B1082" t="s">
        <v>1003</v>
      </c>
      <c r="C1082" t="s">
        <v>1985</v>
      </c>
      <c r="D1082" t="s">
        <v>2012</v>
      </c>
      <c r="E1082" t="s">
        <v>57</v>
      </c>
      <c r="F1082" t="s">
        <v>47</v>
      </c>
      <c r="G1082" t="str">
        <f>INDEX(Risk_Matrix!$B$2:$D$4,MATCH(E1082,Risk_Matrix!$A$2:$A$4,0),MATCH(F1082,Risk_Matrix!$B$1:$D$1,0))</f>
        <v>Medium</v>
      </c>
      <c r="H1082" s="1">
        <v>46217</v>
      </c>
      <c r="I1082" t="s">
        <v>2015</v>
      </c>
      <c r="J1082" t="s">
        <v>2016</v>
      </c>
      <c r="K1082" t="s">
        <v>1989</v>
      </c>
      <c r="L1082">
        <f>IF(G1082="High",3,IF(G1082="Medium",2,1))</f>
        <v>2</v>
      </c>
    </row>
    <row r="1083" spans="1:12">
      <c r="A1083" t="s">
        <v>3109</v>
      </c>
      <c r="B1083" t="s">
        <v>1003</v>
      </c>
      <c r="C1083" t="s">
        <v>1991</v>
      </c>
      <c r="D1083" t="s">
        <v>2031</v>
      </c>
      <c r="E1083" t="s">
        <v>1971</v>
      </c>
      <c r="F1083" t="s">
        <v>47</v>
      </c>
      <c r="G1083" t="str">
        <f>INDEX(Risk_Matrix!$B$2:$D$4,MATCH(E1083,Risk_Matrix!$A$2:$A$4,0),MATCH(F1083,Risk_Matrix!$B$1:$D$1,0))</f>
        <v>High</v>
      </c>
      <c r="H1083" s="1">
        <v>46224</v>
      </c>
      <c r="I1083" t="s">
        <v>2015</v>
      </c>
      <c r="J1083" t="s">
        <v>2032</v>
      </c>
      <c r="K1083" t="s">
        <v>1993</v>
      </c>
      <c r="L1083">
        <f>IF(G1083="High",3,IF(G1083="Medium",2,1))</f>
        <v>3</v>
      </c>
    </row>
    <row r="1084" spans="1:12">
      <c r="A1084" t="s">
        <v>3110</v>
      </c>
      <c r="B1084" t="s">
        <v>1003</v>
      </c>
      <c r="C1084" t="s">
        <v>1995</v>
      </c>
      <c r="D1084" t="s">
        <v>2150</v>
      </c>
      <c r="E1084" t="s">
        <v>1971</v>
      </c>
      <c r="F1084" t="s">
        <v>1971</v>
      </c>
      <c r="G1084" t="str">
        <f>INDEX(Risk_Matrix!$B$2:$D$4,MATCH(E1084,Risk_Matrix!$A$2:$A$4,0),MATCH(F1084,Risk_Matrix!$B$1:$D$1,0))</f>
        <v>Medium</v>
      </c>
      <c r="H1084" s="1">
        <v>46095</v>
      </c>
      <c r="I1084" t="s">
        <v>2002</v>
      </c>
      <c r="J1084" t="s">
        <v>2003</v>
      </c>
      <c r="K1084" t="s">
        <v>2036</v>
      </c>
      <c r="L1084">
        <f>IF(G1084="High",3,IF(G1084="Medium",2,1))</f>
        <v>2</v>
      </c>
    </row>
    <row r="1085" spans="1:12">
      <c r="A1085" t="s">
        <v>3111</v>
      </c>
      <c r="B1085" t="s">
        <v>1003</v>
      </c>
      <c r="C1085" t="s">
        <v>2000</v>
      </c>
      <c r="D1085" t="s">
        <v>2001</v>
      </c>
      <c r="E1085" t="s">
        <v>57</v>
      </c>
      <c r="F1085" t="s">
        <v>47</v>
      </c>
      <c r="G1085" t="str">
        <f>INDEX(Risk_Matrix!$B$2:$D$4,MATCH(E1085,Risk_Matrix!$A$2:$A$4,0),MATCH(F1085,Risk_Matrix!$B$1:$D$1,0))</f>
        <v>Medium</v>
      </c>
      <c r="H1085" s="1">
        <v>46098</v>
      </c>
      <c r="I1085" t="s">
        <v>2025</v>
      </c>
      <c r="J1085" t="s">
        <v>2026</v>
      </c>
      <c r="K1085" t="s">
        <v>1993</v>
      </c>
      <c r="L1085">
        <f>IF(G1085="High",3,IF(G1085="Medium",2,1))</f>
        <v>2</v>
      </c>
    </row>
    <row r="1086" spans="1:12">
      <c r="A1086" t="s">
        <v>3112</v>
      </c>
      <c r="B1086" t="s">
        <v>1003</v>
      </c>
      <c r="C1086" t="s">
        <v>2005</v>
      </c>
      <c r="D1086" t="s">
        <v>2022</v>
      </c>
      <c r="E1086" t="s">
        <v>57</v>
      </c>
      <c r="F1086" t="s">
        <v>57</v>
      </c>
      <c r="G1086" t="str">
        <f>INDEX(Risk_Matrix!$B$2:$D$4,MATCH(E1086,Risk_Matrix!$A$2:$A$4,0),MATCH(F1086,Risk_Matrix!$B$1:$D$1,0))</f>
        <v>Low</v>
      </c>
      <c r="H1086" s="1">
        <v>46176</v>
      </c>
      <c r="I1086" t="s">
        <v>2015</v>
      </c>
      <c r="J1086" t="s">
        <v>2016</v>
      </c>
      <c r="K1086" t="s">
        <v>1993</v>
      </c>
      <c r="L1086">
        <f>IF(G1086="High",3,IF(G1086="Medium",2,1))</f>
        <v>1</v>
      </c>
    </row>
    <row r="1087" spans="1:12">
      <c r="A1087" t="s">
        <v>3113</v>
      </c>
      <c r="B1087" t="s">
        <v>1003</v>
      </c>
      <c r="C1087" t="s">
        <v>2008</v>
      </c>
      <c r="D1087" t="s">
        <v>2024</v>
      </c>
      <c r="E1087" t="s">
        <v>1971</v>
      </c>
      <c r="F1087" t="s">
        <v>1971</v>
      </c>
      <c r="G1087" t="str">
        <f>INDEX(Risk_Matrix!$B$2:$D$4,MATCH(E1087,Risk_Matrix!$A$2:$A$4,0),MATCH(F1087,Risk_Matrix!$B$1:$D$1,0))</f>
        <v>Medium</v>
      </c>
      <c r="H1087" s="1">
        <v>46164</v>
      </c>
      <c r="I1087" t="s">
        <v>1987</v>
      </c>
      <c r="J1087" t="s">
        <v>1988</v>
      </c>
      <c r="K1087" t="s">
        <v>2010</v>
      </c>
      <c r="L1087">
        <f>IF(G1087="High",3,IF(G1087="Medium",2,1))</f>
        <v>2</v>
      </c>
    </row>
    <row r="1088" spans="1:12">
      <c r="A1088" t="s">
        <v>3114</v>
      </c>
      <c r="B1088" t="s">
        <v>1006</v>
      </c>
      <c r="C1088" t="s">
        <v>1985</v>
      </c>
      <c r="D1088" t="s">
        <v>2028</v>
      </c>
      <c r="E1088" t="s">
        <v>57</v>
      </c>
      <c r="F1088" t="s">
        <v>57</v>
      </c>
      <c r="G1088" t="str">
        <f>INDEX(Risk_Matrix!$B$2:$D$4,MATCH(E1088,Risk_Matrix!$A$2:$A$4,0),MATCH(F1088,Risk_Matrix!$B$1:$D$1,0))</f>
        <v>Low</v>
      </c>
      <c r="H1088" s="1">
        <v>46061</v>
      </c>
      <c r="I1088" t="s">
        <v>2025</v>
      </c>
      <c r="J1088" t="s">
        <v>2035</v>
      </c>
      <c r="K1088" t="s">
        <v>1998</v>
      </c>
      <c r="L1088">
        <f>IF(G1088="High",3,IF(G1088="Medium",2,1))</f>
        <v>1</v>
      </c>
    </row>
    <row r="1089" spans="1:12">
      <c r="A1089" t="s">
        <v>3115</v>
      </c>
      <c r="B1089" t="s">
        <v>1006</v>
      </c>
      <c r="C1089" t="s">
        <v>1991</v>
      </c>
      <c r="D1089" t="s">
        <v>1992</v>
      </c>
      <c r="E1089" t="s">
        <v>57</v>
      </c>
      <c r="F1089" t="s">
        <v>57</v>
      </c>
      <c r="G1089" t="str">
        <f>INDEX(Risk_Matrix!$B$2:$D$4,MATCH(E1089,Risk_Matrix!$A$2:$A$4,0),MATCH(F1089,Risk_Matrix!$B$1:$D$1,0))</f>
        <v>Low</v>
      </c>
      <c r="H1089" s="1">
        <v>46107</v>
      </c>
      <c r="I1089" t="s">
        <v>2002</v>
      </c>
      <c r="J1089" t="s">
        <v>2029</v>
      </c>
      <c r="K1089" t="s">
        <v>1993</v>
      </c>
      <c r="L1089">
        <f>IF(G1089="High",3,IF(G1089="Medium",2,1))</f>
        <v>1</v>
      </c>
    </row>
    <row r="1090" spans="1:12">
      <c r="A1090" t="s">
        <v>3116</v>
      </c>
      <c r="B1090" t="s">
        <v>1006</v>
      </c>
      <c r="C1090" t="s">
        <v>1995</v>
      </c>
      <c r="D1090" t="s">
        <v>2034</v>
      </c>
      <c r="E1090" t="s">
        <v>1971</v>
      </c>
      <c r="F1090" t="s">
        <v>1971</v>
      </c>
      <c r="G1090" t="str">
        <f>INDEX(Risk_Matrix!$B$2:$D$4,MATCH(E1090,Risk_Matrix!$A$2:$A$4,0),MATCH(F1090,Risk_Matrix!$B$1:$D$1,0))</f>
        <v>Medium</v>
      </c>
      <c r="H1090" s="1">
        <v>46214</v>
      </c>
      <c r="I1090" t="s">
        <v>1987</v>
      </c>
      <c r="J1090" t="s">
        <v>1988</v>
      </c>
      <c r="K1090" t="s">
        <v>1998</v>
      </c>
      <c r="L1090">
        <f>IF(G1090="High",3,IF(G1090="Medium",2,1))</f>
        <v>2</v>
      </c>
    </row>
    <row r="1091" spans="1:12">
      <c r="A1091" t="s">
        <v>3117</v>
      </c>
      <c r="B1091" t="s">
        <v>1006</v>
      </c>
      <c r="C1091" t="s">
        <v>2000</v>
      </c>
      <c r="D1091" t="s">
        <v>2045</v>
      </c>
      <c r="E1091" t="s">
        <v>57</v>
      </c>
      <c r="F1091" t="s">
        <v>1971</v>
      </c>
      <c r="G1091" t="str">
        <f>INDEX(Risk_Matrix!$B$2:$D$4,MATCH(E1091,Risk_Matrix!$A$2:$A$4,0),MATCH(F1091,Risk_Matrix!$B$1:$D$1,0))</f>
        <v>Low</v>
      </c>
      <c r="H1091" s="1">
        <v>46116</v>
      </c>
      <c r="I1091" t="s">
        <v>2002</v>
      </c>
      <c r="J1091" t="s">
        <v>2003</v>
      </c>
      <c r="K1091" t="s">
        <v>1993</v>
      </c>
      <c r="L1091">
        <f>IF(G1091="High",3,IF(G1091="Medium",2,1))</f>
        <v>1</v>
      </c>
    </row>
    <row r="1092" spans="1:12">
      <c r="A1092" t="s">
        <v>3118</v>
      </c>
      <c r="B1092" t="s">
        <v>1006</v>
      </c>
      <c r="C1092" t="s">
        <v>2005</v>
      </c>
      <c r="D1092" t="s">
        <v>2022</v>
      </c>
      <c r="E1092" t="s">
        <v>57</v>
      </c>
      <c r="F1092" t="s">
        <v>57</v>
      </c>
      <c r="G1092" t="str">
        <f>INDEX(Risk_Matrix!$B$2:$D$4,MATCH(E1092,Risk_Matrix!$A$2:$A$4,0),MATCH(F1092,Risk_Matrix!$B$1:$D$1,0))</f>
        <v>Low</v>
      </c>
      <c r="H1092" s="1">
        <v>46200</v>
      </c>
      <c r="I1092" t="s">
        <v>2015</v>
      </c>
      <c r="J1092" t="s">
        <v>2032</v>
      </c>
      <c r="K1092" t="s">
        <v>2036</v>
      </c>
      <c r="L1092">
        <f>IF(G1092="High",3,IF(G1092="Medium",2,1))</f>
        <v>1</v>
      </c>
    </row>
    <row r="1093" spans="1:12">
      <c r="A1093" t="s">
        <v>3119</v>
      </c>
      <c r="B1093" t="s">
        <v>1006</v>
      </c>
      <c r="C1093" t="s">
        <v>2008</v>
      </c>
      <c r="D1093" t="s">
        <v>2024</v>
      </c>
      <c r="E1093" t="s">
        <v>57</v>
      </c>
      <c r="F1093" t="s">
        <v>47</v>
      </c>
      <c r="G1093" t="str">
        <f>INDEX(Risk_Matrix!$B$2:$D$4,MATCH(E1093,Risk_Matrix!$A$2:$A$4,0),MATCH(F1093,Risk_Matrix!$B$1:$D$1,0))</f>
        <v>Medium</v>
      </c>
      <c r="H1093" s="1">
        <v>46189</v>
      </c>
      <c r="I1093" t="s">
        <v>2025</v>
      </c>
      <c r="J1093" t="s">
        <v>2035</v>
      </c>
      <c r="K1093" t="s">
        <v>2010</v>
      </c>
      <c r="L1093">
        <f>IF(G1093="High",3,IF(G1093="Medium",2,1))</f>
        <v>2</v>
      </c>
    </row>
    <row r="1094" spans="1:12">
      <c r="A1094" t="s">
        <v>3120</v>
      </c>
      <c r="B1094" t="s">
        <v>1008</v>
      </c>
      <c r="C1094" t="s">
        <v>1985</v>
      </c>
      <c r="D1094" t="s">
        <v>2062</v>
      </c>
      <c r="E1094" t="s">
        <v>57</v>
      </c>
      <c r="F1094" t="s">
        <v>1971</v>
      </c>
      <c r="G1094" t="str">
        <f>INDEX(Risk_Matrix!$B$2:$D$4,MATCH(E1094,Risk_Matrix!$A$2:$A$4,0),MATCH(F1094,Risk_Matrix!$B$1:$D$1,0))</f>
        <v>Low</v>
      </c>
      <c r="H1094" s="1">
        <v>46187</v>
      </c>
      <c r="I1094" t="s">
        <v>1987</v>
      </c>
      <c r="J1094" t="s">
        <v>1997</v>
      </c>
      <c r="K1094" t="s">
        <v>1989</v>
      </c>
      <c r="L1094">
        <f>IF(G1094="High",3,IF(G1094="Medium",2,1))</f>
        <v>1</v>
      </c>
    </row>
    <row r="1095" spans="1:12">
      <c r="A1095" t="s">
        <v>3121</v>
      </c>
      <c r="B1095" t="s">
        <v>1008</v>
      </c>
      <c r="C1095" t="s">
        <v>1991</v>
      </c>
      <c r="D1095" t="s">
        <v>2031</v>
      </c>
      <c r="E1095" t="s">
        <v>57</v>
      </c>
      <c r="F1095" t="s">
        <v>57</v>
      </c>
      <c r="G1095" t="str">
        <f>INDEX(Risk_Matrix!$B$2:$D$4,MATCH(E1095,Risk_Matrix!$A$2:$A$4,0),MATCH(F1095,Risk_Matrix!$B$1:$D$1,0))</f>
        <v>Low</v>
      </c>
      <c r="H1095" s="1">
        <v>46213</v>
      </c>
      <c r="I1095" t="s">
        <v>2025</v>
      </c>
      <c r="J1095" t="s">
        <v>2026</v>
      </c>
      <c r="K1095" t="s">
        <v>1993</v>
      </c>
      <c r="L1095">
        <f>IF(G1095="High",3,IF(G1095="Medium",2,1))</f>
        <v>1</v>
      </c>
    </row>
    <row r="1096" spans="1:12">
      <c r="A1096" t="s">
        <v>3122</v>
      </c>
      <c r="B1096" t="s">
        <v>1008</v>
      </c>
      <c r="C1096" t="s">
        <v>1995</v>
      </c>
      <c r="D1096" t="s">
        <v>2034</v>
      </c>
      <c r="E1096" t="s">
        <v>1971</v>
      </c>
      <c r="F1096" t="s">
        <v>1971</v>
      </c>
      <c r="G1096" t="str">
        <f>INDEX(Risk_Matrix!$B$2:$D$4,MATCH(E1096,Risk_Matrix!$A$2:$A$4,0),MATCH(F1096,Risk_Matrix!$B$1:$D$1,0))</f>
        <v>Medium</v>
      </c>
      <c r="H1096" s="1">
        <v>46150</v>
      </c>
      <c r="I1096" t="s">
        <v>2015</v>
      </c>
      <c r="J1096" t="s">
        <v>2032</v>
      </c>
      <c r="K1096" t="s">
        <v>2036</v>
      </c>
      <c r="L1096">
        <f>IF(G1096="High",3,IF(G1096="Medium",2,1))</f>
        <v>2</v>
      </c>
    </row>
    <row r="1097" spans="1:12">
      <c r="A1097" t="s">
        <v>3123</v>
      </c>
      <c r="B1097" t="s">
        <v>1008</v>
      </c>
      <c r="C1097" t="s">
        <v>2000</v>
      </c>
      <c r="D1097" t="s">
        <v>2045</v>
      </c>
      <c r="E1097" t="s">
        <v>1971</v>
      </c>
      <c r="F1097" t="s">
        <v>1971</v>
      </c>
      <c r="G1097" t="str">
        <f>INDEX(Risk_Matrix!$B$2:$D$4,MATCH(E1097,Risk_Matrix!$A$2:$A$4,0),MATCH(F1097,Risk_Matrix!$B$1:$D$1,0))</f>
        <v>Medium</v>
      </c>
      <c r="H1097" s="1">
        <v>46089</v>
      </c>
      <c r="I1097" t="s">
        <v>2002</v>
      </c>
      <c r="J1097" t="s">
        <v>2003</v>
      </c>
      <c r="K1097" t="s">
        <v>1989</v>
      </c>
      <c r="L1097">
        <f>IF(G1097="High",3,IF(G1097="Medium",2,1))</f>
        <v>2</v>
      </c>
    </row>
    <row r="1098" spans="1:12">
      <c r="A1098" t="s">
        <v>3124</v>
      </c>
      <c r="B1098" t="s">
        <v>1008</v>
      </c>
      <c r="C1098" t="s">
        <v>2005</v>
      </c>
      <c r="D1098" t="s">
        <v>2022</v>
      </c>
      <c r="E1098" t="s">
        <v>57</v>
      </c>
      <c r="F1098" t="s">
        <v>57</v>
      </c>
      <c r="G1098" t="str">
        <f>INDEX(Risk_Matrix!$B$2:$D$4,MATCH(E1098,Risk_Matrix!$A$2:$A$4,0),MATCH(F1098,Risk_Matrix!$B$1:$D$1,0))</f>
        <v>Low</v>
      </c>
      <c r="H1098" s="1">
        <v>46178</v>
      </c>
      <c r="I1098" t="s">
        <v>2002</v>
      </c>
      <c r="J1098" t="s">
        <v>2029</v>
      </c>
      <c r="K1098" t="s">
        <v>2036</v>
      </c>
      <c r="L1098">
        <f>IF(G1098="High",3,IF(G1098="Medium",2,1))</f>
        <v>1</v>
      </c>
    </row>
    <row r="1099" spans="1:12">
      <c r="A1099" t="s">
        <v>3125</v>
      </c>
      <c r="B1099" t="s">
        <v>1008</v>
      </c>
      <c r="C1099" t="s">
        <v>2008</v>
      </c>
      <c r="D1099" t="s">
        <v>2054</v>
      </c>
      <c r="E1099" t="s">
        <v>1971</v>
      </c>
      <c r="F1099" t="s">
        <v>1971</v>
      </c>
      <c r="G1099" t="str">
        <f>INDEX(Risk_Matrix!$B$2:$D$4,MATCH(E1099,Risk_Matrix!$A$2:$A$4,0),MATCH(F1099,Risk_Matrix!$B$1:$D$1,0))</f>
        <v>Medium</v>
      </c>
      <c r="H1099" s="1">
        <v>46136</v>
      </c>
      <c r="I1099" t="s">
        <v>1987</v>
      </c>
      <c r="J1099" t="s">
        <v>1988</v>
      </c>
      <c r="K1099" t="s">
        <v>2010</v>
      </c>
      <c r="L1099">
        <f>IF(G1099="High",3,IF(G1099="Medium",2,1))</f>
        <v>2</v>
      </c>
    </row>
    <row r="1100" spans="1:12">
      <c r="A1100" t="s">
        <v>3126</v>
      </c>
      <c r="B1100" t="s">
        <v>1010</v>
      </c>
      <c r="C1100" t="s">
        <v>1985</v>
      </c>
      <c r="D1100" t="s">
        <v>2028</v>
      </c>
      <c r="E1100" t="s">
        <v>57</v>
      </c>
      <c r="F1100" t="s">
        <v>1971</v>
      </c>
      <c r="G1100" t="str">
        <f>INDEX(Risk_Matrix!$B$2:$D$4,MATCH(E1100,Risk_Matrix!$A$2:$A$4,0),MATCH(F1100,Risk_Matrix!$B$1:$D$1,0))</f>
        <v>Low</v>
      </c>
      <c r="H1100" s="1">
        <v>46183</v>
      </c>
      <c r="I1100" t="s">
        <v>2002</v>
      </c>
      <c r="J1100" t="s">
        <v>2003</v>
      </c>
      <c r="K1100" t="s">
        <v>1989</v>
      </c>
      <c r="L1100">
        <f>IF(G1100="High",3,IF(G1100="Medium",2,1))</f>
        <v>1</v>
      </c>
    </row>
    <row r="1101" spans="1:12">
      <c r="A1101" t="s">
        <v>3127</v>
      </c>
      <c r="B1101" t="s">
        <v>1010</v>
      </c>
      <c r="C1101" t="s">
        <v>1991</v>
      </c>
      <c r="D1101" t="s">
        <v>1992</v>
      </c>
      <c r="E1101" t="s">
        <v>57</v>
      </c>
      <c r="F1101" t="s">
        <v>1971</v>
      </c>
      <c r="G1101" t="str">
        <f>INDEX(Risk_Matrix!$B$2:$D$4,MATCH(E1101,Risk_Matrix!$A$2:$A$4,0),MATCH(F1101,Risk_Matrix!$B$1:$D$1,0))</f>
        <v>Low</v>
      </c>
      <c r="H1101" s="1">
        <v>46221</v>
      </c>
      <c r="I1101" t="s">
        <v>1987</v>
      </c>
      <c r="J1101" t="s">
        <v>1997</v>
      </c>
      <c r="K1101" t="s">
        <v>1993</v>
      </c>
      <c r="L1101">
        <f>IF(G1101="High",3,IF(G1101="Medium",2,1))</f>
        <v>1</v>
      </c>
    </row>
    <row r="1102" spans="1:12">
      <c r="A1102" t="s">
        <v>3128</v>
      </c>
      <c r="B1102" t="s">
        <v>1010</v>
      </c>
      <c r="C1102" t="s">
        <v>1995</v>
      </c>
      <c r="D1102" t="s">
        <v>2034</v>
      </c>
      <c r="E1102" t="s">
        <v>57</v>
      </c>
      <c r="F1102" t="s">
        <v>57</v>
      </c>
      <c r="G1102" t="str">
        <f>INDEX(Risk_Matrix!$B$2:$D$4,MATCH(E1102,Risk_Matrix!$A$2:$A$4,0),MATCH(F1102,Risk_Matrix!$B$1:$D$1,0))</f>
        <v>Low</v>
      </c>
      <c r="H1102" s="1">
        <v>46237</v>
      </c>
      <c r="I1102" t="s">
        <v>1987</v>
      </c>
      <c r="J1102" t="s">
        <v>1997</v>
      </c>
      <c r="K1102" t="s">
        <v>1998</v>
      </c>
      <c r="L1102">
        <f>IF(G1102="High",3,IF(G1102="Medium",2,1))</f>
        <v>1</v>
      </c>
    </row>
    <row r="1103" spans="1:12">
      <c r="A1103" t="s">
        <v>3129</v>
      </c>
      <c r="B1103" t="s">
        <v>1010</v>
      </c>
      <c r="C1103" t="s">
        <v>2000</v>
      </c>
      <c r="D1103" t="s">
        <v>2045</v>
      </c>
      <c r="E1103" t="s">
        <v>1971</v>
      </c>
      <c r="F1103" t="s">
        <v>1971</v>
      </c>
      <c r="G1103" t="str">
        <f>INDEX(Risk_Matrix!$B$2:$D$4,MATCH(E1103,Risk_Matrix!$A$2:$A$4,0),MATCH(F1103,Risk_Matrix!$B$1:$D$1,0))</f>
        <v>Medium</v>
      </c>
      <c r="H1103" s="1">
        <v>46172</v>
      </c>
      <c r="I1103" t="s">
        <v>2025</v>
      </c>
      <c r="J1103" t="s">
        <v>2026</v>
      </c>
      <c r="K1103" t="s">
        <v>1993</v>
      </c>
      <c r="L1103">
        <f>IF(G1103="High",3,IF(G1103="Medium",2,1))</f>
        <v>2</v>
      </c>
    </row>
    <row r="1104" spans="1:12">
      <c r="A1104" t="s">
        <v>3130</v>
      </c>
      <c r="B1104" t="s">
        <v>1010</v>
      </c>
      <c r="C1104" t="s">
        <v>2005</v>
      </c>
      <c r="D1104" t="s">
        <v>2006</v>
      </c>
      <c r="E1104" t="s">
        <v>47</v>
      </c>
      <c r="F1104" t="s">
        <v>47</v>
      </c>
      <c r="G1104" t="str">
        <f>INDEX(Risk_Matrix!$B$2:$D$4,MATCH(E1104,Risk_Matrix!$A$2:$A$4,0),MATCH(F1104,Risk_Matrix!$B$1:$D$1,0))</f>
        <v>High</v>
      </c>
      <c r="H1104" s="1">
        <v>46170</v>
      </c>
      <c r="I1104" t="s">
        <v>2015</v>
      </c>
      <c r="J1104" t="s">
        <v>2032</v>
      </c>
      <c r="K1104" t="s">
        <v>2036</v>
      </c>
      <c r="L1104">
        <f>IF(G1104="High",3,IF(G1104="Medium",2,1))</f>
        <v>3</v>
      </c>
    </row>
    <row r="1105" spans="1:12">
      <c r="A1105" t="s">
        <v>3131</v>
      </c>
      <c r="B1105" t="s">
        <v>1010</v>
      </c>
      <c r="C1105" t="s">
        <v>2008</v>
      </c>
      <c r="D1105" t="s">
        <v>2024</v>
      </c>
      <c r="E1105" t="s">
        <v>1971</v>
      </c>
      <c r="F1105" t="s">
        <v>47</v>
      </c>
      <c r="G1105" t="str">
        <f>INDEX(Risk_Matrix!$B$2:$D$4,MATCH(E1105,Risk_Matrix!$A$2:$A$4,0),MATCH(F1105,Risk_Matrix!$B$1:$D$1,0))</f>
        <v>High</v>
      </c>
      <c r="H1105" s="1">
        <v>46156</v>
      </c>
      <c r="I1105" t="s">
        <v>2015</v>
      </c>
      <c r="J1105" t="s">
        <v>2032</v>
      </c>
      <c r="K1105" t="s">
        <v>2010</v>
      </c>
      <c r="L1105">
        <f>IF(G1105="High",3,IF(G1105="Medium",2,1))</f>
        <v>3</v>
      </c>
    </row>
    <row r="1106" spans="1:12">
      <c r="A1106" t="s">
        <v>3132</v>
      </c>
      <c r="B1106" t="s">
        <v>1013</v>
      </c>
      <c r="C1106" t="s">
        <v>1985</v>
      </c>
      <c r="D1106" t="s">
        <v>2028</v>
      </c>
      <c r="E1106" t="s">
        <v>47</v>
      </c>
      <c r="F1106" t="s">
        <v>1971</v>
      </c>
      <c r="G1106" t="str">
        <f>INDEX(Risk_Matrix!$B$2:$D$4,MATCH(E1106,Risk_Matrix!$A$2:$A$4,0),MATCH(F1106,Risk_Matrix!$B$1:$D$1,0))</f>
        <v>High</v>
      </c>
      <c r="H1106" s="1">
        <v>46065</v>
      </c>
      <c r="I1106" t="s">
        <v>2025</v>
      </c>
      <c r="J1106" t="s">
        <v>2026</v>
      </c>
      <c r="K1106" t="s">
        <v>1989</v>
      </c>
      <c r="L1106">
        <f>IF(G1106="High",3,IF(G1106="Medium",2,1))</f>
        <v>3</v>
      </c>
    </row>
    <row r="1107" spans="1:12">
      <c r="A1107" t="s">
        <v>3133</v>
      </c>
      <c r="B1107" t="s">
        <v>1013</v>
      </c>
      <c r="C1107" t="s">
        <v>1991</v>
      </c>
      <c r="D1107" t="s">
        <v>2031</v>
      </c>
      <c r="E1107" t="s">
        <v>1971</v>
      </c>
      <c r="F1107" t="s">
        <v>47</v>
      </c>
      <c r="G1107" t="str">
        <f>INDEX(Risk_Matrix!$B$2:$D$4,MATCH(E1107,Risk_Matrix!$A$2:$A$4,0),MATCH(F1107,Risk_Matrix!$B$1:$D$1,0))</f>
        <v>High</v>
      </c>
      <c r="H1107" s="1">
        <v>46224</v>
      </c>
      <c r="I1107" t="s">
        <v>1987</v>
      </c>
      <c r="J1107" t="s">
        <v>1988</v>
      </c>
      <c r="K1107" t="s">
        <v>2010</v>
      </c>
      <c r="L1107">
        <f>IF(G1107="High",3,IF(G1107="Medium",2,1))</f>
        <v>3</v>
      </c>
    </row>
    <row r="1108" spans="1:12">
      <c r="A1108" t="s">
        <v>3134</v>
      </c>
      <c r="B1108" t="s">
        <v>1013</v>
      </c>
      <c r="C1108" t="s">
        <v>1995</v>
      </c>
      <c r="D1108" t="s">
        <v>2018</v>
      </c>
      <c r="E1108" t="s">
        <v>47</v>
      </c>
      <c r="F1108" t="s">
        <v>57</v>
      </c>
      <c r="G1108" t="str">
        <f>INDEX(Risk_Matrix!$B$2:$D$4,MATCH(E1108,Risk_Matrix!$A$2:$A$4,0),MATCH(F1108,Risk_Matrix!$B$1:$D$1,0))</f>
        <v>Medium</v>
      </c>
      <c r="H1108" s="1">
        <v>46232</v>
      </c>
      <c r="I1108" t="s">
        <v>2015</v>
      </c>
      <c r="J1108" t="s">
        <v>2032</v>
      </c>
      <c r="K1108" t="s">
        <v>1998</v>
      </c>
      <c r="L1108">
        <f>IF(G1108="High",3,IF(G1108="Medium",2,1))</f>
        <v>2</v>
      </c>
    </row>
    <row r="1109" spans="1:12">
      <c r="A1109" t="s">
        <v>3135</v>
      </c>
      <c r="B1109" t="s">
        <v>1013</v>
      </c>
      <c r="C1109" t="s">
        <v>2000</v>
      </c>
      <c r="D1109" t="s">
        <v>2045</v>
      </c>
      <c r="E1109" t="s">
        <v>1971</v>
      </c>
      <c r="F1109" t="s">
        <v>57</v>
      </c>
      <c r="G1109" t="str">
        <f>INDEX(Risk_Matrix!$B$2:$D$4,MATCH(E1109,Risk_Matrix!$A$2:$A$4,0),MATCH(F1109,Risk_Matrix!$B$1:$D$1,0))</f>
        <v>Low</v>
      </c>
      <c r="H1109" s="1">
        <v>46099</v>
      </c>
      <c r="I1109" t="s">
        <v>2025</v>
      </c>
      <c r="J1109" t="s">
        <v>2026</v>
      </c>
      <c r="K1109" t="s">
        <v>1989</v>
      </c>
      <c r="L1109">
        <f>IF(G1109="High",3,IF(G1109="Medium",2,1))</f>
        <v>1</v>
      </c>
    </row>
    <row r="1110" spans="1:12">
      <c r="A1110" t="s">
        <v>3136</v>
      </c>
      <c r="B1110" t="s">
        <v>1013</v>
      </c>
      <c r="C1110" t="s">
        <v>2005</v>
      </c>
      <c r="D1110" t="s">
        <v>2022</v>
      </c>
      <c r="E1110" t="s">
        <v>47</v>
      </c>
      <c r="F1110" t="s">
        <v>1971</v>
      </c>
      <c r="G1110" t="str">
        <f>INDEX(Risk_Matrix!$B$2:$D$4,MATCH(E1110,Risk_Matrix!$A$2:$A$4,0),MATCH(F1110,Risk_Matrix!$B$1:$D$1,0))</f>
        <v>High</v>
      </c>
      <c r="H1110" s="1">
        <v>46062</v>
      </c>
      <c r="I1110" t="s">
        <v>2025</v>
      </c>
      <c r="J1110" t="s">
        <v>2026</v>
      </c>
      <c r="K1110" t="s">
        <v>1993</v>
      </c>
      <c r="L1110">
        <f>IF(G1110="High",3,IF(G1110="Medium",2,1))</f>
        <v>3</v>
      </c>
    </row>
    <row r="1111" spans="1:12">
      <c r="A1111" t="s">
        <v>3137</v>
      </c>
      <c r="B1111" t="s">
        <v>1013</v>
      </c>
      <c r="C1111" t="s">
        <v>2008</v>
      </c>
      <c r="D1111" t="s">
        <v>2024</v>
      </c>
      <c r="E1111" t="s">
        <v>57</v>
      </c>
      <c r="F1111" t="s">
        <v>47</v>
      </c>
      <c r="G1111" t="str">
        <f>INDEX(Risk_Matrix!$B$2:$D$4,MATCH(E1111,Risk_Matrix!$A$2:$A$4,0),MATCH(F1111,Risk_Matrix!$B$1:$D$1,0))</f>
        <v>Medium</v>
      </c>
      <c r="H1111" s="1">
        <v>46237</v>
      </c>
      <c r="I1111" t="s">
        <v>2025</v>
      </c>
      <c r="J1111" t="s">
        <v>2026</v>
      </c>
      <c r="K1111" t="s">
        <v>1998</v>
      </c>
      <c r="L1111">
        <f>IF(G1111="High",3,IF(G1111="Medium",2,1))</f>
        <v>2</v>
      </c>
    </row>
    <row r="1112" spans="1:12">
      <c r="A1112" t="s">
        <v>3138</v>
      </c>
      <c r="B1112" t="s">
        <v>1016</v>
      </c>
      <c r="C1112" t="s">
        <v>1985</v>
      </c>
      <c r="D1112" t="s">
        <v>2028</v>
      </c>
      <c r="E1112" t="s">
        <v>1971</v>
      </c>
      <c r="F1112" t="s">
        <v>1971</v>
      </c>
      <c r="G1112" t="str">
        <f>INDEX(Risk_Matrix!$B$2:$D$4,MATCH(E1112,Risk_Matrix!$A$2:$A$4,0),MATCH(F1112,Risk_Matrix!$B$1:$D$1,0))</f>
        <v>Medium</v>
      </c>
      <c r="H1112" s="1">
        <v>46222</v>
      </c>
      <c r="I1112" t="s">
        <v>2002</v>
      </c>
      <c r="J1112" t="s">
        <v>2029</v>
      </c>
      <c r="K1112" t="s">
        <v>1989</v>
      </c>
      <c r="L1112">
        <f>IF(G1112="High",3,IF(G1112="Medium",2,1))</f>
        <v>2</v>
      </c>
    </row>
    <row r="1113" spans="1:12">
      <c r="A1113" t="s">
        <v>3139</v>
      </c>
      <c r="B1113" t="s">
        <v>1016</v>
      </c>
      <c r="C1113" t="s">
        <v>1991</v>
      </c>
      <c r="D1113" t="s">
        <v>2031</v>
      </c>
      <c r="E1113" t="s">
        <v>47</v>
      </c>
      <c r="F1113" t="s">
        <v>47</v>
      </c>
      <c r="G1113" t="str">
        <f>INDEX(Risk_Matrix!$B$2:$D$4,MATCH(E1113,Risk_Matrix!$A$2:$A$4,0),MATCH(F1113,Risk_Matrix!$B$1:$D$1,0))</f>
        <v>High</v>
      </c>
      <c r="H1113" s="1">
        <v>46105</v>
      </c>
      <c r="I1113" t="s">
        <v>1987</v>
      </c>
      <c r="J1113" t="s">
        <v>1988</v>
      </c>
      <c r="K1113" t="s">
        <v>1993</v>
      </c>
      <c r="L1113">
        <f>IF(G1113="High",3,IF(G1113="Medium",2,1))</f>
        <v>3</v>
      </c>
    </row>
    <row r="1114" spans="1:12">
      <c r="A1114" t="s">
        <v>3140</v>
      </c>
      <c r="B1114" t="s">
        <v>1016</v>
      </c>
      <c r="C1114" t="s">
        <v>1995</v>
      </c>
      <c r="D1114" t="s">
        <v>2018</v>
      </c>
      <c r="E1114" t="s">
        <v>1971</v>
      </c>
      <c r="F1114" t="s">
        <v>57</v>
      </c>
      <c r="G1114" t="str">
        <f>INDEX(Risk_Matrix!$B$2:$D$4,MATCH(E1114,Risk_Matrix!$A$2:$A$4,0),MATCH(F1114,Risk_Matrix!$B$1:$D$1,0))</f>
        <v>Low</v>
      </c>
      <c r="H1114" s="1">
        <v>46199</v>
      </c>
      <c r="I1114" t="s">
        <v>1987</v>
      </c>
      <c r="J1114" t="s">
        <v>1997</v>
      </c>
      <c r="K1114" t="s">
        <v>2036</v>
      </c>
      <c r="L1114">
        <f>IF(G1114="High",3,IF(G1114="Medium",2,1))</f>
        <v>1</v>
      </c>
    </row>
    <row r="1115" spans="1:12">
      <c r="A1115" t="s">
        <v>3141</v>
      </c>
      <c r="B1115" t="s">
        <v>1016</v>
      </c>
      <c r="C1115" t="s">
        <v>2000</v>
      </c>
      <c r="D1115" t="s">
        <v>2020</v>
      </c>
      <c r="E1115" t="s">
        <v>1971</v>
      </c>
      <c r="F1115" t="s">
        <v>1971</v>
      </c>
      <c r="G1115" t="str">
        <f>INDEX(Risk_Matrix!$B$2:$D$4,MATCH(E1115,Risk_Matrix!$A$2:$A$4,0),MATCH(F1115,Risk_Matrix!$B$1:$D$1,0))</f>
        <v>Medium</v>
      </c>
      <c r="H1115" s="1">
        <v>46077</v>
      </c>
      <c r="I1115" t="s">
        <v>2025</v>
      </c>
      <c r="J1115" t="s">
        <v>2026</v>
      </c>
      <c r="K1115" t="s">
        <v>1993</v>
      </c>
      <c r="L1115">
        <f>IF(G1115="High",3,IF(G1115="Medium",2,1))</f>
        <v>2</v>
      </c>
    </row>
    <row r="1116" spans="1:12">
      <c r="A1116" t="s">
        <v>3142</v>
      </c>
      <c r="B1116" t="s">
        <v>1016</v>
      </c>
      <c r="C1116" t="s">
        <v>2005</v>
      </c>
      <c r="D1116" t="s">
        <v>2022</v>
      </c>
      <c r="E1116" t="s">
        <v>57</v>
      </c>
      <c r="F1116" t="s">
        <v>1971</v>
      </c>
      <c r="G1116" t="str">
        <f>INDEX(Risk_Matrix!$B$2:$D$4,MATCH(E1116,Risk_Matrix!$A$2:$A$4,0),MATCH(F1116,Risk_Matrix!$B$1:$D$1,0))</f>
        <v>Low</v>
      </c>
      <c r="H1116" s="1">
        <v>46072</v>
      </c>
      <c r="I1116" t="s">
        <v>1987</v>
      </c>
      <c r="J1116" t="s">
        <v>1988</v>
      </c>
      <c r="K1116" t="s">
        <v>1993</v>
      </c>
      <c r="L1116">
        <f>IF(G1116="High",3,IF(G1116="Medium",2,1))</f>
        <v>1</v>
      </c>
    </row>
    <row r="1117" spans="1:12">
      <c r="A1117" t="s">
        <v>3143</v>
      </c>
      <c r="B1117" t="s">
        <v>1016</v>
      </c>
      <c r="C1117" t="s">
        <v>2008</v>
      </c>
      <c r="D1117" t="s">
        <v>2054</v>
      </c>
      <c r="E1117" t="s">
        <v>47</v>
      </c>
      <c r="F1117" t="s">
        <v>47</v>
      </c>
      <c r="G1117" t="str">
        <f>INDEX(Risk_Matrix!$B$2:$D$4,MATCH(E1117,Risk_Matrix!$A$2:$A$4,0),MATCH(F1117,Risk_Matrix!$B$1:$D$1,0))</f>
        <v>High</v>
      </c>
      <c r="H1117" s="1">
        <v>46165</v>
      </c>
      <c r="I1117" t="s">
        <v>2015</v>
      </c>
      <c r="J1117" t="s">
        <v>2016</v>
      </c>
      <c r="K1117" t="s">
        <v>2010</v>
      </c>
      <c r="L1117">
        <f>IF(G1117="High",3,IF(G1117="Medium",2,1))</f>
        <v>3</v>
      </c>
    </row>
    <row r="1118" spans="1:12">
      <c r="A1118" t="s">
        <v>3144</v>
      </c>
      <c r="B1118" t="s">
        <v>1019</v>
      </c>
      <c r="C1118" t="s">
        <v>1985</v>
      </c>
      <c r="D1118" t="s">
        <v>1986</v>
      </c>
      <c r="E1118" t="s">
        <v>47</v>
      </c>
      <c r="F1118" t="s">
        <v>57</v>
      </c>
      <c r="G1118" t="str">
        <f>INDEX(Risk_Matrix!$B$2:$D$4,MATCH(E1118,Risk_Matrix!$A$2:$A$4,0),MATCH(F1118,Risk_Matrix!$B$1:$D$1,0))</f>
        <v>Medium</v>
      </c>
      <c r="H1118" s="1">
        <v>46150</v>
      </c>
      <c r="I1118" t="s">
        <v>2025</v>
      </c>
      <c r="J1118" t="s">
        <v>2026</v>
      </c>
      <c r="K1118" t="s">
        <v>1998</v>
      </c>
      <c r="L1118">
        <f>IF(G1118="High",3,IF(G1118="Medium",2,1))</f>
        <v>2</v>
      </c>
    </row>
    <row r="1119" spans="1:12">
      <c r="A1119" t="s">
        <v>3145</v>
      </c>
      <c r="B1119" t="s">
        <v>1019</v>
      </c>
      <c r="C1119" t="s">
        <v>1991</v>
      </c>
      <c r="D1119" t="s">
        <v>1992</v>
      </c>
      <c r="E1119" t="s">
        <v>57</v>
      </c>
      <c r="F1119" t="s">
        <v>1971</v>
      </c>
      <c r="G1119" t="str">
        <f>INDEX(Risk_Matrix!$B$2:$D$4,MATCH(E1119,Risk_Matrix!$A$2:$A$4,0),MATCH(F1119,Risk_Matrix!$B$1:$D$1,0))</f>
        <v>Low</v>
      </c>
      <c r="H1119" s="1">
        <v>46105</v>
      </c>
      <c r="I1119" t="s">
        <v>2025</v>
      </c>
      <c r="J1119" t="s">
        <v>2035</v>
      </c>
      <c r="K1119" t="s">
        <v>2010</v>
      </c>
      <c r="L1119">
        <f>IF(G1119="High",3,IF(G1119="Medium",2,1))</f>
        <v>1</v>
      </c>
    </row>
    <row r="1120" spans="1:12">
      <c r="A1120" t="s">
        <v>3146</v>
      </c>
      <c r="B1120" t="s">
        <v>1019</v>
      </c>
      <c r="C1120" t="s">
        <v>1995</v>
      </c>
      <c r="D1120" t="s">
        <v>1996</v>
      </c>
      <c r="E1120" t="s">
        <v>57</v>
      </c>
      <c r="F1120" t="s">
        <v>47</v>
      </c>
      <c r="G1120" t="str">
        <f>INDEX(Risk_Matrix!$B$2:$D$4,MATCH(E1120,Risk_Matrix!$A$2:$A$4,0),MATCH(F1120,Risk_Matrix!$B$1:$D$1,0))</f>
        <v>Medium</v>
      </c>
      <c r="H1120" s="1">
        <v>46178</v>
      </c>
      <c r="I1120" t="s">
        <v>2015</v>
      </c>
      <c r="J1120" t="s">
        <v>2016</v>
      </c>
      <c r="K1120" t="s">
        <v>2036</v>
      </c>
      <c r="L1120">
        <f>IF(G1120="High",3,IF(G1120="Medium",2,1))</f>
        <v>2</v>
      </c>
    </row>
    <row r="1121" spans="1:12">
      <c r="A1121" t="s">
        <v>3147</v>
      </c>
      <c r="B1121" t="s">
        <v>1019</v>
      </c>
      <c r="C1121" t="s">
        <v>2000</v>
      </c>
      <c r="D1121" t="s">
        <v>2020</v>
      </c>
      <c r="E1121" t="s">
        <v>57</v>
      </c>
      <c r="F1121" t="s">
        <v>47</v>
      </c>
      <c r="G1121" t="str">
        <f>INDEX(Risk_Matrix!$B$2:$D$4,MATCH(E1121,Risk_Matrix!$A$2:$A$4,0),MATCH(F1121,Risk_Matrix!$B$1:$D$1,0))</f>
        <v>Medium</v>
      </c>
      <c r="H1121" s="1">
        <v>46113</v>
      </c>
      <c r="I1121" t="s">
        <v>2025</v>
      </c>
      <c r="J1121" t="s">
        <v>2026</v>
      </c>
      <c r="K1121" t="s">
        <v>1989</v>
      </c>
      <c r="L1121">
        <f>IF(G1121="High",3,IF(G1121="Medium",2,1))</f>
        <v>2</v>
      </c>
    </row>
    <row r="1122" spans="1:12">
      <c r="A1122" t="s">
        <v>3148</v>
      </c>
      <c r="B1122" t="s">
        <v>1019</v>
      </c>
      <c r="C1122" t="s">
        <v>2005</v>
      </c>
      <c r="D1122" t="s">
        <v>2039</v>
      </c>
      <c r="E1122" t="s">
        <v>1971</v>
      </c>
      <c r="F1122" t="s">
        <v>1971</v>
      </c>
      <c r="G1122" t="str">
        <f>INDEX(Risk_Matrix!$B$2:$D$4,MATCH(E1122,Risk_Matrix!$A$2:$A$4,0),MATCH(F1122,Risk_Matrix!$B$1:$D$1,0))</f>
        <v>Medium</v>
      </c>
      <c r="H1122" s="1">
        <v>46164</v>
      </c>
      <c r="I1122" t="s">
        <v>2015</v>
      </c>
      <c r="J1122" t="s">
        <v>2032</v>
      </c>
      <c r="K1122" t="s">
        <v>1993</v>
      </c>
      <c r="L1122">
        <f>IF(G1122="High",3,IF(G1122="Medium",2,1))</f>
        <v>2</v>
      </c>
    </row>
    <row r="1123" spans="1:12">
      <c r="A1123" t="s">
        <v>3149</v>
      </c>
      <c r="B1123" t="s">
        <v>1019</v>
      </c>
      <c r="C1123" t="s">
        <v>2008</v>
      </c>
      <c r="D1123" t="s">
        <v>2024</v>
      </c>
      <c r="E1123" t="s">
        <v>57</v>
      </c>
      <c r="F1123" t="s">
        <v>57</v>
      </c>
      <c r="G1123" t="str">
        <f>INDEX(Risk_Matrix!$B$2:$D$4,MATCH(E1123,Risk_Matrix!$A$2:$A$4,0),MATCH(F1123,Risk_Matrix!$B$1:$D$1,0))</f>
        <v>Low</v>
      </c>
      <c r="H1123" s="1">
        <v>46087</v>
      </c>
      <c r="I1123" t="s">
        <v>2002</v>
      </c>
      <c r="J1123" t="s">
        <v>2003</v>
      </c>
      <c r="K1123" t="s">
        <v>2010</v>
      </c>
      <c r="L1123">
        <f>IF(G1123="High",3,IF(G1123="Medium",2,1))</f>
        <v>1</v>
      </c>
    </row>
    <row r="1124" spans="1:12">
      <c r="A1124" t="s">
        <v>3150</v>
      </c>
      <c r="B1124" t="s">
        <v>1021</v>
      </c>
      <c r="C1124" t="s">
        <v>1985</v>
      </c>
      <c r="D1124" t="s">
        <v>2062</v>
      </c>
      <c r="E1124" t="s">
        <v>1971</v>
      </c>
      <c r="F1124" t="s">
        <v>1971</v>
      </c>
      <c r="G1124" t="str">
        <f>INDEX(Risk_Matrix!$B$2:$D$4,MATCH(E1124,Risk_Matrix!$A$2:$A$4,0),MATCH(F1124,Risk_Matrix!$B$1:$D$1,0))</f>
        <v>Medium</v>
      </c>
      <c r="H1124" s="1">
        <v>46219</v>
      </c>
      <c r="I1124" t="s">
        <v>2002</v>
      </c>
      <c r="J1124" t="s">
        <v>2029</v>
      </c>
      <c r="K1124" t="s">
        <v>1989</v>
      </c>
      <c r="L1124">
        <f>IF(G1124="High",3,IF(G1124="Medium",2,1))</f>
        <v>2</v>
      </c>
    </row>
    <row r="1125" spans="1:12">
      <c r="A1125" t="s">
        <v>3151</v>
      </c>
      <c r="B1125" t="s">
        <v>1021</v>
      </c>
      <c r="C1125" t="s">
        <v>1991</v>
      </c>
      <c r="D1125" t="s">
        <v>1992</v>
      </c>
      <c r="E1125" t="s">
        <v>47</v>
      </c>
      <c r="F1125" t="s">
        <v>47</v>
      </c>
      <c r="G1125" t="str">
        <f>INDEX(Risk_Matrix!$B$2:$D$4,MATCH(E1125,Risk_Matrix!$A$2:$A$4,0),MATCH(F1125,Risk_Matrix!$B$1:$D$1,0))</f>
        <v>High</v>
      </c>
      <c r="H1125" s="1">
        <v>46067</v>
      </c>
      <c r="I1125" t="s">
        <v>2025</v>
      </c>
      <c r="J1125" t="s">
        <v>2035</v>
      </c>
      <c r="K1125" t="s">
        <v>1993</v>
      </c>
      <c r="L1125">
        <f>IF(G1125="High",3,IF(G1125="Medium",2,1))</f>
        <v>3</v>
      </c>
    </row>
    <row r="1126" spans="1:12">
      <c r="A1126" t="s">
        <v>3152</v>
      </c>
      <c r="B1126" t="s">
        <v>1021</v>
      </c>
      <c r="C1126" t="s">
        <v>1995</v>
      </c>
      <c r="D1126" t="s">
        <v>2034</v>
      </c>
      <c r="E1126" t="s">
        <v>47</v>
      </c>
      <c r="F1126" t="s">
        <v>57</v>
      </c>
      <c r="G1126" t="str">
        <f>INDEX(Risk_Matrix!$B$2:$D$4,MATCH(E1126,Risk_Matrix!$A$2:$A$4,0),MATCH(F1126,Risk_Matrix!$B$1:$D$1,0))</f>
        <v>Medium</v>
      </c>
      <c r="H1126" s="1">
        <v>46236</v>
      </c>
      <c r="I1126" t="s">
        <v>1987</v>
      </c>
      <c r="J1126" t="s">
        <v>1988</v>
      </c>
      <c r="K1126" t="s">
        <v>2036</v>
      </c>
      <c r="L1126">
        <f>IF(G1126="High",3,IF(G1126="Medium",2,1))</f>
        <v>2</v>
      </c>
    </row>
    <row r="1127" spans="1:12">
      <c r="A1127" t="s">
        <v>3153</v>
      </c>
      <c r="B1127" t="s">
        <v>1021</v>
      </c>
      <c r="C1127" t="s">
        <v>2000</v>
      </c>
      <c r="D1127" t="s">
        <v>2001</v>
      </c>
      <c r="E1127" t="s">
        <v>57</v>
      </c>
      <c r="F1127" t="s">
        <v>57</v>
      </c>
      <c r="G1127" t="str">
        <f>INDEX(Risk_Matrix!$B$2:$D$4,MATCH(E1127,Risk_Matrix!$A$2:$A$4,0),MATCH(F1127,Risk_Matrix!$B$1:$D$1,0))</f>
        <v>Low</v>
      </c>
      <c r="H1127" s="1">
        <v>46169</v>
      </c>
      <c r="I1127" t="s">
        <v>2002</v>
      </c>
      <c r="J1127" t="s">
        <v>2003</v>
      </c>
      <c r="K1127" t="s">
        <v>1989</v>
      </c>
      <c r="L1127">
        <f>IF(G1127="High",3,IF(G1127="Medium",2,1))</f>
        <v>1</v>
      </c>
    </row>
    <row r="1128" spans="1:12">
      <c r="A1128" t="s">
        <v>3154</v>
      </c>
      <c r="B1128" t="s">
        <v>1021</v>
      </c>
      <c r="C1128" t="s">
        <v>2005</v>
      </c>
      <c r="D1128" t="s">
        <v>2022</v>
      </c>
      <c r="E1128" t="s">
        <v>47</v>
      </c>
      <c r="F1128" t="s">
        <v>57</v>
      </c>
      <c r="G1128" t="str">
        <f>INDEX(Risk_Matrix!$B$2:$D$4,MATCH(E1128,Risk_Matrix!$A$2:$A$4,0),MATCH(F1128,Risk_Matrix!$B$1:$D$1,0))</f>
        <v>Medium</v>
      </c>
      <c r="H1128" s="1">
        <v>46089</v>
      </c>
      <c r="I1128" t="s">
        <v>2025</v>
      </c>
      <c r="J1128" t="s">
        <v>2026</v>
      </c>
      <c r="K1128" t="s">
        <v>1993</v>
      </c>
      <c r="L1128">
        <f>IF(G1128="High",3,IF(G1128="Medium",2,1))</f>
        <v>2</v>
      </c>
    </row>
    <row r="1129" spans="1:12">
      <c r="A1129" t="s">
        <v>3155</v>
      </c>
      <c r="B1129" t="s">
        <v>1021</v>
      </c>
      <c r="C1129" t="s">
        <v>2008</v>
      </c>
      <c r="D1129" t="s">
        <v>2024</v>
      </c>
      <c r="E1129" t="s">
        <v>47</v>
      </c>
      <c r="F1129" t="s">
        <v>1971</v>
      </c>
      <c r="G1129" t="str">
        <f>INDEX(Risk_Matrix!$B$2:$D$4,MATCH(E1129,Risk_Matrix!$A$2:$A$4,0),MATCH(F1129,Risk_Matrix!$B$1:$D$1,0))</f>
        <v>High</v>
      </c>
      <c r="H1129" s="1">
        <v>46075</v>
      </c>
      <c r="I1129" t="s">
        <v>2025</v>
      </c>
      <c r="J1129" t="s">
        <v>2035</v>
      </c>
      <c r="K1129" t="s">
        <v>2010</v>
      </c>
      <c r="L1129">
        <f>IF(G1129="High",3,IF(G1129="Medium",2,1))</f>
        <v>3</v>
      </c>
    </row>
    <row r="1130" spans="1:12">
      <c r="A1130" t="s">
        <v>3156</v>
      </c>
      <c r="B1130" t="s">
        <v>1023</v>
      </c>
      <c r="C1130" t="s">
        <v>1985</v>
      </c>
      <c r="D1130" t="s">
        <v>2012</v>
      </c>
      <c r="E1130" t="s">
        <v>1971</v>
      </c>
      <c r="F1130" t="s">
        <v>47</v>
      </c>
      <c r="G1130" t="str">
        <f>INDEX(Risk_Matrix!$B$2:$D$4,MATCH(E1130,Risk_Matrix!$A$2:$A$4,0),MATCH(F1130,Risk_Matrix!$B$1:$D$1,0))</f>
        <v>High</v>
      </c>
      <c r="H1130" s="1">
        <v>46206</v>
      </c>
      <c r="I1130" t="s">
        <v>2025</v>
      </c>
      <c r="J1130" t="s">
        <v>2035</v>
      </c>
      <c r="K1130" t="s">
        <v>1989</v>
      </c>
      <c r="L1130">
        <f>IF(G1130="High",3,IF(G1130="Medium",2,1))</f>
        <v>3</v>
      </c>
    </row>
    <row r="1131" spans="1:12">
      <c r="A1131" t="s">
        <v>3157</v>
      </c>
      <c r="B1131" t="s">
        <v>1023</v>
      </c>
      <c r="C1131" t="s">
        <v>1991</v>
      </c>
      <c r="D1131" t="s">
        <v>2031</v>
      </c>
      <c r="E1131" t="s">
        <v>1971</v>
      </c>
      <c r="F1131" t="s">
        <v>47</v>
      </c>
      <c r="G1131" t="str">
        <f>INDEX(Risk_Matrix!$B$2:$D$4,MATCH(E1131,Risk_Matrix!$A$2:$A$4,0),MATCH(F1131,Risk_Matrix!$B$1:$D$1,0))</f>
        <v>High</v>
      </c>
      <c r="H1131" s="1">
        <v>46083</v>
      </c>
      <c r="I1131" t="s">
        <v>2025</v>
      </c>
      <c r="J1131" t="s">
        <v>2026</v>
      </c>
      <c r="K1131" t="s">
        <v>1993</v>
      </c>
      <c r="L1131">
        <f>IF(G1131="High",3,IF(G1131="Medium",2,1))</f>
        <v>3</v>
      </c>
    </row>
    <row r="1132" spans="1:12">
      <c r="A1132" t="s">
        <v>3158</v>
      </c>
      <c r="B1132" t="s">
        <v>1023</v>
      </c>
      <c r="C1132" t="s">
        <v>1995</v>
      </c>
      <c r="D1132" t="s">
        <v>2018</v>
      </c>
      <c r="E1132" t="s">
        <v>57</v>
      </c>
      <c r="F1132" t="s">
        <v>57</v>
      </c>
      <c r="G1132" t="str">
        <f>INDEX(Risk_Matrix!$B$2:$D$4,MATCH(E1132,Risk_Matrix!$A$2:$A$4,0),MATCH(F1132,Risk_Matrix!$B$1:$D$1,0))</f>
        <v>Low</v>
      </c>
      <c r="H1132" s="1">
        <v>46092</v>
      </c>
      <c r="I1132" t="s">
        <v>2025</v>
      </c>
      <c r="J1132" t="s">
        <v>2035</v>
      </c>
      <c r="K1132" t="s">
        <v>1998</v>
      </c>
      <c r="L1132">
        <f>IF(G1132="High",3,IF(G1132="Medium",2,1))</f>
        <v>1</v>
      </c>
    </row>
    <row r="1133" spans="1:12">
      <c r="A1133" t="s">
        <v>3159</v>
      </c>
      <c r="B1133" t="s">
        <v>1023</v>
      </c>
      <c r="C1133" t="s">
        <v>2000</v>
      </c>
      <c r="D1133" t="s">
        <v>2045</v>
      </c>
      <c r="E1133" t="s">
        <v>57</v>
      </c>
      <c r="F1133" t="s">
        <v>57</v>
      </c>
      <c r="G1133" t="str">
        <f>INDEX(Risk_Matrix!$B$2:$D$4,MATCH(E1133,Risk_Matrix!$A$2:$A$4,0),MATCH(F1133,Risk_Matrix!$B$1:$D$1,0))</f>
        <v>Low</v>
      </c>
      <c r="H1133" s="1">
        <v>46158</v>
      </c>
      <c r="I1133" t="s">
        <v>1987</v>
      </c>
      <c r="J1133" t="s">
        <v>1988</v>
      </c>
      <c r="K1133" t="s">
        <v>1989</v>
      </c>
      <c r="L1133">
        <f>IF(G1133="High",3,IF(G1133="Medium",2,1))</f>
        <v>1</v>
      </c>
    </row>
    <row r="1134" spans="1:12">
      <c r="A1134" t="s">
        <v>3160</v>
      </c>
      <c r="B1134" t="s">
        <v>1023</v>
      </c>
      <c r="C1134" t="s">
        <v>2005</v>
      </c>
      <c r="D1134" t="s">
        <v>2006</v>
      </c>
      <c r="E1134" t="s">
        <v>57</v>
      </c>
      <c r="F1134" t="s">
        <v>57</v>
      </c>
      <c r="G1134" t="str">
        <f>INDEX(Risk_Matrix!$B$2:$D$4,MATCH(E1134,Risk_Matrix!$A$2:$A$4,0),MATCH(F1134,Risk_Matrix!$B$1:$D$1,0))</f>
        <v>Low</v>
      </c>
      <c r="H1134" s="1">
        <v>46161</v>
      </c>
      <c r="I1134" t="s">
        <v>2025</v>
      </c>
      <c r="J1134" t="s">
        <v>2026</v>
      </c>
      <c r="K1134" t="s">
        <v>1993</v>
      </c>
      <c r="L1134">
        <f>IF(G1134="High",3,IF(G1134="Medium",2,1))</f>
        <v>1</v>
      </c>
    </row>
    <row r="1135" spans="1:12">
      <c r="A1135" t="s">
        <v>3161</v>
      </c>
      <c r="B1135" t="s">
        <v>1023</v>
      </c>
      <c r="C1135" t="s">
        <v>2008</v>
      </c>
      <c r="D1135" t="s">
        <v>2009</v>
      </c>
      <c r="E1135" t="s">
        <v>1971</v>
      </c>
      <c r="F1135" t="s">
        <v>47</v>
      </c>
      <c r="G1135" t="str">
        <f>INDEX(Risk_Matrix!$B$2:$D$4,MATCH(E1135,Risk_Matrix!$A$2:$A$4,0),MATCH(F1135,Risk_Matrix!$B$1:$D$1,0))</f>
        <v>High</v>
      </c>
      <c r="H1135" s="1">
        <v>46223</v>
      </c>
      <c r="I1135" t="s">
        <v>2015</v>
      </c>
      <c r="J1135" t="s">
        <v>2032</v>
      </c>
      <c r="K1135" t="s">
        <v>2010</v>
      </c>
      <c r="L1135">
        <f>IF(G1135="High",3,IF(G1135="Medium",2,1))</f>
        <v>3</v>
      </c>
    </row>
    <row r="1136" spans="1:12">
      <c r="A1136" t="s">
        <v>3162</v>
      </c>
      <c r="B1136" t="s">
        <v>1025</v>
      </c>
      <c r="C1136" t="s">
        <v>1985</v>
      </c>
      <c r="D1136" t="s">
        <v>2012</v>
      </c>
      <c r="E1136" t="s">
        <v>47</v>
      </c>
      <c r="F1136" t="s">
        <v>47</v>
      </c>
      <c r="G1136" t="str">
        <f>INDEX(Risk_Matrix!$B$2:$D$4,MATCH(E1136,Risk_Matrix!$A$2:$A$4,0),MATCH(F1136,Risk_Matrix!$B$1:$D$1,0))</f>
        <v>High</v>
      </c>
      <c r="H1136" s="1">
        <v>46216</v>
      </c>
      <c r="I1136" t="s">
        <v>2015</v>
      </c>
      <c r="J1136" t="s">
        <v>2032</v>
      </c>
      <c r="K1136" t="s">
        <v>1989</v>
      </c>
      <c r="L1136">
        <f>IF(G1136="High",3,IF(G1136="Medium",2,1))</f>
        <v>3</v>
      </c>
    </row>
    <row r="1137" spans="1:12">
      <c r="A1137" t="s">
        <v>3163</v>
      </c>
      <c r="B1137" t="s">
        <v>1025</v>
      </c>
      <c r="C1137" t="s">
        <v>1991</v>
      </c>
      <c r="D1137" t="s">
        <v>2064</v>
      </c>
      <c r="E1137" t="s">
        <v>57</v>
      </c>
      <c r="F1137" t="s">
        <v>57</v>
      </c>
      <c r="G1137" t="str">
        <f>INDEX(Risk_Matrix!$B$2:$D$4,MATCH(E1137,Risk_Matrix!$A$2:$A$4,0),MATCH(F1137,Risk_Matrix!$B$1:$D$1,0))</f>
        <v>Low</v>
      </c>
      <c r="H1137" s="1">
        <v>46224</v>
      </c>
      <c r="I1137" t="s">
        <v>2025</v>
      </c>
      <c r="J1137" t="s">
        <v>2026</v>
      </c>
      <c r="K1137" t="s">
        <v>1993</v>
      </c>
      <c r="L1137">
        <f>IF(G1137="High",3,IF(G1137="Medium",2,1))</f>
        <v>1</v>
      </c>
    </row>
    <row r="1138" spans="1:12">
      <c r="A1138" t="s">
        <v>3164</v>
      </c>
      <c r="B1138" t="s">
        <v>1025</v>
      </c>
      <c r="C1138" t="s">
        <v>1995</v>
      </c>
      <c r="D1138" t="s">
        <v>2034</v>
      </c>
      <c r="E1138" t="s">
        <v>1971</v>
      </c>
      <c r="F1138" t="s">
        <v>47</v>
      </c>
      <c r="G1138" t="str">
        <f>INDEX(Risk_Matrix!$B$2:$D$4,MATCH(E1138,Risk_Matrix!$A$2:$A$4,0),MATCH(F1138,Risk_Matrix!$B$1:$D$1,0))</f>
        <v>High</v>
      </c>
      <c r="H1138" s="1">
        <v>46158</v>
      </c>
      <c r="I1138" t="s">
        <v>2025</v>
      </c>
      <c r="J1138" t="s">
        <v>2035</v>
      </c>
      <c r="K1138" t="s">
        <v>2036</v>
      </c>
      <c r="L1138">
        <f>IF(G1138="High",3,IF(G1138="Medium",2,1))</f>
        <v>3</v>
      </c>
    </row>
    <row r="1139" spans="1:12">
      <c r="A1139" t="s">
        <v>3165</v>
      </c>
      <c r="B1139" t="s">
        <v>1025</v>
      </c>
      <c r="C1139" t="s">
        <v>2000</v>
      </c>
      <c r="D1139" t="s">
        <v>2020</v>
      </c>
      <c r="E1139" t="s">
        <v>47</v>
      </c>
      <c r="F1139" t="s">
        <v>57</v>
      </c>
      <c r="G1139" t="str">
        <f>INDEX(Risk_Matrix!$B$2:$D$4,MATCH(E1139,Risk_Matrix!$A$2:$A$4,0),MATCH(F1139,Risk_Matrix!$B$1:$D$1,0))</f>
        <v>Medium</v>
      </c>
      <c r="H1139" s="1">
        <v>46165</v>
      </c>
      <c r="I1139" t="s">
        <v>2015</v>
      </c>
      <c r="J1139" t="s">
        <v>2016</v>
      </c>
      <c r="K1139" t="s">
        <v>1989</v>
      </c>
      <c r="L1139">
        <f>IF(G1139="High",3,IF(G1139="Medium",2,1))</f>
        <v>2</v>
      </c>
    </row>
    <row r="1140" spans="1:12">
      <c r="A1140" t="s">
        <v>3166</v>
      </c>
      <c r="B1140" t="s">
        <v>1025</v>
      </c>
      <c r="C1140" t="s">
        <v>2005</v>
      </c>
      <c r="D1140" t="s">
        <v>2006</v>
      </c>
      <c r="E1140" t="s">
        <v>47</v>
      </c>
      <c r="F1140" t="s">
        <v>57</v>
      </c>
      <c r="G1140" t="str">
        <f>INDEX(Risk_Matrix!$B$2:$D$4,MATCH(E1140,Risk_Matrix!$A$2:$A$4,0),MATCH(F1140,Risk_Matrix!$B$1:$D$1,0))</f>
        <v>Medium</v>
      </c>
      <c r="H1140" s="1">
        <v>46057</v>
      </c>
      <c r="I1140" t="s">
        <v>1987</v>
      </c>
      <c r="J1140" t="s">
        <v>1997</v>
      </c>
      <c r="K1140" t="s">
        <v>1993</v>
      </c>
      <c r="L1140">
        <f>IF(G1140="High",3,IF(G1140="Medium",2,1))</f>
        <v>2</v>
      </c>
    </row>
    <row r="1141" spans="1:12">
      <c r="A1141" t="s">
        <v>3167</v>
      </c>
      <c r="B1141" t="s">
        <v>1025</v>
      </c>
      <c r="C1141" t="s">
        <v>2008</v>
      </c>
      <c r="D1141" t="s">
        <v>2009</v>
      </c>
      <c r="E1141" t="s">
        <v>47</v>
      </c>
      <c r="F1141" t="s">
        <v>47</v>
      </c>
      <c r="G1141" t="str">
        <f>INDEX(Risk_Matrix!$B$2:$D$4,MATCH(E1141,Risk_Matrix!$A$2:$A$4,0),MATCH(F1141,Risk_Matrix!$B$1:$D$1,0))</f>
        <v>High</v>
      </c>
      <c r="H1141" s="1">
        <v>46094</v>
      </c>
      <c r="I1141" t="s">
        <v>2025</v>
      </c>
      <c r="J1141" t="s">
        <v>2026</v>
      </c>
      <c r="K1141" t="s">
        <v>2010</v>
      </c>
      <c r="L1141">
        <f>IF(G1141="High",3,IF(G1141="Medium",2,1))</f>
        <v>3</v>
      </c>
    </row>
    <row r="1142" spans="1:12">
      <c r="A1142" t="s">
        <v>3168</v>
      </c>
      <c r="B1142" t="s">
        <v>1027</v>
      </c>
      <c r="C1142" t="s">
        <v>1985</v>
      </c>
      <c r="D1142" t="s">
        <v>2028</v>
      </c>
      <c r="E1142" t="s">
        <v>57</v>
      </c>
      <c r="F1142" t="s">
        <v>57</v>
      </c>
      <c r="G1142" t="str">
        <f>INDEX(Risk_Matrix!$B$2:$D$4,MATCH(E1142,Risk_Matrix!$A$2:$A$4,0),MATCH(F1142,Risk_Matrix!$B$1:$D$1,0))</f>
        <v>Low</v>
      </c>
      <c r="H1142" s="1">
        <v>46132</v>
      </c>
      <c r="I1142" t="s">
        <v>1987</v>
      </c>
      <c r="J1142" t="s">
        <v>1997</v>
      </c>
      <c r="K1142" t="s">
        <v>1989</v>
      </c>
      <c r="L1142">
        <f>IF(G1142="High",3,IF(G1142="Medium",2,1))</f>
        <v>1</v>
      </c>
    </row>
    <row r="1143" spans="1:12">
      <c r="A1143" t="s">
        <v>3169</v>
      </c>
      <c r="B1143" t="s">
        <v>1027</v>
      </c>
      <c r="C1143" t="s">
        <v>1991</v>
      </c>
      <c r="D1143" t="s">
        <v>2031</v>
      </c>
      <c r="E1143" t="s">
        <v>47</v>
      </c>
      <c r="F1143" t="s">
        <v>1971</v>
      </c>
      <c r="G1143" t="str">
        <f>INDEX(Risk_Matrix!$B$2:$D$4,MATCH(E1143,Risk_Matrix!$A$2:$A$4,0),MATCH(F1143,Risk_Matrix!$B$1:$D$1,0))</f>
        <v>High</v>
      </c>
      <c r="H1143" s="1">
        <v>46235</v>
      </c>
      <c r="I1143" t="s">
        <v>2015</v>
      </c>
      <c r="J1143" t="s">
        <v>2016</v>
      </c>
      <c r="K1143" t="s">
        <v>2010</v>
      </c>
      <c r="L1143">
        <f>IF(G1143="High",3,IF(G1143="Medium",2,1))</f>
        <v>3</v>
      </c>
    </row>
    <row r="1144" spans="1:12">
      <c r="A1144" t="s">
        <v>3170</v>
      </c>
      <c r="B1144" t="s">
        <v>1027</v>
      </c>
      <c r="C1144" t="s">
        <v>1995</v>
      </c>
      <c r="D1144" t="s">
        <v>2018</v>
      </c>
      <c r="E1144" t="s">
        <v>57</v>
      </c>
      <c r="F1144" t="s">
        <v>47</v>
      </c>
      <c r="G1144" t="str">
        <f>INDEX(Risk_Matrix!$B$2:$D$4,MATCH(E1144,Risk_Matrix!$A$2:$A$4,0),MATCH(F1144,Risk_Matrix!$B$1:$D$1,0))</f>
        <v>Medium</v>
      </c>
      <c r="H1144" s="1">
        <v>46076</v>
      </c>
      <c r="I1144" t="s">
        <v>1987</v>
      </c>
      <c r="J1144" t="s">
        <v>1997</v>
      </c>
      <c r="K1144" t="s">
        <v>1998</v>
      </c>
      <c r="L1144">
        <f>IF(G1144="High",3,IF(G1144="Medium",2,1))</f>
        <v>2</v>
      </c>
    </row>
    <row r="1145" spans="1:12">
      <c r="A1145" t="s">
        <v>3171</v>
      </c>
      <c r="B1145" t="s">
        <v>1027</v>
      </c>
      <c r="C1145" t="s">
        <v>2000</v>
      </c>
      <c r="D1145" t="s">
        <v>2001</v>
      </c>
      <c r="E1145" t="s">
        <v>57</v>
      </c>
      <c r="F1145" t="s">
        <v>1971</v>
      </c>
      <c r="G1145" t="str">
        <f>INDEX(Risk_Matrix!$B$2:$D$4,MATCH(E1145,Risk_Matrix!$A$2:$A$4,0),MATCH(F1145,Risk_Matrix!$B$1:$D$1,0))</f>
        <v>Low</v>
      </c>
      <c r="H1145" s="1">
        <v>46218</v>
      </c>
      <c r="I1145" t="s">
        <v>2015</v>
      </c>
      <c r="J1145" t="s">
        <v>2016</v>
      </c>
      <c r="K1145" t="s">
        <v>1989</v>
      </c>
      <c r="L1145">
        <f>IF(G1145="High",3,IF(G1145="Medium",2,1))</f>
        <v>1</v>
      </c>
    </row>
    <row r="1146" spans="1:12">
      <c r="A1146" t="s">
        <v>3172</v>
      </c>
      <c r="B1146" t="s">
        <v>1027</v>
      </c>
      <c r="C1146" t="s">
        <v>2005</v>
      </c>
      <c r="D1146" t="s">
        <v>2022</v>
      </c>
      <c r="E1146" t="s">
        <v>1971</v>
      </c>
      <c r="F1146" t="s">
        <v>47</v>
      </c>
      <c r="G1146" t="str">
        <f>INDEX(Risk_Matrix!$B$2:$D$4,MATCH(E1146,Risk_Matrix!$A$2:$A$4,0),MATCH(F1146,Risk_Matrix!$B$1:$D$1,0))</f>
        <v>High</v>
      </c>
      <c r="H1146" s="1">
        <v>46229</v>
      </c>
      <c r="I1146" t="s">
        <v>2025</v>
      </c>
      <c r="J1146" t="s">
        <v>2026</v>
      </c>
      <c r="K1146" t="s">
        <v>1993</v>
      </c>
      <c r="L1146">
        <f>IF(G1146="High",3,IF(G1146="Medium",2,1))</f>
        <v>3</v>
      </c>
    </row>
    <row r="1147" spans="1:12">
      <c r="A1147" t="s">
        <v>3173</v>
      </c>
      <c r="B1147" t="s">
        <v>1027</v>
      </c>
      <c r="C1147" t="s">
        <v>2008</v>
      </c>
      <c r="D1147" t="s">
        <v>2024</v>
      </c>
      <c r="E1147" t="s">
        <v>1971</v>
      </c>
      <c r="F1147" t="s">
        <v>47</v>
      </c>
      <c r="G1147" t="str">
        <f>INDEX(Risk_Matrix!$B$2:$D$4,MATCH(E1147,Risk_Matrix!$A$2:$A$4,0),MATCH(F1147,Risk_Matrix!$B$1:$D$1,0))</f>
        <v>High</v>
      </c>
      <c r="H1147" s="1">
        <v>46216</v>
      </c>
      <c r="I1147" t="s">
        <v>2015</v>
      </c>
      <c r="J1147" t="s">
        <v>2016</v>
      </c>
      <c r="K1147" t="s">
        <v>2010</v>
      </c>
      <c r="L1147">
        <f>IF(G1147="High",3,IF(G1147="Medium",2,1))</f>
        <v>3</v>
      </c>
    </row>
    <row r="1148" spans="1:12">
      <c r="A1148" t="s">
        <v>3174</v>
      </c>
      <c r="B1148" t="s">
        <v>1029</v>
      </c>
      <c r="C1148" t="s">
        <v>1985</v>
      </c>
      <c r="D1148" t="s">
        <v>2012</v>
      </c>
      <c r="E1148" t="s">
        <v>1971</v>
      </c>
      <c r="F1148" t="s">
        <v>47</v>
      </c>
      <c r="G1148" t="str">
        <f>INDEX(Risk_Matrix!$B$2:$D$4,MATCH(E1148,Risk_Matrix!$A$2:$A$4,0),MATCH(F1148,Risk_Matrix!$B$1:$D$1,0))</f>
        <v>High</v>
      </c>
      <c r="H1148" s="1">
        <v>46204</v>
      </c>
      <c r="I1148" t="s">
        <v>2025</v>
      </c>
      <c r="J1148" t="s">
        <v>2035</v>
      </c>
      <c r="K1148" t="s">
        <v>1989</v>
      </c>
      <c r="L1148">
        <f>IF(G1148="High",3,IF(G1148="Medium",2,1))</f>
        <v>3</v>
      </c>
    </row>
    <row r="1149" spans="1:12">
      <c r="A1149" t="s">
        <v>3175</v>
      </c>
      <c r="B1149" t="s">
        <v>1029</v>
      </c>
      <c r="C1149" t="s">
        <v>1991</v>
      </c>
      <c r="D1149" t="s">
        <v>2031</v>
      </c>
      <c r="E1149" t="s">
        <v>47</v>
      </c>
      <c r="F1149" t="s">
        <v>1971</v>
      </c>
      <c r="G1149" t="str">
        <f>INDEX(Risk_Matrix!$B$2:$D$4,MATCH(E1149,Risk_Matrix!$A$2:$A$4,0),MATCH(F1149,Risk_Matrix!$B$1:$D$1,0))</f>
        <v>High</v>
      </c>
      <c r="H1149" s="1">
        <v>46209</v>
      </c>
      <c r="I1149" t="s">
        <v>2015</v>
      </c>
      <c r="J1149" t="s">
        <v>2016</v>
      </c>
      <c r="K1149" t="s">
        <v>2010</v>
      </c>
      <c r="L1149">
        <f>IF(G1149="High",3,IF(G1149="Medium",2,1))</f>
        <v>3</v>
      </c>
    </row>
    <row r="1150" spans="1:12">
      <c r="A1150" t="s">
        <v>3176</v>
      </c>
      <c r="B1150" t="s">
        <v>1029</v>
      </c>
      <c r="C1150" t="s">
        <v>1995</v>
      </c>
      <c r="D1150" t="s">
        <v>2150</v>
      </c>
      <c r="E1150" t="s">
        <v>57</v>
      </c>
      <c r="F1150" t="s">
        <v>57</v>
      </c>
      <c r="G1150" t="str">
        <f>INDEX(Risk_Matrix!$B$2:$D$4,MATCH(E1150,Risk_Matrix!$A$2:$A$4,0),MATCH(F1150,Risk_Matrix!$B$1:$D$1,0))</f>
        <v>Low</v>
      </c>
      <c r="H1150" s="1">
        <v>46208</v>
      </c>
      <c r="I1150" t="s">
        <v>2025</v>
      </c>
      <c r="J1150" t="s">
        <v>2035</v>
      </c>
      <c r="K1150" t="s">
        <v>2036</v>
      </c>
      <c r="L1150">
        <f>IF(G1150="High",3,IF(G1150="Medium",2,1))</f>
        <v>1</v>
      </c>
    </row>
    <row r="1151" spans="1:12">
      <c r="A1151" t="s">
        <v>3177</v>
      </c>
      <c r="B1151" t="s">
        <v>1029</v>
      </c>
      <c r="C1151" t="s">
        <v>2000</v>
      </c>
      <c r="D1151" t="s">
        <v>2001</v>
      </c>
      <c r="E1151" t="s">
        <v>57</v>
      </c>
      <c r="F1151" t="s">
        <v>57</v>
      </c>
      <c r="G1151" t="str">
        <f>INDEX(Risk_Matrix!$B$2:$D$4,MATCH(E1151,Risk_Matrix!$A$2:$A$4,0),MATCH(F1151,Risk_Matrix!$B$1:$D$1,0))</f>
        <v>Low</v>
      </c>
      <c r="H1151" s="1">
        <v>46213</v>
      </c>
      <c r="I1151" t="s">
        <v>1987</v>
      </c>
      <c r="J1151" t="s">
        <v>1988</v>
      </c>
      <c r="K1151" t="s">
        <v>1993</v>
      </c>
      <c r="L1151">
        <f>IF(G1151="High",3,IF(G1151="Medium",2,1))</f>
        <v>1</v>
      </c>
    </row>
    <row r="1152" spans="1:12">
      <c r="A1152" t="s">
        <v>3178</v>
      </c>
      <c r="B1152" t="s">
        <v>1029</v>
      </c>
      <c r="C1152" t="s">
        <v>2005</v>
      </c>
      <c r="D1152" t="s">
        <v>2022</v>
      </c>
      <c r="E1152" t="s">
        <v>1971</v>
      </c>
      <c r="F1152" t="s">
        <v>1971</v>
      </c>
      <c r="G1152" t="str">
        <f>INDEX(Risk_Matrix!$B$2:$D$4,MATCH(E1152,Risk_Matrix!$A$2:$A$4,0),MATCH(F1152,Risk_Matrix!$B$1:$D$1,0))</f>
        <v>Medium</v>
      </c>
      <c r="H1152" s="1">
        <v>46200</v>
      </c>
      <c r="I1152" t="s">
        <v>2015</v>
      </c>
      <c r="J1152" t="s">
        <v>2016</v>
      </c>
      <c r="K1152" t="s">
        <v>1993</v>
      </c>
      <c r="L1152">
        <f>IF(G1152="High",3,IF(G1152="Medium",2,1))</f>
        <v>2</v>
      </c>
    </row>
    <row r="1153" spans="1:12">
      <c r="A1153" t="s">
        <v>3179</v>
      </c>
      <c r="B1153" t="s">
        <v>1029</v>
      </c>
      <c r="C1153" t="s">
        <v>2008</v>
      </c>
      <c r="D1153" t="s">
        <v>2054</v>
      </c>
      <c r="E1153" t="s">
        <v>1971</v>
      </c>
      <c r="F1153" t="s">
        <v>57</v>
      </c>
      <c r="G1153" t="str">
        <f>INDEX(Risk_Matrix!$B$2:$D$4,MATCH(E1153,Risk_Matrix!$A$2:$A$4,0),MATCH(F1153,Risk_Matrix!$B$1:$D$1,0))</f>
        <v>Low</v>
      </c>
      <c r="H1153" s="1">
        <v>46223</v>
      </c>
      <c r="I1153" t="s">
        <v>1987</v>
      </c>
      <c r="J1153" t="s">
        <v>1997</v>
      </c>
      <c r="K1153" t="s">
        <v>2010</v>
      </c>
      <c r="L1153">
        <f>IF(G1153="High",3,IF(G1153="Medium",2,1))</f>
        <v>1</v>
      </c>
    </row>
    <row r="1154" spans="1:12">
      <c r="A1154" t="s">
        <v>3180</v>
      </c>
      <c r="B1154" t="s">
        <v>1031</v>
      </c>
      <c r="C1154" t="s">
        <v>1985</v>
      </c>
      <c r="D1154" t="s">
        <v>2028</v>
      </c>
      <c r="E1154" t="s">
        <v>57</v>
      </c>
      <c r="F1154" t="s">
        <v>57</v>
      </c>
      <c r="G1154" t="str">
        <f>INDEX(Risk_Matrix!$B$2:$D$4,MATCH(E1154,Risk_Matrix!$A$2:$A$4,0),MATCH(F1154,Risk_Matrix!$B$1:$D$1,0))</f>
        <v>Low</v>
      </c>
      <c r="H1154" s="1">
        <v>46176</v>
      </c>
      <c r="I1154" t="s">
        <v>2015</v>
      </c>
      <c r="J1154" t="s">
        <v>2032</v>
      </c>
      <c r="K1154" t="s">
        <v>1998</v>
      </c>
      <c r="L1154">
        <f>IF(G1154="High",3,IF(G1154="Medium",2,1))</f>
        <v>1</v>
      </c>
    </row>
    <row r="1155" spans="1:12">
      <c r="A1155" t="s">
        <v>3181</v>
      </c>
      <c r="B1155" t="s">
        <v>1031</v>
      </c>
      <c r="C1155" t="s">
        <v>1991</v>
      </c>
      <c r="D1155" t="s">
        <v>2064</v>
      </c>
      <c r="E1155" t="s">
        <v>47</v>
      </c>
      <c r="F1155" t="s">
        <v>47</v>
      </c>
      <c r="G1155" t="str">
        <f>INDEX(Risk_Matrix!$B$2:$D$4,MATCH(E1155,Risk_Matrix!$A$2:$A$4,0),MATCH(F1155,Risk_Matrix!$B$1:$D$1,0))</f>
        <v>High</v>
      </c>
      <c r="H1155" s="1">
        <v>46140</v>
      </c>
      <c r="I1155" t="s">
        <v>1987</v>
      </c>
      <c r="J1155" t="s">
        <v>1988</v>
      </c>
      <c r="K1155" t="s">
        <v>2010</v>
      </c>
      <c r="L1155">
        <f>IF(G1155="High",3,IF(G1155="Medium",2,1))</f>
        <v>3</v>
      </c>
    </row>
    <row r="1156" spans="1:12">
      <c r="A1156" t="s">
        <v>3182</v>
      </c>
      <c r="B1156" t="s">
        <v>1031</v>
      </c>
      <c r="C1156" t="s">
        <v>1995</v>
      </c>
      <c r="D1156" t="s">
        <v>2034</v>
      </c>
      <c r="E1156" t="s">
        <v>1971</v>
      </c>
      <c r="F1156" t="s">
        <v>1971</v>
      </c>
      <c r="G1156" t="str">
        <f>INDEX(Risk_Matrix!$B$2:$D$4,MATCH(E1156,Risk_Matrix!$A$2:$A$4,0),MATCH(F1156,Risk_Matrix!$B$1:$D$1,0))</f>
        <v>Medium</v>
      </c>
      <c r="H1156" s="1">
        <v>46166</v>
      </c>
      <c r="I1156" t="s">
        <v>2015</v>
      </c>
      <c r="J1156" t="s">
        <v>2032</v>
      </c>
      <c r="K1156" t="s">
        <v>1998</v>
      </c>
      <c r="L1156">
        <f>IF(G1156="High",3,IF(G1156="Medium",2,1))</f>
        <v>2</v>
      </c>
    </row>
    <row r="1157" spans="1:12">
      <c r="A1157" t="s">
        <v>3183</v>
      </c>
      <c r="B1157" t="s">
        <v>1031</v>
      </c>
      <c r="C1157" t="s">
        <v>2000</v>
      </c>
      <c r="D1157" t="s">
        <v>2020</v>
      </c>
      <c r="E1157" t="s">
        <v>47</v>
      </c>
      <c r="F1157" t="s">
        <v>1971</v>
      </c>
      <c r="G1157" t="str">
        <f>INDEX(Risk_Matrix!$B$2:$D$4,MATCH(E1157,Risk_Matrix!$A$2:$A$4,0),MATCH(F1157,Risk_Matrix!$B$1:$D$1,0))</f>
        <v>High</v>
      </c>
      <c r="H1157" s="1">
        <v>46205</v>
      </c>
      <c r="I1157" t="s">
        <v>2015</v>
      </c>
      <c r="J1157" t="s">
        <v>2032</v>
      </c>
      <c r="K1157" t="s">
        <v>1993</v>
      </c>
      <c r="L1157">
        <f>IF(G1157="High",3,IF(G1157="Medium",2,1))</f>
        <v>3</v>
      </c>
    </row>
    <row r="1158" spans="1:12">
      <c r="A1158" t="s">
        <v>3184</v>
      </c>
      <c r="B1158" t="s">
        <v>1031</v>
      </c>
      <c r="C1158" t="s">
        <v>2005</v>
      </c>
      <c r="D1158" t="s">
        <v>2039</v>
      </c>
      <c r="E1158" t="s">
        <v>47</v>
      </c>
      <c r="F1158" t="s">
        <v>1971</v>
      </c>
      <c r="G1158" t="str">
        <f>INDEX(Risk_Matrix!$B$2:$D$4,MATCH(E1158,Risk_Matrix!$A$2:$A$4,0),MATCH(F1158,Risk_Matrix!$B$1:$D$1,0))</f>
        <v>High</v>
      </c>
      <c r="H1158" s="1">
        <v>46221</v>
      </c>
      <c r="I1158" t="s">
        <v>2025</v>
      </c>
      <c r="J1158" t="s">
        <v>2026</v>
      </c>
      <c r="K1158" t="s">
        <v>1993</v>
      </c>
      <c r="L1158">
        <f>IF(G1158="High",3,IF(G1158="Medium",2,1))</f>
        <v>3</v>
      </c>
    </row>
    <row r="1159" spans="1:12">
      <c r="A1159" t="s">
        <v>3185</v>
      </c>
      <c r="B1159" t="s">
        <v>1031</v>
      </c>
      <c r="C1159" t="s">
        <v>2008</v>
      </c>
      <c r="D1159" t="s">
        <v>2009</v>
      </c>
      <c r="E1159" t="s">
        <v>47</v>
      </c>
      <c r="F1159" t="s">
        <v>47</v>
      </c>
      <c r="G1159" t="str">
        <f>INDEX(Risk_Matrix!$B$2:$D$4,MATCH(E1159,Risk_Matrix!$A$2:$A$4,0),MATCH(F1159,Risk_Matrix!$B$1:$D$1,0))</f>
        <v>High</v>
      </c>
      <c r="H1159" s="1">
        <v>46222</v>
      </c>
      <c r="I1159" t="s">
        <v>2015</v>
      </c>
      <c r="J1159" t="s">
        <v>2032</v>
      </c>
      <c r="K1159" t="s">
        <v>2010</v>
      </c>
      <c r="L1159">
        <f>IF(G1159="High",3,IF(G1159="Medium",2,1))</f>
        <v>3</v>
      </c>
    </row>
    <row r="1160" spans="1:12">
      <c r="A1160" t="s">
        <v>3186</v>
      </c>
      <c r="B1160" t="s">
        <v>1033</v>
      </c>
      <c r="C1160" t="s">
        <v>1985</v>
      </c>
      <c r="D1160" t="s">
        <v>2012</v>
      </c>
      <c r="E1160" t="s">
        <v>1971</v>
      </c>
      <c r="F1160" t="s">
        <v>57</v>
      </c>
      <c r="G1160" t="str">
        <f>INDEX(Risk_Matrix!$B$2:$D$4,MATCH(E1160,Risk_Matrix!$A$2:$A$4,0),MATCH(F1160,Risk_Matrix!$B$1:$D$1,0))</f>
        <v>Low</v>
      </c>
      <c r="H1160" s="1">
        <v>46164</v>
      </c>
      <c r="I1160" t="s">
        <v>2002</v>
      </c>
      <c r="J1160" t="s">
        <v>2029</v>
      </c>
      <c r="K1160" t="s">
        <v>1989</v>
      </c>
      <c r="L1160">
        <f>IF(G1160="High",3,IF(G1160="Medium",2,1))</f>
        <v>1</v>
      </c>
    </row>
    <row r="1161" spans="1:12">
      <c r="A1161" t="s">
        <v>3187</v>
      </c>
      <c r="B1161" t="s">
        <v>1033</v>
      </c>
      <c r="C1161" t="s">
        <v>1991</v>
      </c>
      <c r="D1161" t="s">
        <v>2014</v>
      </c>
      <c r="E1161" t="s">
        <v>47</v>
      </c>
      <c r="F1161" t="s">
        <v>1971</v>
      </c>
      <c r="G1161" t="str">
        <f>INDEX(Risk_Matrix!$B$2:$D$4,MATCH(E1161,Risk_Matrix!$A$2:$A$4,0),MATCH(F1161,Risk_Matrix!$B$1:$D$1,0))</f>
        <v>High</v>
      </c>
      <c r="H1161" s="1">
        <v>46166</v>
      </c>
      <c r="I1161" t="s">
        <v>2015</v>
      </c>
      <c r="J1161" t="s">
        <v>2032</v>
      </c>
      <c r="K1161" t="s">
        <v>1993</v>
      </c>
      <c r="L1161">
        <f>IF(G1161="High",3,IF(G1161="Medium",2,1))</f>
        <v>3</v>
      </c>
    </row>
    <row r="1162" spans="1:12">
      <c r="A1162" t="s">
        <v>3188</v>
      </c>
      <c r="B1162" t="s">
        <v>1033</v>
      </c>
      <c r="C1162" t="s">
        <v>1995</v>
      </c>
      <c r="D1162" t="s">
        <v>2018</v>
      </c>
      <c r="E1162" t="s">
        <v>57</v>
      </c>
      <c r="F1162" t="s">
        <v>47</v>
      </c>
      <c r="G1162" t="str">
        <f>INDEX(Risk_Matrix!$B$2:$D$4,MATCH(E1162,Risk_Matrix!$A$2:$A$4,0),MATCH(F1162,Risk_Matrix!$B$1:$D$1,0))</f>
        <v>Medium</v>
      </c>
      <c r="H1162" s="1">
        <v>46212</v>
      </c>
      <c r="I1162" t="s">
        <v>1987</v>
      </c>
      <c r="J1162" t="s">
        <v>1997</v>
      </c>
      <c r="K1162" t="s">
        <v>1998</v>
      </c>
      <c r="L1162">
        <f>IF(G1162="High",3,IF(G1162="Medium",2,1))</f>
        <v>2</v>
      </c>
    </row>
    <row r="1163" spans="1:12">
      <c r="A1163" t="s">
        <v>3189</v>
      </c>
      <c r="B1163" t="s">
        <v>1033</v>
      </c>
      <c r="C1163" t="s">
        <v>2000</v>
      </c>
      <c r="D1163" t="s">
        <v>2045</v>
      </c>
      <c r="E1163" t="s">
        <v>57</v>
      </c>
      <c r="F1163" t="s">
        <v>57</v>
      </c>
      <c r="G1163" t="str">
        <f>INDEX(Risk_Matrix!$B$2:$D$4,MATCH(E1163,Risk_Matrix!$A$2:$A$4,0),MATCH(F1163,Risk_Matrix!$B$1:$D$1,0))</f>
        <v>Low</v>
      </c>
      <c r="H1163" s="1">
        <v>46073</v>
      </c>
      <c r="I1163" t="s">
        <v>1987</v>
      </c>
      <c r="J1163" t="s">
        <v>1997</v>
      </c>
      <c r="K1163" t="s">
        <v>1993</v>
      </c>
      <c r="L1163">
        <f>IF(G1163="High",3,IF(G1163="Medium",2,1))</f>
        <v>1</v>
      </c>
    </row>
    <row r="1164" spans="1:12">
      <c r="A1164" t="s">
        <v>3190</v>
      </c>
      <c r="B1164" t="s">
        <v>1033</v>
      </c>
      <c r="C1164" t="s">
        <v>2005</v>
      </c>
      <c r="D1164" t="s">
        <v>2006</v>
      </c>
      <c r="E1164" t="s">
        <v>47</v>
      </c>
      <c r="F1164" t="s">
        <v>47</v>
      </c>
      <c r="G1164" t="str">
        <f>INDEX(Risk_Matrix!$B$2:$D$4,MATCH(E1164,Risk_Matrix!$A$2:$A$4,0),MATCH(F1164,Risk_Matrix!$B$1:$D$1,0))</f>
        <v>High</v>
      </c>
      <c r="H1164" s="1">
        <v>46214</v>
      </c>
      <c r="I1164" t="s">
        <v>2015</v>
      </c>
      <c r="J1164" t="s">
        <v>2016</v>
      </c>
      <c r="K1164" t="s">
        <v>1993</v>
      </c>
      <c r="L1164">
        <f>IF(G1164="High",3,IF(G1164="Medium",2,1))</f>
        <v>3</v>
      </c>
    </row>
    <row r="1165" spans="1:12">
      <c r="A1165" t="s">
        <v>3191</v>
      </c>
      <c r="B1165" t="s">
        <v>1033</v>
      </c>
      <c r="C1165" t="s">
        <v>2008</v>
      </c>
      <c r="D1165" t="s">
        <v>2009</v>
      </c>
      <c r="E1165" t="s">
        <v>1971</v>
      </c>
      <c r="F1165" t="s">
        <v>1971</v>
      </c>
      <c r="G1165" t="str">
        <f>INDEX(Risk_Matrix!$B$2:$D$4,MATCH(E1165,Risk_Matrix!$A$2:$A$4,0),MATCH(F1165,Risk_Matrix!$B$1:$D$1,0))</f>
        <v>Medium</v>
      </c>
      <c r="H1165" s="1">
        <v>46108</v>
      </c>
      <c r="I1165" t="s">
        <v>2025</v>
      </c>
      <c r="J1165" t="s">
        <v>2026</v>
      </c>
      <c r="K1165" t="s">
        <v>2010</v>
      </c>
      <c r="L1165">
        <f>IF(G1165="High",3,IF(G1165="Medium",2,1))</f>
        <v>2</v>
      </c>
    </row>
    <row r="1166" spans="1:12">
      <c r="A1166" t="s">
        <v>3192</v>
      </c>
      <c r="B1166" t="s">
        <v>1035</v>
      </c>
      <c r="C1166" t="s">
        <v>1985</v>
      </c>
      <c r="D1166" t="s">
        <v>2012</v>
      </c>
      <c r="E1166" t="s">
        <v>57</v>
      </c>
      <c r="F1166" t="s">
        <v>1971</v>
      </c>
      <c r="G1166" t="str">
        <f>INDEX(Risk_Matrix!$B$2:$D$4,MATCH(E1166,Risk_Matrix!$A$2:$A$4,0),MATCH(F1166,Risk_Matrix!$B$1:$D$1,0))</f>
        <v>Low</v>
      </c>
      <c r="H1166" s="1">
        <v>46137</v>
      </c>
      <c r="I1166" t="s">
        <v>2025</v>
      </c>
      <c r="J1166" t="s">
        <v>2035</v>
      </c>
      <c r="K1166" t="s">
        <v>1989</v>
      </c>
      <c r="L1166">
        <f>IF(G1166="High",3,IF(G1166="Medium",2,1))</f>
        <v>1</v>
      </c>
    </row>
    <row r="1167" spans="1:12">
      <c r="A1167" t="s">
        <v>3193</v>
      </c>
      <c r="B1167" t="s">
        <v>1035</v>
      </c>
      <c r="C1167" t="s">
        <v>1991</v>
      </c>
      <c r="D1167" t="s">
        <v>2031</v>
      </c>
      <c r="E1167" t="s">
        <v>57</v>
      </c>
      <c r="F1167" t="s">
        <v>47</v>
      </c>
      <c r="G1167" t="str">
        <f>INDEX(Risk_Matrix!$B$2:$D$4,MATCH(E1167,Risk_Matrix!$A$2:$A$4,0),MATCH(F1167,Risk_Matrix!$B$1:$D$1,0))</f>
        <v>Medium</v>
      </c>
      <c r="H1167" s="1">
        <v>46138</v>
      </c>
      <c r="I1167" t="s">
        <v>1987</v>
      </c>
      <c r="J1167" t="s">
        <v>1988</v>
      </c>
      <c r="K1167" t="s">
        <v>1993</v>
      </c>
      <c r="L1167">
        <f>IF(G1167="High",3,IF(G1167="Medium",2,1))</f>
        <v>2</v>
      </c>
    </row>
    <row r="1168" spans="1:12">
      <c r="A1168" t="s">
        <v>3194</v>
      </c>
      <c r="B1168" t="s">
        <v>1035</v>
      </c>
      <c r="C1168" t="s">
        <v>1995</v>
      </c>
      <c r="D1168" t="s">
        <v>1996</v>
      </c>
      <c r="E1168" t="s">
        <v>1971</v>
      </c>
      <c r="F1168" t="s">
        <v>47</v>
      </c>
      <c r="G1168" t="str">
        <f>INDEX(Risk_Matrix!$B$2:$D$4,MATCH(E1168,Risk_Matrix!$A$2:$A$4,0),MATCH(F1168,Risk_Matrix!$B$1:$D$1,0))</f>
        <v>High</v>
      </c>
      <c r="H1168" s="1">
        <v>46168</v>
      </c>
      <c r="I1168" t="s">
        <v>2015</v>
      </c>
      <c r="J1168" t="s">
        <v>2016</v>
      </c>
      <c r="K1168" t="s">
        <v>2036</v>
      </c>
      <c r="L1168">
        <f>IF(G1168="High",3,IF(G1168="Medium",2,1))</f>
        <v>3</v>
      </c>
    </row>
    <row r="1169" spans="1:12">
      <c r="A1169" t="s">
        <v>3195</v>
      </c>
      <c r="B1169" t="s">
        <v>1035</v>
      </c>
      <c r="C1169" t="s">
        <v>2000</v>
      </c>
      <c r="D1169" t="s">
        <v>2001</v>
      </c>
      <c r="E1169" t="s">
        <v>57</v>
      </c>
      <c r="F1169" t="s">
        <v>1971</v>
      </c>
      <c r="G1169" t="str">
        <f>INDEX(Risk_Matrix!$B$2:$D$4,MATCH(E1169,Risk_Matrix!$A$2:$A$4,0),MATCH(F1169,Risk_Matrix!$B$1:$D$1,0))</f>
        <v>Low</v>
      </c>
      <c r="H1169" s="1">
        <v>46203</v>
      </c>
      <c r="I1169" t="s">
        <v>2025</v>
      </c>
      <c r="J1169" t="s">
        <v>2035</v>
      </c>
      <c r="K1169" t="s">
        <v>1993</v>
      </c>
      <c r="L1169">
        <f>IF(G1169="High",3,IF(G1169="Medium",2,1))</f>
        <v>1</v>
      </c>
    </row>
    <row r="1170" spans="1:12">
      <c r="A1170" t="s">
        <v>3196</v>
      </c>
      <c r="B1170" t="s">
        <v>1035</v>
      </c>
      <c r="C1170" t="s">
        <v>2005</v>
      </c>
      <c r="D1170" t="s">
        <v>2006</v>
      </c>
      <c r="E1170" t="s">
        <v>1971</v>
      </c>
      <c r="F1170" t="s">
        <v>1971</v>
      </c>
      <c r="G1170" t="str">
        <f>INDEX(Risk_Matrix!$B$2:$D$4,MATCH(E1170,Risk_Matrix!$A$2:$A$4,0),MATCH(F1170,Risk_Matrix!$B$1:$D$1,0))</f>
        <v>Medium</v>
      </c>
      <c r="H1170" s="1">
        <v>46073</v>
      </c>
      <c r="I1170" t="s">
        <v>1987</v>
      </c>
      <c r="J1170" t="s">
        <v>1997</v>
      </c>
      <c r="K1170" t="s">
        <v>1993</v>
      </c>
      <c r="L1170">
        <f>IF(G1170="High",3,IF(G1170="Medium",2,1))</f>
        <v>2</v>
      </c>
    </row>
    <row r="1171" spans="1:12">
      <c r="A1171" t="s">
        <v>3197</v>
      </c>
      <c r="B1171" t="s">
        <v>1035</v>
      </c>
      <c r="C1171" t="s">
        <v>2008</v>
      </c>
      <c r="D1171" t="s">
        <v>2009</v>
      </c>
      <c r="E1171" t="s">
        <v>1971</v>
      </c>
      <c r="F1171" t="s">
        <v>57</v>
      </c>
      <c r="G1171" t="str">
        <f>INDEX(Risk_Matrix!$B$2:$D$4,MATCH(E1171,Risk_Matrix!$A$2:$A$4,0),MATCH(F1171,Risk_Matrix!$B$1:$D$1,0))</f>
        <v>Low</v>
      </c>
      <c r="H1171" s="1">
        <v>46122</v>
      </c>
      <c r="I1171" t="s">
        <v>1987</v>
      </c>
      <c r="J1171" t="s">
        <v>1997</v>
      </c>
      <c r="K1171" t="s">
        <v>2010</v>
      </c>
      <c r="L1171">
        <f>IF(G1171="High",3,IF(G1171="Medium",2,1))</f>
        <v>1</v>
      </c>
    </row>
    <row r="1172" spans="1:12">
      <c r="A1172" t="s">
        <v>3198</v>
      </c>
      <c r="B1172" t="s">
        <v>1037</v>
      </c>
      <c r="C1172" t="s">
        <v>1985</v>
      </c>
      <c r="D1172" t="s">
        <v>1986</v>
      </c>
      <c r="E1172" t="s">
        <v>57</v>
      </c>
      <c r="F1172" t="s">
        <v>47</v>
      </c>
      <c r="G1172" t="str">
        <f>INDEX(Risk_Matrix!$B$2:$D$4,MATCH(E1172,Risk_Matrix!$A$2:$A$4,0),MATCH(F1172,Risk_Matrix!$B$1:$D$1,0))</f>
        <v>Medium</v>
      </c>
      <c r="H1172" s="1">
        <v>46163</v>
      </c>
      <c r="I1172" t="s">
        <v>2025</v>
      </c>
      <c r="J1172" t="s">
        <v>2026</v>
      </c>
      <c r="K1172" t="s">
        <v>1989</v>
      </c>
      <c r="L1172">
        <f>IF(G1172="High",3,IF(G1172="Medium",2,1))</f>
        <v>2</v>
      </c>
    </row>
    <row r="1173" spans="1:12">
      <c r="A1173" t="s">
        <v>3199</v>
      </c>
      <c r="B1173" t="s">
        <v>1037</v>
      </c>
      <c r="C1173" t="s">
        <v>1991</v>
      </c>
      <c r="D1173" t="s">
        <v>2064</v>
      </c>
      <c r="E1173" t="s">
        <v>1971</v>
      </c>
      <c r="F1173" t="s">
        <v>57</v>
      </c>
      <c r="G1173" t="str">
        <f>INDEX(Risk_Matrix!$B$2:$D$4,MATCH(E1173,Risk_Matrix!$A$2:$A$4,0),MATCH(F1173,Risk_Matrix!$B$1:$D$1,0))</f>
        <v>Low</v>
      </c>
      <c r="H1173" s="1">
        <v>46225</v>
      </c>
      <c r="I1173" t="s">
        <v>2015</v>
      </c>
      <c r="J1173" t="s">
        <v>2016</v>
      </c>
      <c r="K1173" t="s">
        <v>1993</v>
      </c>
      <c r="L1173">
        <f>IF(G1173="High",3,IF(G1173="Medium",2,1))</f>
        <v>1</v>
      </c>
    </row>
    <row r="1174" spans="1:12">
      <c r="A1174" t="s">
        <v>3200</v>
      </c>
      <c r="B1174" t="s">
        <v>1037</v>
      </c>
      <c r="C1174" t="s">
        <v>1995</v>
      </c>
      <c r="D1174" t="s">
        <v>2150</v>
      </c>
      <c r="E1174" t="s">
        <v>1971</v>
      </c>
      <c r="F1174" t="s">
        <v>57</v>
      </c>
      <c r="G1174" t="str">
        <f>INDEX(Risk_Matrix!$B$2:$D$4,MATCH(E1174,Risk_Matrix!$A$2:$A$4,0),MATCH(F1174,Risk_Matrix!$B$1:$D$1,0))</f>
        <v>Low</v>
      </c>
      <c r="H1174" s="1">
        <v>46197</v>
      </c>
      <c r="I1174" t="s">
        <v>2015</v>
      </c>
      <c r="J1174" t="s">
        <v>2032</v>
      </c>
      <c r="K1174" t="s">
        <v>1998</v>
      </c>
      <c r="L1174">
        <f>IF(G1174="High",3,IF(G1174="Medium",2,1))</f>
        <v>1</v>
      </c>
    </row>
    <row r="1175" spans="1:12">
      <c r="A1175" t="s">
        <v>3201</v>
      </c>
      <c r="B1175" t="s">
        <v>1037</v>
      </c>
      <c r="C1175" t="s">
        <v>2000</v>
      </c>
      <c r="D1175" t="s">
        <v>2020</v>
      </c>
      <c r="E1175" t="s">
        <v>47</v>
      </c>
      <c r="F1175" t="s">
        <v>1971</v>
      </c>
      <c r="G1175" t="str">
        <f>INDEX(Risk_Matrix!$B$2:$D$4,MATCH(E1175,Risk_Matrix!$A$2:$A$4,0),MATCH(F1175,Risk_Matrix!$B$1:$D$1,0))</f>
        <v>High</v>
      </c>
      <c r="H1175" s="1">
        <v>46081</v>
      </c>
      <c r="I1175" t="s">
        <v>2025</v>
      </c>
      <c r="J1175" t="s">
        <v>2026</v>
      </c>
      <c r="K1175" t="s">
        <v>1989</v>
      </c>
      <c r="L1175">
        <f>IF(G1175="High",3,IF(G1175="Medium",2,1))</f>
        <v>3</v>
      </c>
    </row>
    <row r="1176" spans="1:12">
      <c r="A1176" t="s">
        <v>3202</v>
      </c>
      <c r="B1176" t="s">
        <v>1037</v>
      </c>
      <c r="C1176" t="s">
        <v>2005</v>
      </c>
      <c r="D1176" t="s">
        <v>2039</v>
      </c>
      <c r="E1176" t="s">
        <v>47</v>
      </c>
      <c r="F1176" t="s">
        <v>1971</v>
      </c>
      <c r="G1176" t="str">
        <f>INDEX(Risk_Matrix!$B$2:$D$4,MATCH(E1176,Risk_Matrix!$A$2:$A$4,0),MATCH(F1176,Risk_Matrix!$B$1:$D$1,0))</f>
        <v>High</v>
      </c>
      <c r="H1176" s="1">
        <v>46174</v>
      </c>
      <c r="I1176" t="s">
        <v>2025</v>
      </c>
      <c r="J1176" t="s">
        <v>2026</v>
      </c>
      <c r="K1176" t="s">
        <v>1993</v>
      </c>
      <c r="L1176">
        <f>IF(G1176="High",3,IF(G1176="Medium",2,1))</f>
        <v>3</v>
      </c>
    </row>
    <row r="1177" spans="1:12">
      <c r="A1177" t="s">
        <v>3203</v>
      </c>
      <c r="B1177" t="s">
        <v>1037</v>
      </c>
      <c r="C1177" t="s">
        <v>2008</v>
      </c>
      <c r="D1177" t="s">
        <v>2009</v>
      </c>
      <c r="E1177" t="s">
        <v>1971</v>
      </c>
      <c r="F1177" t="s">
        <v>47</v>
      </c>
      <c r="G1177" t="str">
        <f>INDEX(Risk_Matrix!$B$2:$D$4,MATCH(E1177,Risk_Matrix!$A$2:$A$4,0),MATCH(F1177,Risk_Matrix!$B$1:$D$1,0))</f>
        <v>High</v>
      </c>
      <c r="H1177" s="1">
        <v>46164</v>
      </c>
      <c r="I1177" t="s">
        <v>2015</v>
      </c>
      <c r="J1177" t="s">
        <v>2032</v>
      </c>
      <c r="K1177" t="s">
        <v>2010</v>
      </c>
      <c r="L1177">
        <f>IF(G1177="High",3,IF(G1177="Medium",2,1))</f>
        <v>3</v>
      </c>
    </row>
    <row r="1178" spans="1:12">
      <c r="A1178" t="s">
        <v>3204</v>
      </c>
      <c r="B1178" t="s">
        <v>1039</v>
      </c>
      <c r="C1178" t="s">
        <v>1985</v>
      </c>
      <c r="D1178" t="s">
        <v>2028</v>
      </c>
      <c r="E1178" t="s">
        <v>57</v>
      </c>
      <c r="F1178" t="s">
        <v>47</v>
      </c>
      <c r="G1178" t="str">
        <f>INDEX(Risk_Matrix!$B$2:$D$4,MATCH(E1178,Risk_Matrix!$A$2:$A$4,0),MATCH(F1178,Risk_Matrix!$B$1:$D$1,0))</f>
        <v>Medium</v>
      </c>
      <c r="H1178" s="1">
        <v>46192</v>
      </c>
      <c r="I1178" t="s">
        <v>1987</v>
      </c>
      <c r="J1178" t="s">
        <v>1997</v>
      </c>
      <c r="K1178" t="s">
        <v>1989</v>
      </c>
      <c r="L1178">
        <f>IF(G1178="High",3,IF(G1178="Medium",2,1))</f>
        <v>2</v>
      </c>
    </row>
    <row r="1179" spans="1:12">
      <c r="A1179" t="s">
        <v>3205</v>
      </c>
      <c r="B1179" t="s">
        <v>1039</v>
      </c>
      <c r="C1179" t="s">
        <v>1991</v>
      </c>
      <c r="D1179" t="s">
        <v>2031</v>
      </c>
      <c r="E1179" t="s">
        <v>47</v>
      </c>
      <c r="F1179" t="s">
        <v>57</v>
      </c>
      <c r="G1179" t="str">
        <f>INDEX(Risk_Matrix!$B$2:$D$4,MATCH(E1179,Risk_Matrix!$A$2:$A$4,0),MATCH(F1179,Risk_Matrix!$B$1:$D$1,0))</f>
        <v>Medium</v>
      </c>
      <c r="H1179" s="1">
        <v>46176</v>
      </c>
      <c r="I1179" t="s">
        <v>2015</v>
      </c>
      <c r="J1179" t="s">
        <v>2032</v>
      </c>
      <c r="K1179" t="s">
        <v>2010</v>
      </c>
      <c r="L1179">
        <f>IF(G1179="High",3,IF(G1179="Medium",2,1))</f>
        <v>2</v>
      </c>
    </row>
    <row r="1180" spans="1:12">
      <c r="A1180" t="s">
        <v>3206</v>
      </c>
      <c r="B1180" t="s">
        <v>1039</v>
      </c>
      <c r="C1180" t="s">
        <v>1995</v>
      </c>
      <c r="D1180" t="s">
        <v>1996</v>
      </c>
      <c r="E1180" t="s">
        <v>57</v>
      </c>
      <c r="F1180" t="s">
        <v>47</v>
      </c>
      <c r="G1180" t="str">
        <f>INDEX(Risk_Matrix!$B$2:$D$4,MATCH(E1180,Risk_Matrix!$A$2:$A$4,0),MATCH(F1180,Risk_Matrix!$B$1:$D$1,0))</f>
        <v>Medium</v>
      </c>
      <c r="H1180" s="1">
        <v>46183</v>
      </c>
      <c r="I1180" t="s">
        <v>2025</v>
      </c>
      <c r="J1180" t="s">
        <v>2026</v>
      </c>
      <c r="K1180" t="s">
        <v>1998</v>
      </c>
      <c r="L1180">
        <f>IF(G1180="High",3,IF(G1180="Medium",2,1))</f>
        <v>2</v>
      </c>
    </row>
    <row r="1181" spans="1:12">
      <c r="A1181" t="s">
        <v>3207</v>
      </c>
      <c r="B1181" t="s">
        <v>1039</v>
      </c>
      <c r="C1181" t="s">
        <v>2000</v>
      </c>
      <c r="D1181" t="s">
        <v>2001</v>
      </c>
      <c r="E1181" t="s">
        <v>57</v>
      </c>
      <c r="F1181" t="s">
        <v>47</v>
      </c>
      <c r="G1181" t="str">
        <f>INDEX(Risk_Matrix!$B$2:$D$4,MATCH(E1181,Risk_Matrix!$A$2:$A$4,0),MATCH(F1181,Risk_Matrix!$B$1:$D$1,0))</f>
        <v>Medium</v>
      </c>
      <c r="H1181" s="1">
        <v>46218</v>
      </c>
      <c r="I1181" t="s">
        <v>1987</v>
      </c>
      <c r="J1181" t="s">
        <v>1997</v>
      </c>
      <c r="K1181" t="s">
        <v>1989</v>
      </c>
      <c r="L1181">
        <f>IF(G1181="High",3,IF(G1181="Medium",2,1))</f>
        <v>2</v>
      </c>
    </row>
    <row r="1182" spans="1:12">
      <c r="A1182" t="s">
        <v>3208</v>
      </c>
      <c r="B1182" t="s">
        <v>1039</v>
      </c>
      <c r="C1182" t="s">
        <v>2005</v>
      </c>
      <c r="D1182" t="s">
        <v>2039</v>
      </c>
      <c r="E1182" t="s">
        <v>47</v>
      </c>
      <c r="F1182" t="s">
        <v>47</v>
      </c>
      <c r="G1182" t="str">
        <f>INDEX(Risk_Matrix!$B$2:$D$4,MATCH(E1182,Risk_Matrix!$A$2:$A$4,0),MATCH(F1182,Risk_Matrix!$B$1:$D$1,0))</f>
        <v>High</v>
      </c>
      <c r="H1182" s="1">
        <v>46224</v>
      </c>
      <c r="I1182" t="s">
        <v>2015</v>
      </c>
      <c r="J1182" t="s">
        <v>2016</v>
      </c>
      <c r="K1182" t="s">
        <v>1993</v>
      </c>
      <c r="L1182">
        <f>IF(G1182="High",3,IF(G1182="Medium",2,1))</f>
        <v>3</v>
      </c>
    </row>
    <row r="1183" spans="1:12">
      <c r="A1183" t="s">
        <v>3209</v>
      </c>
      <c r="B1183" t="s">
        <v>1039</v>
      </c>
      <c r="C1183" t="s">
        <v>2008</v>
      </c>
      <c r="D1183" t="s">
        <v>2054</v>
      </c>
      <c r="E1183" t="s">
        <v>1971</v>
      </c>
      <c r="F1183" t="s">
        <v>1971</v>
      </c>
      <c r="G1183" t="str">
        <f>INDEX(Risk_Matrix!$B$2:$D$4,MATCH(E1183,Risk_Matrix!$A$2:$A$4,0),MATCH(F1183,Risk_Matrix!$B$1:$D$1,0))</f>
        <v>Medium</v>
      </c>
      <c r="H1183" s="1">
        <v>46160</v>
      </c>
      <c r="I1183" t="s">
        <v>1987</v>
      </c>
      <c r="J1183" t="s">
        <v>1988</v>
      </c>
      <c r="K1183" t="s">
        <v>2010</v>
      </c>
      <c r="L1183">
        <f>IF(G1183="High",3,IF(G1183="Medium",2,1))</f>
        <v>2</v>
      </c>
    </row>
    <row r="1184" spans="1:12">
      <c r="A1184" t="s">
        <v>3210</v>
      </c>
      <c r="B1184" t="s">
        <v>1041</v>
      </c>
      <c r="C1184" t="s">
        <v>1985</v>
      </c>
      <c r="D1184" t="s">
        <v>2012</v>
      </c>
      <c r="E1184" t="s">
        <v>57</v>
      </c>
      <c r="F1184" t="s">
        <v>47</v>
      </c>
      <c r="G1184" t="str">
        <f>INDEX(Risk_Matrix!$B$2:$D$4,MATCH(E1184,Risk_Matrix!$A$2:$A$4,0),MATCH(F1184,Risk_Matrix!$B$1:$D$1,0))</f>
        <v>Medium</v>
      </c>
      <c r="H1184" s="1">
        <v>46152</v>
      </c>
      <c r="I1184" t="s">
        <v>2025</v>
      </c>
      <c r="J1184" t="s">
        <v>2026</v>
      </c>
      <c r="K1184" t="s">
        <v>1998</v>
      </c>
      <c r="L1184">
        <f>IF(G1184="High",3,IF(G1184="Medium",2,1))</f>
        <v>2</v>
      </c>
    </row>
    <row r="1185" spans="1:12">
      <c r="A1185" t="s">
        <v>3211</v>
      </c>
      <c r="B1185" t="s">
        <v>1041</v>
      </c>
      <c r="C1185" t="s">
        <v>1991</v>
      </c>
      <c r="D1185" t="s">
        <v>2014</v>
      </c>
      <c r="E1185" t="s">
        <v>57</v>
      </c>
      <c r="F1185" t="s">
        <v>57</v>
      </c>
      <c r="G1185" t="str">
        <f>INDEX(Risk_Matrix!$B$2:$D$4,MATCH(E1185,Risk_Matrix!$A$2:$A$4,0),MATCH(F1185,Risk_Matrix!$B$1:$D$1,0))</f>
        <v>Low</v>
      </c>
      <c r="H1185" s="1">
        <v>46093</v>
      </c>
      <c r="I1185" t="s">
        <v>1987</v>
      </c>
      <c r="J1185" t="s">
        <v>1997</v>
      </c>
      <c r="K1185" t="s">
        <v>1993</v>
      </c>
      <c r="L1185">
        <f>IF(G1185="High",3,IF(G1185="Medium",2,1))</f>
        <v>1</v>
      </c>
    </row>
    <row r="1186" spans="1:12">
      <c r="A1186" t="s">
        <v>3212</v>
      </c>
      <c r="B1186" t="s">
        <v>1041</v>
      </c>
      <c r="C1186" t="s">
        <v>1995</v>
      </c>
      <c r="D1186" t="s">
        <v>1996</v>
      </c>
      <c r="E1186" t="s">
        <v>57</v>
      </c>
      <c r="F1186" t="s">
        <v>1971</v>
      </c>
      <c r="G1186" t="str">
        <f>INDEX(Risk_Matrix!$B$2:$D$4,MATCH(E1186,Risk_Matrix!$A$2:$A$4,0),MATCH(F1186,Risk_Matrix!$B$1:$D$1,0))</f>
        <v>Low</v>
      </c>
      <c r="H1186" s="1">
        <v>46085</v>
      </c>
      <c r="I1186" t="s">
        <v>2025</v>
      </c>
      <c r="J1186" t="s">
        <v>2026</v>
      </c>
      <c r="K1186" t="s">
        <v>2036</v>
      </c>
      <c r="L1186">
        <f>IF(G1186="High",3,IF(G1186="Medium",2,1))</f>
        <v>1</v>
      </c>
    </row>
    <row r="1187" spans="1:12">
      <c r="A1187" t="s">
        <v>3213</v>
      </c>
      <c r="B1187" t="s">
        <v>1041</v>
      </c>
      <c r="C1187" t="s">
        <v>2000</v>
      </c>
      <c r="D1187" t="s">
        <v>2001</v>
      </c>
      <c r="E1187" t="s">
        <v>47</v>
      </c>
      <c r="F1187" t="s">
        <v>47</v>
      </c>
      <c r="G1187" t="str">
        <f>INDEX(Risk_Matrix!$B$2:$D$4,MATCH(E1187,Risk_Matrix!$A$2:$A$4,0),MATCH(F1187,Risk_Matrix!$B$1:$D$1,0))</f>
        <v>High</v>
      </c>
      <c r="H1187" s="1">
        <v>46207</v>
      </c>
      <c r="I1187" t="s">
        <v>2015</v>
      </c>
      <c r="J1187" t="s">
        <v>2016</v>
      </c>
      <c r="K1187" t="s">
        <v>1989</v>
      </c>
      <c r="L1187">
        <f>IF(G1187="High",3,IF(G1187="Medium",2,1))</f>
        <v>3</v>
      </c>
    </row>
    <row r="1188" spans="1:12">
      <c r="A1188" t="s">
        <v>3214</v>
      </c>
      <c r="B1188" t="s">
        <v>1041</v>
      </c>
      <c r="C1188" t="s">
        <v>2005</v>
      </c>
      <c r="D1188" t="s">
        <v>2022</v>
      </c>
      <c r="E1188" t="s">
        <v>47</v>
      </c>
      <c r="F1188" t="s">
        <v>1971</v>
      </c>
      <c r="G1188" t="str">
        <f>INDEX(Risk_Matrix!$B$2:$D$4,MATCH(E1188,Risk_Matrix!$A$2:$A$4,0),MATCH(F1188,Risk_Matrix!$B$1:$D$1,0))</f>
        <v>High</v>
      </c>
      <c r="H1188" s="1">
        <v>46205</v>
      </c>
      <c r="I1188" t="s">
        <v>2015</v>
      </c>
      <c r="J1188" t="s">
        <v>2016</v>
      </c>
      <c r="K1188" t="s">
        <v>1993</v>
      </c>
      <c r="L1188">
        <f>IF(G1188="High",3,IF(G1188="Medium",2,1))</f>
        <v>3</v>
      </c>
    </row>
    <row r="1189" spans="1:12">
      <c r="A1189" t="s">
        <v>3215</v>
      </c>
      <c r="B1189" t="s">
        <v>1041</v>
      </c>
      <c r="C1189" t="s">
        <v>2008</v>
      </c>
      <c r="D1189" t="s">
        <v>2009</v>
      </c>
      <c r="E1189" t="s">
        <v>1971</v>
      </c>
      <c r="F1189" t="s">
        <v>57</v>
      </c>
      <c r="G1189" t="str">
        <f>INDEX(Risk_Matrix!$B$2:$D$4,MATCH(E1189,Risk_Matrix!$A$2:$A$4,0),MATCH(F1189,Risk_Matrix!$B$1:$D$1,0))</f>
        <v>Low</v>
      </c>
      <c r="H1189" s="1">
        <v>46109</v>
      </c>
      <c r="I1189" t="s">
        <v>2025</v>
      </c>
      <c r="J1189" t="s">
        <v>2035</v>
      </c>
      <c r="K1189" t="s">
        <v>2010</v>
      </c>
      <c r="L1189">
        <f>IF(G1189="High",3,IF(G1189="Medium",2,1))</f>
        <v>1</v>
      </c>
    </row>
    <row r="1190" spans="1:12">
      <c r="A1190" t="s">
        <v>3216</v>
      </c>
      <c r="B1190" t="s">
        <v>1044</v>
      </c>
      <c r="C1190" t="s">
        <v>1985</v>
      </c>
      <c r="D1190" t="s">
        <v>2062</v>
      </c>
      <c r="E1190" t="s">
        <v>1971</v>
      </c>
      <c r="F1190" t="s">
        <v>57</v>
      </c>
      <c r="G1190" t="str">
        <f>INDEX(Risk_Matrix!$B$2:$D$4,MATCH(E1190,Risk_Matrix!$A$2:$A$4,0),MATCH(F1190,Risk_Matrix!$B$1:$D$1,0))</f>
        <v>Low</v>
      </c>
      <c r="H1190" s="1">
        <v>46086</v>
      </c>
      <c r="I1190" t="s">
        <v>1987</v>
      </c>
      <c r="J1190" t="s">
        <v>1988</v>
      </c>
      <c r="K1190" t="s">
        <v>1989</v>
      </c>
      <c r="L1190">
        <f>IF(G1190="High",3,IF(G1190="Medium",2,1))</f>
        <v>1</v>
      </c>
    </row>
    <row r="1191" spans="1:12">
      <c r="A1191" t="s">
        <v>3217</v>
      </c>
      <c r="B1191" t="s">
        <v>1044</v>
      </c>
      <c r="C1191" t="s">
        <v>1991</v>
      </c>
      <c r="D1191" t="s">
        <v>2064</v>
      </c>
      <c r="E1191" t="s">
        <v>57</v>
      </c>
      <c r="F1191" t="s">
        <v>57</v>
      </c>
      <c r="G1191" t="str">
        <f>INDEX(Risk_Matrix!$B$2:$D$4,MATCH(E1191,Risk_Matrix!$A$2:$A$4,0),MATCH(F1191,Risk_Matrix!$B$1:$D$1,0))</f>
        <v>Low</v>
      </c>
      <c r="H1191" s="1">
        <v>46205</v>
      </c>
      <c r="I1191" t="s">
        <v>2002</v>
      </c>
      <c r="J1191" t="s">
        <v>2029</v>
      </c>
      <c r="K1191" t="s">
        <v>1993</v>
      </c>
      <c r="L1191">
        <f>IF(G1191="High",3,IF(G1191="Medium",2,1))</f>
        <v>1</v>
      </c>
    </row>
    <row r="1192" spans="1:12">
      <c r="A1192" t="s">
        <v>3218</v>
      </c>
      <c r="B1192" t="s">
        <v>1044</v>
      </c>
      <c r="C1192" t="s">
        <v>1995</v>
      </c>
      <c r="D1192" t="s">
        <v>2018</v>
      </c>
      <c r="E1192" t="s">
        <v>47</v>
      </c>
      <c r="F1192" t="s">
        <v>1971</v>
      </c>
      <c r="G1192" t="str">
        <f>INDEX(Risk_Matrix!$B$2:$D$4,MATCH(E1192,Risk_Matrix!$A$2:$A$4,0),MATCH(F1192,Risk_Matrix!$B$1:$D$1,0))</f>
        <v>High</v>
      </c>
      <c r="H1192" s="1">
        <v>46159</v>
      </c>
      <c r="I1192" t="s">
        <v>2025</v>
      </c>
      <c r="J1192" t="s">
        <v>2026</v>
      </c>
      <c r="K1192" t="s">
        <v>2036</v>
      </c>
      <c r="L1192">
        <f>IF(G1192="High",3,IF(G1192="Medium",2,1))</f>
        <v>3</v>
      </c>
    </row>
    <row r="1193" spans="1:12">
      <c r="A1193" t="s">
        <v>3219</v>
      </c>
      <c r="B1193" t="s">
        <v>1044</v>
      </c>
      <c r="C1193" t="s">
        <v>2000</v>
      </c>
      <c r="D1193" t="s">
        <v>2001</v>
      </c>
      <c r="E1193" t="s">
        <v>57</v>
      </c>
      <c r="F1193" t="s">
        <v>57</v>
      </c>
      <c r="G1193" t="str">
        <f>INDEX(Risk_Matrix!$B$2:$D$4,MATCH(E1193,Risk_Matrix!$A$2:$A$4,0),MATCH(F1193,Risk_Matrix!$B$1:$D$1,0))</f>
        <v>Low</v>
      </c>
      <c r="H1193" s="1">
        <v>46138</v>
      </c>
      <c r="I1193" t="s">
        <v>2002</v>
      </c>
      <c r="J1193" t="s">
        <v>2003</v>
      </c>
      <c r="K1193" t="s">
        <v>1993</v>
      </c>
      <c r="L1193">
        <f>IF(G1193="High",3,IF(G1193="Medium",2,1))</f>
        <v>1</v>
      </c>
    </row>
    <row r="1194" spans="1:12">
      <c r="A1194" t="s">
        <v>3220</v>
      </c>
      <c r="B1194" t="s">
        <v>1044</v>
      </c>
      <c r="C1194" t="s">
        <v>2005</v>
      </c>
      <c r="D1194" t="s">
        <v>2022</v>
      </c>
      <c r="E1194" t="s">
        <v>57</v>
      </c>
      <c r="F1194" t="s">
        <v>57</v>
      </c>
      <c r="G1194" t="str">
        <f>INDEX(Risk_Matrix!$B$2:$D$4,MATCH(E1194,Risk_Matrix!$A$2:$A$4,0),MATCH(F1194,Risk_Matrix!$B$1:$D$1,0))</f>
        <v>Low</v>
      </c>
      <c r="H1194" s="1">
        <v>46189</v>
      </c>
      <c r="I1194" t="s">
        <v>1987</v>
      </c>
      <c r="J1194" t="s">
        <v>1997</v>
      </c>
      <c r="K1194" t="s">
        <v>1993</v>
      </c>
      <c r="L1194">
        <f>IF(G1194="High",3,IF(G1194="Medium",2,1))</f>
        <v>1</v>
      </c>
    </row>
    <row r="1195" spans="1:12">
      <c r="A1195" t="s">
        <v>3221</v>
      </c>
      <c r="B1195" t="s">
        <v>1044</v>
      </c>
      <c r="C1195" t="s">
        <v>2008</v>
      </c>
      <c r="D1195" t="s">
        <v>2054</v>
      </c>
      <c r="E1195" t="s">
        <v>57</v>
      </c>
      <c r="F1195" t="s">
        <v>1971</v>
      </c>
      <c r="G1195" t="str">
        <f>INDEX(Risk_Matrix!$B$2:$D$4,MATCH(E1195,Risk_Matrix!$A$2:$A$4,0),MATCH(F1195,Risk_Matrix!$B$1:$D$1,0))</f>
        <v>Low</v>
      </c>
      <c r="H1195" s="1">
        <v>46056</v>
      </c>
      <c r="I1195" t="s">
        <v>1987</v>
      </c>
      <c r="J1195" t="s">
        <v>1988</v>
      </c>
      <c r="K1195" t="s">
        <v>1998</v>
      </c>
      <c r="L1195">
        <f>IF(G1195="High",3,IF(G1195="Medium",2,1))</f>
        <v>1</v>
      </c>
    </row>
    <row r="1196" spans="1:12">
      <c r="A1196" t="s">
        <v>3222</v>
      </c>
      <c r="B1196" t="s">
        <v>1047</v>
      </c>
      <c r="C1196" t="s">
        <v>1985</v>
      </c>
      <c r="D1196" t="s">
        <v>2062</v>
      </c>
      <c r="E1196" t="s">
        <v>1971</v>
      </c>
      <c r="F1196" t="s">
        <v>57</v>
      </c>
      <c r="G1196" t="str">
        <f>INDEX(Risk_Matrix!$B$2:$D$4,MATCH(E1196,Risk_Matrix!$A$2:$A$4,0),MATCH(F1196,Risk_Matrix!$B$1:$D$1,0))</f>
        <v>Low</v>
      </c>
      <c r="H1196" s="1">
        <v>46067</v>
      </c>
      <c r="I1196" t="s">
        <v>2002</v>
      </c>
      <c r="J1196" t="s">
        <v>2029</v>
      </c>
      <c r="K1196" t="s">
        <v>1998</v>
      </c>
      <c r="L1196">
        <f>IF(G1196="High",3,IF(G1196="Medium",2,1))</f>
        <v>1</v>
      </c>
    </row>
    <row r="1197" spans="1:12">
      <c r="A1197" t="s">
        <v>3223</v>
      </c>
      <c r="B1197" t="s">
        <v>1047</v>
      </c>
      <c r="C1197" t="s">
        <v>1991</v>
      </c>
      <c r="D1197" t="s">
        <v>2031</v>
      </c>
      <c r="E1197" t="s">
        <v>1971</v>
      </c>
      <c r="F1197" t="s">
        <v>1971</v>
      </c>
      <c r="G1197" t="str">
        <f>INDEX(Risk_Matrix!$B$2:$D$4,MATCH(E1197,Risk_Matrix!$A$2:$A$4,0),MATCH(F1197,Risk_Matrix!$B$1:$D$1,0))</f>
        <v>Medium</v>
      </c>
      <c r="H1197" s="1">
        <v>46090</v>
      </c>
      <c r="I1197" t="s">
        <v>2025</v>
      </c>
      <c r="J1197" t="s">
        <v>2035</v>
      </c>
      <c r="K1197" t="s">
        <v>1993</v>
      </c>
      <c r="L1197">
        <f>IF(G1197="High",3,IF(G1197="Medium",2,1))</f>
        <v>2</v>
      </c>
    </row>
    <row r="1198" spans="1:12">
      <c r="A1198" t="s">
        <v>3224</v>
      </c>
      <c r="B1198" t="s">
        <v>1047</v>
      </c>
      <c r="C1198" t="s">
        <v>1995</v>
      </c>
      <c r="D1198" t="s">
        <v>2034</v>
      </c>
      <c r="E1198" t="s">
        <v>47</v>
      </c>
      <c r="F1198" t="s">
        <v>57</v>
      </c>
      <c r="G1198" t="str">
        <f>INDEX(Risk_Matrix!$B$2:$D$4,MATCH(E1198,Risk_Matrix!$A$2:$A$4,0),MATCH(F1198,Risk_Matrix!$B$1:$D$1,0))</f>
        <v>Medium</v>
      </c>
      <c r="H1198" s="1">
        <v>46108</v>
      </c>
      <c r="I1198" t="s">
        <v>2025</v>
      </c>
      <c r="J1198" t="s">
        <v>2035</v>
      </c>
      <c r="K1198" t="s">
        <v>1998</v>
      </c>
      <c r="L1198">
        <f>IF(G1198="High",3,IF(G1198="Medium",2,1))</f>
        <v>2</v>
      </c>
    </row>
    <row r="1199" spans="1:12">
      <c r="A1199" t="s">
        <v>3225</v>
      </c>
      <c r="B1199" t="s">
        <v>1047</v>
      </c>
      <c r="C1199" t="s">
        <v>2000</v>
      </c>
      <c r="D1199" t="s">
        <v>2045</v>
      </c>
      <c r="E1199" t="s">
        <v>57</v>
      </c>
      <c r="F1199" t="s">
        <v>57</v>
      </c>
      <c r="G1199" t="str">
        <f>INDEX(Risk_Matrix!$B$2:$D$4,MATCH(E1199,Risk_Matrix!$A$2:$A$4,0),MATCH(F1199,Risk_Matrix!$B$1:$D$1,0))</f>
        <v>Low</v>
      </c>
      <c r="H1199" s="1">
        <v>46069</v>
      </c>
      <c r="I1199" t="s">
        <v>2025</v>
      </c>
      <c r="J1199" t="s">
        <v>2026</v>
      </c>
      <c r="K1199" t="s">
        <v>1989</v>
      </c>
      <c r="L1199">
        <f>IF(G1199="High",3,IF(G1199="Medium",2,1))</f>
        <v>1</v>
      </c>
    </row>
    <row r="1200" spans="1:12">
      <c r="A1200" t="s">
        <v>3226</v>
      </c>
      <c r="B1200" t="s">
        <v>1047</v>
      </c>
      <c r="C1200" t="s">
        <v>2005</v>
      </c>
      <c r="D1200" t="s">
        <v>2006</v>
      </c>
      <c r="E1200" t="s">
        <v>1971</v>
      </c>
      <c r="F1200" t="s">
        <v>47</v>
      </c>
      <c r="G1200" t="str">
        <f>INDEX(Risk_Matrix!$B$2:$D$4,MATCH(E1200,Risk_Matrix!$A$2:$A$4,0),MATCH(F1200,Risk_Matrix!$B$1:$D$1,0))</f>
        <v>High</v>
      </c>
      <c r="H1200" s="1">
        <v>46199</v>
      </c>
      <c r="I1200" t="s">
        <v>2025</v>
      </c>
      <c r="J1200" t="s">
        <v>2026</v>
      </c>
      <c r="K1200" t="s">
        <v>1993</v>
      </c>
      <c r="L1200">
        <f>IF(G1200="High",3,IF(G1200="Medium",2,1))</f>
        <v>3</v>
      </c>
    </row>
    <row r="1201" spans="1:12">
      <c r="A1201" t="s">
        <v>3227</v>
      </c>
      <c r="B1201" t="s">
        <v>1047</v>
      </c>
      <c r="C1201" t="s">
        <v>2008</v>
      </c>
      <c r="D1201" t="s">
        <v>2024</v>
      </c>
      <c r="E1201" t="s">
        <v>57</v>
      </c>
      <c r="F1201" t="s">
        <v>1971</v>
      </c>
      <c r="G1201" t="str">
        <f>INDEX(Risk_Matrix!$B$2:$D$4,MATCH(E1201,Risk_Matrix!$A$2:$A$4,0),MATCH(F1201,Risk_Matrix!$B$1:$D$1,0))</f>
        <v>Low</v>
      </c>
      <c r="H1201" s="1">
        <v>46159</v>
      </c>
      <c r="I1201" t="s">
        <v>2002</v>
      </c>
      <c r="J1201" t="s">
        <v>2003</v>
      </c>
      <c r="K1201" t="s">
        <v>2010</v>
      </c>
      <c r="L1201">
        <f>IF(G1201="High",3,IF(G1201="Medium",2,1))</f>
        <v>1</v>
      </c>
    </row>
    <row r="1202" spans="1:12">
      <c r="A1202" t="s">
        <v>3228</v>
      </c>
      <c r="B1202" t="s">
        <v>1049</v>
      </c>
      <c r="C1202" t="s">
        <v>1985</v>
      </c>
      <c r="D1202" t="s">
        <v>2028</v>
      </c>
      <c r="E1202" t="s">
        <v>47</v>
      </c>
      <c r="F1202" t="s">
        <v>47</v>
      </c>
      <c r="G1202" t="str">
        <f>INDEX(Risk_Matrix!$B$2:$D$4,MATCH(E1202,Risk_Matrix!$A$2:$A$4,0),MATCH(F1202,Risk_Matrix!$B$1:$D$1,0))</f>
        <v>High</v>
      </c>
      <c r="H1202" s="1">
        <v>46194</v>
      </c>
      <c r="I1202" t="s">
        <v>2015</v>
      </c>
      <c r="J1202" t="s">
        <v>2032</v>
      </c>
      <c r="K1202" t="s">
        <v>1989</v>
      </c>
      <c r="L1202">
        <f>IF(G1202="High",3,IF(G1202="Medium",2,1))</f>
        <v>3</v>
      </c>
    </row>
    <row r="1203" spans="1:12">
      <c r="A1203" t="s">
        <v>3229</v>
      </c>
      <c r="B1203" t="s">
        <v>1049</v>
      </c>
      <c r="C1203" t="s">
        <v>1991</v>
      </c>
      <c r="D1203" t="s">
        <v>2031</v>
      </c>
      <c r="E1203" t="s">
        <v>1971</v>
      </c>
      <c r="F1203" t="s">
        <v>47</v>
      </c>
      <c r="G1203" t="str">
        <f>INDEX(Risk_Matrix!$B$2:$D$4,MATCH(E1203,Risk_Matrix!$A$2:$A$4,0),MATCH(F1203,Risk_Matrix!$B$1:$D$1,0))</f>
        <v>High</v>
      </c>
      <c r="H1203" s="1">
        <v>46200</v>
      </c>
      <c r="I1203" t="s">
        <v>1987</v>
      </c>
      <c r="J1203" t="s">
        <v>1988</v>
      </c>
      <c r="K1203" t="s">
        <v>1993</v>
      </c>
      <c r="L1203">
        <f>IF(G1203="High",3,IF(G1203="Medium",2,1))</f>
        <v>3</v>
      </c>
    </row>
    <row r="1204" spans="1:12">
      <c r="A1204" t="s">
        <v>3230</v>
      </c>
      <c r="B1204" t="s">
        <v>1049</v>
      </c>
      <c r="C1204" t="s">
        <v>1995</v>
      </c>
      <c r="D1204" t="s">
        <v>1996</v>
      </c>
      <c r="E1204" t="s">
        <v>57</v>
      </c>
      <c r="F1204" t="s">
        <v>1971</v>
      </c>
      <c r="G1204" t="str">
        <f>INDEX(Risk_Matrix!$B$2:$D$4,MATCH(E1204,Risk_Matrix!$A$2:$A$4,0),MATCH(F1204,Risk_Matrix!$B$1:$D$1,0))</f>
        <v>Low</v>
      </c>
      <c r="H1204" s="1">
        <v>46210</v>
      </c>
      <c r="I1204" t="s">
        <v>2015</v>
      </c>
      <c r="J1204" t="s">
        <v>2016</v>
      </c>
      <c r="K1204" t="s">
        <v>2036</v>
      </c>
      <c r="L1204">
        <f>IF(G1204="High",3,IF(G1204="Medium",2,1))</f>
        <v>1</v>
      </c>
    </row>
    <row r="1205" spans="1:12">
      <c r="A1205" t="s">
        <v>3231</v>
      </c>
      <c r="B1205" t="s">
        <v>1049</v>
      </c>
      <c r="C1205" t="s">
        <v>2000</v>
      </c>
      <c r="D1205" t="s">
        <v>2020</v>
      </c>
      <c r="E1205" t="s">
        <v>57</v>
      </c>
      <c r="F1205" t="s">
        <v>57</v>
      </c>
      <c r="G1205" t="str">
        <f>INDEX(Risk_Matrix!$B$2:$D$4,MATCH(E1205,Risk_Matrix!$A$2:$A$4,0),MATCH(F1205,Risk_Matrix!$B$1:$D$1,0))</f>
        <v>Low</v>
      </c>
      <c r="H1205" s="1">
        <v>46141</v>
      </c>
      <c r="I1205" t="s">
        <v>1987</v>
      </c>
      <c r="J1205" t="s">
        <v>1997</v>
      </c>
      <c r="K1205" t="s">
        <v>1993</v>
      </c>
      <c r="L1205">
        <f>IF(G1205="High",3,IF(G1205="Medium",2,1))</f>
        <v>1</v>
      </c>
    </row>
    <row r="1206" spans="1:12">
      <c r="A1206" t="s">
        <v>3232</v>
      </c>
      <c r="B1206" t="s">
        <v>1049</v>
      </c>
      <c r="C1206" t="s">
        <v>2005</v>
      </c>
      <c r="D1206" t="s">
        <v>2039</v>
      </c>
      <c r="E1206" t="s">
        <v>1971</v>
      </c>
      <c r="F1206" t="s">
        <v>57</v>
      </c>
      <c r="G1206" t="str">
        <f>INDEX(Risk_Matrix!$B$2:$D$4,MATCH(E1206,Risk_Matrix!$A$2:$A$4,0),MATCH(F1206,Risk_Matrix!$B$1:$D$1,0))</f>
        <v>Low</v>
      </c>
      <c r="H1206" s="1">
        <v>46067</v>
      </c>
      <c r="I1206" t="s">
        <v>2025</v>
      </c>
      <c r="J1206" t="s">
        <v>2026</v>
      </c>
      <c r="K1206" t="s">
        <v>1993</v>
      </c>
      <c r="L1206">
        <f>IF(G1206="High",3,IF(G1206="Medium",2,1))</f>
        <v>1</v>
      </c>
    </row>
    <row r="1207" spans="1:12">
      <c r="A1207" t="s">
        <v>3233</v>
      </c>
      <c r="B1207" t="s">
        <v>1049</v>
      </c>
      <c r="C1207" t="s">
        <v>2008</v>
      </c>
      <c r="D1207" t="s">
        <v>2024</v>
      </c>
      <c r="E1207" t="s">
        <v>1971</v>
      </c>
      <c r="F1207" t="s">
        <v>57</v>
      </c>
      <c r="G1207" t="str">
        <f>INDEX(Risk_Matrix!$B$2:$D$4,MATCH(E1207,Risk_Matrix!$A$2:$A$4,0),MATCH(F1207,Risk_Matrix!$B$1:$D$1,0))</f>
        <v>Low</v>
      </c>
      <c r="H1207" s="1">
        <v>46153</v>
      </c>
      <c r="I1207" t="s">
        <v>1987</v>
      </c>
      <c r="J1207" t="s">
        <v>1988</v>
      </c>
      <c r="K1207" t="s">
        <v>2010</v>
      </c>
      <c r="L1207">
        <f>IF(G1207="High",3,IF(G1207="Medium",2,1))</f>
        <v>1</v>
      </c>
    </row>
    <row r="1208" spans="1:12">
      <c r="A1208" t="s">
        <v>3234</v>
      </c>
      <c r="B1208" t="s">
        <v>1051</v>
      </c>
      <c r="C1208" t="s">
        <v>1985</v>
      </c>
      <c r="D1208" t="s">
        <v>2012</v>
      </c>
      <c r="E1208" t="s">
        <v>1971</v>
      </c>
      <c r="F1208" t="s">
        <v>57</v>
      </c>
      <c r="G1208" t="str">
        <f>INDEX(Risk_Matrix!$B$2:$D$4,MATCH(E1208,Risk_Matrix!$A$2:$A$4,0),MATCH(F1208,Risk_Matrix!$B$1:$D$1,0))</f>
        <v>Low</v>
      </c>
      <c r="H1208" s="1">
        <v>46106</v>
      </c>
      <c r="I1208" t="s">
        <v>1987</v>
      </c>
      <c r="J1208" t="s">
        <v>1988</v>
      </c>
      <c r="K1208" t="s">
        <v>1989</v>
      </c>
      <c r="L1208">
        <f>IF(G1208="High",3,IF(G1208="Medium",2,1))</f>
        <v>1</v>
      </c>
    </row>
    <row r="1209" spans="1:12">
      <c r="A1209" t="s">
        <v>3235</v>
      </c>
      <c r="B1209" t="s">
        <v>1051</v>
      </c>
      <c r="C1209" t="s">
        <v>1991</v>
      </c>
      <c r="D1209" t="s">
        <v>1992</v>
      </c>
      <c r="E1209" t="s">
        <v>1971</v>
      </c>
      <c r="F1209" t="s">
        <v>1971</v>
      </c>
      <c r="G1209" t="str">
        <f>INDEX(Risk_Matrix!$B$2:$D$4,MATCH(E1209,Risk_Matrix!$A$2:$A$4,0),MATCH(F1209,Risk_Matrix!$B$1:$D$1,0))</f>
        <v>Medium</v>
      </c>
      <c r="H1209" s="1">
        <v>46077</v>
      </c>
      <c r="I1209" t="s">
        <v>2025</v>
      </c>
      <c r="J1209" t="s">
        <v>2035</v>
      </c>
      <c r="K1209" t="s">
        <v>1993</v>
      </c>
      <c r="L1209">
        <f>IF(G1209="High",3,IF(G1209="Medium",2,1))</f>
        <v>2</v>
      </c>
    </row>
    <row r="1210" spans="1:12">
      <c r="A1210" t="s">
        <v>3236</v>
      </c>
      <c r="B1210" t="s">
        <v>1051</v>
      </c>
      <c r="C1210" t="s">
        <v>1995</v>
      </c>
      <c r="D1210" t="s">
        <v>2034</v>
      </c>
      <c r="E1210" t="s">
        <v>57</v>
      </c>
      <c r="F1210" t="s">
        <v>1971</v>
      </c>
      <c r="G1210" t="str">
        <f>INDEX(Risk_Matrix!$B$2:$D$4,MATCH(E1210,Risk_Matrix!$A$2:$A$4,0),MATCH(F1210,Risk_Matrix!$B$1:$D$1,0))</f>
        <v>Low</v>
      </c>
      <c r="H1210" s="1">
        <v>46078</v>
      </c>
      <c r="I1210" t="s">
        <v>2025</v>
      </c>
      <c r="J1210" t="s">
        <v>2035</v>
      </c>
      <c r="K1210" t="s">
        <v>2036</v>
      </c>
      <c r="L1210">
        <f>IF(G1210="High",3,IF(G1210="Medium",2,1))</f>
        <v>1</v>
      </c>
    </row>
    <row r="1211" spans="1:12">
      <c r="A1211" t="s">
        <v>3237</v>
      </c>
      <c r="B1211" t="s">
        <v>1051</v>
      </c>
      <c r="C1211" t="s">
        <v>2000</v>
      </c>
      <c r="D1211" t="s">
        <v>2001</v>
      </c>
      <c r="E1211" t="s">
        <v>57</v>
      </c>
      <c r="F1211" t="s">
        <v>47</v>
      </c>
      <c r="G1211" t="str">
        <f>INDEX(Risk_Matrix!$B$2:$D$4,MATCH(E1211,Risk_Matrix!$A$2:$A$4,0),MATCH(F1211,Risk_Matrix!$B$1:$D$1,0))</f>
        <v>Medium</v>
      </c>
      <c r="H1211" s="1">
        <v>46224</v>
      </c>
      <c r="I1211" t="s">
        <v>2015</v>
      </c>
      <c r="J1211" t="s">
        <v>2032</v>
      </c>
      <c r="K1211" t="s">
        <v>1993</v>
      </c>
      <c r="L1211">
        <f>IF(G1211="High",3,IF(G1211="Medium",2,1))</f>
        <v>2</v>
      </c>
    </row>
    <row r="1212" spans="1:12">
      <c r="A1212" t="s">
        <v>3238</v>
      </c>
      <c r="B1212" t="s">
        <v>1051</v>
      </c>
      <c r="C1212" t="s">
        <v>2005</v>
      </c>
      <c r="D1212" t="s">
        <v>2039</v>
      </c>
      <c r="E1212" t="s">
        <v>57</v>
      </c>
      <c r="F1212" t="s">
        <v>1971</v>
      </c>
      <c r="G1212" t="str">
        <f>INDEX(Risk_Matrix!$B$2:$D$4,MATCH(E1212,Risk_Matrix!$A$2:$A$4,0),MATCH(F1212,Risk_Matrix!$B$1:$D$1,0))</f>
        <v>Low</v>
      </c>
      <c r="H1212" s="1">
        <v>46185</v>
      </c>
      <c r="I1212" t="s">
        <v>2002</v>
      </c>
      <c r="J1212" t="s">
        <v>2029</v>
      </c>
      <c r="K1212" t="s">
        <v>2036</v>
      </c>
      <c r="L1212">
        <f>IF(G1212="High",3,IF(G1212="Medium",2,1))</f>
        <v>1</v>
      </c>
    </row>
    <row r="1213" spans="1:12">
      <c r="A1213" t="s">
        <v>3239</v>
      </c>
      <c r="B1213" t="s">
        <v>1051</v>
      </c>
      <c r="C1213" t="s">
        <v>2008</v>
      </c>
      <c r="D1213" t="s">
        <v>2009</v>
      </c>
      <c r="E1213" t="s">
        <v>47</v>
      </c>
      <c r="F1213" t="s">
        <v>57</v>
      </c>
      <c r="G1213" t="str">
        <f>INDEX(Risk_Matrix!$B$2:$D$4,MATCH(E1213,Risk_Matrix!$A$2:$A$4,0),MATCH(F1213,Risk_Matrix!$B$1:$D$1,0))</f>
        <v>Medium</v>
      </c>
      <c r="H1213" s="1">
        <v>46090</v>
      </c>
      <c r="I1213" t="s">
        <v>2025</v>
      </c>
      <c r="J1213" t="s">
        <v>2035</v>
      </c>
      <c r="K1213" t="s">
        <v>2010</v>
      </c>
      <c r="L1213">
        <f>IF(G1213="High",3,IF(G1213="Medium",2,1))</f>
        <v>2</v>
      </c>
    </row>
    <row r="1214" spans="1:12">
      <c r="A1214" t="s">
        <v>3240</v>
      </c>
      <c r="B1214" t="s">
        <v>1053</v>
      </c>
      <c r="C1214" t="s">
        <v>1985</v>
      </c>
      <c r="D1214" t="s">
        <v>2012</v>
      </c>
      <c r="E1214" t="s">
        <v>1971</v>
      </c>
      <c r="F1214" t="s">
        <v>47</v>
      </c>
      <c r="G1214" t="str">
        <f>INDEX(Risk_Matrix!$B$2:$D$4,MATCH(E1214,Risk_Matrix!$A$2:$A$4,0),MATCH(F1214,Risk_Matrix!$B$1:$D$1,0))</f>
        <v>High</v>
      </c>
      <c r="H1214" s="1">
        <v>46230</v>
      </c>
      <c r="I1214" t="s">
        <v>2015</v>
      </c>
      <c r="J1214" t="s">
        <v>2016</v>
      </c>
      <c r="K1214" t="s">
        <v>1989</v>
      </c>
      <c r="L1214">
        <f>IF(G1214="High",3,IF(G1214="Medium",2,1))</f>
        <v>3</v>
      </c>
    </row>
    <row r="1215" spans="1:12">
      <c r="A1215" t="s">
        <v>3241</v>
      </c>
      <c r="B1215" t="s">
        <v>1053</v>
      </c>
      <c r="C1215" t="s">
        <v>1991</v>
      </c>
      <c r="D1215" t="s">
        <v>2014</v>
      </c>
      <c r="E1215" t="s">
        <v>57</v>
      </c>
      <c r="F1215" t="s">
        <v>1971</v>
      </c>
      <c r="G1215" t="str">
        <f>INDEX(Risk_Matrix!$B$2:$D$4,MATCH(E1215,Risk_Matrix!$A$2:$A$4,0),MATCH(F1215,Risk_Matrix!$B$1:$D$1,0))</f>
        <v>Low</v>
      </c>
      <c r="H1215" s="1">
        <v>46223</v>
      </c>
      <c r="I1215" t="s">
        <v>2002</v>
      </c>
      <c r="J1215" t="s">
        <v>2003</v>
      </c>
      <c r="K1215" t="s">
        <v>1993</v>
      </c>
      <c r="L1215">
        <f>IF(G1215="High",3,IF(G1215="Medium",2,1))</f>
        <v>1</v>
      </c>
    </row>
    <row r="1216" spans="1:12">
      <c r="A1216" t="s">
        <v>3242</v>
      </c>
      <c r="B1216" t="s">
        <v>1053</v>
      </c>
      <c r="C1216" t="s">
        <v>1995</v>
      </c>
      <c r="D1216" t="s">
        <v>2150</v>
      </c>
      <c r="E1216" t="s">
        <v>57</v>
      </c>
      <c r="F1216" t="s">
        <v>57</v>
      </c>
      <c r="G1216" t="str">
        <f>INDEX(Risk_Matrix!$B$2:$D$4,MATCH(E1216,Risk_Matrix!$A$2:$A$4,0),MATCH(F1216,Risk_Matrix!$B$1:$D$1,0))</f>
        <v>Low</v>
      </c>
      <c r="H1216" s="1">
        <v>46234</v>
      </c>
      <c r="I1216" t="s">
        <v>2025</v>
      </c>
      <c r="J1216" t="s">
        <v>2026</v>
      </c>
      <c r="K1216" t="s">
        <v>1998</v>
      </c>
      <c r="L1216">
        <f>IF(G1216="High",3,IF(G1216="Medium",2,1))</f>
        <v>1</v>
      </c>
    </row>
    <row r="1217" spans="1:12">
      <c r="A1217" t="s">
        <v>3243</v>
      </c>
      <c r="B1217" t="s">
        <v>1053</v>
      </c>
      <c r="C1217" t="s">
        <v>2000</v>
      </c>
      <c r="D1217" t="s">
        <v>2001</v>
      </c>
      <c r="E1217" t="s">
        <v>57</v>
      </c>
      <c r="F1217" t="s">
        <v>57</v>
      </c>
      <c r="G1217" t="str">
        <f>INDEX(Risk_Matrix!$B$2:$D$4,MATCH(E1217,Risk_Matrix!$A$2:$A$4,0),MATCH(F1217,Risk_Matrix!$B$1:$D$1,0))</f>
        <v>Low</v>
      </c>
      <c r="H1217" s="1">
        <v>46152</v>
      </c>
      <c r="I1217" t="s">
        <v>1987</v>
      </c>
      <c r="J1217" t="s">
        <v>1997</v>
      </c>
      <c r="K1217" t="s">
        <v>1993</v>
      </c>
      <c r="L1217">
        <f>IF(G1217="High",3,IF(G1217="Medium",2,1))</f>
        <v>1</v>
      </c>
    </row>
    <row r="1218" spans="1:12">
      <c r="A1218" t="s">
        <v>3244</v>
      </c>
      <c r="B1218" t="s">
        <v>1053</v>
      </c>
      <c r="C1218" t="s">
        <v>2005</v>
      </c>
      <c r="D1218" t="s">
        <v>2022</v>
      </c>
      <c r="E1218" t="s">
        <v>1971</v>
      </c>
      <c r="F1218" t="s">
        <v>57</v>
      </c>
      <c r="G1218" t="str">
        <f>INDEX(Risk_Matrix!$B$2:$D$4,MATCH(E1218,Risk_Matrix!$A$2:$A$4,0),MATCH(F1218,Risk_Matrix!$B$1:$D$1,0))</f>
        <v>Low</v>
      </c>
      <c r="H1218" s="1">
        <v>46162</v>
      </c>
      <c r="I1218" t="s">
        <v>2015</v>
      </c>
      <c r="J1218" t="s">
        <v>2016</v>
      </c>
      <c r="K1218" t="s">
        <v>1993</v>
      </c>
      <c r="L1218">
        <f>IF(G1218="High",3,IF(G1218="Medium",2,1))</f>
        <v>1</v>
      </c>
    </row>
    <row r="1219" spans="1:12">
      <c r="A1219" t="s">
        <v>3245</v>
      </c>
      <c r="B1219" t="s">
        <v>1053</v>
      </c>
      <c r="C1219" t="s">
        <v>2008</v>
      </c>
      <c r="D1219" t="s">
        <v>2054</v>
      </c>
      <c r="E1219" t="s">
        <v>57</v>
      </c>
      <c r="F1219" t="s">
        <v>1971</v>
      </c>
      <c r="G1219" t="str">
        <f>INDEX(Risk_Matrix!$B$2:$D$4,MATCH(E1219,Risk_Matrix!$A$2:$A$4,0),MATCH(F1219,Risk_Matrix!$B$1:$D$1,0))</f>
        <v>Low</v>
      </c>
      <c r="H1219" s="1">
        <v>46137</v>
      </c>
      <c r="I1219" t="s">
        <v>2002</v>
      </c>
      <c r="J1219" t="s">
        <v>2029</v>
      </c>
      <c r="K1219" t="s">
        <v>2010</v>
      </c>
      <c r="L1219">
        <f>IF(G1219="High",3,IF(G1219="Medium",2,1))</f>
        <v>1</v>
      </c>
    </row>
    <row r="1220" spans="1:12">
      <c r="A1220" t="s">
        <v>3246</v>
      </c>
      <c r="B1220" t="s">
        <v>1056</v>
      </c>
      <c r="C1220" t="s">
        <v>1985</v>
      </c>
      <c r="D1220" t="s">
        <v>2062</v>
      </c>
      <c r="E1220" t="s">
        <v>57</v>
      </c>
      <c r="F1220" t="s">
        <v>1971</v>
      </c>
      <c r="G1220" t="str">
        <f>INDEX(Risk_Matrix!$B$2:$D$4,MATCH(E1220,Risk_Matrix!$A$2:$A$4,0),MATCH(F1220,Risk_Matrix!$B$1:$D$1,0))</f>
        <v>Low</v>
      </c>
      <c r="H1220" s="1">
        <v>46224</v>
      </c>
      <c r="I1220" t="s">
        <v>2015</v>
      </c>
      <c r="J1220" t="s">
        <v>2016</v>
      </c>
      <c r="K1220" t="s">
        <v>1989</v>
      </c>
      <c r="L1220">
        <f>IF(G1220="High",3,IF(G1220="Medium",2,1))</f>
        <v>1</v>
      </c>
    </row>
    <row r="1221" spans="1:12">
      <c r="A1221" t="s">
        <v>3247</v>
      </c>
      <c r="B1221" t="s">
        <v>1056</v>
      </c>
      <c r="C1221" t="s">
        <v>1991</v>
      </c>
      <c r="D1221" t="s">
        <v>2031</v>
      </c>
      <c r="E1221" t="s">
        <v>57</v>
      </c>
      <c r="F1221" t="s">
        <v>57</v>
      </c>
      <c r="G1221" t="str">
        <f>INDEX(Risk_Matrix!$B$2:$D$4,MATCH(E1221,Risk_Matrix!$A$2:$A$4,0),MATCH(F1221,Risk_Matrix!$B$1:$D$1,0))</f>
        <v>Low</v>
      </c>
      <c r="H1221" s="1">
        <v>46145</v>
      </c>
      <c r="I1221" t="s">
        <v>1987</v>
      </c>
      <c r="J1221" t="s">
        <v>1997</v>
      </c>
      <c r="K1221" t="s">
        <v>1993</v>
      </c>
      <c r="L1221">
        <f>IF(G1221="High",3,IF(G1221="Medium",2,1))</f>
        <v>1</v>
      </c>
    </row>
    <row r="1222" spans="1:12">
      <c r="A1222" t="s">
        <v>3248</v>
      </c>
      <c r="B1222" t="s">
        <v>1056</v>
      </c>
      <c r="C1222" t="s">
        <v>1995</v>
      </c>
      <c r="D1222" t="s">
        <v>1996</v>
      </c>
      <c r="E1222" t="s">
        <v>1971</v>
      </c>
      <c r="F1222" t="s">
        <v>57</v>
      </c>
      <c r="G1222" t="str">
        <f>INDEX(Risk_Matrix!$B$2:$D$4,MATCH(E1222,Risk_Matrix!$A$2:$A$4,0),MATCH(F1222,Risk_Matrix!$B$1:$D$1,0))</f>
        <v>Low</v>
      </c>
      <c r="H1222" s="1">
        <v>46235</v>
      </c>
      <c r="I1222" t="s">
        <v>1987</v>
      </c>
      <c r="J1222" t="s">
        <v>1988</v>
      </c>
      <c r="K1222" t="s">
        <v>2036</v>
      </c>
      <c r="L1222">
        <f>IF(G1222="High",3,IF(G1222="Medium",2,1))</f>
        <v>1</v>
      </c>
    </row>
    <row r="1223" spans="1:12">
      <c r="A1223" t="s">
        <v>3249</v>
      </c>
      <c r="B1223" t="s">
        <v>1056</v>
      </c>
      <c r="C1223" t="s">
        <v>2000</v>
      </c>
      <c r="D1223" t="s">
        <v>2045</v>
      </c>
      <c r="E1223" t="s">
        <v>57</v>
      </c>
      <c r="F1223" t="s">
        <v>57</v>
      </c>
      <c r="G1223" t="str">
        <f>INDEX(Risk_Matrix!$B$2:$D$4,MATCH(E1223,Risk_Matrix!$A$2:$A$4,0),MATCH(F1223,Risk_Matrix!$B$1:$D$1,0))</f>
        <v>Low</v>
      </c>
      <c r="H1223" s="1">
        <v>46216</v>
      </c>
      <c r="I1223" t="s">
        <v>2015</v>
      </c>
      <c r="J1223" t="s">
        <v>2016</v>
      </c>
      <c r="K1223" t="s">
        <v>1993</v>
      </c>
      <c r="L1223">
        <f>IF(G1223="High",3,IF(G1223="Medium",2,1))</f>
        <v>1</v>
      </c>
    </row>
    <row r="1224" spans="1:12">
      <c r="A1224" t="s">
        <v>3250</v>
      </c>
      <c r="B1224" t="s">
        <v>1056</v>
      </c>
      <c r="C1224" t="s">
        <v>2005</v>
      </c>
      <c r="D1224" t="s">
        <v>2006</v>
      </c>
      <c r="E1224" t="s">
        <v>47</v>
      </c>
      <c r="F1224" t="s">
        <v>1971</v>
      </c>
      <c r="G1224" t="str">
        <f>INDEX(Risk_Matrix!$B$2:$D$4,MATCH(E1224,Risk_Matrix!$A$2:$A$4,0),MATCH(F1224,Risk_Matrix!$B$1:$D$1,0))</f>
        <v>High</v>
      </c>
      <c r="H1224" s="1">
        <v>46235</v>
      </c>
      <c r="I1224" t="s">
        <v>2015</v>
      </c>
      <c r="J1224" t="s">
        <v>2016</v>
      </c>
      <c r="K1224" t="s">
        <v>1993</v>
      </c>
      <c r="L1224">
        <f>IF(G1224="High",3,IF(G1224="Medium",2,1))</f>
        <v>3</v>
      </c>
    </row>
    <row r="1225" spans="1:12">
      <c r="A1225" t="s">
        <v>3251</v>
      </c>
      <c r="B1225" t="s">
        <v>1056</v>
      </c>
      <c r="C1225" t="s">
        <v>2008</v>
      </c>
      <c r="D1225" t="s">
        <v>2024</v>
      </c>
      <c r="E1225" t="s">
        <v>57</v>
      </c>
      <c r="F1225" t="s">
        <v>57</v>
      </c>
      <c r="G1225" t="str">
        <f>INDEX(Risk_Matrix!$B$2:$D$4,MATCH(E1225,Risk_Matrix!$A$2:$A$4,0),MATCH(F1225,Risk_Matrix!$B$1:$D$1,0))</f>
        <v>Low</v>
      </c>
      <c r="H1225" s="1">
        <v>46153</v>
      </c>
      <c r="I1225" t="s">
        <v>2025</v>
      </c>
      <c r="J1225" t="s">
        <v>2035</v>
      </c>
      <c r="K1225" t="s">
        <v>2010</v>
      </c>
      <c r="L1225">
        <f>IF(G1225="High",3,IF(G1225="Medium",2,1))</f>
        <v>1</v>
      </c>
    </row>
    <row r="1226" spans="1:12">
      <c r="A1226" t="s">
        <v>3252</v>
      </c>
      <c r="B1226" t="s">
        <v>1058</v>
      </c>
      <c r="C1226" t="s">
        <v>1985</v>
      </c>
      <c r="D1226" t="s">
        <v>2062</v>
      </c>
      <c r="E1226" t="s">
        <v>57</v>
      </c>
      <c r="F1226" t="s">
        <v>47</v>
      </c>
      <c r="G1226" t="str">
        <f>INDEX(Risk_Matrix!$B$2:$D$4,MATCH(E1226,Risk_Matrix!$A$2:$A$4,0),MATCH(F1226,Risk_Matrix!$B$1:$D$1,0))</f>
        <v>Medium</v>
      </c>
      <c r="H1226" s="1">
        <v>46089</v>
      </c>
      <c r="I1226" t="s">
        <v>2025</v>
      </c>
      <c r="J1226" t="s">
        <v>2035</v>
      </c>
      <c r="K1226" t="s">
        <v>1998</v>
      </c>
      <c r="L1226">
        <f>IF(G1226="High",3,IF(G1226="Medium",2,1))</f>
        <v>2</v>
      </c>
    </row>
    <row r="1227" spans="1:12">
      <c r="A1227" t="s">
        <v>3253</v>
      </c>
      <c r="B1227" t="s">
        <v>1058</v>
      </c>
      <c r="C1227" t="s">
        <v>1991</v>
      </c>
      <c r="D1227" t="s">
        <v>2014</v>
      </c>
      <c r="E1227" t="s">
        <v>1971</v>
      </c>
      <c r="F1227" t="s">
        <v>1971</v>
      </c>
      <c r="G1227" t="str">
        <f>INDEX(Risk_Matrix!$B$2:$D$4,MATCH(E1227,Risk_Matrix!$A$2:$A$4,0),MATCH(F1227,Risk_Matrix!$B$1:$D$1,0))</f>
        <v>Medium</v>
      </c>
      <c r="H1227" s="1">
        <v>46107</v>
      </c>
      <c r="I1227" t="s">
        <v>2002</v>
      </c>
      <c r="J1227" t="s">
        <v>2003</v>
      </c>
      <c r="K1227" t="s">
        <v>1993</v>
      </c>
      <c r="L1227">
        <f>IF(G1227="High",3,IF(G1227="Medium",2,1))</f>
        <v>2</v>
      </c>
    </row>
    <row r="1228" spans="1:12">
      <c r="A1228" t="s">
        <v>3254</v>
      </c>
      <c r="B1228" t="s">
        <v>1058</v>
      </c>
      <c r="C1228" t="s">
        <v>1995</v>
      </c>
      <c r="D1228" t="s">
        <v>2034</v>
      </c>
      <c r="E1228" t="s">
        <v>57</v>
      </c>
      <c r="F1228" t="s">
        <v>1971</v>
      </c>
      <c r="G1228" t="str">
        <f>INDEX(Risk_Matrix!$B$2:$D$4,MATCH(E1228,Risk_Matrix!$A$2:$A$4,0),MATCH(F1228,Risk_Matrix!$B$1:$D$1,0))</f>
        <v>Low</v>
      </c>
      <c r="H1228" s="1">
        <v>46227</v>
      </c>
      <c r="I1228" t="s">
        <v>2015</v>
      </c>
      <c r="J1228" t="s">
        <v>2016</v>
      </c>
      <c r="K1228" t="s">
        <v>1998</v>
      </c>
      <c r="L1228">
        <f>IF(G1228="High",3,IF(G1228="Medium",2,1))</f>
        <v>1</v>
      </c>
    </row>
    <row r="1229" spans="1:12">
      <c r="A1229" t="s">
        <v>3255</v>
      </c>
      <c r="B1229" t="s">
        <v>1058</v>
      </c>
      <c r="C1229" t="s">
        <v>2000</v>
      </c>
      <c r="D1229" t="s">
        <v>2001</v>
      </c>
      <c r="E1229" t="s">
        <v>57</v>
      </c>
      <c r="F1229" t="s">
        <v>57</v>
      </c>
      <c r="G1229" t="str">
        <f>INDEX(Risk_Matrix!$B$2:$D$4,MATCH(E1229,Risk_Matrix!$A$2:$A$4,0),MATCH(F1229,Risk_Matrix!$B$1:$D$1,0))</f>
        <v>Low</v>
      </c>
      <c r="H1229" s="1">
        <v>46103</v>
      </c>
      <c r="I1229" t="s">
        <v>2025</v>
      </c>
      <c r="J1229" t="s">
        <v>2026</v>
      </c>
      <c r="K1229" t="s">
        <v>1993</v>
      </c>
      <c r="L1229">
        <f>IF(G1229="High",3,IF(G1229="Medium",2,1))</f>
        <v>1</v>
      </c>
    </row>
    <row r="1230" spans="1:12">
      <c r="A1230" t="s">
        <v>3256</v>
      </c>
      <c r="B1230" t="s">
        <v>1058</v>
      </c>
      <c r="C1230" t="s">
        <v>2005</v>
      </c>
      <c r="D1230" t="s">
        <v>2006</v>
      </c>
      <c r="E1230" t="s">
        <v>57</v>
      </c>
      <c r="F1230" t="s">
        <v>57</v>
      </c>
      <c r="G1230" t="str">
        <f>INDEX(Risk_Matrix!$B$2:$D$4,MATCH(E1230,Risk_Matrix!$A$2:$A$4,0),MATCH(F1230,Risk_Matrix!$B$1:$D$1,0))</f>
        <v>Low</v>
      </c>
      <c r="H1230" s="1">
        <v>46081</v>
      </c>
      <c r="I1230" t="s">
        <v>2025</v>
      </c>
      <c r="J1230" t="s">
        <v>2026</v>
      </c>
      <c r="K1230" t="s">
        <v>1993</v>
      </c>
      <c r="L1230">
        <f>IF(G1230="High",3,IF(G1230="Medium",2,1))</f>
        <v>1</v>
      </c>
    </row>
    <row r="1231" spans="1:12">
      <c r="A1231" t="s">
        <v>3257</v>
      </c>
      <c r="B1231" t="s">
        <v>1058</v>
      </c>
      <c r="C1231" t="s">
        <v>2008</v>
      </c>
      <c r="D1231" t="s">
        <v>2054</v>
      </c>
      <c r="E1231" t="s">
        <v>1971</v>
      </c>
      <c r="F1231" t="s">
        <v>47</v>
      </c>
      <c r="G1231" t="str">
        <f>INDEX(Risk_Matrix!$B$2:$D$4,MATCH(E1231,Risk_Matrix!$A$2:$A$4,0),MATCH(F1231,Risk_Matrix!$B$1:$D$1,0))</f>
        <v>High</v>
      </c>
      <c r="H1231" s="1">
        <v>46155</v>
      </c>
      <c r="I1231" t="s">
        <v>2015</v>
      </c>
      <c r="J1231" t="s">
        <v>2032</v>
      </c>
      <c r="K1231" t="s">
        <v>2010</v>
      </c>
      <c r="L1231">
        <f>IF(G1231="High",3,IF(G1231="Medium",2,1))</f>
        <v>3</v>
      </c>
    </row>
    <row r="1232" spans="1:12">
      <c r="A1232" t="s">
        <v>3258</v>
      </c>
      <c r="B1232" t="s">
        <v>1060</v>
      </c>
      <c r="C1232" t="s">
        <v>1985</v>
      </c>
      <c r="D1232" t="s">
        <v>2028</v>
      </c>
      <c r="E1232" t="s">
        <v>57</v>
      </c>
      <c r="F1232" t="s">
        <v>57</v>
      </c>
      <c r="G1232" t="str">
        <f>INDEX(Risk_Matrix!$B$2:$D$4,MATCH(E1232,Risk_Matrix!$A$2:$A$4,0),MATCH(F1232,Risk_Matrix!$B$1:$D$1,0))</f>
        <v>Low</v>
      </c>
      <c r="H1232" s="1">
        <v>46223</v>
      </c>
      <c r="I1232" t="s">
        <v>2025</v>
      </c>
      <c r="J1232" t="s">
        <v>2026</v>
      </c>
      <c r="K1232" t="s">
        <v>1998</v>
      </c>
      <c r="L1232">
        <f>IF(G1232="High",3,IF(G1232="Medium",2,1))</f>
        <v>1</v>
      </c>
    </row>
    <row r="1233" spans="1:12">
      <c r="A1233" t="s">
        <v>3259</v>
      </c>
      <c r="B1233" t="s">
        <v>1060</v>
      </c>
      <c r="C1233" t="s">
        <v>1991</v>
      </c>
      <c r="D1233" t="s">
        <v>1992</v>
      </c>
      <c r="E1233" t="s">
        <v>57</v>
      </c>
      <c r="F1233" t="s">
        <v>57</v>
      </c>
      <c r="G1233" t="str">
        <f>INDEX(Risk_Matrix!$B$2:$D$4,MATCH(E1233,Risk_Matrix!$A$2:$A$4,0),MATCH(F1233,Risk_Matrix!$B$1:$D$1,0))</f>
        <v>Low</v>
      </c>
      <c r="H1233" s="1">
        <v>46106</v>
      </c>
      <c r="I1233" t="s">
        <v>1987</v>
      </c>
      <c r="J1233" t="s">
        <v>1997</v>
      </c>
      <c r="K1233" t="s">
        <v>1993</v>
      </c>
      <c r="L1233">
        <f>IF(G1233="High",3,IF(G1233="Medium",2,1))</f>
        <v>1</v>
      </c>
    </row>
    <row r="1234" spans="1:12">
      <c r="A1234" t="s">
        <v>3260</v>
      </c>
      <c r="B1234" t="s">
        <v>1060</v>
      </c>
      <c r="C1234" t="s">
        <v>1995</v>
      </c>
      <c r="D1234" t="s">
        <v>2150</v>
      </c>
      <c r="E1234" t="s">
        <v>57</v>
      </c>
      <c r="F1234" t="s">
        <v>57</v>
      </c>
      <c r="G1234" t="str">
        <f>INDEX(Risk_Matrix!$B$2:$D$4,MATCH(E1234,Risk_Matrix!$A$2:$A$4,0),MATCH(F1234,Risk_Matrix!$B$1:$D$1,0))</f>
        <v>Low</v>
      </c>
      <c r="H1234" s="1">
        <v>46083</v>
      </c>
      <c r="I1234" t="s">
        <v>2002</v>
      </c>
      <c r="J1234" t="s">
        <v>2003</v>
      </c>
      <c r="K1234" t="s">
        <v>2036</v>
      </c>
      <c r="L1234">
        <f>IF(G1234="High",3,IF(G1234="Medium",2,1))</f>
        <v>1</v>
      </c>
    </row>
    <row r="1235" spans="1:12">
      <c r="A1235" t="s">
        <v>3261</v>
      </c>
      <c r="B1235" t="s">
        <v>1060</v>
      </c>
      <c r="C1235" t="s">
        <v>2000</v>
      </c>
      <c r="D1235" t="s">
        <v>2001</v>
      </c>
      <c r="E1235" t="s">
        <v>1971</v>
      </c>
      <c r="F1235" t="s">
        <v>57</v>
      </c>
      <c r="G1235" t="str">
        <f>INDEX(Risk_Matrix!$B$2:$D$4,MATCH(E1235,Risk_Matrix!$A$2:$A$4,0),MATCH(F1235,Risk_Matrix!$B$1:$D$1,0))</f>
        <v>Low</v>
      </c>
      <c r="H1235" s="1">
        <v>46141</v>
      </c>
      <c r="I1235" t="s">
        <v>2002</v>
      </c>
      <c r="J1235" t="s">
        <v>2003</v>
      </c>
      <c r="K1235" t="s">
        <v>1989</v>
      </c>
      <c r="L1235">
        <f>IF(G1235="High",3,IF(G1235="Medium",2,1))</f>
        <v>1</v>
      </c>
    </row>
    <row r="1236" spans="1:12">
      <c r="A1236" t="s">
        <v>3262</v>
      </c>
      <c r="B1236" t="s">
        <v>1060</v>
      </c>
      <c r="C1236" t="s">
        <v>2005</v>
      </c>
      <c r="D1236" t="s">
        <v>2022</v>
      </c>
      <c r="E1236" t="s">
        <v>47</v>
      </c>
      <c r="F1236" t="s">
        <v>1971</v>
      </c>
      <c r="G1236" t="str">
        <f>INDEX(Risk_Matrix!$B$2:$D$4,MATCH(E1236,Risk_Matrix!$A$2:$A$4,0),MATCH(F1236,Risk_Matrix!$B$1:$D$1,0))</f>
        <v>High</v>
      </c>
      <c r="H1236" s="1">
        <v>46124</v>
      </c>
      <c r="I1236" t="s">
        <v>2025</v>
      </c>
      <c r="J1236" t="s">
        <v>2026</v>
      </c>
      <c r="K1236" t="s">
        <v>1993</v>
      </c>
      <c r="L1236">
        <f>IF(G1236="High",3,IF(G1236="Medium",2,1))</f>
        <v>3</v>
      </c>
    </row>
    <row r="1237" spans="1:12">
      <c r="A1237" t="s">
        <v>3263</v>
      </c>
      <c r="B1237" t="s">
        <v>1060</v>
      </c>
      <c r="C1237" t="s">
        <v>2008</v>
      </c>
      <c r="D1237" t="s">
        <v>2009</v>
      </c>
      <c r="E1237" t="s">
        <v>57</v>
      </c>
      <c r="F1237" t="s">
        <v>1971</v>
      </c>
      <c r="G1237" t="str">
        <f>INDEX(Risk_Matrix!$B$2:$D$4,MATCH(E1237,Risk_Matrix!$A$2:$A$4,0),MATCH(F1237,Risk_Matrix!$B$1:$D$1,0))</f>
        <v>Low</v>
      </c>
      <c r="H1237" s="1">
        <v>46185</v>
      </c>
      <c r="I1237" t="s">
        <v>2025</v>
      </c>
      <c r="J1237" t="s">
        <v>2035</v>
      </c>
      <c r="K1237" t="s">
        <v>2010</v>
      </c>
      <c r="L1237">
        <f>IF(G1237="High",3,IF(G1237="Medium",2,1))</f>
        <v>1</v>
      </c>
    </row>
    <row r="1238" spans="1:12">
      <c r="A1238" t="s">
        <v>3264</v>
      </c>
      <c r="B1238" t="s">
        <v>1062</v>
      </c>
      <c r="C1238" t="s">
        <v>1985</v>
      </c>
      <c r="D1238" t="s">
        <v>2062</v>
      </c>
      <c r="E1238" t="s">
        <v>57</v>
      </c>
      <c r="F1238" t="s">
        <v>1971</v>
      </c>
      <c r="G1238" t="str">
        <f>INDEX(Risk_Matrix!$B$2:$D$4,MATCH(E1238,Risk_Matrix!$A$2:$A$4,0),MATCH(F1238,Risk_Matrix!$B$1:$D$1,0))</f>
        <v>Low</v>
      </c>
      <c r="H1238" s="1">
        <v>46149</v>
      </c>
      <c r="I1238" t="s">
        <v>2002</v>
      </c>
      <c r="J1238" t="s">
        <v>2029</v>
      </c>
      <c r="K1238" t="s">
        <v>1998</v>
      </c>
      <c r="L1238">
        <f>IF(G1238="High",3,IF(G1238="Medium",2,1))</f>
        <v>1</v>
      </c>
    </row>
    <row r="1239" spans="1:12">
      <c r="A1239" t="s">
        <v>3265</v>
      </c>
      <c r="B1239" t="s">
        <v>1062</v>
      </c>
      <c r="C1239" t="s">
        <v>1991</v>
      </c>
      <c r="D1239" t="s">
        <v>2031</v>
      </c>
      <c r="E1239" t="s">
        <v>1971</v>
      </c>
      <c r="F1239" t="s">
        <v>1971</v>
      </c>
      <c r="G1239" t="str">
        <f>INDEX(Risk_Matrix!$B$2:$D$4,MATCH(E1239,Risk_Matrix!$A$2:$A$4,0),MATCH(F1239,Risk_Matrix!$B$1:$D$1,0))</f>
        <v>Medium</v>
      </c>
      <c r="H1239" s="1">
        <v>46190</v>
      </c>
      <c r="I1239" t="s">
        <v>2025</v>
      </c>
      <c r="J1239" t="s">
        <v>2026</v>
      </c>
      <c r="K1239" t="s">
        <v>1993</v>
      </c>
      <c r="L1239">
        <f>IF(G1239="High",3,IF(G1239="Medium",2,1))</f>
        <v>2</v>
      </c>
    </row>
    <row r="1240" spans="1:12">
      <c r="A1240" t="s">
        <v>3266</v>
      </c>
      <c r="B1240" t="s">
        <v>1062</v>
      </c>
      <c r="C1240" t="s">
        <v>1995</v>
      </c>
      <c r="D1240" t="s">
        <v>2018</v>
      </c>
      <c r="E1240" t="s">
        <v>1971</v>
      </c>
      <c r="F1240" t="s">
        <v>1971</v>
      </c>
      <c r="G1240" t="str">
        <f>INDEX(Risk_Matrix!$B$2:$D$4,MATCH(E1240,Risk_Matrix!$A$2:$A$4,0),MATCH(F1240,Risk_Matrix!$B$1:$D$1,0))</f>
        <v>Medium</v>
      </c>
      <c r="H1240" s="1">
        <v>46223</v>
      </c>
      <c r="I1240" t="s">
        <v>2015</v>
      </c>
      <c r="J1240" t="s">
        <v>2032</v>
      </c>
      <c r="K1240" t="s">
        <v>2036</v>
      </c>
      <c r="L1240">
        <f>IF(G1240="High",3,IF(G1240="Medium",2,1))</f>
        <v>2</v>
      </c>
    </row>
    <row r="1241" spans="1:12">
      <c r="A1241" t="s">
        <v>3267</v>
      </c>
      <c r="B1241" t="s">
        <v>1062</v>
      </c>
      <c r="C1241" t="s">
        <v>2000</v>
      </c>
      <c r="D1241" t="s">
        <v>2001</v>
      </c>
      <c r="E1241" t="s">
        <v>1971</v>
      </c>
      <c r="F1241" t="s">
        <v>57</v>
      </c>
      <c r="G1241" t="str">
        <f>INDEX(Risk_Matrix!$B$2:$D$4,MATCH(E1241,Risk_Matrix!$A$2:$A$4,0),MATCH(F1241,Risk_Matrix!$B$1:$D$1,0))</f>
        <v>Low</v>
      </c>
      <c r="H1241" s="1">
        <v>46082</v>
      </c>
      <c r="I1241" t="s">
        <v>2002</v>
      </c>
      <c r="J1241" t="s">
        <v>2003</v>
      </c>
      <c r="K1241" t="s">
        <v>1989</v>
      </c>
      <c r="L1241">
        <f>IF(G1241="High",3,IF(G1241="Medium",2,1))</f>
        <v>1</v>
      </c>
    </row>
    <row r="1242" spans="1:12">
      <c r="A1242" t="s">
        <v>3268</v>
      </c>
      <c r="B1242" t="s">
        <v>1062</v>
      </c>
      <c r="C1242" t="s">
        <v>2005</v>
      </c>
      <c r="D1242" t="s">
        <v>2022</v>
      </c>
      <c r="E1242" t="s">
        <v>57</v>
      </c>
      <c r="F1242" t="s">
        <v>47</v>
      </c>
      <c r="G1242" t="str">
        <f>INDEX(Risk_Matrix!$B$2:$D$4,MATCH(E1242,Risk_Matrix!$A$2:$A$4,0),MATCH(F1242,Risk_Matrix!$B$1:$D$1,0))</f>
        <v>Medium</v>
      </c>
      <c r="H1242" s="1">
        <v>46158</v>
      </c>
      <c r="I1242" t="s">
        <v>2002</v>
      </c>
      <c r="J1242" t="s">
        <v>2029</v>
      </c>
      <c r="K1242" t="s">
        <v>1993</v>
      </c>
      <c r="L1242">
        <f>IF(G1242="High",3,IF(G1242="Medium",2,1))</f>
        <v>2</v>
      </c>
    </row>
    <row r="1243" spans="1:12">
      <c r="A1243" t="s">
        <v>3269</v>
      </c>
      <c r="B1243" t="s">
        <v>1062</v>
      </c>
      <c r="C1243" t="s">
        <v>2008</v>
      </c>
      <c r="D1243" t="s">
        <v>2009</v>
      </c>
      <c r="E1243" t="s">
        <v>47</v>
      </c>
      <c r="F1243" t="s">
        <v>57</v>
      </c>
      <c r="G1243" t="str">
        <f>INDEX(Risk_Matrix!$B$2:$D$4,MATCH(E1243,Risk_Matrix!$A$2:$A$4,0),MATCH(F1243,Risk_Matrix!$B$1:$D$1,0))</f>
        <v>Medium</v>
      </c>
      <c r="H1243" s="1">
        <v>46080</v>
      </c>
      <c r="I1243" t="s">
        <v>2025</v>
      </c>
      <c r="J1243" t="s">
        <v>2035</v>
      </c>
      <c r="K1243" t="s">
        <v>2010</v>
      </c>
      <c r="L1243">
        <f>IF(G1243="High",3,IF(G1243="Medium",2,1))</f>
        <v>2</v>
      </c>
    </row>
    <row r="1244" spans="1:12">
      <c r="A1244" t="s">
        <v>3270</v>
      </c>
      <c r="B1244" t="s">
        <v>1064</v>
      </c>
      <c r="C1244" t="s">
        <v>1985</v>
      </c>
      <c r="D1244" t="s">
        <v>2028</v>
      </c>
      <c r="E1244" t="s">
        <v>47</v>
      </c>
      <c r="F1244" t="s">
        <v>47</v>
      </c>
      <c r="G1244" t="str">
        <f>INDEX(Risk_Matrix!$B$2:$D$4,MATCH(E1244,Risk_Matrix!$A$2:$A$4,0),MATCH(F1244,Risk_Matrix!$B$1:$D$1,0))</f>
        <v>High</v>
      </c>
      <c r="H1244" s="1">
        <v>46168</v>
      </c>
      <c r="I1244" t="s">
        <v>2015</v>
      </c>
      <c r="J1244" t="s">
        <v>2016</v>
      </c>
      <c r="K1244" t="s">
        <v>1989</v>
      </c>
      <c r="L1244">
        <f>IF(G1244="High",3,IF(G1244="Medium",2,1))</f>
        <v>3</v>
      </c>
    </row>
    <row r="1245" spans="1:12">
      <c r="A1245" t="s">
        <v>3271</v>
      </c>
      <c r="B1245" t="s">
        <v>1064</v>
      </c>
      <c r="C1245" t="s">
        <v>1991</v>
      </c>
      <c r="D1245" t="s">
        <v>2014</v>
      </c>
      <c r="E1245" t="s">
        <v>57</v>
      </c>
      <c r="F1245" t="s">
        <v>1971</v>
      </c>
      <c r="G1245" t="str">
        <f>INDEX(Risk_Matrix!$B$2:$D$4,MATCH(E1245,Risk_Matrix!$A$2:$A$4,0),MATCH(F1245,Risk_Matrix!$B$1:$D$1,0))</f>
        <v>Low</v>
      </c>
      <c r="H1245" s="1">
        <v>46058</v>
      </c>
      <c r="I1245" t="s">
        <v>2025</v>
      </c>
      <c r="J1245" t="s">
        <v>2035</v>
      </c>
      <c r="K1245" t="s">
        <v>2010</v>
      </c>
      <c r="L1245">
        <f>IF(G1245="High",3,IF(G1245="Medium",2,1))</f>
        <v>1</v>
      </c>
    </row>
    <row r="1246" spans="1:12">
      <c r="A1246" t="s">
        <v>3272</v>
      </c>
      <c r="B1246" t="s">
        <v>1064</v>
      </c>
      <c r="C1246" t="s">
        <v>1995</v>
      </c>
      <c r="D1246" t="s">
        <v>2150</v>
      </c>
      <c r="E1246" t="s">
        <v>57</v>
      </c>
      <c r="F1246" t="s">
        <v>47</v>
      </c>
      <c r="G1246" t="str">
        <f>INDEX(Risk_Matrix!$B$2:$D$4,MATCH(E1246,Risk_Matrix!$A$2:$A$4,0),MATCH(F1246,Risk_Matrix!$B$1:$D$1,0))</f>
        <v>Medium</v>
      </c>
      <c r="H1246" s="1">
        <v>46202</v>
      </c>
      <c r="I1246" t="s">
        <v>2025</v>
      </c>
      <c r="J1246" t="s">
        <v>2035</v>
      </c>
      <c r="K1246" t="s">
        <v>1998</v>
      </c>
      <c r="L1246">
        <f>IF(G1246="High",3,IF(G1246="Medium",2,1))</f>
        <v>2</v>
      </c>
    </row>
    <row r="1247" spans="1:12">
      <c r="A1247" t="s">
        <v>3273</v>
      </c>
      <c r="B1247" t="s">
        <v>1064</v>
      </c>
      <c r="C1247" t="s">
        <v>2000</v>
      </c>
      <c r="D1247" t="s">
        <v>2001</v>
      </c>
      <c r="E1247" t="s">
        <v>1971</v>
      </c>
      <c r="F1247" t="s">
        <v>57</v>
      </c>
      <c r="G1247" t="str">
        <f>INDEX(Risk_Matrix!$B$2:$D$4,MATCH(E1247,Risk_Matrix!$A$2:$A$4,0),MATCH(F1247,Risk_Matrix!$B$1:$D$1,0))</f>
        <v>Low</v>
      </c>
      <c r="H1247" s="1">
        <v>46219</v>
      </c>
      <c r="I1247" t="s">
        <v>2002</v>
      </c>
      <c r="J1247" t="s">
        <v>2029</v>
      </c>
      <c r="K1247" t="s">
        <v>1989</v>
      </c>
      <c r="L1247">
        <f>IF(G1247="High",3,IF(G1247="Medium",2,1))</f>
        <v>1</v>
      </c>
    </row>
    <row r="1248" spans="1:12">
      <c r="A1248" t="s">
        <v>3274</v>
      </c>
      <c r="B1248" t="s">
        <v>1064</v>
      </c>
      <c r="C1248" t="s">
        <v>2005</v>
      </c>
      <c r="D1248" t="s">
        <v>2022</v>
      </c>
      <c r="E1248" t="s">
        <v>1971</v>
      </c>
      <c r="F1248" t="s">
        <v>57</v>
      </c>
      <c r="G1248" t="str">
        <f>INDEX(Risk_Matrix!$B$2:$D$4,MATCH(E1248,Risk_Matrix!$A$2:$A$4,0),MATCH(F1248,Risk_Matrix!$B$1:$D$1,0))</f>
        <v>Low</v>
      </c>
      <c r="H1248" s="1">
        <v>46203</v>
      </c>
      <c r="I1248" t="s">
        <v>2025</v>
      </c>
      <c r="J1248" t="s">
        <v>2026</v>
      </c>
      <c r="K1248" t="s">
        <v>1993</v>
      </c>
      <c r="L1248">
        <f>IF(G1248="High",3,IF(G1248="Medium",2,1))</f>
        <v>1</v>
      </c>
    </row>
    <row r="1249" spans="1:12">
      <c r="A1249" t="s">
        <v>3275</v>
      </c>
      <c r="B1249" t="s">
        <v>1064</v>
      </c>
      <c r="C1249" t="s">
        <v>2008</v>
      </c>
      <c r="D1249" t="s">
        <v>2009</v>
      </c>
      <c r="E1249" t="s">
        <v>57</v>
      </c>
      <c r="F1249" t="s">
        <v>57</v>
      </c>
      <c r="G1249" t="str">
        <f>INDEX(Risk_Matrix!$B$2:$D$4,MATCH(E1249,Risk_Matrix!$A$2:$A$4,0),MATCH(F1249,Risk_Matrix!$B$1:$D$1,0))</f>
        <v>Low</v>
      </c>
      <c r="H1249" s="1">
        <v>46216</v>
      </c>
      <c r="I1249" t="s">
        <v>2025</v>
      </c>
      <c r="J1249" t="s">
        <v>2035</v>
      </c>
      <c r="K1249" t="s">
        <v>2010</v>
      </c>
      <c r="L1249">
        <f>IF(G1249="High",3,IF(G1249="Medium",2,1))</f>
        <v>1</v>
      </c>
    </row>
    <row r="1250" spans="1:12">
      <c r="A1250" t="s">
        <v>3276</v>
      </c>
      <c r="B1250" t="s">
        <v>1066</v>
      </c>
      <c r="C1250" t="s">
        <v>1985</v>
      </c>
      <c r="D1250" t="s">
        <v>2012</v>
      </c>
      <c r="E1250" t="s">
        <v>47</v>
      </c>
      <c r="F1250" t="s">
        <v>47</v>
      </c>
      <c r="G1250" t="str">
        <f>INDEX(Risk_Matrix!$B$2:$D$4,MATCH(E1250,Risk_Matrix!$A$2:$A$4,0),MATCH(F1250,Risk_Matrix!$B$1:$D$1,0))</f>
        <v>High</v>
      </c>
      <c r="H1250" s="1">
        <v>46165</v>
      </c>
      <c r="I1250" t="s">
        <v>2025</v>
      </c>
      <c r="J1250" t="s">
        <v>2026</v>
      </c>
      <c r="K1250" t="s">
        <v>1989</v>
      </c>
      <c r="L1250">
        <f>IF(G1250="High",3,IF(G1250="Medium",2,1))</f>
        <v>3</v>
      </c>
    </row>
    <row r="1251" spans="1:12">
      <c r="A1251" t="s">
        <v>3277</v>
      </c>
      <c r="B1251" t="s">
        <v>1066</v>
      </c>
      <c r="C1251" t="s">
        <v>1991</v>
      </c>
      <c r="D1251" t="s">
        <v>1992</v>
      </c>
      <c r="E1251" t="s">
        <v>57</v>
      </c>
      <c r="F1251" t="s">
        <v>57</v>
      </c>
      <c r="G1251" t="str">
        <f>INDEX(Risk_Matrix!$B$2:$D$4,MATCH(E1251,Risk_Matrix!$A$2:$A$4,0),MATCH(F1251,Risk_Matrix!$B$1:$D$1,0))</f>
        <v>Low</v>
      </c>
      <c r="H1251" s="1">
        <v>46150</v>
      </c>
      <c r="I1251" t="s">
        <v>2015</v>
      </c>
      <c r="J1251" t="s">
        <v>2032</v>
      </c>
      <c r="K1251" t="s">
        <v>1993</v>
      </c>
      <c r="L1251">
        <f>IF(G1251="High",3,IF(G1251="Medium",2,1))</f>
        <v>1</v>
      </c>
    </row>
    <row r="1252" spans="1:12">
      <c r="A1252" t="s">
        <v>3278</v>
      </c>
      <c r="B1252" t="s">
        <v>1066</v>
      </c>
      <c r="C1252" t="s">
        <v>1995</v>
      </c>
      <c r="D1252" t="s">
        <v>2018</v>
      </c>
      <c r="E1252" t="s">
        <v>57</v>
      </c>
      <c r="F1252" t="s">
        <v>1971</v>
      </c>
      <c r="G1252" t="str">
        <f>INDEX(Risk_Matrix!$B$2:$D$4,MATCH(E1252,Risk_Matrix!$A$2:$A$4,0),MATCH(F1252,Risk_Matrix!$B$1:$D$1,0))</f>
        <v>Low</v>
      </c>
      <c r="H1252" s="1">
        <v>46116</v>
      </c>
      <c r="I1252" t="s">
        <v>1987</v>
      </c>
      <c r="J1252" t="s">
        <v>1997</v>
      </c>
      <c r="K1252" t="s">
        <v>1998</v>
      </c>
      <c r="L1252">
        <f>IF(G1252="High",3,IF(G1252="Medium",2,1))</f>
        <v>1</v>
      </c>
    </row>
    <row r="1253" spans="1:12">
      <c r="A1253" t="s">
        <v>3279</v>
      </c>
      <c r="B1253" t="s">
        <v>1066</v>
      </c>
      <c r="C1253" t="s">
        <v>2000</v>
      </c>
      <c r="D1253" t="s">
        <v>2001</v>
      </c>
      <c r="E1253" t="s">
        <v>1971</v>
      </c>
      <c r="F1253" t="s">
        <v>1971</v>
      </c>
      <c r="G1253" t="str">
        <f>INDEX(Risk_Matrix!$B$2:$D$4,MATCH(E1253,Risk_Matrix!$A$2:$A$4,0),MATCH(F1253,Risk_Matrix!$B$1:$D$1,0))</f>
        <v>Medium</v>
      </c>
      <c r="H1253" s="1">
        <v>46084</v>
      </c>
      <c r="I1253" t="s">
        <v>2025</v>
      </c>
      <c r="J1253" t="s">
        <v>2026</v>
      </c>
      <c r="K1253" t="s">
        <v>1989</v>
      </c>
      <c r="L1253">
        <f>IF(G1253="High",3,IF(G1253="Medium",2,1))</f>
        <v>2</v>
      </c>
    </row>
    <row r="1254" spans="1:12">
      <c r="A1254" t="s">
        <v>3280</v>
      </c>
      <c r="B1254" t="s">
        <v>1066</v>
      </c>
      <c r="C1254" t="s">
        <v>2005</v>
      </c>
      <c r="D1254" t="s">
        <v>2039</v>
      </c>
      <c r="E1254" t="s">
        <v>1971</v>
      </c>
      <c r="F1254" t="s">
        <v>47</v>
      </c>
      <c r="G1254" t="str">
        <f>INDEX(Risk_Matrix!$B$2:$D$4,MATCH(E1254,Risk_Matrix!$A$2:$A$4,0),MATCH(F1254,Risk_Matrix!$B$1:$D$1,0))</f>
        <v>High</v>
      </c>
      <c r="H1254" s="1">
        <v>46233</v>
      </c>
      <c r="I1254" t="s">
        <v>2015</v>
      </c>
      <c r="J1254" t="s">
        <v>2016</v>
      </c>
      <c r="K1254" t="s">
        <v>1993</v>
      </c>
      <c r="L1254">
        <f>IF(G1254="High",3,IF(G1254="Medium",2,1))</f>
        <v>3</v>
      </c>
    </row>
    <row r="1255" spans="1:12">
      <c r="A1255" t="s">
        <v>3281</v>
      </c>
      <c r="B1255" t="s">
        <v>1066</v>
      </c>
      <c r="C1255" t="s">
        <v>2008</v>
      </c>
      <c r="D1255" t="s">
        <v>2009</v>
      </c>
      <c r="E1255" t="s">
        <v>57</v>
      </c>
      <c r="F1255" t="s">
        <v>1971</v>
      </c>
      <c r="G1255" t="str">
        <f>INDEX(Risk_Matrix!$B$2:$D$4,MATCH(E1255,Risk_Matrix!$A$2:$A$4,0),MATCH(F1255,Risk_Matrix!$B$1:$D$1,0))</f>
        <v>Low</v>
      </c>
      <c r="H1255" s="1">
        <v>46199</v>
      </c>
      <c r="I1255" t="s">
        <v>2015</v>
      </c>
      <c r="J1255" t="s">
        <v>2032</v>
      </c>
      <c r="K1255" t="s">
        <v>2010</v>
      </c>
      <c r="L1255">
        <f>IF(G1255="High",3,IF(G1255="Medium",2,1))</f>
        <v>1</v>
      </c>
    </row>
    <row r="1256" spans="1:12">
      <c r="A1256" t="s">
        <v>3282</v>
      </c>
      <c r="B1256" t="s">
        <v>1068</v>
      </c>
      <c r="C1256" t="s">
        <v>1985</v>
      </c>
      <c r="D1256" t="s">
        <v>1986</v>
      </c>
      <c r="E1256" t="s">
        <v>57</v>
      </c>
      <c r="F1256" t="s">
        <v>47</v>
      </c>
      <c r="G1256" t="str">
        <f>INDEX(Risk_Matrix!$B$2:$D$4,MATCH(E1256,Risk_Matrix!$A$2:$A$4,0),MATCH(F1256,Risk_Matrix!$B$1:$D$1,0))</f>
        <v>Medium</v>
      </c>
      <c r="H1256" s="1">
        <v>46085</v>
      </c>
      <c r="I1256" t="s">
        <v>2025</v>
      </c>
      <c r="J1256" t="s">
        <v>2026</v>
      </c>
      <c r="K1256" t="s">
        <v>1989</v>
      </c>
      <c r="L1256">
        <f>IF(G1256="High",3,IF(G1256="Medium",2,1))</f>
        <v>2</v>
      </c>
    </row>
    <row r="1257" spans="1:12">
      <c r="A1257" t="s">
        <v>3283</v>
      </c>
      <c r="B1257" t="s">
        <v>1068</v>
      </c>
      <c r="C1257" t="s">
        <v>1991</v>
      </c>
      <c r="D1257" t="s">
        <v>2064</v>
      </c>
      <c r="E1257" t="s">
        <v>1971</v>
      </c>
      <c r="F1257" t="s">
        <v>57</v>
      </c>
      <c r="G1257" t="str">
        <f>INDEX(Risk_Matrix!$B$2:$D$4,MATCH(E1257,Risk_Matrix!$A$2:$A$4,0),MATCH(F1257,Risk_Matrix!$B$1:$D$1,0))</f>
        <v>Low</v>
      </c>
      <c r="H1257" s="1">
        <v>46210</v>
      </c>
      <c r="I1257" t="s">
        <v>2002</v>
      </c>
      <c r="J1257" t="s">
        <v>2029</v>
      </c>
      <c r="K1257" t="s">
        <v>2010</v>
      </c>
      <c r="L1257">
        <f>IF(G1257="High",3,IF(G1257="Medium",2,1))</f>
        <v>1</v>
      </c>
    </row>
    <row r="1258" spans="1:12">
      <c r="A1258" t="s">
        <v>3284</v>
      </c>
      <c r="B1258" t="s">
        <v>1068</v>
      </c>
      <c r="C1258" t="s">
        <v>1995</v>
      </c>
      <c r="D1258" t="s">
        <v>2034</v>
      </c>
      <c r="E1258" t="s">
        <v>57</v>
      </c>
      <c r="F1258" t="s">
        <v>57</v>
      </c>
      <c r="G1258" t="str">
        <f>INDEX(Risk_Matrix!$B$2:$D$4,MATCH(E1258,Risk_Matrix!$A$2:$A$4,0),MATCH(F1258,Risk_Matrix!$B$1:$D$1,0))</f>
        <v>Low</v>
      </c>
      <c r="H1258" s="1">
        <v>46161</v>
      </c>
      <c r="I1258" t="s">
        <v>2025</v>
      </c>
      <c r="J1258" t="s">
        <v>2035</v>
      </c>
      <c r="K1258" t="s">
        <v>2036</v>
      </c>
      <c r="L1258">
        <f>IF(G1258="High",3,IF(G1258="Medium",2,1))</f>
        <v>1</v>
      </c>
    </row>
    <row r="1259" spans="1:12">
      <c r="A1259" t="s">
        <v>3285</v>
      </c>
      <c r="B1259" t="s">
        <v>1068</v>
      </c>
      <c r="C1259" t="s">
        <v>2000</v>
      </c>
      <c r="D1259" t="s">
        <v>2001</v>
      </c>
      <c r="E1259" t="s">
        <v>1971</v>
      </c>
      <c r="F1259" t="s">
        <v>1971</v>
      </c>
      <c r="G1259" t="str">
        <f>INDEX(Risk_Matrix!$B$2:$D$4,MATCH(E1259,Risk_Matrix!$A$2:$A$4,0),MATCH(F1259,Risk_Matrix!$B$1:$D$1,0))</f>
        <v>Medium</v>
      </c>
      <c r="H1259" s="1">
        <v>46091</v>
      </c>
      <c r="I1259" t="s">
        <v>2025</v>
      </c>
      <c r="J1259" t="s">
        <v>2035</v>
      </c>
      <c r="K1259" t="s">
        <v>1989</v>
      </c>
      <c r="L1259">
        <f>IF(G1259="High",3,IF(G1259="Medium",2,1))</f>
        <v>2</v>
      </c>
    </row>
    <row r="1260" spans="1:12">
      <c r="A1260" t="s">
        <v>3286</v>
      </c>
      <c r="B1260" t="s">
        <v>1068</v>
      </c>
      <c r="C1260" t="s">
        <v>2005</v>
      </c>
      <c r="D1260" t="s">
        <v>2022</v>
      </c>
      <c r="E1260" t="s">
        <v>47</v>
      </c>
      <c r="F1260" t="s">
        <v>47</v>
      </c>
      <c r="G1260" t="str">
        <f>INDEX(Risk_Matrix!$B$2:$D$4,MATCH(E1260,Risk_Matrix!$A$2:$A$4,0),MATCH(F1260,Risk_Matrix!$B$1:$D$1,0))</f>
        <v>High</v>
      </c>
      <c r="H1260" s="1">
        <v>46200</v>
      </c>
      <c r="I1260" t="s">
        <v>2025</v>
      </c>
      <c r="J1260" t="s">
        <v>2035</v>
      </c>
      <c r="K1260" t="s">
        <v>1993</v>
      </c>
      <c r="L1260">
        <f>IF(G1260="High",3,IF(G1260="Medium",2,1))</f>
        <v>3</v>
      </c>
    </row>
    <row r="1261" spans="1:12">
      <c r="A1261" t="s">
        <v>3287</v>
      </c>
      <c r="B1261" t="s">
        <v>1068</v>
      </c>
      <c r="C1261" t="s">
        <v>2008</v>
      </c>
      <c r="D1261" t="s">
        <v>2024</v>
      </c>
      <c r="E1261" t="s">
        <v>57</v>
      </c>
      <c r="F1261" t="s">
        <v>57</v>
      </c>
      <c r="G1261" t="str">
        <f>INDEX(Risk_Matrix!$B$2:$D$4,MATCH(E1261,Risk_Matrix!$A$2:$A$4,0),MATCH(F1261,Risk_Matrix!$B$1:$D$1,0))</f>
        <v>Low</v>
      </c>
      <c r="H1261" s="1">
        <v>46067</v>
      </c>
      <c r="I1261" t="s">
        <v>2002</v>
      </c>
      <c r="J1261" t="s">
        <v>2029</v>
      </c>
      <c r="K1261" t="s">
        <v>2010</v>
      </c>
      <c r="L1261">
        <f>IF(G1261="High",3,IF(G1261="Medium",2,1))</f>
        <v>1</v>
      </c>
    </row>
    <row r="1262" spans="1:12">
      <c r="A1262" t="s">
        <v>3288</v>
      </c>
      <c r="B1262" t="s">
        <v>1070</v>
      </c>
      <c r="C1262" t="s">
        <v>1985</v>
      </c>
      <c r="D1262" t="s">
        <v>2012</v>
      </c>
      <c r="E1262" t="s">
        <v>1971</v>
      </c>
      <c r="F1262" t="s">
        <v>1971</v>
      </c>
      <c r="G1262" t="str">
        <f>INDEX(Risk_Matrix!$B$2:$D$4,MATCH(E1262,Risk_Matrix!$A$2:$A$4,0),MATCH(F1262,Risk_Matrix!$B$1:$D$1,0))</f>
        <v>Medium</v>
      </c>
      <c r="H1262" s="1">
        <v>46146</v>
      </c>
      <c r="I1262" t="s">
        <v>2025</v>
      </c>
      <c r="J1262" t="s">
        <v>2035</v>
      </c>
      <c r="K1262" t="s">
        <v>1989</v>
      </c>
      <c r="L1262">
        <f>IF(G1262="High",3,IF(G1262="Medium",2,1))</f>
        <v>2</v>
      </c>
    </row>
    <row r="1263" spans="1:12">
      <c r="A1263" t="s">
        <v>3289</v>
      </c>
      <c r="B1263" t="s">
        <v>1070</v>
      </c>
      <c r="C1263" t="s">
        <v>1991</v>
      </c>
      <c r="D1263" t="s">
        <v>1992</v>
      </c>
      <c r="E1263" t="s">
        <v>47</v>
      </c>
      <c r="F1263" t="s">
        <v>47</v>
      </c>
      <c r="G1263" t="str">
        <f>INDEX(Risk_Matrix!$B$2:$D$4,MATCH(E1263,Risk_Matrix!$A$2:$A$4,0),MATCH(F1263,Risk_Matrix!$B$1:$D$1,0))</f>
        <v>High</v>
      </c>
      <c r="H1263" s="1">
        <v>46222</v>
      </c>
      <c r="I1263" t="s">
        <v>2025</v>
      </c>
      <c r="J1263" t="s">
        <v>2035</v>
      </c>
      <c r="K1263" t="s">
        <v>1993</v>
      </c>
      <c r="L1263">
        <f>IF(G1263="High",3,IF(G1263="Medium",2,1))</f>
        <v>3</v>
      </c>
    </row>
    <row r="1264" spans="1:12">
      <c r="A1264" t="s">
        <v>3290</v>
      </c>
      <c r="B1264" t="s">
        <v>1070</v>
      </c>
      <c r="C1264" t="s">
        <v>1995</v>
      </c>
      <c r="D1264" t="s">
        <v>2034</v>
      </c>
      <c r="E1264" t="s">
        <v>57</v>
      </c>
      <c r="F1264" t="s">
        <v>47</v>
      </c>
      <c r="G1264" t="str">
        <f>INDEX(Risk_Matrix!$B$2:$D$4,MATCH(E1264,Risk_Matrix!$A$2:$A$4,0),MATCH(F1264,Risk_Matrix!$B$1:$D$1,0))</f>
        <v>Medium</v>
      </c>
      <c r="H1264" s="1">
        <v>46183</v>
      </c>
      <c r="I1264" t="s">
        <v>2015</v>
      </c>
      <c r="J1264" t="s">
        <v>2032</v>
      </c>
      <c r="K1264" t="s">
        <v>2036</v>
      </c>
      <c r="L1264">
        <f>IF(G1264="High",3,IF(G1264="Medium",2,1))</f>
        <v>2</v>
      </c>
    </row>
    <row r="1265" spans="1:12">
      <c r="A1265" t="s">
        <v>3291</v>
      </c>
      <c r="B1265" t="s">
        <v>1070</v>
      </c>
      <c r="C1265" t="s">
        <v>2000</v>
      </c>
      <c r="D1265" t="s">
        <v>2001</v>
      </c>
      <c r="E1265" t="s">
        <v>57</v>
      </c>
      <c r="F1265" t="s">
        <v>57</v>
      </c>
      <c r="G1265" t="str">
        <f>INDEX(Risk_Matrix!$B$2:$D$4,MATCH(E1265,Risk_Matrix!$A$2:$A$4,0),MATCH(F1265,Risk_Matrix!$B$1:$D$1,0))</f>
        <v>Low</v>
      </c>
      <c r="H1265" s="1">
        <v>46202</v>
      </c>
      <c r="I1265" t="s">
        <v>1987</v>
      </c>
      <c r="J1265" t="s">
        <v>1988</v>
      </c>
      <c r="K1265" t="s">
        <v>1993</v>
      </c>
      <c r="L1265">
        <f>IF(G1265="High",3,IF(G1265="Medium",2,1))</f>
        <v>1</v>
      </c>
    </row>
    <row r="1266" spans="1:12">
      <c r="A1266" t="s">
        <v>3292</v>
      </c>
      <c r="B1266" t="s">
        <v>1070</v>
      </c>
      <c r="C1266" t="s">
        <v>2005</v>
      </c>
      <c r="D1266" t="s">
        <v>2039</v>
      </c>
      <c r="E1266" t="s">
        <v>47</v>
      </c>
      <c r="F1266" t="s">
        <v>1971</v>
      </c>
      <c r="G1266" t="str">
        <f>INDEX(Risk_Matrix!$B$2:$D$4,MATCH(E1266,Risk_Matrix!$A$2:$A$4,0),MATCH(F1266,Risk_Matrix!$B$1:$D$1,0))</f>
        <v>High</v>
      </c>
      <c r="H1266" s="1">
        <v>46154</v>
      </c>
      <c r="I1266" t="s">
        <v>2015</v>
      </c>
      <c r="J1266" t="s">
        <v>2016</v>
      </c>
      <c r="K1266" t="s">
        <v>1993</v>
      </c>
      <c r="L1266">
        <f>IF(G1266="High",3,IF(G1266="Medium",2,1))</f>
        <v>3</v>
      </c>
    </row>
    <row r="1267" spans="1:12">
      <c r="A1267" t="s">
        <v>3293</v>
      </c>
      <c r="B1267" t="s">
        <v>1070</v>
      </c>
      <c r="C1267" t="s">
        <v>2008</v>
      </c>
      <c r="D1267" t="s">
        <v>2054</v>
      </c>
      <c r="E1267" t="s">
        <v>57</v>
      </c>
      <c r="F1267" t="s">
        <v>1971</v>
      </c>
      <c r="G1267" t="str">
        <f>INDEX(Risk_Matrix!$B$2:$D$4,MATCH(E1267,Risk_Matrix!$A$2:$A$4,0),MATCH(F1267,Risk_Matrix!$B$1:$D$1,0))</f>
        <v>Low</v>
      </c>
      <c r="H1267" s="1">
        <v>46167</v>
      </c>
      <c r="I1267" t="s">
        <v>2015</v>
      </c>
      <c r="J1267" t="s">
        <v>2032</v>
      </c>
      <c r="K1267" t="s">
        <v>2010</v>
      </c>
      <c r="L1267">
        <f>IF(G1267="High",3,IF(G1267="Medium",2,1))</f>
        <v>1</v>
      </c>
    </row>
    <row r="1268" spans="1:12">
      <c r="A1268" t="s">
        <v>3294</v>
      </c>
      <c r="B1268" t="s">
        <v>1072</v>
      </c>
      <c r="C1268" t="s">
        <v>1985</v>
      </c>
      <c r="D1268" t="s">
        <v>2028</v>
      </c>
      <c r="E1268" t="s">
        <v>57</v>
      </c>
      <c r="F1268" t="s">
        <v>1971</v>
      </c>
      <c r="G1268" t="str">
        <f>INDEX(Risk_Matrix!$B$2:$D$4,MATCH(E1268,Risk_Matrix!$A$2:$A$4,0),MATCH(F1268,Risk_Matrix!$B$1:$D$1,0))</f>
        <v>Low</v>
      </c>
      <c r="H1268" s="1">
        <v>46137</v>
      </c>
      <c r="I1268" t="s">
        <v>2002</v>
      </c>
      <c r="J1268" t="s">
        <v>2003</v>
      </c>
      <c r="K1268" t="s">
        <v>1989</v>
      </c>
      <c r="L1268">
        <f>IF(G1268="High",3,IF(G1268="Medium",2,1))</f>
        <v>1</v>
      </c>
    </row>
    <row r="1269" spans="1:12">
      <c r="A1269" t="s">
        <v>3295</v>
      </c>
      <c r="B1269" t="s">
        <v>1072</v>
      </c>
      <c r="C1269" t="s">
        <v>1991</v>
      </c>
      <c r="D1269" t="s">
        <v>1992</v>
      </c>
      <c r="E1269" t="s">
        <v>1971</v>
      </c>
      <c r="F1269" t="s">
        <v>47</v>
      </c>
      <c r="G1269" t="str">
        <f>INDEX(Risk_Matrix!$B$2:$D$4,MATCH(E1269,Risk_Matrix!$A$2:$A$4,0),MATCH(F1269,Risk_Matrix!$B$1:$D$1,0))</f>
        <v>High</v>
      </c>
      <c r="H1269" s="1">
        <v>46226</v>
      </c>
      <c r="I1269" t="s">
        <v>2015</v>
      </c>
      <c r="J1269" t="s">
        <v>2032</v>
      </c>
      <c r="K1269" t="s">
        <v>2010</v>
      </c>
      <c r="L1269">
        <f>IF(G1269="High",3,IF(G1269="Medium",2,1))</f>
        <v>3</v>
      </c>
    </row>
    <row r="1270" spans="1:12">
      <c r="A1270" t="s">
        <v>3296</v>
      </c>
      <c r="B1270" t="s">
        <v>1072</v>
      </c>
      <c r="C1270" t="s">
        <v>1995</v>
      </c>
      <c r="D1270" t="s">
        <v>1996</v>
      </c>
      <c r="E1270" t="s">
        <v>1971</v>
      </c>
      <c r="F1270" t="s">
        <v>1971</v>
      </c>
      <c r="G1270" t="str">
        <f>INDEX(Risk_Matrix!$B$2:$D$4,MATCH(E1270,Risk_Matrix!$A$2:$A$4,0),MATCH(F1270,Risk_Matrix!$B$1:$D$1,0))</f>
        <v>Medium</v>
      </c>
      <c r="H1270" s="1">
        <v>46123</v>
      </c>
      <c r="I1270" t="s">
        <v>1987</v>
      </c>
      <c r="J1270" t="s">
        <v>1997</v>
      </c>
      <c r="K1270" t="s">
        <v>1998</v>
      </c>
      <c r="L1270">
        <f>IF(G1270="High",3,IF(G1270="Medium",2,1))</f>
        <v>2</v>
      </c>
    </row>
    <row r="1271" spans="1:12">
      <c r="A1271" t="s">
        <v>3297</v>
      </c>
      <c r="B1271" t="s">
        <v>1072</v>
      </c>
      <c r="C1271" t="s">
        <v>2000</v>
      </c>
      <c r="D1271" t="s">
        <v>2020</v>
      </c>
      <c r="E1271" t="s">
        <v>1971</v>
      </c>
      <c r="F1271" t="s">
        <v>57</v>
      </c>
      <c r="G1271" t="str">
        <f>INDEX(Risk_Matrix!$B$2:$D$4,MATCH(E1271,Risk_Matrix!$A$2:$A$4,0),MATCH(F1271,Risk_Matrix!$B$1:$D$1,0))</f>
        <v>Low</v>
      </c>
      <c r="H1271" s="1">
        <v>46074</v>
      </c>
      <c r="I1271" t="s">
        <v>2025</v>
      </c>
      <c r="J1271" t="s">
        <v>2035</v>
      </c>
      <c r="K1271" t="s">
        <v>1989</v>
      </c>
      <c r="L1271">
        <f>IF(G1271="High",3,IF(G1271="Medium",2,1))</f>
        <v>1</v>
      </c>
    </row>
    <row r="1272" spans="1:12">
      <c r="A1272" t="s">
        <v>3298</v>
      </c>
      <c r="B1272" t="s">
        <v>1072</v>
      </c>
      <c r="C1272" t="s">
        <v>2005</v>
      </c>
      <c r="D1272" t="s">
        <v>2006</v>
      </c>
      <c r="E1272" t="s">
        <v>1971</v>
      </c>
      <c r="F1272" t="s">
        <v>47</v>
      </c>
      <c r="G1272" t="str">
        <f>INDEX(Risk_Matrix!$B$2:$D$4,MATCH(E1272,Risk_Matrix!$A$2:$A$4,0),MATCH(F1272,Risk_Matrix!$B$1:$D$1,0))</f>
        <v>High</v>
      </c>
      <c r="H1272" s="1">
        <v>46217</v>
      </c>
      <c r="I1272" t="s">
        <v>2015</v>
      </c>
      <c r="J1272" t="s">
        <v>2016</v>
      </c>
      <c r="K1272" t="s">
        <v>1993</v>
      </c>
      <c r="L1272">
        <f>IF(G1272="High",3,IF(G1272="Medium",2,1))</f>
        <v>3</v>
      </c>
    </row>
    <row r="1273" spans="1:12">
      <c r="A1273" t="s">
        <v>3299</v>
      </c>
      <c r="B1273" t="s">
        <v>1072</v>
      </c>
      <c r="C1273" t="s">
        <v>2008</v>
      </c>
      <c r="D1273" t="s">
        <v>2024</v>
      </c>
      <c r="E1273" t="s">
        <v>1971</v>
      </c>
      <c r="F1273" t="s">
        <v>57</v>
      </c>
      <c r="G1273" t="str">
        <f>INDEX(Risk_Matrix!$B$2:$D$4,MATCH(E1273,Risk_Matrix!$A$2:$A$4,0),MATCH(F1273,Risk_Matrix!$B$1:$D$1,0))</f>
        <v>Low</v>
      </c>
      <c r="H1273" s="1">
        <v>46165</v>
      </c>
      <c r="I1273" t="s">
        <v>2015</v>
      </c>
      <c r="J1273" t="s">
        <v>2016</v>
      </c>
      <c r="K1273" t="s">
        <v>2010</v>
      </c>
      <c r="L1273">
        <f>IF(G1273="High",3,IF(G1273="Medium",2,1))</f>
        <v>1</v>
      </c>
    </row>
    <row r="1274" spans="1:12">
      <c r="A1274" t="s">
        <v>3300</v>
      </c>
      <c r="B1274" t="s">
        <v>1074</v>
      </c>
      <c r="C1274" t="s">
        <v>1985</v>
      </c>
      <c r="D1274" t="s">
        <v>2062</v>
      </c>
      <c r="E1274" t="s">
        <v>57</v>
      </c>
      <c r="F1274" t="s">
        <v>1971</v>
      </c>
      <c r="G1274" t="str">
        <f>INDEX(Risk_Matrix!$B$2:$D$4,MATCH(E1274,Risk_Matrix!$A$2:$A$4,0),MATCH(F1274,Risk_Matrix!$B$1:$D$1,0))</f>
        <v>Low</v>
      </c>
      <c r="H1274" s="1">
        <v>46058</v>
      </c>
      <c r="I1274" t="s">
        <v>1987</v>
      </c>
      <c r="J1274" t="s">
        <v>1997</v>
      </c>
      <c r="K1274" t="s">
        <v>1989</v>
      </c>
      <c r="L1274">
        <f>IF(G1274="High",3,IF(G1274="Medium",2,1))</f>
        <v>1</v>
      </c>
    </row>
    <row r="1275" spans="1:12">
      <c r="A1275" t="s">
        <v>3301</v>
      </c>
      <c r="B1275" t="s">
        <v>1074</v>
      </c>
      <c r="C1275" t="s">
        <v>1991</v>
      </c>
      <c r="D1275" t="s">
        <v>2031</v>
      </c>
      <c r="E1275" t="s">
        <v>1971</v>
      </c>
      <c r="F1275" t="s">
        <v>1971</v>
      </c>
      <c r="G1275" t="str">
        <f>INDEX(Risk_Matrix!$B$2:$D$4,MATCH(E1275,Risk_Matrix!$A$2:$A$4,0),MATCH(F1275,Risk_Matrix!$B$1:$D$1,0))</f>
        <v>Medium</v>
      </c>
      <c r="H1275" s="1">
        <v>46201</v>
      </c>
      <c r="I1275" t="s">
        <v>2015</v>
      </c>
      <c r="J1275" t="s">
        <v>2032</v>
      </c>
      <c r="K1275" t="s">
        <v>1993</v>
      </c>
      <c r="L1275">
        <f>IF(G1275="High",3,IF(G1275="Medium",2,1))</f>
        <v>2</v>
      </c>
    </row>
    <row r="1276" spans="1:12">
      <c r="A1276" t="s">
        <v>3302</v>
      </c>
      <c r="B1276" t="s">
        <v>1074</v>
      </c>
      <c r="C1276" t="s">
        <v>1995</v>
      </c>
      <c r="D1276" t="s">
        <v>1996</v>
      </c>
      <c r="E1276" t="s">
        <v>47</v>
      </c>
      <c r="F1276" t="s">
        <v>1971</v>
      </c>
      <c r="G1276" t="str">
        <f>INDEX(Risk_Matrix!$B$2:$D$4,MATCH(E1276,Risk_Matrix!$A$2:$A$4,0),MATCH(F1276,Risk_Matrix!$B$1:$D$1,0))</f>
        <v>High</v>
      </c>
      <c r="H1276" s="1">
        <v>46206</v>
      </c>
      <c r="I1276" t="s">
        <v>2015</v>
      </c>
      <c r="J1276" t="s">
        <v>2016</v>
      </c>
      <c r="K1276" t="s">
        <v>2036</v>
      </c>
      <c r="L1276">
        <f>IF(G1276="High",3,IF(G1276="Medium",2,1))</f>
        <v>3</v>
      </c>
    </row>
    <row r="1277" spans="1:12">
      <c r="A1277" t="s">
        <v>3303</v>
      </c>
      <c r="B1277" t="s">
        <v>1074</v>
      </c>
      <c r="C1277" t="s">
        <v>2000</v>
      </c>
      <c r="D1277" t="s">
        <v>2001</v>
      </c>
      <c r="E1277" t="s">
        <v>1971</v>
      </c>
      <c r="F1277" t="s">
        <v>1971</v>
      </c>
      <c r="G1277" t="str">
        <f>INDEX(Risk_Matrix!$B$2:$D$4,MATCH(E1277,Risk_Matrix!$A$2:$A$4,0),MATCH(F1277,Risk_Matrix!$B$1:$D$1,0))</f>
        <v>Medium</v>
      </c>
      <c r="H1277" s="1">
        <v>46089</v>
      </c>
      <c r="I1277" t="s">
        <v>2025</v>
      </c>
      <c r="J1277" t="s">
        <v>2026</v>
      </c>
      <c r="K1277" t="s">
        <v>1989</v>
      </c>
      <c r="L1277">
        <f>IF(G1277="High",3,IF(G1277="Medium",2,1))</f>
        <v>2</v>
      </c>
    </row>
    <row r="1278" spans="1:12">
      <c r="A1278" t="s">
        <v>3304</v>
      </c>
      <c r="B1278" t="s">
        <v>1074</v>
      </c>
      <c r="C1278" t="s">
        <v>2005</v>
      </c>
      <c r="D1278" t="s">
        <v>2039</v>
      </c>
      <c r="E1278" t="s">
        <v>47</v>
      </c>
      <c r="F1278" t="s">
        <v>47</v>
      </c>
      <c r="G1278" t="str">
        <f>INDEX(Risk_Matrix!$B$2:$D$4,MATCH(E1278,Risk_Matrix!$A$2:$A$4,0),MATCH(F1278,Risk_Matrix!$B$1:$D$1,0))</f>
        <v>High</v>
      </c>
      <c r="H1278" s="1">
        <v>46177</v>
      </c>
      <c r="I1278" t="s">
        <v>2025</v>
      </c>
      <c r="J1278" t="s">
        <v>2035</v>
      </c>
      <c r="K1278" t="s">
        <v>1993</v>
      </c>
      <c r="L1278">
        <f>IF(G1278="High",3,IF(G1278="Medium",2,1))</f>
        <v>3</v>
      </c>
    </row>
    <row r="1279" spans="1:12">
      <c r="A1279" t="s">
        <v>3305</v>
      </c>
      <c r="B1279" t="s">
        <v>1074</v>
      </c>
      <c r="C1279" t="s">
        <v>2008</v>
      </c>
      <c r="D1279" t="s">
        <v>2024</v>
      </c>
      <c r="E1279" t="s">
        <v>1971</v>
      </c>
      <c r="F1279" t="s">
        <v>47</v>
      </c>
      <c r="G1279" t="str">
        <f>INDEX(Risk_Matrix!$B$2:$D$4,MATCH(E1279,Risk_Matrix!$A$2:$A$4,0),MATCH(F1279,Risk_Matrix!$B$1:$D$1,0))</f>
        <v>High</v>
      </c>
      <c r="H1279" s="1">
        <v>46116</v>
      </c>
      <c r="I1279" t="s">
        <v>2025</v>
      </c>
      <c r="J1279" t="s">
        <v>2026</v>
      </c>
      <c r="K1279" t="s">
        <v>2010</v>
      </c>
      <c r="L1279">
        <f>IF(G1279="High",3,IF(G1279="Medium",2,1))</f>
        <v>3</v>
      </c>
    </row>
    <row r="1280" spans="1:12">
      <c r="A1280" t="s">
        <v>3306</v>
      </c>
      <c r="B1280" t="s">
        <v>1075</v>
      </c>
      <c r="C1280" t="s">
        <v>1985</v>
      </c>
      <c r="D1280" t="s">
        <v>2028</v>
      </c>
      <c r="E1280" t="s">
        <v>1971</v>
      </c>
      <c r="F1280" t="s">
        <v>1971</v>
      </c>
      <c r="G1280" t="str">
        <f>INDEX(Risk_Matrix!$B$2:$D$4,MATCH(E1280,Risk_Matrix!$A$2:$A$4,0),MATCH(F1280,Risk_Matrix!$B$1:$D$1,0))</f>
        <v>Medium</v>
      </c>
      <c r="H1280" s="1">
        <v>46160</v>
      </c>
      <c r="I1280" t="s">
        <v>2002</v>
      </c>
      <c r="J1280" t="s">
        <v>2003</v>
      </c>
      <c r="K1280" t="s">
        <v>1989</v>
      </c>
      <c r="L1280">
        <f>IF(G1280="High",3,IF(G1280="Medium",2,1))</f>
        <v>2</v>
      </c>
    </row>
    <row r="1281" spans="1:12">
      <c r="A1281" t="s">
        <v>3307</v>
      </c>
      <c r="B1281" t="s">
        <v>1075</v>
      </c>
      <c r="C1281" t="s">
        <v>1991</v>
      </c>
      <c r="D1281" t="s">
        <v>2064</v>
      </c>
      <c r="E1281" t="s">
        <v>1971</v>
      </c>
      <c r="F1281" t="s">
        <v>1971</v>
      </c>
      <c r="G1281" t="str">
        <f>INDEX(Risk_Matrix!$B$2:$D$4,MATCH(E1281,Risk_Matrix!$A$2:$A$4,0),MATCH(F1281,Risk_Matrix!$B$1:$D$1,0))</f>
        <v>Medium</v>
      </c>
      <c r="H1281" s="1">
        <v>46207</v>
      </c>
      <c r="I1281" t="s">
        <v>2025</v>
      </c>
      <c r="J1281" t="s">
        <v>2035</v>
      </c>
      <c r="K1281" t="s">
        <v>2010</v>
      </c>
      <c r="L1281">
        <f>IF(G1281="High",3,IF(G1281="Medium",2,1))</f>
        <v>2</v>
      </c>
    </row>
    <row r="1282" spans="1:12">
      <c r="A1282" t="s">
        <v>3308</v>
      </c>
      <c r="B1282" t="s">
        <v>1075</v>
      </c>
      <c r="C1282" t="s">
        <v>1995</v>
      </c>
      <c r="D1282" t="s">
        <v>2018</v>
      </c>
      <c r="E1282" t="s">
        <v>57</v>
      </c>
      <c r="F1282" t="s">
        <v>57</v>
      </c>
      <c r="G1282" t="str">
        <f>INDEX(Risk_Matrix!$B$2:$D$4,MATCH(E1282,Risk_Matrix!$A$2:$A$4,0),MATCH(F1282,Risk_Matrix!$B$1:$D$1,0))</f>
        <v>Low</v>
      </c>
      <c r="H1282" s="1">
        <v>46101</v>
      </c>
      <c r="I1282" t="s">
        <v>2002</v>
      </c>
      <c r="J1282" t="s">
        <v>2029</v>
      </c>
      <c r="K1282" t="s">
        <v>1998</v>
      </c>
      <c r="L1282">
        <f>IF(G1282="High",3,IF(G1282="Medium",2,1))</f>
        <v>1</v>
      </c>
    </row>
    <row r="1283" spans="1:12">
      <c r="A1283" t="s">
        <v>3309</v>
      </c>
      <c r="B1283" t="s">
        <v>1075</v>
      </c>
      <c r="C1283" t="s">
        <v>2000</v>
      </c>
      <c r="D1283" t="s">
        <v>2001</v>
      </c>
      <c r="E1283" t="s">
        <v>1971</v>
      </c>
      <c r="F1283" t="s">
        <v>1971</v>
      </c>
      <c r="G1283" t="str">
        <f>INDEX(Risk_Matrix!$B$2:$D$4,MATCH(E1283,Risk_Matrix!$A$2:$A$4,0),MATCH(F1283,Risk_Matrix!$B$1:$D$1,0))</f>
        <v>Medium</v>
      </c>
      <c r="H1283" s="1">
        <v>46172</v>
      </c>
      <c r="I1283" t="s">
        <v>2015</v>
      </c>
      <c r="J1283" t="s">
        <v>2016</v>
      </c>
      <c r="K1283" t="s">
        <v>1993</v>
      </c>
      <c r="L1283">
        <f>IF(G1283="High",3,IF(G1283="Medium",2,1))</f>
        <v>2</v>
      </c>
    </row>
    <row r="1284" spans="1:12">
      <c r="A1284" t="s">
        <v>3310</v>
      </c>
      <c r="B1284" t="s">
        <v>1075</v>
      </c>
      <c r="C1284" t="s">
        <v>2005</v>
      </c>
      <c r="D1284" t="s">
        <v>2022</v>
      </c>
      <c r="E1284" t="s">
        <v>47</v>
      </c>
      <c r="F1284" t="s">
        <v>57</v>
      </c>
      <c r="G1284" t="str">
        <f>INDEX(Risk_Matrix!$B$2:$D$4,MATCH(E1284,Risk_Matrix!$A$2:$A$4,0),MATCH(F1284,Risk_Matrix!$B$1:$D$1,0))</f>
        <v>Medium</v>
      </c>
      <c r="H1284" s="1">
        <v>46166</v>
      </c>
      <c r="I1284" t="s">
        <v>1987</v>
      </c>
      <c r="J1284" t="s">
        <v>1997</v>
      </c>
      <c r="K1284" t="s">
        <v>2036</v>
      </c>
      <c r="L1284">
        <f>IF(G1284="High",3,IF(G1284="Medium",2,1))</f>
        <v>2</v>
      </c>
    </row>
    <row r="1285" spans="1:12">
      <c r="A1285" t="s">
        <v>3311</v>
      </c>
      <c r="B1285" t="s">
        <v>1075</v>
      </c>
      <c r="C1285" t="s">
        <v>2008</v>
      </c>
      <c r="D1285" t="s">
        <v>2054</v>
      </c>
      <c r="E1285" t="s">
        <v>57</v>
      </c>
      <c r="F1285" t="s">
        <v>57</v>
      </c>
      <c r="G1285" t="str">
        <f>INDEX(Risk_Matrix!$B$2:$D$4,MATCH(E1285,Risk_Matrix!$A$2:$A$4,0),MATCH(F1285,Risk_Matrix!$B$1:$D$1,0))</f>
        <v>Low</v>
      </c>
      <c r="H1285" s="1">
        <v>46191</v>
      </c>
      <c r="I1285" t="s">
        <v>1987</v>
      </c>
      <c r="J1285" t="s">
        <v>1997</v>
      </c>
      <c r="K1285" t="s">
        <v>2010</v>
      </c>
      <c r="L1285">
        <f>IF(G1285="High",3,IF(G1285="Medium",2,1))</f>
        <v>1</v>
      </c>
    </row>
    <row r="1286" spans="1:12">
      <c r="A1286" t="s">
        <v>3312</v>
      </c>
      <c r="B1286" t="s">
        <v>1076</v>
      </c>
      <c r="C1286" t="s">
        <v>1985</v>
      </c>
      <c r="D1286" t="s">
        <v>2012</v>
      </c>
      <c r="E1286" t="s">
        <v>47</v>
      </c>
      <c r="F1286" t="s">
        <v>1971</v>
      </c>
      <c r="G1286" t="str">
        <f>INDEX(Risk_Matrix!$B$2:$D$4,MATCH(E1286,Risk_Matrix!$A$2:$A$4,0),MATCH(F1286,Risk_Matrix!$B$1:$D$1,0))</f>
        <v>High</v>
      </c>
      <c r="H1286" s="1">
        <v>46082</v>
      </c>
      <c r="I1286" t="s">
        <v>2025</v>
      </c>
      <c r="J1286" t="s">
        <v>2026</v>
      </c>
      <c r="K1286" t="s">
        <v>1989</v>
      </c>
      <c r="L1286">
        <f>IF(G1286="High",3,IF(G1286="Medium",2,1))</f>
        <v>3</v>
      </c>
    </row>
    <row r="1287" spans="1:12">
      <c r="A1287" t="s">
        <v>3313</v>
      </c>
      <c r="B1287" t="s">
        <v>1076</v>
      </c>
      <c r="C1287" t="s">
        <v>1991</v>
      </c>
      <c r="D1287" t="s">
        <v>2064</v>
      </c>
      <c r="E1287" t="s">
        <v>1971</v>
      </c>
      <c r="F1287" t="s">
        <v>57</v>
      </c>
      <c r="G1287" t="str">
        <f>INDEX(Risk_Matrix!$B$2:$D$4,MATCH(E1287,Risk_Matrix!$A$2:$A$4,0),MATCH(F1287,Risk_Matrix!$B$1:$D$1,0))</f>
        <v>Low</v>
      </c>
      <c r="H1287" s="1">
        <v>46218</v>
      </c>
      <c r="I1287" t="s">
        <v>1987</v>
      </c>
      <c r="J1287" t="s">
        <v>1997</v>
      </c>
      <c r="K1287" t="s">
        <v>1993</v>
      </c>
      <c r="L1287">
        <f>IF(G1287="High",3,IF(G1287="Medium",2,1))</f>
        <v>1</v>
      </c>
    </row>
    <row r="1288" spans="1:12">
      <c r="A1288" t="s">
        <v>3314</v>
      </c>
      <c r="B1288" t="s">
        <v>1076</v>
      </c>
      <c r="C1288" t="s">
        <v>1995</v>
      </c>
      <c r="D1288" t="s">
        <v>2150</v>
      </c>
      <c r="E1288" t="s">
        <v>47</v>
      </c>
      <c r="F1288" t="s">
        <v>47</v>
      </c>
      <c r="G1288" t="str">
        <f>INDEX(Risk_Matrix!$B$2:$D$4,MATCH(E1288,Risk_Matrix!$A$2:$A$4,0),MATCH(F1288,Risk_Matrix!$B$1:$D$1,0))</f>
        <v>High</v>
      </c>
      <c r="H1288" s="1">
        <v>46162</v>
      </c>
      <c r="I1288" t="s">
        <v>2025</v>
      </c>
      <c r="J1288" t="s">
        <v>2035</v>
      </c>
      <c r="K1288" t="s">
        <v>1998</v>
      </c>
      <c r="L1288">
        <f>IF(G1288="High",3,IF(G1288="Medium",2,1))</f>
        <v>3</v>
      </c>
    </row>
    <row r="1289" spans="1:12">
      <c r="A1289" t="s">
        <v>3315</v>
      </c>
      <c r="B1289" t="s">
        <v>1076</v>
      </c>
      <c r="C1289" t="s">
        <v>2000</v>
      </c>
      <c r="D1289" t="s">
        <v>2020</v>
      </c>
      <c r="E1289" t="s">
        <v>57</v>
      </c>
      <c r="F1289" t="s">
        <v>1971</v>
      </c>
      <c r="G1289" t="str">
        <f>INDEX(Risk_Matrix!$B$2:$D$4,MATCH(E1289,Risk_Matrix!$A$2:$A$4,0),MATCH(F1289,Risk_Matrix!$B$1:$D$1,0))</f>
        <v>Low</v>
      </c>
      <c r="H1289" s="1">
        <v>46092</v>
      </c>
      <c r="I1289" t="s">
        <v>1987</v>
      </c>
      <c r="J1289" t="s">
        <v>1997</v>
      </c>
      <c r="K1289" t="s">
        <v>1993</v>
      </c>
      <c r="L1289">
        <f>IF(G1289="High",3,IF(G1289="Medium",2,1))</f>
        <v>1</v>
      </c>
    </row>
    <row r="1290" spans="1:12">
      <c r="A1290" t="s">
        <v>3316</v>
      </c>
      <c r="B1290" t="s">
        <v>1076</v>
      </c>
      <c r="C1290" t="s">
        <v>2005</v>
      </c>
      <c r="D1290" t="s">
        <v>2039</v>
      </c>
      <c r="E1290" t="s">
        <v>1971</v>
      </c>
      <c r="F1290" t="s">
        <v>1971</v>
      </c>
      <c r="G1290" t="str">
        <f>INDEX(Risk_Matrix!$B$2:$D$4,MATCH(E1290,Risk_Matrix!$A$2:$A$4,0),MATCH(F1290,Risk_Matrix!$B$1:$D$1,0))</f>
        <v>Medium</v>
      </c>
      <c r="H1290" s="1">
        <v>46219</v>
      </c>
      <c r="I1290" t="s">
        <v>1987</v>
      </c>
      <c r="J1290" t="s">
        <v>1997</v>
      </c>
      <c r="K1290" t="s">
        <v>2036</v>
      </c>
      <c r="L1290">
        <f>IF(G1290="High",3,IF(G1290="Medium",2,1))</f>
        <v>2</v>
      </c>
    </row>
    <row r="1291" spans="1:12">
      <c r="A1291" t="s">
        <v>3317</v>
      </c>
      <c r="B1291" t="s">
        <v>1076</v>
      </c>
      <c r="C1291" t="s">
        <v>2008</v>
      </c>
      <c r="D1291" t="s">
        <v>2009</v>
      </c>
      <c r="E1291" t="s">
        <v>57</v>
      </c>
      <c r="F1291" t="s">
        <v>1971</v>
      </c>
      <c r="G1291" t="str">
        <f>INDEX(Risk_Matrix!$B$2:$D$4,MATCH(E1291,Risk_Matrix!$A$2:$A$4,0),MATCH(F1291,Risk_Matrix!$B$1:$D$1,0))</f>
        <v>Low</v>
      </c>
      <c r="H1291" s="1">
        <v>46159</v>
      </c>
      <c r="I1291" t="s">
        <v>1987</v>
      </c>
      <c r="J1291" t="s">
        <v>1988</v>
      </c>
      <c r="K1291" t="s">
        <v>2010</v>
      </c>
      <c r="L1291">
        <f>IF(G1291="High",3,IF(G1291="Medium",2,1))</f>
        <v>1</v>
      </c>
    </row>
    <row r="1292" spans="1:12">
      <c r="A1292" t="s">
        <v>3318</v>
      </c>
      <c r="B1292" t="s">
        <v>1078</v>
      </c>
      <c r="C1292" t="s">
        <v>1985</v>
      </c>
      <c r="D1292" t="s">
        <v>1986</v>
      </c>
      <c r="E1292" t="s">
        <v>47</v>
      </c>
      <c r="F1292" t="s">
        <v>1971</v>
      </c>
      <c r="G1292" t="str">
        <f>INDEX(Risk_Matrix!$B$2:$D$4,MATCH(E1292,Risk_Matrix!$A$2:$A$4,0),MATCH(F1292,Risk_Matrix!$B$1:$D$1,0))</f>
        <v>High</v>
      </c>
      <c r="H1292" s="1">
        <v>46062</v>
      </c>
      <c r="I1292" t="s">
        <v>2025</v>
      </c>
      <c r="J1292" t="s">
        <v>2035</v>
      </c>
      <c r="K1292" t="s">
        <v>1998</v>
      </c>
      <c r="L1292">
        <f>IF(G1292="High",3,IF(G1292="Medium",2,1))</f>
        <v>3</v>
      </c>
    </row>
    <row r="1293" spans="1:12">
      <c r="A1293" t="s">
        <v>3319</v>
      </c>
      <c r="B1293" t="s">
        <v>1078</v>
      </c>
      <c r="C1293" t="s">
        <v>1991</v>
      </c>
      <c r="D1293" t="s">
        <v>2014</v>
      </c>
      <c r="E1293" t="s">
        <v>47</v>
      </c>
      <c r="F1293" t="s">
        <v>1971</v>
      </c>
      <c r="G1293" t="str">
        <f>INDEX(Risk_Matrix!$B$2:$D$4,MATCH(E1293,Risk_Matrix!$A$2:$A$4,0),MATCH(F1293,Risk_Matrix!$B$1:$D$1,0))</f>
        <v>High</v>
      </c>
      <c r="H1293" s="1">
        <v>46095</v>
      </c>
      <c r="I1293" t="s">
        <v>2025</v>
      </c>
      <c r="J1293" t="s">
        <v>2026</v>
      </c>
      <c r="K1293" t="s">
        <v>1993</v>
      </c>
      <c r="L1293">
        <f>IF(G1293="High",3,IF(G1293="Medium",2,1))</f>
        <v>3</v>
      </c>
    </row>
    <row r="1294" spans="1:12">
      <c r="A1294" t="s">
        <v>3320</v>
      </c>
      <c r="B1294" t="s">
        <v>1078</v>
      </c>
      <c r="C1294" t="s">
        <v>1995</v>
      </c>
      <c r="D1294" t="s">
        <v>1996</v>
      </c>
      <c r="E1294" t="s">
        <v>57</v>
      </c>
      <c r="F1294" t="s">
        <v>57</v>
      </c>
      <c r="G1294" t="str">
        <f>INDEX(Risk_Matrix!$B$2:$D$4,MATCH(E1294,Risk_Matrix!$A$2:$A$4,0),MATCH(F1294,Risk_Matrix!$B$1:$D$1,0))</f>
        <v>Low</v>
      </c>
      <c r="H1294" s="1">
        <v>46224</v>
      </c>
      <c r="I1294" t="s">
        <v>2015</v>
      </c>
      <c r="J1294" t="s">
        <v>2032</v>
      </c>
      <c r="K1294" t="s">
        <v>2036</v>
      </c>
      <c r="L1294">
        <f>IF(G1294="High",3,IF(G1294="Medium",2,1))</f>
        <v>1</v>
      </c>
    </row>
    <row r="1295" spans="1:12">
      <c r="A1295" t="s">
        <v>3321</v>
      </c>
      <c r="B1295" t="s">
        <v>1078</v>
      </c>
      <c r="C1295" t="s">
        <v>2000</v>
      </c>
      <c r="D1295" t="s">
        <v>2001</v>
      </c>
      <c r="E1295" t="s">
        <v>57</v>
      </c>
      <c r="F1295" t="s">
        <v>1971</v>
      </c>
      <c r="G1295" t="str">
        <f>INDEX(Risk_Matrix!$B$2:$D$4,MATCH(E1295,Risk_Matrix!$A$2:$A$4,0),MATCH(F1295,Risk_Matrix!$B$1:$D$1,0))</f>
        <v>Low</v>
      </c>
      <c r="H1295" s="1">
        <v>46206</v>
      </c>
      <c r="I1295" t="s">
        <v>1987</v>
      </c>
      <c r="J1295" t="s">
        <v>1997</v>
      </c>
      <c r="K1295" t="s">
        <v>1993</v>
      </c>
      <c r="L1295">
        <f>IF(G1295="High",3,IF(G1295="Medium",2,1))</f>
        <v>1</v>
      </c>
    </row>
    <row r="1296" spans="1:12">
      <c r="A1296" t="s">
        <v>3322</v>
      </c>
      <c r="B1296" t="s">
        <v>1078</v>
      </c>
      <c r="C1296" t="s">
        <v>2005</v>
      </c>
      <c r="D1296" t="s">
        <v>2039</v>
      </c>
      <c r="E1296" t="s">
        <v>1971</v>
      </c>
      <c r="F1296" t="s">
        <v>1971</v>
      </c>
      <c r="G1296" t="str">
        <f>INDEX(Risk_Matrix!$B$2:$D$4,MATCH(E1296,Risk_Matrix!$A$2:$A$4,0),MATCH(F1296,Risk_Matrix!$B$1:$D$1,0))</f>
        <v>Medium</v>
      </c>
      <c r="H1296" s="1">
        <v>46074</v>
      </c>
      <c r="I1296" t="s">
        <v>2025</v>
      </c>
      <c r="J1296" t="s">
        <v>2035</v>
      </c>
      <c r="K1296" t="s">
        <v>2036</v>
      </c>
      <c r="L1296">
        <f>IF(G1296="High",3,IF(G1296="Medium",2,1))</f>
        <v>2</v>
      </c>
    </row>
    <row r="1297" spans="1:12">
      <c r="A1297" t="s">
        <v>3323</v>
      </c>
      <c r="B1297" t="s">
        <v>1078</v>
      </c>
      <c r="C1297" t="s">
        <v>2008</v>
      </c>
      <c r="D1297" t="s">
        <v>2009</v>
      </c>
      <c r="E1297" t="s">
        <v>57</v>
      </c>
      <c r="F1297" t="s">
        <v>57</v>
      </c>
      <c r="G1297" t="str">
        <f>INDEX(Risk_Matrix!$B$2:$D$4,MATCH(E1297,Risk_Matrix!$A$2:$A$4,0),MATCH(F1297,Risk_Matrix!$B$1:$D$1,0))</f>
        <v>Low</v>
      </c>
      <c r="H1297" s="1">
        <v>46077</v>
      </c>
      <c r="I1297" t="s">
        <v>2002</v>
      </c>
      <c r="J1297" t="s">
        <v>2003</v>
      </c>
      <c r="K1297" t="s">
        <v>2010</v>
      </c>
      <c r="L1297">
        <f>IF(G1297="High",3,IF(G1297="Medium",2,1))</f>
        <v>1</v>
      </c>
    </row>
    <row r="1298" spans="1:12">
      <c r="A1298" t="s">
        <v>3324</v>
      </c>
      <c r="B1298" t="s">
        <v>1079</v>
      </c>
      <c r="C1298" t="s">
        <v>1985</v>
      </c>
      <c r="D1298" t="s">
        <v>2062</v>
      </c>
      <c r="E1298" t="s">
        <v>57</v>
      </c>
      <c r="F1298" t="s">
        <v>1971</v>
      </c>
      <c r="G1298" t="str">
        <f>INDEX(Risk_Matrix!$B$2:$D$4,MATCH(E1298,Risk_Matrix!$A$2:$A$4,0),MATCH(F1298,Risk_Matrix!$B$1:$D$1,0))</f>
        <v>Low</v>
      </c>
      <c r="H1298" s="1">
        <v>46154</v>
      </c>
      <c r="I1298" t="s">
        <v>1987</v>
      </c>
      <c r="J1298" t="s">
        <v>1997</v>
      </c>
      <c r="K1298" t="s">
        <v>1989</v>
      </c>
      <c r="L1298">
        <f>IF(G1298="High",3,IF(G1298="Medium",2,1))</f>
        <v>1</v>
      </c>
    </row>
    <row r="1299" spans="1:12">
      <c r="A1299" t="s">
        <v>3325</v>
      </c>
      <c r="B1299" t="s">
        <v>1079</v>
      </c>
      <c r="C1299" t="s">
        <v>1991</v>
      </c>
      <c r="D1299" t="s">
        <v>2064</v>
      </c>
      <c r="E1299" t="s">
        <v>1971</v>
      </c>
      <c r="F1299" t="s">
        <v>1971</v>
      </c>
      <c r="G1299" t="str">
        <f>INDEX(Risk_Matrix!$B$2:$D$4,MATCH(E1299,Risk_Matrix!$A$2:$A$4,0),MATCH(F1299,Risk_Matrix!$B$1:$D$1,0))</f>
        <v>Medium</v>
      </c>
      <c r="H1299" s="1">
        <v>46157</v>
      </c>
      <c r="I1299" t="s">
        <v>2015</v>
      </c>
      <c r="J1299" t="s">
        <v>2016</v>
      </c>
      <c r="K1299" t="s">
        <v>1993</v>
      </c>
      <c r="L1299">
        <f>IF(G1299="High",3,IF(G1299="Medium",2,1))</f>
        <v>2</v>
      </c>
    </row>
    <row r="1300" spans="1:12">
      <c r="A1300" t="s">
        <v>3326</v>
      </c>
      <c r="B1300" t="s">
        <v>1079</v>
      </c>
      <c r="C1300" t="s">
        <v>1995</v>
      </c>
      <c r="D1300" t="s">
        <v>1996</v>
      </c>
      <c r="E1300" t="s">
        <v>57</v>
      </c>
      <c r="F1300" t="s">
        <v>57</v>
      </c>
      <c r="G1300" t="str">
        <f>INDEX(Risk_Matrix!$B$2:$D$4,MATCH(E1300,Risk_Matrix!$A$2:$A$4,0),MATCH(F1300,Risk_Matrix!$B$1:$D$1,0))</f>
        <v>Low</v>
      </c>
      <c r="H1300" s="1">
        <v>46166</v>
      </c>
      <c r="I1300" t="s">
        <v>2025</v>
      </c>
      <c r="J1300" t="s">
        <v>2035</v>
      </c>
      <c r="K1300" t="s">
        <v>2036</v>
      </c>
      <c r="L1300">
        <f>IF(G1300="High",3,IF(G1300="Medium",2,1))</f>
        <v>1</v>
      </c>
    </row>
    <row r="1301" spans="1:12">
      <c r="A1301" t="s">
        <v>3327</v>
      </c>
      <c r="B1301" t="s">
        <v>1079</v>
      </c>
      <c r="C1301" t="s">
        <v>2000</v>
      </c>
      <c r="D1301" t="s">
        <v>2020</v>
      </c>
      <c r="E1301" t="s">
        <v>47</v>
      </c>
      <c r="F1301" t="s">
        <v>57</v>
      </c>
      <c r="G1301" t="str">
        <f>INDEX(Risk_Matrix!$B$2:$D$4,MATCH(E1301,Risk_Matrix!$A$2:$A$4,0),MATCH(F1301,Risk_Matrix!$B$1:$D$1,0))</f>
        <v>Medium</v>
      </c>
      <c r="H1301" s="1">
        <v>46211</v>
      </c>
      <c r="I1301" t="s">
        <v>2015</v>
      </c>
      <c r="J1301" t="s">
        <v>2032</v>
      </c>
      <c r="K1301" t="s">
        <v>1993</v>
      </c>
      <c r="L1301">
        <f>IF(G1301="High",3,IF(G1301="Medium",2,1))</f>
        <v>2</v>
      </c>
    </row>
    <row r="1302" spans="1:12">
      <c r="A1302" t="s">
        <v>3328</v>
      </c>
      <c r="B1302" t="s">
        <v>1079</v>
      </c>
      <c r="C1302" t="s">
        <v>2005</v>
      </c>
      <c r="D1302" t="s">
        <v>2022</v>
      </c>
      <c r="E1302" t="s">
        <v>1971</v>
      </c>
      <c r="F1302" t="s">
        <v>1971</v>
      </c>
      <c r="G1302" t="str">
        <f>INDEX(Risk_Matrix!$B$2:$D$4,MATCH(E1302,Risk_Matrix!$A$2:$A$4,0),MATCH(F1302,Risk_Matrix!$B$1:$D$1,0))</f>
        <v>Medium</v>
      </c>
      <c r="H1302" s="1">
        <v>46155</v>
      </c>
      <c r="I1302" t="s">
        <v>2025</v>
      </c>
      <c r="J1302" t="s">
        <v>2026</v>
      </c>
      <c r="K1302" t="s">
        <v>2036</v>
      </c>
      <c r="L1302">
        <f>IF(G1302="High",3,IF(G1302="Medium",2,1))</f>
        <v>2</v>
      </c>
    </row>
    <row r="1303" spans="1:12">
      <c r="A1303" t="s">
        <v>3329</v>
      </c>
      <c r="B1303" t="s">
        <v>1079</v>
      </c>
      <c r="C1303" t="s">
        <v>2008</v>
      </c>
      <c r="D1303" t="s">
        <v>2024</v>
      </c>
      <c r="E1303" t="s">
        <v>1971</v>
      </c>
      <c r="F1303" t="s">
        <v>47</v>
      </c>
      <c r="G1303" t="str">
        <f>INDEX(Risk_Matrix!$B$2:$D$4,MATCH(E1303,Risk_Matrix!$A$2:$A$4,0),MATCH(F1303,Risk_Matrix!$B$1:$D$1,0))</f>
        <v>High</v>
      </c>
      <c r="H1303" s="1">
        <v>46198</v>
      </c>
      <c r="I1303" t="s">
        <v>2015</v>
      </c>
      <c r="J1303" t="s">
        <v>2016</v>
      </c>
      <c r="K1303" t="s">
        <v>2010</v>
      </c>
      <c r="L1303">
        <f>IF(G1303="High",3,IF(G1303="Medium",2,1))</f>
        <v>3</v>
      </c>
    </row>
    <row r="1304" spans="1:12">
      <c r="A1304" t="s">
        <v>3330</v>
      </c>
      <c r="B1304" t="s">
        <v>1080</v>
      </c>
      <c r="C1304" t="s">
        <v>1985</v>
      </c>
      <c r="D1304" t="s">
        <v>2012</v>
      </c>
      <c r="E1304" t="s">
        <v>1971</v>
      </c>
      <c r="F1304" t="s">
        <v>1971</v>
      </c>
      <c r="G1304" t="str">
        <f>INDEX(Risk_Matrix!$B$2:$D$4,MATCH(E1304,Risk_Matrix!$A$2:$A$4,0),MATCH(F1304,Risk_Matrix!$B$1:$D$1,0))</f>
        <v>Medium</v>
      </c>
      <c r="H1304" s="1">
        <v>46166</v>
      </c>
      <c r="I1304" t="s">
        <v>2015</v>
      </c>
      <c r="J1304" t="s">
        <v>2016</v>
      </c>
      <c r="K1304" t="s">
        <v>1989</v>
      </c>
      <c r="L1304">
        <f>IF(G1304="High",3,IF(G1304="Medium",2,1))</f>
        <v>2</v>
      </c>
    </row>
    <row r="1305" spans="1:12">
      <c r="A1305" t="s">
        <v>3331</v>
      </c>
      <c r="B1305" t="s">
        <v>1080</v>
      </c>
      <c r="C1305" t="s">
        <v>1991</v>
      </c>
      <c r="D1305" t="s">
        <v>2031</v>
      </c>
      <c r="E1305" t="s">
        <v>1971</v>
      </c>
      <c r="F1305" t="s">
        <v>57</v>
      </c>
      <c r="G1305" t="str">
        <f>INDEX(Risk_Matrix!$B$2:$D$4,MATCH(E1305,Risk_Matrix!$A$2:$A$4,0),MATCH(F1305,Risk_Matrix!$B$1:$D$1,0))</f>
        <v>Low</v>
      </c>
      <c r="H1305" s="1">
        <v>46205</v>
      </c>
      <c r="I1305" t="s">
        <v>1987</v>
      </c>
      <c r="J1305" t="s">
        <v>1997</v>
      </c>
      <c r="K1305" t="s">
        <v>1993</v>
      </c>
      <c r="L1305">
        <f>IF(G1305="High",3,IF(G1305="Medium",2,1))</f>
        <v>1</v>
      </c>
    </row>
    <row r="1306" spans="1:12">
      <c r="A1306" t="s">
        <v>3332</v>
      </c>
      <c r="B1306" t="s">
        <v>1080</v>
      </c>
      <c r="C1306" t="s">
        <v>1995</v>
      </c>
      <c r="D1306" t="s">
        <v>1996</v>
      </c>
      <c r="E1306" t="s">
        <v>57</v>
      </c>
      <c r="F1306" t="s">
        <v>1971</v>
      </c>
      <c r="G1306" t="str">
        <f>INDEX(Risk_Matrix!$B$2:$D$4,MATCH(E1306,Risk_Matrix!$A$2:$A$4,0),MATCH(F1306,Risk_Matrix!$B$1:$D$1,0))</f>
        <v>Low</v>
      </c>
      <c r="H1306" s="1">
        <v>46207</v>
      </c>
      <c r="I1306" t="s">
        <v>2002</v>
      </c>
      <c r="J1306" t="s">
        <v>2003</v>
      </c>
      <c r="K1306" t="s">
        <v>1998</v>
      </c>
      <c r="L1306">
        <f>IF(G1306="High",3,IF(G1306="Medium",2,1))</f>
        <v>1</v>
      </c>
    </row>
    <row r="1307" spans="1:12">
      <c r="A1307" t="s">
        <v>3333</v>
      </c>
      <c r="B1307" t="s">
        <v>1080</v>
      </c>
      <c r="C1307" t="s">
        <v>2000</v>
      </c>
      <c r="D1307" t="s">
        <v>2045</v>
      </c>
      <c r="E1307" t="s">
        <v>57</v>
      </c>
      <c r="F1307" t="s">
        <v>57</v>
      </c>
      <c r="G1307" t="str">
        <f>INDEX(Risk_Matrix!$B$2:$D$4,MATCH(E1307,Risk_Matrix!$A$2:$A$4,0),MATCH(F1307,Risk_Matrix!$B$1:$D$1,0))</f>
        <v>Low</v>
      </c>
      <c r="H1307" s="1">
        <v>46157</v>
      </c>
      <c r="I1307" t="s">
        <v>1987</v>
      </c>
      <c r="J1307" t="s">
        <v>1988</v>
      </c>
      <c r="K1307" t="s">
        <v>1993</v>
      </c>
      <c r="L1307">
        <f>IF(G1307="High",3,IF(G1307="Medium",2,1))</f>
        <v>1</v>
      </c>
    </row>
    <row r="1308" spans="1:12">
      <c r="A1308" t="s">
        <v>3334</v>
      </c>
      <c r="B1308" t="s">
        <v>1080</v>
      </c>
      <c r="C1308" t="s">
        <v>2005</v>
      </c>
      <c r="D1308" t="s">
        <v>2022</v>
      </c>
      <c r="E1308" t="s">
        <v>1971</v>
      </c>
      <c r="F1308" t="s">
        <v>1971</v>
      </c>
      <c r="G1308" t="str">
        <f>INDEX(Risk_Matrix!$B$2:$D$4,MATCH(E1308,Risk_Matrix!$A$2:$A$4,0),MATCH(F1308,Risk_Matrix!$B$1:$D$1,0))</f>
        <v>Medium</v>
      </c>
      <c r="H1308" s="1">
        <v>46224</v>
      </c>
      <c r="I1308" t="s">
        <v>2015</v>
      </c>
      <c r="J1308" t="s">
        <v>2016</v>
      </c>
      <c r="K1308" t="s">
        <v>1993</v>
      </c>
      <c r="L1308">
        <f>IF(G1308="High",3,IF(G1308="Medium",2,1))</f>
        <v>2</v>
      </c>
    </row>
    <row r="1309" spans="1:12">
      <c r="A1309" t="s">
        <v>3335</v>
      </c>
      <c r="B1309" t="s">
        <v>1080</v>
      </c>
      <c r="C1309" t="s">
        <v>2008</v>
      </c>
      <c r="D1309" t="s">
        <v>2009</v>
      </c>
      <c r="E1309" t="s">
        <v>57</v>
      </c>
      <c r="F1309" t="s">
        <v>57</v>
      </c>
      <c r="G1309" t="str">
        <f>INDEX(Risk_Matrix!$B$2:$D$4,MATCH(E1309,Risk_Matrix!$A$2:$A$4,0),MATCH(F1309,Risk_Matrix!$B$1:$D$1,0))</f>
        <v>Low</v>
      </c>
      <c r="H1309" s="1">
        <v>46056</v>
      </c>
      <c r="I1309" t="s">
        <v>2025</v>
      </c>
      <c r="J1309" t="s">
        <v>2026</v>
      </c>
      <c r="K1309" t="s">
        <v>2010</v>
      </c>
      <c r="L1309">
        <f>IF(G1309="High",3,IF(G1309="Medium",2,1))</f>
        <v>1</v>
      </c>
    </row>
    <row r="1310" spans="1:12">
      <c r="A1310" t="s">
        <v>3336</v>
      </c>
      <c r="B1310" t="s">
        <v>1082</v>
      </c>
      <c r="C1310" t="s">
        <v>1985</v>
      </c>
      <c r="D1310" t="s">
        <v>2012</v>
      </c>
      <c r="E1310" t="s">
        <v>1971</v>
      </c>
      <c r="F1310" t="s">
        <v>47</v>
      </c>
      <c r="G1310" t="str">
        <f>INDEX(Risk_Matrix!$B$2:$D$4,MATCH(E1310,Risk_Matrix!$A$2:$A$4,0),MATCH(F1310,Risk_Matrix!$B$1:$D$1,0))</f>
        <v>High</v>
      </c>
      <c r="H1310" s="1">
        <v>46201</v>
      </c>
      <c r="I1310" t="s">
        <v>2025</v>
      </c>
      <c r="J1310" t="s">
        <v>2035</v>
      </c>
      <c r="K1310" t="s">
        <v>1989</v>
      </c>
      <c r="L1310">
        <f>IF(G1310="High",3,IF(G1310="Medium",2,1))</f>
        <v>3</v>
      </c>
    </row>
    <row r="1311" spans="1:12">
      <c r="A1311" t="s">
        <v>3337</v>
      </c>
      <c r="B1311" t="s">
        <v>1082</v>
      </c>
      <c r="C1311" t="s">
        <v>1991</v>
      </c>
      <c r="D1311" t="s">
        <v>2064</v>
      </c>
      <c r="E1311" t="s">
        <v>1971</v>
      </c>
      <c r="F1311" t="s">
        <v>1971</v>
      </c>
      <c r="G1311" t="str">
        <f>INDEX(Risk_Matrix!$B$2:$D$4,MATCH(E1311,Risk_Matrix!$A$2:$A$4,0),MATCH(F1311,Risk_Matrix!$B$1:$D$1,0))</f>
        <v>Medium</v>
      </c>
      <c r="H1311" s="1">
        <v>46159</v>
      </c>
      <c r="I1311" t="s">
        <v>2015</v>
      </c>
      <c r="J1311" t="s">
        <v>2032</v>
      </c>
      <c r="K1311" t="s">
        <v>1993</v>
      </c>
      <c r="L1311">
        <f>IF(G1311="High",3,IF(G1311="Medium",2,1))</f>
        <v>2</v>
      </c>
    </row>
    <row r="1312" spans="1:12">
      <c r="A1312" t="s">
        <v>3338</v>
      </c>
      <c r="B1312" t="s">
        <v>1082</v>
      </c>
      <c r="C1312" t="s">
        <v>1995</v>
      </c>
      <c r="D1312" t="s">
        <v>2150</v>
      </c>
      <c r="E1312" t="s">
        <v>1971</v>
      </c>
      <c r="F1312" t="s">
        <v>47</v>
      </c>
      <c r="G1312" t="str">
        <f>INDEX(Risk_Matrix!$B$2:$D$4,MATCH(E1312,Risk_Matrix!$A$2:$A$4,0),MATCH(F1312,Risk_Matrix!$B$1:$D$1,0))</f>
        <v>High</v>
      </c>
      <c r="H1312" s="1">
        <v>46062</v>
      </c>
      <c r="I1312" t="s">
        <v>2025</v>
      </c>
      <c r="J1312" t="s">
        <v>2035</v>
      </c>
      <c r="K1312" t="s">
        <v>2036</v>
      </c>
      <c r="L1312">
        <f>IF(G1312="High",3,IF(G1312="Medium",2,1))</f>
        <v>3</v>
      </c>
    </row>
    <row r="1313" spans="1:12">
      <c r="A1313" t="s">
        <v>3339</v>
      </c>
      <c r="B1313" t="s">
        <v>1082</v>
      </c>
      <c r="C1313" t="s">
        <v>2000</v>
      </c>
      <c r="D1313" t="s">
        <v>2001</v>
      </c>
      <c r="E1313" t="s">
        <v>57</v>
      </c>
      <c r="F1313" t="s">
        <v>57</v>
      </c>
      <c r="G1313" t="str">
        <f>INDEX(Risk_Matrix!$B$2:$D$4,MATCH(E1313,Risk_Matrix!$A$2:$A$4,0),MATCH(F1313,Risk_Matrix!$B$1:$D$1,0))</f>
        <v>Low</v>
      </c>
      <c r="H1313" s="1">
        <v>46181</v>
      </c>
      <c r="I1313" t="s">
        <v>1987</v>
      </c>
      <c r="J1313" t="s">
        <v>1997</v>
      </c>
      <c r="K1313" t="s">
        <v>1989</v>
      </c>
      <c r="L1313">
        <f>IF(G1313="High",3,IF(G1313="Medium",2,1))</f>
        <v>1</v>
      </c>
    </row>
    <row r="1314" spans="1:12">
      <c r="A1314" t="s">
        <v>3340</v>
      </c>
      <c r="B1314" t="s">
        <v>1082</v>
      </c>
      <c r="C1314" t="s">
        <v>2005</v>
      </c>
      <c r="D1314" t="s">
        <v>2022</v>
      </c>
      <c r="E1314" t="s">
        <v>57</v>
      </c>
      <c r="F1314" t="s">
        <v>57</v>
      </c>
      <c r="G1314" t="str">
        <f>INDEX(Risk_Matrix!$B$2:$D$4,MATCH(E1314,Risk_Matrix!$A$2:$A$4,0),MATCH(F1314,Risk_Matrix!$B$1:$D$1,0))</f>
        <v>Low</v>
      </c>
      <c r="H1314" s="1">
        <v>46177</v>
      </c>
      <c r="I1314" t="s">
        <v>2025</v>
      </c>
      <c r="J1314" t="s">
        <v>2035</v>
      </c>
      <c r="K1314" t="s">
        <v>1993</v>
      </c>
      <c r="L1314">
        <f>IF(G1314="High",3,IF(G1314="Medium",2,1))</f>
        <v>1</v>
      </c>
    </row>
    <row r="1315" spans="1:12">
      <c r="A1315" t="s">
        <v>3341</v>
      </c>
      <c r="B1315" t="s">
        <v>1082</v>
      </c>
      <c r="C1315" t="s">
        <v>2008</v>
      </c>
      <c r="D1315" t="s">
        <v>2054</v>
      </c>
      <c r="E1315" t="s">
        <v>57</v>
      </c>
      <c r="F1315" t="s">
        <v>47</v>
      </c>
      <c r="G1315" t="str">
        <f>INDEX(Risk_Matrix!$B$2:$D$4,MATCH(E1315,Risk_Matrix!$A$2:$A$4,0),MATCH(F1315,Risk_Matrix!$B$1:$D$1,0))</f>
        <v>Medium</v>
      </c>
      <c r="H1315" s="1">
        <v>46162</v>
      </c>
      <c r="I1315" t="s">
        <v>2015</v>
      </c>
      <c r="J1315" t="s">
        <v>2032</v>
      </c>
      <c r="K1315" t="s">
        <v>2010</v>
      </c>
      <c r="L1315">
        <f>IF(G1315="High",3,IF(G1315="Medium",2,1))</f>
        <v>2</v>
      </c>
    </row>
    <row r="1316" spans="1:12">
      <c r="A1316" t="s">
        <v>3342</v>
      </c>
      <c r="B1316" t="s">
        <v>1084</v>
      </c>
      <c r="C1316" t="s">
        <v>1985</v>
      </c>
      <c r="D1316" t="s">
        <v>1986</v>
      </c>
      <c r="E1316" t="s">
        <v>47</v>
      </c>
      <c r="F1316" t="s">
        <v>1971</v>
      </c>
      <c r="G1316" t="str">
        <f>INDEX(Risk_Matrix!$B$2:$D$4,MATCH(E1316,Risk_Matrix!$A$2:$A$4,0),MATCH(F1316,Risk_Matrix!$B$1:$D$1,0))</f>
        <v>High</v>
      </c>
      <c r="H1316" s="1">
        <v>46217</v>
      </c>
      <c r="I1316" t="s">
        <v>2015</v>
      </c>
      <c r="J1316" t="s">
        <v>2016</v>
      </c>
      <c r="K1316" t="s">
        <v>1998</v>
      </c>
      <c r="L1316">
        <f>IF(G1316="High",3,IF(G1316="Medium",2,1))</f>
        <v>3</v>
      </c>
    </row>
    <row r="1317" spans="1:12">
      <c r="A1317" t="s">
        <v>3343</v>
      </c>
      <c r="B1317" t="s">
        <v>1084</v>
      </c>
      <c r="C1317" t="s">
        <v>1991</v>
      </c>
      <c r="D1317" t="s">
        <v>1992</v>
      </c>
      <c r="E1317" t="s">
        <v>57</v>
      </c>
      <c r="F1317" t="s">
        <v>57</v>
      </c>
      <c r="G1317" t="str">
        <f>INDEX(Risk_Matrix!$B$2:$D$4,MATCH(E1317,Risk_Matrix!$A$2:$A$4,0),MATCH(F1317,Risk_Matrix!$B$1:$D$1,0))</f>
        <v>Low</v>
      </c>
      <c r="H1317" s="1">
        <v>46179</v>
      </c>
      <c r="I1317" t="s">
        <v>2002</v>
      </c>
      <c r="J1317" t="s">
        <v>2003</v>
      </c>
      <c r="K1317" t="s">
        <v>2010</v>
      </c>
      <c r="L1317">
        <f>IF(G1317="High",3,IF(G1317="Medium",2,1))</f>
        <v>1</v>
      </c>
    </row>
    <row r="1318" spans="1:12">
      <c r="A1318" t="s">
        <v>3344</v>
      </c>
      <c r="B1318" t="s">
        <v>1084</v>
      </c>
      <c r="C1318" t="s">
        <v>1995</v>
      </c>
      <c r="D1318" t="s">
        <v>2150</v>
      </c>
      <c r="E1318" t="s">
        <v>57</v>
      </c>
      <c r="F1318" t="s">
        <v>57</v>
      </c>
      <c r="G1318" t="str">
        <f>INDEX(Risk_Matrix!$B$2:$D$4,MATCH(E1318,Risk_Matrix!$A$2:$A$4,0),MATCH(F1318,Risk_Matrix!$B$1:$D$1,0))</f>
        <v>Low</v>
      </c>
      <c r="H1318" s="1">
        <v>46141</v>
      </c>
      <c r="I1318" t="s">
        <v>2025</v>
      </c>
      <c r="J1318" t="s">
        <v>2026</v>
      </c>
      <c r="K1318" t="s">
        <v>2036</v>
      </c>
      <c r="L1318">
        <f>IF(G1318="High",3,IF(G1318="Medium",2,1))</f>
        <v>1</v>
      </c>
    </row>
    <row r="1319" spans="1:12">
      <c r="A1319" t="s">
        <v>3345</v>
      </c>
      <c r="B1319" t="s">
        <v>1084</v>
      </c>
      <c r="C1319" t="s">
        <v>2000</v>
      </c>
      <c r="D1319" t="s">
        <v>2045</v>
      </c>
      <c r="E1319" t="s">
        <v>57</v>
      </c>
      <c r="F1319" t="s">
        <v>57</v>
      </c>
      <c r="G1319" t="str">
        <f>INDEX(Risk_Matrix!$B$2:$D$4,MATCH(E1319,Risk_Matrix!$A$2:$A$4,0),MATCH(F1319,Risk_Matrix!$B$1:$D$1,0))</f>
        <v>Low</v>
      </c>
      <c r="H1319" s="1">
        <v>46187</v>
      </c>
      <c r="I1319" t="s">
        <v>2015</v>
      </c>
      <c r="J1319" t="s">
        <v>2032</v>
      </c>
      <c r="K1319" t="s">
        <v>1993</v>
      </c>
      <c r="L1319">
        <f>IF(G1319="High",3,IF(G1319="Medium",2,1))</f>
        <v>1</v>
      </c>
    </row>
    <row r="1320" spans="1:12">
      <c r="A1320" t="s">
        <v>3346</v>
      </c>
      <c r="B1320" t="s">
        <v>1084</v>
      </c>
      <c r="C1320" t="s">
        <v>2005</v>
      </c>
      <c r="D1320" t="s">
        <v>2022</v>
      </c>
      <c r="E1320" t="s">
        <v>47</v>
      </c>
      <c r="F1320" t="s">
        <v>57</v>
      </c>
      <c r="G1320" t="str">
        <f>INDEX(Risk_Matrix!$B$2:$D$4,MATCH(E1320,Risk_Matrix!$A$2:$A$4,0),MATCH(F1320,Risk_Matrix!$B$1:$D$1,0))</f>
        <v>Medium</v>
      </c>
      <c r="H1320" s="1">
        <v>46108</v>
      </c>
      <c r="I1320" t="s">
        <v>2025</v>
      </c>
      <c r="J1320" t="s">
        <v>2035</v>
      </c>
      <c r="K1320" t="s">
        <v>1993</v>
      </c>
      <c r="L1320">
        <f>IF(G1320="High",3,IF(G1320="Medium",2,1))</f>
        <v>2</v>
      </c>
    </row>
    <row r="1321" spans="1:12">
      <c r="A1321" t="s">
        <v>3347</v>
      </c>
      <c r="B1321" t="s">
        <v>1084</v>
      </c>
      <c r="C1321" t="s">
        <v>2008</v>
      </c>
      <c r="D1321" t="s">
        <v>2054</v>
      </c>
      <c r="E1321" t="s">
        <v>47</v>
      </c>
      <c r="F1321" t="s">
        <v>47</v>
      </c>
      <c r="G1321" t="str">
        <f>INDEX(Risk_Matrix!$B$2:$D$4,MATCH(E1321,Risk_Matrix!$A$2:$A$4,0),MATCH(F1321,Risk_Matrix!$B$1:$D$1,0))</f>
        <v>High</v>
      </c>
      <c r="H1321" s="1">
        <v>46216</v>
      </c>
      <c r="I1321" t="s">
        <v>2025</v>
      </c>
      <c r="J1321" t="s">
        <v>2035</v>
      </c>
      <c r="K1321" t="s">
        <v>2010</v>
      </c>
      <c r="L1321">
        <f>IF(G1321="High",3,IF(G1321="Medium",2,1))</f>
        <v>3</v>
      </c>
    </row>
    <row r="1322" spans="1:12">
      <c r="A1322" t="s">
        <v>3348</v>
      </c>
      <c r="B1322" t="s">
        <v>1086</v>
      </c>
      <c r="C1322" t="s">
        <v>1985</v>
      </c>
      <c r="D1322" t="s">
        <v>2028</v>
      </c>
      <c r="E1322" t="s">
        <v>1971</v>
      </c>
      <c r="F1322" t="s">
        <v>47</v>
      </c>
      <c r="G1322" t="str">
        <f>INDEX(Risk_Matrix!$B$2:$D$4,MATCH(E1322,Risk_Matrix!$A$2:$A$4,0),MATCH(F1322,Risk_Matrix!$B$1:$D$1,0))</f>
        <v>High</v>
      </c>
      <c r="H1322" s="1">
        <v>46233</v>
      </c>
      <c r="I1322" t="s">
        <v>2015</v>
      </c>
      <c r="J1322" t="s">
        <v>2016</v>
      </c>
      <c r="K1322" t="s">
        <v>1989</v>
      </c>
      <c r="L1322">
        <f>IF(G1322="High",3,IF(G1322="Medium",2,1))</f>
        <v>3</v>
      </c>
    </row>
    <row r="1323" spans="1:12">
      <c r="A1323" t="s">
        <v>3349</v>
      </c>
      <c r="B1323" t="s">
        <v>1086</v>
      </c>
      <c r="C1323" t="s">
        <v>1991</v>
      </c>
      <c r="D1323" t="s">
        <v>1992</v>
      </c>
      <c r="E1323" t="s">
        <v>47</v>
      </c>
      <c r="F1323" t="s">
        <v>57</v>
      </c>
      <c r="G1323" t="str">
        <f>INDEX(Risk_Matrix!$B$2:$D$4,MATCH(E1323,Risk_Matrix!$A$2:$A$4,0),MATCH(F1323,Risk_Matrix!$B$1:$D$1,0))</f>
        <v>Medium</v>
      </c>
      <c r="H1323" s="1">
        <v>46207</v>
      </c>
      <c r="I1323" t="s">
        <v>2015</v>
      </c>
      <c r="J1323" t="s">
        <v>2032</v>
      </c>
      <c r="K1323" t="s">
        <v>2010</v>
      </c>
      <c r="L1323">
        <f>IF(G1323="High",3,IF(G1323="Medium",2,1))</f>
        <v>2</v>
      </c>
    </row>
    <row r="1324" spans="1:12">
      <c r="A1324" t="s">
        <v>3350</v>
      </c>
      <c r="B1324" t="s">
        <v>1086</v>
      </c>
      <c r="C1324" t="s">
        <v>1995</v>
      </c>
      <c r="D1324" t="s">
        <v>2150</v>
      </c>
      <c r="E1324" t="s">
        <v>1971</v>
      </c>
      <c r="F1324" t="s">
        <v>47</v>
      </c>
      <c r="G1324" t="str">
        <f>INDEX(Risk_Matrix!$B$2:$D$4,MATCH(E1324,Risk_Matrix!$A$2:$A$4,0),MATCH(F1324,Risk_Matrix!$B$1:$D$1,0))</f>
        <v>High</v>
      </c>
      <c r="H1324" s="1">
        <v>46080</v>
      </c>
      <c r="I1324" t="s">
        <v>2025</v>
      </c>
      <c r="J1324" t="s">
        <v>2035</v>
      </c>
      <c r="K1324" t="s">
        <v>1998</v>
      </c>
      <c r="L1324">
        <f>IF(G1324="High",3,IF(G1324="Medium",2,1))</f>
        <v>3</v>
      </c>
    </row>
    <row r="1325" spans="1:12">
      <c r="A1325" t="s">
        <v>3351</v>
      </c>
      <c r="B1325" t="s">
        <v>1086</v>
      </c>
      <c r="C1325" t="s">
        <v>2000</v>
      </c>
      <c r="D1325" t="s">
        <v>2020</v>
      </c>
      <c r="E1325" t="s">
        <v>57</v>
      </c>
      <c r="F1325" t="s">
        <v>47</v>
      </c>
      <c r="G1325" t="str">
        <f>INDEX(Risk_Matrix!$B$2:$D$4,MATCH(E1325,Risk_Matrix!$A$2:$A$4,0),MATCH(F1325,Risk_Matrix!$B$1:$D$1,0))</f>
        <v>Medium</v>
      </c>
      <c r="H1325" s="1">
        <v>46156</v>
      </c>
      <c r="I1325" t="s">
        <v>2015</v>
      </c>
      <c r="J1325" t="s">
        <v>2016</v>
      </c>
      <c r="K1325" t="s">
        <v>1989</v>
      </c>
      <c r="L1325">
        <f>IF(G1325="High",3,IF(G1325="Medium",2,1))</f>
        <v>2</v>
      </c>
    </row>
    <row r="1326" spans="1:12">
      <c r="A1326" t="s">
        <v>3352</v>
      </c>
      <c r="B1326" t="s">
        <v>1086</v>
      </c>
      <c r="C1326" t="s">
        <v>2005</v>
      </c>
      <c r="D1326" t="s">
        <v>2039</v>
      </c>
      <c r="E1326" t="s">
        <v>57</v>
      </c>
      <c r="F1326" t="s">
        <v>1971</v>
      </c>
      <c r="G1326" t="str">
        <f>INDEX(Risk_Matrix!$B$2:$D$4,MATCH(E1326,Risk_Matrix!$A$2:$A$4,0),MATCH(F1326,Risk_Matrix!$B$1:$D$1,0))</f>
        <v>Low</v>
      </c>
      <c r="H1326" s="1">
        <v>46176</v>
      </c>
      <c r="I1326" t="s">
        <v>1987</v>
      </c>
      <c r="J1326" t="s">
        <v>1988</v>
      </c>
      <c r="K1326" t="s">
        <v>1993</v>
      </c>
      <c r="L1326">
        <f>IF(G1326="High",3,IF(G1326="Medium",2,1))</f>
        <v>1</v>
      </c>
    </row>
    <row r="1327" spans="1:12">
      <c r="A1327" t="s">
        <v>3353</v>
      </c>
      <c r="B1327" t="s">
        <v>1086</v>
      </c>
      <c r="C1327" t="s">
        <v>2008</v>
      </c>
      <c r="D1327" t="s">
        <v>2054</v>
      </c>
      <c r="E1327" t="s">
        <v>57</v>
      </c>
      <c r="F1327" t="s">
        <v>57</v>
      </c>
      <c r="G1327" t="str">
        <f>INDEX(Risk_Matrix!$B$2:$D$4,MATCH(E1327,Risk_Matrix!$A$2:$A$4,0),MATCH(F1327,Risk_Matrix!$B$1:$D$1,0))</f>
        <v>Low</v>
      </c>
      <c r="H1327" s="1">
        <v>46146</v>
      </c>
      <c r="I1327" t="s">
        <v>2002</v>
      </c>
      <c r="J1327" t="s">
        <v>2003</v>
      </c>
      <c r="K1327" t="s">
        <v>2010</v>
      </c>
      <c r="L1327">
        <f>IF(G1327="High",3,IF(G1327="Medium",2,1))</f>
        <v>1</v>
      </c>
    </row>
    <row r="1328" spans="1:12">
      <c r="A1328" t="s">
        <v>3354</v>
      </c>
      <c r="B1328" t="s">
        <v>1088</v>
      </c>
      <c r="C1328" t="s">
        <v>1985</v>
      </c>
      <c r="D1328" t="s">
        <v>1986</v>
      </c>
      <c r="E1328" t="s">
        <v>47</v>
      </c>
      <c r="F1328" t="s">
        <v>1971</v>
      </c>
      <c r="G1328" t="str">
        <f>INDEX(Risk_Matrix!$B$2:$D$4,MATCH(E1328,Risk_Matrix!$A$2:$A$4,0),MATCH(F1328,Risk_Matrix!$B$1:$D$1,0))</f>
        <v>High</v>
      </c>
      <c r="H1328" s="1">
        <v>46099</v>
      </c>
      <c r="I1328" t="s">
        <v>2025</v>
      </c>
      <c r="J1328" t="s">
        <v>2026</v>
      </c>
      <c r="K1328" t="s">
        <v>1998</v>
      </c>
      <c r="L1328">
        <f>IF(G1328="High",3,IF(G1328="Medium",2,1))</f>
        <v>3</v>
      </c>
    </row>
    <row r="1329" spans="1:12">
      <c r="A1329" t="s">
        <v>3355</v>
      </c>
      <c r="B1329" t="s">
        <v>1088</v>
      </c>
      <c r="C1329" t="s">
        <v>1991</v>
      </c>
      <c r="D1329" t="s">
        <v>2031</v>
      </c>
      <c r="E1329" t="s">
        <v>57</v>
      </c>
      <c r="F1329" t="s">
        <v>57</v>
      </c>
      <c r="G1329" t="str">
        <f>INDEX(Risk_Matrix!$B$2:$D$4,MATCH(E1329,Risk_Matrix!$A$2:$A$4,0),MATCH(F1329,Risk_Matrix!$B$1:$D$1,0))</f>
        <v>Low</v>
      </c>
      <c r="H1329" s="1">
        <v>46147</v>
      </c>
      <c r="I1329" t="s">
        <v>2025</v>
      </c>
      <c r="J1329" t="s">
        <v>2035</v>
      </c>
      <c r="K1329" t="s">
        <v>2010</v>
      </c>
      <c r="L1329">
        <f>IF(G1329="High",3,IF(G1329="Medium",2,1))</f>
        <v>1</v>
      </c>
    </row>
    <row r="1330" spans="1:12">
      <c r="A1330" t="s">
        <v>3356</v>
      </c>
      <c r="B1330" t="s">
        <v>1088</v>
      </c>
      <c r="C1330" t="s">
        <v>1995</v>
      </c>
      <c r="D1330" t="s">
        <v>2018</v>
      </c>
      <c r="E1330" t="s">
        <v>1971</v>
      </c>
      <c r="F1330" t="s">
        <v>1971</v>
      </c>
      <c r="G1330" t="str">
        <f>INDEX(Risk_Matrix!$B$2:$D$4,MATCH(E1330,Risk_Matrix!$A$2:$A$4,0),MATCH(F1330,Risk_Matrix!$B$1:$D$1,0))</f>
        <v>Medium</v>
      </c>
      <c r="H1330" s="1">
        <v>46229</v>
      </c>
      <c r="I1330" t="s">
        <v>2015</v>
      </c>
      <c r="J1330" t="s">
        <v>2032</v>
      </c>
      <c r="K1330" t="s">
        <v>2036</v>
      </c>
      <c r="L1330">
        <f>IF(G1330="High",3,IF(G1330="Medium",2,1))</f>
        <v>2</v>
      </c>
    </row>
    <row r="1331" spans="1:12">
      <c r="A1331" t="s">
        <v>3357</v>
      </c>
      <c r="B1331" t="s">
        <v>1088</v>
      </c>
      <c r="C1331" t="s">
        <v>2000</v>
      </c>
      <c r="D1331" t="s">
        <v>2020</v>
      </c>
      <c r="E1331" t="s">
        <v>57</v>
      </c>
      <c r="F1331" t="s">
        <v>47</v>
      </c>
      <c r="G1331" t="str">
        <f>INDEX(Risk_Matrix!$B$2:$D$4,MATCH(E1331,Risk_Matrix!$A$2:$A$4,0),MATCH(F1331,Risk_Matrix!$B$1:$D$1,0))</f>
        <v>Medium</v>
      </c>
      <c r="H1331" s="1">
        <v>46197</v>
      </c>
      <c r="I1331" t="s">
        <v>2015</v>
      </c>
      <c r="J1331" t="s">
        <v>2032</v>
      </c>
      <c r="K1331" t="s">
        <v>1989</v>
      </c>
      <c r="L1331">
        <f>IF(G1331="High",3,IF(G1331="Medium",2,1))</f>
        <v>2</v>
      </c>
    </row>
    <row r="1332" spans="1:12">
      <c r="A1332" t="s">
        <v>3358</v>
      </c>
      <c r="B1332" t="s">
        <v>1088</v>
      </c>
      <c r="C1332" t="s">
        <v>2005</v>
      </c>
      <c r="D1332" t="s">
        <v>2006</v>
      </c>
      <c r="E1332" t="s">
        <v>47</v>
      </c>
      <c r="F1332" t="s">
        <v>1971</v>
      </c>
      <c r="G1332" t="str">
        <f>INDEX(Risk_Matrix!$B$2:$D$4,MATCH(E1332,Risk_Matrix!$A$2:$A$4,0),MATCH(F1332,Risk_Matrix!$B$1:$D$1,0))</f>
        <v>High</v>
      </c>
      <c r="H1332" s="1">
        <v>46172</v>
      </c>
      <c r="I1332" t="s">
        <v>2025</v>
      </c>
      <c r="J1332" t="s">
        <v>2035</v>
      </c>
      <c r="K1332" t="s">
        <v>2036</v>
      </c>
      <c r="L1332">
        <f>IF(G1332="High",3,IF(G1332="Medium",2,1))</f>
        <v>3</v>
      </c>
    </row>
    <row r="1333" spans="1:12">
      <c r="A1333" t="s">
        <v>3359</v>
      </c>
      <c r="B1333" t="s">
        <v>1088</v>
      </c>
      <c r="C1333" t="s">
        <v>2008</v>
      </c>
      <c r="D1333" t="s">
        <v>2009</v>
      </c>
      <c r="E1333" t="s">
        <v>57</v>
      </c>
      <c r="F1333" t="s">
        <v>57</v>
      </c>
      <c r="G1333" t="str">
        <f>INDEX(Risk_Matrix!$B$2:$D$4,MATCH(E1333,Risk_Matrix!$A$2:$A$4,0),MATCH(F1333,Risk_Matrix!$B$1:$D$1,0))</f>
        <v>Low</v>
      </c>
      <c r="H1333" s="1">
        <v>46140</v>
      </c>
      <c r="I1333" t="s">
        <v>2025</v>
      </c>
      <c r="J1333" t="s">
        <v>2026</v>
      </c>
      <c r="K1333" t="s">
        <v>2010</v>
      </c>
      <c r="L1333">
        <f>IF(G1333="High",3,IF(G1333="Medium",2,1))</f>
        <v>1</v>
      </c>
    </row>
    <row r="1334" spans="1:12">
      <c r="A1334" t="s">
        <v>3360</v>
      </c>
      <c r="B1334" t="s">
        <v>1090</v>
      </c>
      <c r="C1334" t="s">
        <v>1985</v>
      </c>
      <c r="D1334" t="s">
        <v>1986</v>
      </c>
      <c r="E1334" t="s">
        <v>47</v>
      </c>
      <c r="F1334" t="s">
        <v>57</v>
      </c>
      <c r="G1334" t="str">
        <f>INDEX(Risk_Matrix!$B$2:$D$4,MATCH(E1334,Risk_Matrix!$A$2:$A$4,0),MATCH(F1334,Risk_Matrix!$B$1:$D$1,0))</f>
        <v>Medium</v>
      </c>
      <c r="H1334" s="1">
        <v>46226</v>
      </c>
      <c r="I1334" t="s">
        <v>1987</v>
      </c>
      <c r="J1334" t="s">
        <v>1997</v>
      </c>
      <c r="K1334" t="s">
        <v>1998</v>
      </c>
      <c r="L1334">
        <f>IF(G1334="High",3,IF(G1334="Medium",2,1))</f>
        <v>2</v>
      </c>
    </row>
    <row r="1335" spans="1:12">
      <c r="A1335" t="s">
        <v>3361</v>
      </c>
      <c r="B1335" t="s">
        <v>1090</v>
      </c>
      <c r="C1335" t="s">
        <v>1991</v>
      </c>
      <c r="D1335" t="s">
        <v>2064</v>
      </c>
      <c r="E1335" t="s">
        <v>57</v>
      </c>
      <c r="F1335" t="s">
        <v>47</v>
      </c>
      <c r="G1335" t="str">
        <f>INDEX(Risk_Matrix!$B$2:$D$4,MATCH(E1335,Risk_Matrix!$A$2:$A$4,0),MATCH(F1335,Risk_Matrix!$B$1:$D$1,0))</f>
        <v>Medium</v>
      </c>
      <c r="H1335" s="1">
        <v>46191</v>
      </c>
      <c r="I1335" t="s">
        <v>1987</v>
      </c>
      <c r="J1335" t="s">
        <v>1988</v>
      </c>
      <c r="K1335" t="s">
        <v>2010</v>
      </c>
      <c r="L1335">
        <f>IF(G1335="High",3,IF(G1335="Medium",2,1))</f>
        <v>2</v>
      </c>
    </row>
    <row r="1336" spans="1:12">
      <c r="A1336" t="s">
        <v>3362</v>
      </c>
      <c r="B1336" t="s">
        <v>1090</v>
      </c>
      <c r="C1336" t="s">
        <v>1995</v>
      </c>
      <c r="D1336" t="s">
        <v>2150</v>
      </c>
      <c r="E1336" t="s">
        <v>57</v>
      </c>
      <c r="F1336" t="s">
        <v>57</v>
      </c>
      <c r="G1336" t="str">
        <f>INDEX(Risk_Matrix!$B$2:$D$4,MATCH(E1336,Risk_Matrix!$A$2:$A$4,0),MATCH(F1336,Risk_Matrix!$B$1:$D$1,0))</f>
        <v>Low</v>
      </c>
      <c r="H1336" s="1">
        <v>46227</v>
      </c>
      <c r="I1336" t="s">
        <v>2025</v>
      </c>
      <c r="J1336" t="s">
        <v>2035</v>
      </c>
      <c r="K1336" t="s">
        <v>2036</v>
      </c>
      <c r="L1336">
        <f>IF(G1336="High",3,IF(G1336="Medium",2,1))</f>
        <v>1</v>
      </c>
    </row>
    <row r="1337" spans="1:12">
      <c r="A1337" t="s">
        <v>3363</v>
      </c>
      <c r="B1337" t="s">
        <v>1090</v>
      </c>
      <c r="C1337" t="s">
        <v>2000</v>
      </c>
      <c r="D1337" t="s">
        <v>2001</v>
      </c>
      <c r="E1337" t="s">
        <v>1971</v>
      </c>
      <c r="F1337" t="s">
        <v>57</v>
      </c>
      <c r="G1337" t="str">
        <f>INDEX(Risk_Matrix!$B$2:$D$4,MATCH(E1337,Risk_Matrix!$A$2:$A$4,0),MATCH(F1337,Risk_Matrix!$B$1:$D$1,0))</f>
        <v>Low</v>
      </c>
      <c r="H1337" s="1">
        <v>46227</v>
      </c>
      <c r="I1337" t="s">
        <v>2015</v>
      </c>
      <c r="J1337" t="s">
        <v>2032</v>
      </c>
      <c r="K1337" t="s">
        <v>1993</v>
      </c>
      <c r="L1337">
        <f>IF(G1337="High",3,IF(G1337="Medium",2,1))</f>
        <v>1</v>
      </c>
    </row>
    <row r="1338" spans="1:12">
      <c r="A1338" t="s">
        <v>3364</v>
      </c>
      <c r="B1338" t="s">
        <v>1090</v>
      </c>
      <c r="C1338" t="s">
        <v>2005</v>
      </c>
      <c r="D1338" t="s">
        <v>2006</v>
      </c>
      <c r="E1338" t="s">
        <v>47</v>
      </c>
      <c r="F1338" t="s">
        <v>1971</v>
      </c>
      <c r="G1338" t="str">
        <f>INDEX(Risk_Matrix!$B$2:$D$4,MATCH(E1338,Risk_Matrix!$A$2:$A$4,0),MATCH(F1338,Risk_Matrix!$B$1:$D$1,0))</f>
        <v>High</v>
      </c>
      <c r="H1338" s="1">
        <v>46213</v>
      </c>
      <c r="I1338" t="s">
        <v>2015</v>
      </c>
      <c r="J1338" t="s">
        <v>2032</v>
      </c>
      <c r="K1338" t="s">
        <v>1993</v>
      </c>
      <c r="L1338">
        <f>IF(G1338="High",3,IF(G1338="Medium",2,1))</f>
        <v>3</v>
      </c>
    </row>
    <row r="1339" spans="1:12">
      <c r="A1339" t="s">
        <v>3365</v>
      </c>
      <c r="B1339" t="s">
        <v>1090</v>
      </c>
      <c r="C1339" t="s">
        <v>2008</v>
      </c>
      <c r="D1339" t="s">
        <v>2024</v>
      </c>
      <c r="E1339" t="s">
        <v>1971</v>
      </c>
      <c r="F1339" t="s">
        <v>57</v>
      </c>
      <c r="G1339" t="str">
        <f>INDEX(Risk_Matrix!$B$2:$D$4,MATCH(E1339,Risk_Matrix!$A$2:$A$4,0),MATCH(F1339,Risk_Matrix!$B$1:$D$1,0))</f>
        <v>Low</v>
      </c>
      <c r="H1339" s="1">
        <v>46088</v>
      </c>
      <c r="I1339" t="s">
        <v>1987</v>
      </c>
      <c r="J1339" t="s">
        <v>1997</v>
      </c>
      <c r="K1339" t="s">
        <v>2010</v>
      </c>
      <c r="L1339">
        <f>IF(G1339="High",3,IF(G1339="Medium",2,1))</f>
        <v>1</v>
      </c>
    </row>
    <row r="1340" spans="1:12">
      <c r="A1340" t="s">
        <v>3366</v>
      </c>
      <c r="B1340" t="s">
        <v>1092</v>
      </c>
      <c r="C1340" t="s">
        <v>1985</v>
      </c>
      <c r="D1340" t="s">
        <v>2062</v>
      </c>
      <c r="E1340" t="s">
        <v>47</v>
      </c>
      <c r="F1340" t="s">
        <v>1971</v>
      </c>
      <c r="G1340" t="str">
        <f>INDEX(Risk_Matrix!$B$2:$D$4,MATCH(E1340,Risk_Matrix!$A$2:$A$4,0),MATCH(F1340,Risk_Matrix!$B$1:$D$1,0))</f>
        <v>High</v>
      </c>
      <c r="H1340" s="1">
        <v>46175</v>
      </c>
      <c r="I1340" t="s">
        <v>2015</v>
      </c>
      <c r="J1340" t="s">
        <v>2016</v>
      </c>
      <c r="K1340" t="s">
        <v>1989</v>
      </c>
      <c r="L1340">
        <f>IF(G1340="High",3,IF(G1340="Medium",2,1))</f>
        <v>3</v>
      </c>
    </row>
    <row r="1341" spans="1:12">
      <c r="A1341" t="s">
        <v>3367</v>
      </c>
      <c r="B1341" t="s">
        <v>1092</v>
      </c>
      <c r="C1341" t="s">
        <v>1991</v>
      </c>
      <c r="D1341" t="s">
        <v>2014</v>
      </c>
      <c r="E1341" t="s">
        <v>57</v>
      </c>
      <c r="F1341" t="s">
        <v>1971</v>
      </c>
      <c r="G1341" t="str">
        <f>INDEX(Risk_Matrix!$B$2:$D$4,MATCH(E1341,Risk_Matrix!$A$2:$A$4,0),MATCH(F1341,Risk_Matrix!$B$1:$D$1,0))</f>
        <v>Low</v>
      </c>
      <c r="H1341" s="1">
        <v>46123</v>
      </c>
      <c r="I1341" t="s">
        <v>2025</v>
      </c>
      <c r="J1341" t="s">
        <v>2026</v>
      </c>
      <c r="K1341" t="s">
        <v>1993</v>
      </c>
      <c r="L1341">
        <f>IF(G1341="High",3,IF(G1341="Medium",2,1))</f>
        <v>1</v>
      </c>
    </row>
    <row r="1342" spans="1:12">
      <c r="A1342" t="s">
        <v>3368</v>
      </c>
      <c r="B1342" t="s">
        <v>1092</v>
      </c>
      <c r="C1342" t="s">
        <v>1995</v>
      </c>
      <c r="D1342" t="s">
        <v>2034</v>
      </c>
      <c r="E1342" t="s">
        <v>57</v>
      </c>
      <c r="F1342" t="s">
        <v>57</v>
      </c>
      <c r="G1342" t="str">
        <f>INDEX(Risk_Matrix!$B$2:$D$4,MATCH(E1342,Risk_Matrix!$A$2:$A$4,0),MATCH(F1342,Risk_Matrix!$B$1:$D$1,0))</f>
        <v>Low</v>
      </c>
      <c r="H1342" s="1">
        <v>46208</v>
      </c>
      <c r="I1342" t="s">
        <v>2015</v>
      </c>
      <c r="J1342" t="s">
        <v>2016</v>
      </c>
      <c r="K1342" t="s">
        <v>2036</v>
      </c>
      <c r="L1342">
        <f>IF(G1342="High",3,IF(G1342="Medium",2,1))</f>
        <v>1</v>
      </c>
    </row>
    <row r="1343" spans="1:12">
      <c r="A1343" t="s">
        <v>3369</v>
      </c>
      <c r="B1343" t="s">
        <v>1092</v>
      </c>
      <c r="C1343" t="s">
        <v>2000</v>
      </c>
      <c r="D1343" t="s">
        <v>2020</v>
      </c>
      <c r="E1343" t="s">
        <v>57</v>
      </c>
      <c r="F1343" t="s">
        <v>1971</v>
      </c>
      <c r="G1343" t="str">
        <f>INDEX(Risk_Matrix!$B$2:$D$4,MATCH(E1343,Risk_Matrix!$A$2:$A$4,0),MATCH(F1343,Risk_Matrix!$B$1:$D$1,0))</f>
        <v>Low</v>
      </c>
      <c r="H1343" s="1">
        <v>46162</v>
      </c>
      <c r="I1343" t="s">
        <v>2002</v>
      </c>
      <c r="J1343" t="s">
        <v>2029</v>
      </c>
      <c r="K1343" t="s">
        <v>1993</v>
      </c>
      <c r="L1343">
        <f>IF(G1343="High",3,IF(G1343="Medium",2,1))</f>
        <v>1</v>
      </c>
    </row>
    <row r="1344" spans="1:12">
      <c r="A1344" t="s">
        <v>3370</v>
      </c>
      <c r="B1344" t="s">
        <v>1092</v>
      </c>
      <c r="C1344" t="s">
        <v>2005</v>
      </c>
      <c r="D1344" t="s">
        <v>2039</v>
      </c>
      <c r="E1344" t="s">
        <v>57</v>
      </c>
      <c r="F1344" t="s">
        <v>1971</v>
      </c>
      <c r="G1344" t="str">
        <f>INDEX(Risk_Matrix!$B$2:$D$4,MATCH(E1344,Risk_Matrix!$A$2:$A$4,0),MATCH(F1344,Risk_Matrix!$B$1:$D$1,0))</f>
        <v>Low</v>
      </c>
      <c r="H1344" s="1">
        <v>46229</v>
      </c>
      <c r="I1344" t="s">
        <v>2015</v>
      </c>
      <c r="J1344" t="s">
        <v>2016</v>
      </c>
      <c r="K1344" t="s">
        <v>1993</v>
      </c>
      <c r="L1344">
        <f>IF(G1344="High",3,IF(G1344="Medium",2,1))</f>
        <v>1</v>
      </c>
    </row>
    <row r="1345" spans="1:12">
      <c r="A1345" t="s">
        <v>3371</v>
      </c>
      <c r="B1345" t="s">
        <v>1092</v>
      </c>
      <c r="C1345" t="s">
        <v>2008</v>
      </c>
      <c r="D1345" t="s">
        <v>2054</v>
      </c>
      <c r="E1345" t="s">
        <v>57</v>
      </c>
      <c r="F1345" t="s">
        <v>57</v>
      </c>
      <c r="G1345" t="str">
        <f>INDEX(Risk_Matrix!$B$2:$D$4,MATCH(E1345,Risk_Matrix!$A$2:$A$4,0),MATCH(F1345,Risk_Matrix!$B$1:$D$1,0))</f>
        <v>Low</v>
      </c>
      <c r="H1345" s="1">
        <v>46159</v>
      </c>
      <c r="I1345" t="s">
        <v>2025</v>
      </c>
      <c r="J1345" t="s">
        <v>2026</v>
      </c>
      <c r="K1345" t="s">
        <v>2010</v>
      </c>
      <c r="L1345">
        <f>IF(G1345="High",3,IF(G1345="Medium",2,1))</f>
        <v>1</v>
      </c>
    </row>
    <row r="1346" spans="1:12">
      <c r="A1346" t="s">
        <v>3372</v>
      </c>
      <c r="B1346" t="s">
        <v>1094</v>
      </c>
      <c r="C1346" t="s">
        <v>1985</v>
      </c>
      <c r="D1346" t="s">
        <v>2012</v>
      </c>
      <c r="E1346" t="s">
        <v>1971</v>
      </c>
      <c r="F1346" t="s">
        <v>1971</v>
      </c>
      <c r="G1346" t="str">
        <f>INDEX(Risk_Matrix!$B$2:$D$4,MATCH(E1346,Risk_Matrix!$A$2:$A$4,0),MATCH(F1346,Risk_Matrix!$B$1:$D$1,0))</f>
        <v>Medium</v>
      </c>
      <c r="H1346" s="1">
        <v>46152</v>
      </c>
      <c r="I1346" t="s">
        <v>2015</v>
      </c>
      <c r="J1346" t="s">
        <v>2016</v>
      </c>
      <c r="K1346" t="s">
        <v>1998</v>
      </c>
      <c r="L1346">
        <f>IF(G1346="High",3,IF(G1346="Medium",2,1))</f>
        <v>2</v>
      </c>
    </row>
    <row r="1347" spans="1:12">
      <c r="A1347" t="s">
        <v>3373</v>
      </c>
      <c r="B1347" t="s">
        <v>1094</v>
      </c>
      <c r="C1347" t="s">
        <v>1991</v>
      </c>
      <c r="D1347" t="s">
        <v>2031</v>
      </c>
      <c r="E1347" t="s">
        <v>47</v>
      </c>
      <c r="F1347" t="s">
        <v>1971</v>
      </c>
      <c r="G1347" t="str">
        <f>INDEX(Risk_Matrix!$B$2:$D$4,MATCH(E1347,Risk_Matrix!$A$2:$A$4,0),MATCH(F1347,Risk_Matrix!$B$1:$D$1,0))</f>
        <v>High</v>
      </c>
      <c r="H1347" s="1">
        <v>46185</v>
      </c>
      <c r="I1347" t="s">
        <v>1987</v>
      </c>
      <c r="J1347" t="s">
        <v>1997</v>
      </c>
      <c r="K1347" t="s">
        <v>1993</v>
      </c>
      <c r="L1347">
        <f>IF(G1347="High",3,IF(G1347="Medium",2,1))</f>
        <v>3</v>
      </c>
    </row>
    <row r="1348" spans="1:12">
      <c r="A1348" t="s">
        <v>3374</v>
      </c>
      <c r="B1348" t="s">
        <v>1094</v>
      </c>
      <c r="C1348" t="s">
        <v>1995</v>
      </c>
      <c r="D1348" t="s">
        <v>2034</v>
      </c>
      <c r="E1348" t="s">
        <v>57</v>
      </c>
      <c r="F1348" t="s">
        <v>1971</v>
      </c>
      <c r="G1348" t="str">
        <f>INDEX(Risk_Matrix!$B$2:$D$4,MATCH(E1348,Risk_Matrix!$A$2:$A$4,0),MATCH(F1348,Risk_Matrix!$B$1:$D$1,0))</f>
        <v>Low</v>
      </c>
      <c r="H1348" s="1">
        <v>46081</v>
      </c>
      <c r="I1348" t="s">
        <v>2002</v>
      </c>
      <c r="J1348" t="s">
        <v>2003</v>
      </c>
      <c r="K1348" t="s">
        <v>2036</v>
      </c>
      <c r="L1348">
        <f>IF(G1348="High",3,IF(G1348="Medium",2,1))</f>
        <v>1</v>
      </c>
    </row>
    <row r="1349" spans="1:12">
      <c r="A1349" t="s">
        <v>3375</v>
      </c>
      <c r="B1349" t="s">
        <v>1094</v>
      </c>
      <c r="C1349" t="s">
        <v>2000</v>
      </c>
      <c r="D1349" t="s">
        <v>2045</v>
      </c>
      <c r="E1349" t="s">
        <v>1971</v>
      </c>
      <c r="F1349" t="s">
        <v>57</v>
      </c>
      <c r="G1349" t="str">
        <f>INDEX(Risk_Matrix!$B$2:$D$4,MATCH(E1349,Risk_Matrix!$A$2:$A$4,0),MATCH(F1349,Risk_Matrix!$B$1:$D$1,0))</f>
        <v>Low</v>
      </c>
      <c r="H1349" s="1">
        <v>46056</v>
      </c>
      <c r="I1349" t="s">
        <v>2002</v>
      </c>
      <c r="J1349" t="s">
        <v>2003</v>
      </c>
      <c r="K1349" t="s">
        <v>1989</v>
      </c>
      <c r="L1349">
        <f>IF(G1349="High",3,IF(G1349="Medium",2,1))</f>
        <v>1</v>
      </c>
    </row>
    <row r="1350" spans="1:12">
      <c r="A1350" t="s">
        <v>3376</v>
      </c>
      <c r="B1350" t="s">
        <v>1094</v>
      </c>
      <c r="C1350" t="s">
        <v>2005</v>
      </c>
      <c r="D1350" t="s">
        <v>2039</v>
      </c>
      <c r="E1350" t="s">
        <v>47</v>
      </c>
      <c r="F1350" t="s">
        <v>1971</v>
      </c>
      <c r="G1350" t="str">
        <f>INDEX(Risk_Matrix!$B$2:$D$4,MATCH(E1350,Risk_Matrix!$A$2:$A$4,0),MATCH(F1350,Risk_Matrix!$B$1:$D$1,0))</f>
        <v>High</v>
      </c>
      <c r="H1350" s="1">
        <v>46159</v>
      </c>
      <c r="I1350" t="s">
        <v>2015</v>
      </c>
      <c r="J1350" t="s">
        <v>2032</v>
      </c>
      <c r="K1350" t="s">
        <v>2036</v>
      </c>
      <c r="L1350">
        <f>IF(G1350="High",3,IF(G1350="Medium",2,1))</f>
        <v>3</v>
      </c>
    </row>
    <row r="1351" spans="1:12">
      <c r="A1351" t="s">
        <v>3377</v>
      </c>
      <c r="B1351" t="s">
        <v>1094</v>
      </c>
      <c r="C1351" t="s">
        <v>2008</v>
      </c>
      <c r="D1351" t="s">
        <v>2054</v>
      </c>
      <c r="E1351" t="s">
        <v>57</v>
      </c>
      <c r="F1351" t="s">
        <v>1971</v>
      </c>
      <c r="G1351" t="str">
        <f>INDEX(Risk_Matrix!$B$2:$D$4,MATCH(E1351,Risk_Matrix!$A$2:$A$4,0),MATCH(F1351,Risk_Matrix!$B$1:$D$1,0))</f>
        <v>Low</v>
      </c>
      <c r="H1351" s="1">
        <v>46165</v>
      </c>
      <c r="I1351" t="s">
        <v>2025</v>
      </c>
      <c r="J1351" t="s">
        <v>2035</v>
      </c>
      <c r="K1351" t="s">
        <v>2010</v>
      </c>
      <c r="L1351">
        <f>IF(G1351="High",3,IF(G1351="Medium",2,1))</f>
        <v>1</v>
      </c>
    </row>
    <row r="1352" spans="1:12">
      <c r="A1352" t="s">
        <v>3378</v>
      </c>
      <c r="B1352" t="s">
        <v>1096</v>
      </c>
      <c r="C1352" t="s">
        <v>1985</v>
      </c>
      <c r="D1352" t="s">
        <v>1986</v>
      </c>
      <c r="E1352" t="s">
        <v>57</v>
      </c>
      <c r="F1352" t="s">
        <v>1971</v>
      </c>
      <c r="G1352" t="str">
        <f>INDEX(Risk_Matrix!$B$2:$D$4,MATCH(E1352,Risk_Matrix!$A$2:$A$4,0),MATCH(F1352,Risk_Matrix!$B$1:$D$1,0))</f>
        <v>Low</v>
      </c>
      <c r="H1352" s="1">
        <v>46130</v>
      </c>
      <c r="I1352" t="s">
        <v>2025</v>
      </c>
      <c r="J1352" t="s">
        <v>2035</v>
      </c>
      <c r="K1352" t="s">
        <v>1998</v>
      </c>
      <c r="L1352">
        <f>IF(G1352="High",3,IF(G1352="Medium",2,1))</f>
        <v>1</v>
      </c>
    </row>
    <row r="1353" spans="1:12">
      <c r="A1353" t="s">
        <v>3379</v>
      </c>
      <c r="B1353" t="s">
        <v>1096</v>
      </c>
      <c r="C1353" t="s">
        <v>1991</v>
      </c>
      <c r="D1353" t="s">
        <v>2064</v>
      </c>
      <c r="E1353" t="s">
        <v>57</v>
      </c>
      <c r="F1353" t="s">
        <v>57</v>
      </c>
      <c r="G1353" t="str">
        <f>INDEX(Risk_Matrix!$B$2:$D$4,MATCH(E1353,Risk_Matrix!$A$2:$A$4,0),MATCH(F1353,Risk_Matrix!$B$1:$D$1,0))</f>
        <v>Low</v>
      </c>
      <c r="H1353" s="1">
        <v>46079</v>
      </c>
      <c r="I1353" t="s">
        <v>2025</v>
      </c>
      <c r="J1353" t="s">
        <v>2026</v>
      </c>
      <c r="K1353" t="s">
        <v>1993</v>
      </c>
      <c r="L1353">
        <f>IF(G1353="High",3,IF(G1353="Medium",2,1))</f>
        <v>1</v>
      </c>
    </row>
    <row r="1354" spans="1:12">
      <c r="A1354" t="s">
        <v>3380</v>
      </c>
      <c r="B1354" t="s">
        <v>1096</v>
      </c>
      <c r="C1354" t="s">
        <v>1995</v>
      </c>
      <c r="D1354" t="s">
        <v>2034</v>
      </c>
      <c r="E1354" t="s">
        <v>57</v>
      </c>
      <c r="F1354" t="s">
        <v>1971</v>
      </c>
      <c r="G1354" t="str">
        <f>INDEX(Risk_Matrix!$B$2:$D$4,MATCH(E1354,Risk_Matrix!$A$2:$A$4,0),MATCH(F1354,Risk_Matrix!$B$1:$D$1,0))</f>
        <v>Low</v>
      </c>
      <c r="H1354" s="1">
        <v>46190</v>
      </c>
      <c r="I1354" t="s">
        <v>1987</v>
      </c>
      <c r="J1354" t="s">
        <v>1997</v>
      </c>
      <c r="K1354" t="s">
        <v>2036</v>
      </c>
      <c r="L1354">
        <f>IF(G1354="High",3,IF(G1354="Medium",2,1))</f>
        <v>1</v>
      </c>
    </row>
    <row r="1355" spans="1:12">
      <c r="A1355" t="s">
        <v>3381</v>
      </c>
      <c r="B1355" t="s">
        <v>1096</v>
      </c>
      <c r="C1355" t="s">
        <v>2000</v>
      </c>
      <c r="D1355" t="s">
        <v>2020</v>
      </c>
      <c r="E1355" t="s">
        <v>57</v>
      </c>
      <c r="F1355" t="s">
        <v>57</v>
      </c>
      <c r="G1355" t="str">
        <f>INDEX(Risk_Matrix!$B$2:$D$4,MATCH(E1355,Risk_Matrix!$A$2:$A$4,0),MATCH(F1355,Risk_Matrix!$B$1:$D$1,0))</f>
        <v>Low</v>
      </c>
      <c r="H1355" s="1">
        <v>46152</v>
      </c>
      <c r="I1355" t="s">
        <v>1987</v>
      </c>
      <c r="J1355" t="s">
        <v>1988</v>
      </c>
      <c r="K1355" t="s">
        <v>1989</v>
      </c>
      <c r="L1355">
        <f>IF(G1355="High",3,IF(G1355="Medium",2,1))</f>
        <v>1</v>
      </c>
    </row>
    <row r="1356" spans="1:12">
      <c r="A1356" t="s">
        <v>3382</v>
      </c>
      <c r="B1356" t="s">
        <v>1096</v>
      </c>
      <c r="C1356" t="s">
        <v>2005</v>
      </c>
      <c r="D1356" t="s">
        <v>2006</v>
      </c>
      <c r="E1356" t="s">
        <v>57</v>
      </c>
      <c r="F1356" t="s">
        <v>57</v>
      </c>
      <c r="G1356" t="str">
        <f>INDEX(Risk_Matrix!$B$2:$D$4,MATCH(E1356,Risk_Matrix!$A$2:$A$4,0),MATCH(F1356,Risk_Matrix!$B$1:$D$1,0))</f>
        <v>Low</v>
      </c>
      <c r="H1356" s="1">
        <v>46189</v>
      </c>
      <c r="I1356" t="s">
        <v>2002</v>
      </c>
      <c r="J1356" t="s">
        <v>2003</v>
      </c>
      <c r="K1356" t="s">
        <v>1993</v>
      </c>
      <c r="L1356">
        <f>IF(G1356="High",3,IF(G1356="Medium",2,1))</f>
        <v>1</v>
      </c>
    </row>
    <row r="1357" spans="1:12">
      <c r="A1357" t="s">
        <v>3383</v>
      </c>
      <c r="B1357" t="s">
        <v>1096</v>
      </c>
      <c r="C1357" t="s">
        <v>2008</v>
      </c>
      <c r="D1357" t="s">
        <v>2024</v>
      </c>
      <c r="E1357" t="s">
        <v>1971</v>
      </c>
      <c r="F1357" t="s">
        <v>57</v>
      </c>
      <c r="G1357" t="str">
        <f>INDEX(Risk_Matrix!$B$2:$D$4,MATCH(E1357,Risk_Matrix!$A$2:$A$4,0),MATCH(F1357,Risk_Matrix!$B$1:$D$1,0))</f>
        <v>Low</v>
      </c>
      <c r="H1357" s="1">
        <v>46222</v>
      </c>
      <c r="I1357" t="s">
        <v>2025</v>
      </c>
      <c r="J1357" t="s">
        <v>2026</v>
      </c>
      <c r="K1357" t="s">
        <v>2010</v>
      </c>
      <c r="L1357">
        <f>IF(G1357="High",3,IF(G1357="Medium",2,1))</f>
        <v>1</v>
      </c>
    </row>
    <row r="1358" spans="1:12">
      <c r="A1358" t="s">
        <v>3384</v>
      </c>
      <c r="B1358" t="s">
        <v>1099</v>
      </c>
      <c r="C1358" t="s">
        <v>1985</v>
      </c>
      <c r="D1358" t="s">
        <v>1986</v>
      </c>
      <c r="E1358" t="s">
        <v>1971</v>
      </c>
      <c r="F1358" t="s">
        <v>57</v>
      </c>
      <c r="G1358" t="str">
        <f>INDEX(Risk_Matrix!$B$2:$D$4,MATCH(E1358,Risk_Matrix!$A$2:$A$4,0),MATCH(F1358,Risk_Matrix!$B$1:$D$1,0))</f>
        <v>Low</v>
      </c>
      <c r="H1358" s="1">
        <v>46162</v>
      </c>
      <c r="I1358" t="s">
        <v>2015</v>
      </c>
      <c r="J1358" t="s">
        <v>2032</v>
      </c>
      <c r="K1358" t="s">
        <v>1989</v>
      </c>
      <c r="L1358">
        <f>IF(G1358="High",3,IF(G1358="Medium",2,1))</f>
        <v>1</v>
      </c>
    </row>
    <row r="1359" spans="1:12">
      <c r="A1359" t="s">
        <v>3385</v>
      </c>
      <c r="B1359" t="s">
        <v>1099</v>
      </c>
      <c r="C1359" t="s">
        <v>1991</v>
      </c>
      <c r="D1359" t="s">
        <v>2031</v>
      </c>
      <c r="E1359" t="s">
        <v>1971</v>
      </c>
      <c r="F1359" t="s">
        <v>57</v>
      </c>
      <c r="G1359" t="str">
        <f>INDEX(Risk_Matrix!$B$2:$D$4,MATCH(E1359,Risk_Matrix!$A$2:$A$4,0),MATCH(F1359,Risk_Matrix!$B$1:$D$1,0))</f>
        <v>Low</v>
      </c>
      <c r="H1359" s="1">
        <v>46105</v>
      </c>
      <c r="I1359" t="s">
        <v>1987</v>
      </c>
      <c r="J1359" t="s">
        <v>1997</v>
      </c>
      <c r="K1359" t="s">
        <v>1993</v>
      </c>
      <c r="L1359">
        <f>IF(G1359="High",3,IF(G1359="Medium",2,1))</f>
        <v>1</v>
      </c>
    </row>
    <row r="1360" spans="1:12">
      <c r="A1360" t="s">
        <v>3386</v>
      </c>
      <c r="B1360" t="s">
        <v>1099</v>
      </c>
      <c r="C1360" t="s">
        <v>1995</v>
      </c>
      <c r="D1360" t="s">
        <v>1996</v>
      </c>
      <c r="E1360" t="s">
        <v>47</v>
      </c>
      <c r="F1360" t="s">
        <v>1971</v>
      </c>
      <c r="G1360" t="str">
        <f>INDEX(Risk_Matrix!$B$2:$D$4,MATCH(E1360,Risk_Matrix!$A$2:$A$4,0),MATCH(F1360,Risk_Matrix!$B$1:$D$1,0))</f>
        <v>High</v>
      </c>
      <c r="H1360" s="1">
        <v>46217</v>
      </c>
      <c r="I1360" t="s">
        <v>2015</v>
      </c>
      <c r="J1360" t="s">
        <v>2016</v>
      </c>
      <c r="K1360" t="s">
        <v>1998</v>
      </c>
      <c r="L1360">
        <f>IF(G1360="High",3,IF(G1360="Medium",2,1))</f>
        <v>3</v>
      </c>
    </row>
    <row r="1361" spans="1:12">
      <c r="A1361" t="s">
        <v>3387</v>
      </c>
      <c r="B1361" t="s">
        <v>1099</v>
      </c>
      <c r="C1361" t="s">
        <v>2000</v>
      </c>
      <c r="D1361" t="s">
        <v>2001</v>
      </c>
      <c r="E1361" t="s">
        <v>57</v>
      </c>
      <c r="F1361" t="s">
        <v>57</v>
      </c>
      <c r="G1361" t="str">
        <f>INDEX(Risk_Matrix!$B$2:$D$4,MATCH(E1361,Risk_Matrix!$A$2:$A$4,0),MATCH(F1361,Risk_Matrix!$B$1:$D$1,0))</f>
        <v>Low</v>
      </c>
      <c r="H1361" s="1">
        <v>46113</v>
      </c>
      <c r="I1361" t="s">
        <v>2002</v>
      </c>
      <c r="J1361" t="s">
        <v>2029</v>
      </c>
      <c r="K1361" t="s">
        <v>1993</v>
      </c>
      <c r="L1361">
        <f>IF(G1361="High",3,IF(G1361="Medium",2,1))</f>
        <v>1</v>
      </c>
    </row>
    <row r="1362" spans="1:12">
      <c r="A1362" t="s">
        <v>3388</v>
      </c>
      <c r="B1362" t="s">
        <v>1099</v>
      </c>
      <c r="C1362" t="s">
        <v>2005</v>
      </c>
      <c r="D1362" t="s">
        <v>2022</v>
      </c>
      <c r="E1362" t="s">
        <v>1971</v>
      </c>
      <c r="F1362" t="s">
        <v>1971</v>
      </c>
      <c r="G1362" t="str">
        <f>INDEX(Risk_Matrix!$B$2:$D$4,MATCH(E1362,Risk_Matrix!$A$2:$A$4,0),MATCH(F1362,Risk_Matrix!$B$1:$D$1,0))</f>
        <v>Medium</v>
      </c>
      <c r="H1362" s="1">
        <v>46208</v>
      </c>
      <c r="I1362" t="s">
        <v>2025</v>
      </c>
      <c r="J1362" t="s">
        <v>2026</v>
      </c>
      <c r="K1362" t="s">
        <v>2036</v>
      </c>
      <c r="L1362">
        <f>IF(G1362="High",3,IF(G1362="Medium",2,1))</f>
        <v>2</v>
      </c>
    </row>
    <row r="1363" spans="1:12">
      <c r="A1363" t="s">
        <v>3389</v>
      </c>
      <c r="B1363" t="s">
        <v>1099</v>
      </c>
      <c r="C1363" t="s">
        <v>2008</v>
      </c>
      <c r="D1363" t="s">
        <v>2009</v>
      </c>
      <c r="E1363" t="s">
        <v>57</v>
      </c>
      <c r="F1363" t="s">
        <v>57</v>
      </c>
      <c r="G1363" t="str">
        <f>INDEX(Risk_Matrix!$B$2:$D$4,MATCH(E1363,Risk_Matrix!$A$2:$A$4,0),MATCH(F1363,Risk_Matrix!$B$1:$D$1,0))</f>
        <v>Low</v>
      </c>
      <c r="H1363" s="1">
        <v>46142</v>
      </c>
      <c r="I1363" t="s">
        <v>1987</v>
      </c>
      <c r="J1363" t="s">
        <v>1997</v>
      </c>
      <c r="K1363" t="s">
        <v>1998</v>
      </c>
      <c r="L1363">
        <f>IF(G1363="High",3,IF(G1363="Medium",2,1))</f>
        <v>1</v>
      </c>
    </row>
    <row r="1364" spans="1:12">
      <c r="A1364" t="s">
        <v>3390</v>
      </c>
      <c r="B1364" t="s">
        <v>1101</v>
      </c>
      <c r="C1364" t="s">
        <v>1985</v>
      </c>
      <c r="D1364" t="s">
        <v>1986</v>
      </c>
      <c r="E1364" t="s">
        <v>57</v>
      </c>
      <c r="F1364" t="s">
        <v>1971</v>
      </c>
      <c r="G1364" t="str">
        <f>INDEX(Risk_Matrix!$B$2:$D$4,MATCH(E1364,Risk_Matrix!$A$2:$A$4,0),MATCH(F1364,Risk_Matrix!$B$1:$D$1,0))</f>
        <v>Low</v>
      </c>
      <c r="H1364" s="1">
        <v>46107</v>
      </c>
      <c r="I1364" t="s">
        <v>2025</v>
      </c>
      <c r="J1364" t="s">
        <v>2035</v>
      </c>
      <c r="K1364" t="s">
        <v>1998</v>
      </c>
      <c r="L1364">
        <f>IF(G1364="High",3,IF(G1364="Medium",2,1))</f>
        <v>1</v>
      </c>
    </row>
    <row r="1365" spans="1:12">
      <c r="A1365" t="s">
        <v>3391</v>
      </c>
      <c r="B1365" t="s">
        <v>1101</v>
      </c>
      <c r="C1365" t="s">
        <v>1991</v>
      </c>
      <c r="D1365" t="s">
        <v>2031</v>
      </c>
      <c r="E1365" t="s">
        <v>47</v>
      </c>
      <c r="F1365" t="s">
        <v>1971</v>
      </c>
      <c r="G1365" t="str">
        <f>INDEX(Risk_Matrix!$B$2:$D$4,MATCH(E1365,Risk_Matrix!$A$2:$A$4,0),MATCH(F1365,Risk_Matrix!$B$1:$D$1,0))</f>
        <v>High</v>
      </c>
      <c r="H1365" s="1">
        <v>46178</v>
      </c>
      <c r="I1365" t="s">
        <v>2015</v>
      </c>
      <c r="J1365" t="s">
        <v>2016</v>
      </c>
      <c r="K1365" t="s">
        <v>1993</v>
      </c>
      <c r="L1365">
        <f>IF(G1365="High",3,IF(G1365="Medium",2,1))</f>
        <v>3</v>
      </c>
    </row>
    <row r="1366" spans="1:12">
      <c r="A1366" t="s">
        <v>3392</v>
      </c>
      <c r="B1366" t="s">
        <v>1101</v>
      </c>
      <c r="C1366" t="s">
        <v>1995</v>
      </c>
      <c r="D1366" t="s">
        <v>2034</v>
      </c>
      <c r="E1366" t="s">
        <v>57</v>
      </c>
      <c r="F1366" t="s">
        <v>47</v>
      </c>
      <c r="G1366" t="str">
        <f>INDEX(Risk_Matrix!$B$2:$D$4,MATCH(E1366,Risk_Matrix!$A$2:$A$4,0),MATCH(F1366,Risk_Matrix!$B$1:$D$1,0))</f>
        <v>Medium</v>
      </c>
      <c r="H1366" s="1">
        <v>46212</v>
      </c>
      <c r="I1366" t="s">
        <v>1987</v>
      </c>
      <c r="J1366" t="s">
        <v>1997</v>
      </c>
      <c r="K1366" t="s">
        <v>2036</v>
      </c>
      <c r="L1366">
        <f>IF(G1366="High",3,IF(G1366="Medium",2,1))</f>
        <v>2</v>
      </c>
    </row>
    <row r="1367" spans="1:12">
      <c r="A1367" t="s">
        <v>3393</v>
      </c>
      <c r="B1367" t="s">
        <v>1101</v>
      </c>
      <c r="C1367" t="s">
        <v>2000</v>
      </c>
      <c r="D1367" t="s">
        <v>2001</v>
      </c>
      <c r="E1367" t="s">
        <v>1971</v>
      </c>
      <c r="F1367" t="s">
        <v>47</v>
      </c>
      <c r="G1367" t="str">
        <f>INDEX(Risk_Matrix!$B$2:$D$4,MATCH(E1367,Risk_Matrix!$A$2:$A$4,0),MATCH(F1367,Risk_Matrix!$B$1:$D$1,0))</f>
        <v>High</v>
      </c>
      <c r="H1367" s="1">
        <v>46188</v>
      </c>
      <c r="I1367" t="s">
        <v>2015</v>
      </c>
      <c r="J1367" t="s">
        <v>2032</v>
      </c>
      <c r="K1367" t="s">
        <v>1989</v>
      </c>
      <c r="L1367">
        <f>IF(G1367="High",3,IF(G1367="Medium",2,1))</f>
        <v>3</v>
      </c>
    </row>
    <row r="1368" spans="1:12">
      <c r="A1368" t="s">
        <v>3394</v>
      </c>
      <c r="B1368" t="s">
        <v>1101</v>
      </c>
      <c r="C1368" t="s">
        <v>2005</v>
      </c>
      <c r="D1368" t="s">
        <v>2006</v>
      </c>
      <c r="E1368" t="s">
        <v>57</v>
      </c>
      <c r="F1368" t="s">
        <v>1971</v>
      </c>
      <c r="G1368" t="str">
        <f>INDEX(Risk_Matrix!$B$2:$D$4,MATCH(E1368,Risk_Matrix!$A$2:$A$4,0),MATCH(F1368,Risk_Matrix!$B$1:$D$1,0))</f>
        <v>Low</v>
      </c>
      <c r="H1368" s="1">
        <v>46155</v>
      </c>
      <c r="I1368" t="s">
        <v>1987</v>
      </c>
      <c r="J1368" t="s">
        <v>1997</v>
      </c>
      <c r="K1368" t="s">
        <v>1993</v>
      </c>
      <c r="L1368">
        <f>IF(G1368="High",3,IF(G1368="Medium",2,1))</f>
        <v>1</v>
      </c>
    </row>
    <row r="1369" spans="1:12">
      <c r="A1369" t="s">
        <v>3395</v>
      </c>
      <c r="B1369" t="s">
        <v>1101</v>
      </c>
      <c r="C1369" t="s">
        <v>2008</v>
      </c>
      <c r="D1369" t="s">
        <v>2024</v>
      </c>
      <c r="E1369" t="s">
        <v>1971</v>
      </c>
      <c r="F1369" t="s">
        <v>1971</v>
      </c>
      <c r="G1369" t="str">
        <f>INDEX(Risk_Matrix!$B$2:$D$4,MATCH(E1369,Risk_Matrix!$A$2:$A$4,0),MATCH(F1369,Risk_Matrix!$B$1:$D$1,0))</f>
        <v>Medium</v>
      </c>
      <c r="H1369" s="1">
        <v>46235</v>
      </c>
      <c r="I1369" t="s">
        <v>2025</v>
      </c>
      <c r="J1369" t="s">
        <v>2026</v>
      </c>
      <c r="K1369" t="s">
        <v>2010</v>
      </c>
      <c r="L1369">
        <f>IF(G1369="High",3,IF(G1369="Medium",2,1))</f>
        <v>2</v>
      </c>
    </row>
    <row r="1370" spans="1:12">
      <c r="A1370" t="s">
        <v>3396</v>
      </c>
      <c r="B1370" t="s">
        <v>1104</v>
      </c>
      <c r="C1370" t="s">
        <v>1985</v>
      </c>
      <c r="D1370" t="s">
        <v>1986</v>
      </c>
      <c r="E1370" t="s">
        <v>57</v>
      </c>
      <c r="F1370" t="s">
        <v>57</v>
      </c>
      <c r="G1370" t="str">
        <f>INDEX(Risk_Matrix!$B$2:$D$4,MATCH(E1370,Risk_Matrix!$A$2:$A$4,0),MATCH(F1370,Risk_Matrix!$B$1:$D$1,0))</f>
        <v>Low</v>
      </c>
      <c r="H1370" s="1">
        <v>46232</v>
      </c>
      <c r="I1370" t="s">
        <v>1987</v>
      </c>
      <c r="J1370" t="s">
        <v>1997</v>
      </c>
      <c r="K1370" t="s">
        <v>1998</v>
      </c>
      <c r="L1370">
        <f>IF(G1370="High",3,IF(G1370="Medium",2,1))</f>
        <v>1</v>
      </c>
    </row>
    <row r="1371" spans="1:12">
      <c r="A1371" t="s">
        <v>3397</v>
      </c>
      <c r="B1371" t="s">
        <v>1104</v>
      </c>
      <c r="C1371" t="s">
        <v>1991</v>
      </c>
      <c r="D1371" t="s">
        <v>1992</v>
      </c>
      <c r="E1371" t="s">
        <v>57</v>
      </c>
      <c r="F1371" t="s">
        <v>47</v>
      </c>
      <c r="G1371" t="str">
        <f>INDEX(Risk_Matrix!$B$2:$D$4,MATCH(E1371,Risk_Matrix!$A$2:$A$4,0),MATCH(F1371,Risk_Matrix!$B$1:$D$1,0))</f>
        <v>Medium</v>
      </c>
      <c r="H1371" s="1">
        <v>46059</v>
      </c>
      <c r="I1371" t="s">
        <v>2025</v>
      </c>
      <c r="J1371" t="s">
        <v>2035</v>
      </c>
      <c r="K1371" t="s">
        <v>2010</v>
      </c>
      <c r="L1371">
        <f>IF(G1371="High",3,IF(G1371="Medium",2,1))</f>
        <v>2</v>
      </c>
    </row>
    <row r="1372" spans="1:12">
      <c r="A1372" t="s">
        <v>3398</v>
      </c>
      <c r="B1372" t="s">
        <v>1104</v>
      </c>
      <c r="C1372" t="s">
        <v>1995</v>
      </c>
      <c r="D1372" t="s">
        <v>2150</v>
      </c>
      <c r="E1372" t="s">
        <v>57</v>
      </c>
      <c r="F1372" t="s">
        <v>1971</v>
      </c>
      <c r="G1372" t="str">
        <f>INDEX(Risk_Matrix!$B$2:$D$4,MATCH(E1372,Risk_Matrix!$A$2:$A$4,0),MATCH(F1372,Risk_Matrix!$B$1:$D$1,0))</f>
        <v>Low</v>
      </c>
      <c r="H1372" s="1">
        <v>46162</v>
      </c>
      <c r="I1372" t="s">
        <v>1987</v>
      </c>
      <c r="J1372" t="s">
        <v>1988</v>
      </c>
      <c r="K1372" t="s">
        <v>1998</v>
      </c>
      <c r="L1372">
        <f>IF(G1372="High",3,IF(G1372="Medium",2,1))</f>
        <v>1</v>
      </c>
    </row>
    <row r="1373" spans="1:12">
      <c r="A1373" t="s">
        <v>3399</v>
      </c>
      <c r="B1373" t="s">
        <v>1104</v>
      </c>
      <c r="C1373" t="s">
        <v>2000</v>
      </c>
      <c r="D1373" t="s">
        <v>2001</v>
      </c>
      <c r="E1373" t="s">
        <v>57</v>
      </c>
      <c r="F1373" t="s">
        <v>57</v>
      </c>
      <c r="G1373" t="str">
        <f>INDEX(Risk_Matrix!$B$2:$D$4,MATCH(E1373,Risk_Matrix!$A$2:$A$4,0),MATCH(F1373,Risk_Matrix!$B$1:$D$1,0))</f>
        <v>Low</v>
      </c>
      <c r="H1373" s="1">
        <v>46213</v>
      </c>
      <c r="I1373" t="s">
        <v>1987</v>
      </c>
      <c r="J1373" t="s">
        <v>1997</v>
      </c>
      <c r="K1373" t="s">
        <v>1989</v>
      </c>
      <c r="L1373">
        <f>IF(G1373="High",3,IF(G1373="Medium",2,1))</f>
        <v>1</v>
      </c>
    </row>
    <row r="1374" spans="1:12">
      <c r="A1374" t="s">
        <v>3400</v>
      </c>
      <c r="B1374" t="s">
        <v>1104</v>
      </c>
      <c r="C1374" t="s">
        <v>2005</v>
      </c>
      <c r="D1374" t="s">
        <v>2039</v>
      </c>
      <c r="E1374" t="s">
        <v>57</v>
      </c>
      <c r="F1374" t="s">
        <v>57</v>
      </c>
      <c r="G1374" t="str">
        <f>INDEX(Risk_Matrix!$B$2:$D$4,MATCH(E1374,Risk_Matrix!$A$2:$A$4,0),MATCH(F1374,Risk_Matrix!$B$1:$D$1,0))</f>
        <v>Low</v>
      </c>
      <c r="H1374" s="1">
        <v>46153</v>
      </c>
      <c r="I1374" t="s">
        <v>1987</v>
      </c>
      <c r="J1374" t="s">
        <v>1988</v>
      </c>
      <c r="K1374" t="s">
        <v>1993</v>
      </c>
      <c r="L1374">
        <f>IF(G1374="High",3,IF(G1374="Medium",2,1))</f>
        <v>1</v>
      </c>
    </row>
    <row r="1375" spans="1:12">
      <c r="A1375" t="s">
        <v>3401</v>
      </c>
      <c r="B1375" t="s">
        <v>1104</v>
      </c>
      <c r="C1375" t="s">
        <v>2008</v>
      </c>
      <c r="D1375" t="s">
        <v>2054</v>
      </c>
      <c r="E1375" t="s">
        <v>1971</v>
      </c>
      <c r="F1375" t="s">
        <v>47</v>
      </c>
      <c r="G1375" t="str">
        <f>INDEX(Risk_Matrix!$B$2:$D$4,MATCH(E1375,Risk_Matrix!$A$2:$A$4,0),MATCH(F1375,Risk_Matrix!$B$1:$D$1,0))</f>
        <v>High</v>
      </c>
      <c r="H1375" s="1">
        <v>46158</v>
      </c>
      <c r="I1375" t="s">
        <v>2025</v>
      </c>
      <c r="J1375" t="s">
        <v>2026</v>
      </c>
      <c r="K1375" t="s">
        <v>1998</v>
      </c>
      <c r="L1375">
        <f>IF(G1375="High",3,IF(G1375="Medium",2,1))</f>
        <v>3</v>
      </c>
    </row>
    <row r="1376" spans="1:12">
      <c r="A1376" t="s">
        <v>3402</v>
      </c>
      <c r="B1376" t="s">
        <v>1106</v>
      </c>
      <c r="C1376" t="s">
        <v>1985</v>
      </c>
      <c r="D1376" t="s">
        <v>2062</v>
      </c>
      <c r="E1376" t="s">
        <v>1971</v>
      </c>
      <c r="F1376" t="s">
        <v>1971</v>
      </c>
      <c r="G1376" t="str">
        <f>INDEX(Risk_Matrix!$B$2:$D$4,MATCH(E1376,Risk_Matrix!$A$2:$A$4,0),MATCH(F1376,Risk_Matrix!$B$1:$D$1,0))</f>
        <v>Medium</v>
      </c>
      <c r="H1376" s="1">
        <v>46097</v>
      </c>
      <c r="I1376" t="s">
        <v>2025</v>
      </c>
      <c r="J1376" t="s">
        <v>2035</v>
      </c>
      <c r="K1376" t="s">
        <v>1998</v>
      </c>
      <c r="L1376">
        <f>IF(G1376="High",3,IF(G1376="Medium",2,1))</f>
        <v>2</v>
      </c>
    </row>
    <row r="1377" spans="1:12">
      <c r="A1377" t="s">
        <v>3403</v>
      </c>
      <c r="B1377" t="s">
        <v>1106</v>
      </c>
      <c r="C1377" t="s">
        <v>1991</v>
      </c>
      <c r="D1377" t="s">
        <v>1992</v>
      </c>
      <c r="E1377" t="s">
        <v>47</v>
      </c>
      <c r="F1377" t="s">
        <v>47</v>
      </c>
      <c r="G1377" t="str">
        <f>INDEX(Risk_Matrix!$B$2:$D$4,MATCH(E1377,Risk_Matrix!$A$2:$A$4,0),MATCH(F1377,Risk_Matrix!$B$1:$D$1,0))</f>
        <v>High</v>
      </c>
      <c r="H1377" s="1">
        <v>46161</v>
      </c>
      <c r="I1377" t="s">
        <v>2025</v>
      </c>
      <c r="J1377" t="s">
        <v>2035</v>
      </c>
      <c r="K1377" t="s">
        <v>1993</v>
      </c>
      <c r="L1377">
        <f>IF(G1377="High",3,IF(G1377="Medium",2,1))</f>
        <v>3</v>
      </c>
    </row>
    <row r="1378" spans="1:12">
      <c r="A1378" t="s">
        <v>3404</v>
      </c>
      <c r="B1378" t="s">
        <v>1106</v>
      </c>
      <c r="C1378" t="s">
        <v>1995</v>
      </c>
      <c r="D1378" t="s">
        <v>1996</v>
      </c>
      <c r="E1378" t="s">
        <v>57</v>
      </c>
      <c r="F1378" t="s">
        <v>57</v>
      </c>
      <c r="G1378" t="str">
        <f>INDEX(Risk_Matrix!$B$2:$D$4,MATCH(E1378,Risk_Matrix!$A$2:$A$4,0),MATCH(F1378,Risk_Matrix!$B$1:$D$1,0))</f>
        <v>Low</v>
      </c>
      <c r="H1378" s="1">
        <v>46210</v>
      </c>
      <c r="I1378" t="s">
        <v>1987</v>
      </c>
      <c r="J1378" t="s">
        <v>1997</v>
      </c>
      <c r="K1378" t="s">
        <v>1998</v>
      </c>
      <c r="L1378">
        <f>IF(G1378="High",3,IF(G1378="Medium",2,1))</f>
        <v>1</v>
      </c>
    </row>
    <row r="1379" spans="1:12">
      <c r="A1379" t="s">
        <v>3405</v>
      </c>
      <c r="B1379" t="s">
        <v>1106</v>
      </c>
      <c r="C1379" t="s">
        <v>2000</v>
      </c>
      <c r="D1379" t="s">
        <v>2020</v>
      </c>
      <c r="E1379" t="s">
        <v>57</v>
      </c>
      <c r="F1379" t="s">
        <v>47</v>
      </c>
      <c r="G1379" t="str">
        <f>INDEX(Risk_Matrix!$B$2:$D$4,MATCH(E1379,Risk_Matrix!$A$2:$A$4,0),MATCH(F1379,Risk_Matrix!$B$1:$D$1,0))</f>
        <v>Medium</v>
      </c>
      <c r="H1379" s="1">
        <v>46183</v>
      </c>
      <c r="I1379" t="s">
        <v>2015</v>
      </c>
      <c r="J1379" t="s">
        <v>2016</v>
      </c>
      <c r="K1379" t="s">
        <v>1989</v>
      </c>
      <c r="L1379">
        <f>IF(G1379="High",3,IF(G1379="Medium",2,1))</f>
        <v>2</v>
      </c>
    </row>
    <row r="1380" spans="1:12">
      <c r="A1380" t="s">
        <v>3406</v>
      </c>
      <c r="B1380" t="s">
        <v>1106</v>
      </c>
      <c r="C1380" t="s">
        <v>2005</v>
      </c>
      <c r="D1380" t="s">
        <v>2022</v>
      </c>
      <c r="E1380" t="s">
        <v>57</v>
      </c>
      <c r="F1380" t="s">
        <v>57</v>
      </c>
      <c r="G1380" t="str">
        <f>INDEX(Risk_Matrix!$B$2:$D$4,MATCH(E1380,Risk_Matrix!$A$2:$A$4,0),MATCH(F1380,Risk_Matrix!$B$1:$D$1,0))</f>
        <v>Low</v>
      </c>
      <c r="H1380" s="1">
        <v>46116</v>
      </c>
      <c r="I1380" t="s">
        <v>2002</v>
      </c>
      <c r="J1380" t="s">
        <v>2029</v>
      </c>
      <c r="K1380" t="s">
        <v>1993</v>
      </c>
      <c r="L1380">
        <f>IF(G1380="High",3,IF(G1380="Medium",2,1))</f>
        <v>1</v>
      </c>
    </row>
    <row r="1381" spans="1:12">
      <c r="A1381" t="s">
        <v>3407</v>
      </c>
      <c r="B1381" t="s">
        <v>1106</v>
      </c>
      <c r="C1381" t="s">
        <v>2008</v>
      </c>
      <c r="D1381" t="s">
        <v>2024</v>
      </c>
      <c r="E1381" t="s">
        <v>1971</v>
      </c>
      <c r="F1381" t="s">
        <v>1971</v>
      </c>
      <c r="G1381" t="str">
        <f>INDEX(Risk_Matrix!$B$2:$D$4,MATCH(E1381,Risk_Matrix!$A$2:$A$4,0),MATCH(F1381,Risk_Matrix!$B$1:$D$1,0))</f>
        <v>Medium</v>
      </c>
      <c r="H1381" s="1">
        <v>46106</v>
      </c>
      <c r="I1381" t="s">
        <v>2025</v>
      </c>
      <c r="J1381" t="s">
        <v>2026</v>
      </c>
      <c r="K1381" t="s">
        <v>2010</v>
      </c>
      <c r="L1381">
        <f>IF(G1381="High",3,IF(G1381="Medium",2,1))</f>
        <v>2</v>
      </c>
    </row>
    <row r="1382" spans="1:12">
      <c r="A1382" t="s">
        <v>3408</v>
      </c>
      <c r="B1382" t="s">
        <v>1108</v>
      </c>
      <c r="C1382" t="s">
        <v>1985</v>
      </c>
      <c r="D1382" t="s">
        <v>2028</v>
      </c>
      <c r="E1382" t="s">
        <v>1971</v>
      </c>
      <c r="F1382" t="s">
        <v>57</v>
      </c>
      <c r="G1382" t="str">
        <f>INDEX(Risk_Matrix!$B$2:$D$4,MATCH(E1382,Risk_Matrix!$A$2:$A$4,0),MATCH(F1382,Risk_Matrix!$B$1:$D$1,0))</f>
        <v>Low</v>
      </c>
      <c r="H1382" s="1">
        <v>46217</v>
      </c>
      <c r="I1382" t="s">
        <v>1987</v>
      </c>
      <c r="J1382" t="s">
        <v>1997</v>
      </c>
      <c r="K1382" t="s">
        <v>1989</v>
      </c>
      <c r="L1382">
        <f>IF(G1382="High",3,IF(G1382="Medium",2,1))</f>
        <v>1</v>
      </c>
    </row>
    <row r="1383" spans="1:12">
      <c r="A1383" t="s">
        <v>3409</v>
      </c>
      <c r="B1383" t="s">
        <v>1108</v>
      </c>
      <c r="C1383" t="s">
        <v>1991</v>
      </c>
      <c r="D1383" t="s">
        <v>2064</v>
      </c>
      <c r="E1383" t="s">
        <v>57</v>
      </c>
      <c r="F1383" t="s">
        <v>57</v>
      </c>
      <c r="G1383" t="str">
        <f>INDEX(Risk_Matrix!$B$2:$D$4,MATCH(E1383,Risk_Matrix!$A$2:$A$4,0),MATCH(F1383,Risk_Matrix!$B$1:$D$1,0))</f>
        <v>Low</v>
      </c>
      <c r="H1383" s="1">
        <v>46190</v>
      </c>
      <c r="I1383" t="s">
        <v>2002</v>
      </c>
      <c r="J1383" t="s">
        <v>2003</v>
      </c>
      <c r="K1383" t="s">
        <v>1993</v>
      </c>
      <c r="L1383">
        <f>IF(G1383="High",3,IF(G1383="Medium",2,1))</f>
        <v>1</v>
      </c>
    </row>
    <row r="1384" spans="1:12">
      <c r="A1384" t="s">
        <v>3410</v>
      </c>
      <c r="B1384" t="s">
        <v>1108</v>
      </c>
      <c r="C1384" t="s">
        <v>1995</v>
      </c>
      <c r="D1384" t="s">
        <v>2018</v>
      </c>
      <c r="E1384" t="s">
        <v>57</v>
      </c>
      <c r="F1384" t="s">
        <v>57</v>
      </c>
      <c r="G1384" t="str">
        <f>INDEX(Risk_Matrix!$B$2:$D$4,MATCH(E1384,Risk_Matrix!$A$2:$A$4,0),MATCH(F1384,Risk_Matrix!$B$1:$D$1,0))</f>
        <v>Low</v>
      </c>
      <c r="H1384" s="1">
        <v>46142</v>
      </c>
      <c r="I1384" t="s">
        <v>1987</v>
      </c>
      <c r="J1384" t="s">
        <v>1988</v>
      </c>
      <c r="K1384" t="s">
        <v>1998</v>
      </c>
      <c r="L1384">
        <f>IF(G1384="High",3,IF(G1384="Medium",2,1))</f>
        <v>1</v>
      </c>
    </row>
    <row r="1385" spans="1:12">
      <c r="A1385" t="s">
        <v>3411</v>
      </c>
      <c r="B1385" t="s">
        <v>1108</v>
      </c>
      <c r="C1385" t="s">
        <v>2000</v>
      </c>
      <c r="D1385" t="s">
        <v>2045</v>
      </c>
      <c r="E1385" t="s">
        <v>1971</v>
      </c>
      <c r="F1385" t="s">
        <v>57</v>
      </c>
      <c r="G1385" t="str">
        <f>INDEX(Risk_Matrix!$B$2:$D$4,MATCH(E1385,Risk_Matrix!$A$2:$A$4,0),MATCH(F1385,Risk_Matrix!$B$1:$D$1,0))</f>
        <v>Low</v>
      </c>
      <c r="H1385" s="1">
        <v>46186</v>
      </c>
      <c r="I1385" t="s">
        <v>1987</v>
      </c>
      <c r="J1385" t="s">
        <v>1997</v>
      </c>
      <c r="K1385" t="s">
        <v>1989</v>
      </c>
      <c r="L1385">
        <f>IF(G1385="High",3,IF(G1385="Medium",2,1))</f>
        <v>1</v>
      </c>
    </row>
    <row r="1386" spans="1:12">
      <c r="A1386" t="s">
        <v>3412</v>
      </c>
      <c r="B1386" t="s">
        <v>1108</v>
      </c>
      <c r="C1386" t="s">
        <v>2005</v>
      </c>
      <c r="D1386" t="s">
        <v>2006</v>
      </c>
      <c r="E1386" t="s">
        <v>57</v>
      </c>
      <c r="F1386" t="s">
        <v>57</v>
      </c>
      <c r="G1386" t="str">
        <f>INDEX(Risk_Matrix!$B$2:$D$4,MATCH(E1386,Risk_Matrix!$A$2:$A$4,0),MATCH(F1386,Risk_Matrix!$B$1:$D$1,0))</f>
        <v>Low</v>
      </c>
      <c r="H1386" s="1">
        <v>46196</v>
      </c>
      <c r="I1386" t="s">
        <v>2002</v>
      </c>
      <c r="J1386" t="s">
        <v>2003</v>
      </c>
      <c r="K1386" t="s">
        <v>1993</v>
      </c>
      <c r="L1386">
        <f>IF(G1386="High",3,IF(G1386="Medium",2,1))</f>
        <v>1</v>
      </c>
    </row>
    <row r="1387" spans="1:12">
      <c r="A1387" t="s">
        <v>3413</v>
      </c>
      <c r="B1387" t="s">
        <v>1108</v>
      </c>
      <c r="C1387" t="s">
        <v>2008</v>
      </c>
      <c r="D1387" t="s">
        <v>2024</v>
      </c>
      <c r="E1387" t="s">
        <v>1971</v>
      </c>
      <c r="F1387" t="s">
        <v>57</v>
      </c>
      <c r="G1387" t="str">
        <f>INDEX(Risk_Matrix!$B$2:$D$4,MATCH(E1387,Risk_Matrix!$A$2:$A$4,0),MATCH(F1387,Risk_Matrix!$B$1:$D$1,0))</f>
        <v>Low</v>
      </c>
      <c r="H1387" s="1">
        <v>46177</v>
      </c>
      <c r="I1387" t="s">
        <v>2025</v>
      </c>
      <c r="J1387" t="s">
        <v>2026</v>
      </c>
      <c r="K1387" t="s">
        <v>2010</v>
      </c>
      <c r="L1387">
        <f>IF(G1387="High",3,IF(G1387="Medium",2,1))</f>
        <v>1</v>
      </c>
    </row>
    <row r="1388" spans="1:12">
      <c r="A1388" t="s">
        <v>3414</v>
      </c>
      <c r="B1388" t="s">
        <v>1110</v>
      </c>
      <c r="C1388" t="s">
        <v>1985</v>
      </c>
      <c r="D1388" t="s">
        <v>2062</v>
      </c>
      <c r="E1388" t="s">
        <v>57</v>
      </c>
      <c r="F1388" t="s">
        <v>57</v>
      </c>
      <c r="G1388" t="str">
        <f>INDEX(Risk_Matrix!$B$2:$D$4,MATCH(E1388,Risk_Matrix!$A$2:$A$4,0),MATCH(F1388,Risk_Matrix!$B$1:$D$1,0))</f>
        <v>Low</v>
      </c>
      <c r="H1388" s="1">
        <v>46165</v>
      </c>
      <c r="I1388" t="s">
        <v>2002</v>
      </c>
      <c r="J1388" t="s">
        <v>2029</v>
      </c>
      <c r="K1388" t="s">
        <v>1989</v>
      </c>
      <c r="L1388">
        <f>IF(G1388="High",3,IF(G1388="Medium",2,1))</f>
        <v>1</v>
      </c>
    </row>
    <row r="1389" spans="1:12">
      <c r="A1389" t="s">
        <v>3415</v>
      </c>
      <c r="B1389" t="s">
        <v>1110</v>
      </c>
      <c r="C1389" t="s">
        <v>1991</v>
      </c>
      <c r="D1389" t="s">
        <v>2064</v>
      </c>
      <c r="E1389" t="s">
        <v>47</v>
      </c>
      <c r="F1389" t="s">
        <v>57</v>
      </c>
      <c r="G1389" t="str">
        <f>INDEX(Risk_Matrix!$B$2:$D$4,MATCH(E1389,Risk_Matrix!$A$2:$A$4,0),MATCH(F1389,Risk_Matrix!$B$1:$D$1,0))</f>
        <v>Medium</v>
      </c>
      <c r="H1389" s="1">
        <v>46212</v>
      </c>
      <c r="I1389" t="s">
        <v>1987</v>
      </c>
      <c r="J1389" t="s">
        <v>1997</v>
      </c>
      <c r="K1389" t="s">
        <v>2010</v>
      </c>
      <c r="L1389">
        <f>IF(G1389="High",3,IF(G1389="Medium",2,1))</f>
        <v>2</v>
      </c>
    </row>
    <row r="1390" spans="1:12">
      <c r="A1390" t="s">
        <v>3416</v>
      </c>
      <c r="B1390" t="s">
        <v>1110</v>
      </c>
      <c r="C1390" t="s">
        <v>1995</v>
      </c>
      <c r="D1390" t="s">
        <v>1996</v>
      </c>
      <c r="E1390" t="s">
        <v>1971</v>
      </c>
      <c r="F1390" t="s">
        <v>57</v>
      </c>
      <c r="G1390" t="str">
        <f>INDEX(Risk_Matrix!$B$2:$D$4,MATCH(E1390,Risk_Matrix!$A$2:$A$4,0),MATCH(F1390,Risk_Matrix!$B$1:$D$1,0))</f>
        <v>Low</v>
      </c>
      <c r="H1390" s="1">
        <v>46138</v>
      </c>
      <c r="I1390" t="s">
        <v>2002</v>
      </c>
      <c r="J1390" t="s">
        <v>2029</v>
      </c>
      <c r="K1390" t="s">
        <v>2036</v>
      </c>
      <c r="L1390">
        <f>IF(G1390="High",3,IF(G1390="Medium",2,1))</f>
        <v>1</v>
      </c>
    </row>
    <row r="1391" spans="1:12">
      <c r="A1391" t="s">
        <v>3417</v>
      </c>
      <c r="B1391" t="s">
        <v>1110</v>
      </c>
      <c r="C1391" t="s">
        <v>2000</v>
      </c>
      <c r="D1391" t="s">
        <v>2020</v>
      </c>
      <c r="E1391" t="s">
        <v>57</v>
      </c>
      <c r="F1391" t="s">
        <v>57</v>
      </c>
      <c r="G1391" t="str">
        <f>INDEX(Risk_Matrix!$B$2:$D$4,MATCH(E1391,Risk_Matrix!$A$2:$A$4,0),MATCH(F1391,Risk_Matrix!$B$1:$D$1,0))</f>
        <v>Low</v>
      </c>
      <c r="H1391" s="1">
        <v>46120</v>
      </c>
      <c r="I1391" t="s">
        <v>2002</v>
      </c>
      <c r="J1391" t="s">
        <v>2003</v>
      </c>
      <c r="K1391" t="s">
        <v>1989</v>
      </c>
      <c r="L1391">
        <f>IF(G1391="High",3,IF(G1391="Medium",2,1))</f>
        <v>1</v>
      </c>
    </row>
    <row r="1392" spans="1:12">
      <c r="A1392" t="s">
        <v>3418</v>
      </c>
      <c r="B1392" t="s">
        <v>1110</v>
      </c>
      <c r="C1392" t="s">
        <v>2005</v>
      </c>
      <c r="D1392" t="s">
        <v>2022</v>
      </c>
      <c r="E1392" t="s">
        <v>47</v>
      </c>
      <c r="F1392" t="s">
        <v>57</v>
      </c>
      <c r="G1392" t="str">
        <f>INDEX(Risk_Matrix!$B$2:$D$4,MATCH(E1392,Risk_Matrix!$A$2:$A$4,0),MATCH(F1392,Risk_Matrix!$B$1:$D$1,0))</f>
        <v>Medium</v>
      </c>
      <c r="H1392" s="1">
        <v>46167</v>
      </c>
      <c r="I1392" t="s">
        <v>2025</v>
      </c>
      <c r="J1392" t="s">
        <v>2026</v>
      </c>
      <c r="K1392" t="s">
        <v>1993</v>
      </c>
      <c r="L1392">
        <f>IF(G1392="High",3,IF(G1392="Medium",2,1))</f>
        <v>2</v>
      </c>
    </row>
    <row r="1393" spans="1:12">
      <c r="A1393" t="s">
        <v>3419</v>
      </c>
      <c r="B1393" t="s">
        <v>1110</v>
      </c>
      <c r="C1393" t="s">
        <v>2008</v>
      </c>
      <c r="D1393" t="s">
        <v>2054</v>
      </c>
      <c r="E1393" t="s">
        <v>1971</v>
      </c>
      <c r="F1393" t="s">
        <v>57</v>
      </c>
      <c r="G1393" t="str">
        <f>INDEX(Risk_Matrix!$B$2:$D$4,MATCH(E1393,Risk_Matrix!$A$2:$A$4,0),MATCH(F1393,Risk_Matrix!$B$1:$D$1,0))</f>
        <v>Low</v>
      </c>
      <c r="H1393" s="1">
        <v>46077</v>
      </c>
      <c r="I1393" t="s">
        <v>1987</v>
      </c>
      <c r="J1393" t="s">
        <v>1997</v>
      </c>
      <c r="K1393" t="s">
        <v>2010</v>
      </c>
      <c r="L1393">
        <f>IF(G1393="High",3,IF(G1393="Medium",2,1))</f>
        <v>1</v>
      </c>
    </row>
    <row r="1394" spans="1:12">
      <c r="A1394" t="s">
        <v>3420</v>
      </c>
      <c r="B1394" t="s">
        <v>1112</v>
      </c>
      <c r="C1394" t="s">
        <v>1985</v>
      </c>
      <c r="D1394" t="s">
        <v>2062</v>
      </c>
      <c r="E1394" t="s">
        <v>1971</v>
      </c>
      <c r="F1394" t="s">
        <v>47</v>
      </c>
      <c r="G1394" t="str">
        <f>INDEX(Risk_Matrix!$B$2:$D$4,MATCH(E1394,Risk_Matrix!$A$2:$A$4,0),MATCH(F1394,Risk_Matrix!$B$1:$D$1,0))</f>
        <v>High</v>
      </c>
      <c r="H1394" s="1">
        <v>46219</v>
      </c>
      <c r="I1394" t="s">
        <v>2015</v>
      </c>
      <c r="J1394" t="s">
        <v>2032</v>
      </c>
      <c r="K1394" t="s">
        <v>1989</v>
      </c>
      <c r="L1394">
        <f>IF(G1394="High",3,IF(G1394="Medium",2,1))</f>
        <v>3</v>
      </c>
    </row>
    <row r="1395" spans="1:12">
      <c r="A1395" t="s">
        <v>3421</v>
      </c>
      <c r="B1395" t="s">
        <v>1112</v>
      </c>
      <c r="C1395" t="s">
        <v>1991</v>
      </c>
      <c r="D1395" t="s">
        <v>2014</v>
      </c>
      <c r="E1395" t="s">
        <v>47</v>
      </c>
      <c r="F1395" t="s">
        <v>47</v>
      </c>
      <c r="G1395" t="str">
        <f>INDEX(Risk_Matrix!$B$2:$D$4,MATCH(E1395,Risk_Matrix!$A$2:$A$4,0),MATCH(F1395,Risk_Matrix!$B$1:$D$1,0))</f>
        <v>High</v>
      </c>
      <c r="H1395" s="1">
        <v>46184</v>
      </c>
      <c r="I1395" t="s">
        <v>2025</v>
      </c>
      <c r="J1395" t="s">
        <v>2035</v>
      </c>
      <c r="K1395" t="s">
        <v>2010</v>
      </c>
      <c r="L1395">
        <f>IF(G1395="High",3,IF(G1395="Medium",2,1))</f>
        <v>3</v>
      </c>
    </row>
    <row r="1396" spans="1:12">
      <c r="A1396" t="s">
        <v>3422</v>
      </c>
      <c r="B1396" t="s">
        <v>1112</v>
      </c>
      <c r="C1396" t="s">
        <v>1995</v>
      </c>
      <c r="D1396" t="s">
        <v>2018</v>
      </c>
      <c r="E1396" t="s">
        <v>57</v>
      </c>
      <c r="F1396" t="s">
        <v>47</v>
      </c>
      <c r="G1396" t="str">
        <f>INDEX(Risk_Matrix!$B$2:$D$4,MATCH(E1396,Risk_Matrix!$A$2:$A$4,0),MATCH(F1396,Risk_Matrix!$B$1:$D$1,0))</f>
        <v>Medium</v>
      </c>
      <c r="H1396" s="1">
        <v>46234</v>
      </c>
      <c r="I1396" t="s">
        <v>2015</v>
      </c>
      <c r="J1396" t="s">
        <v>2032</v>
      </c>
      <c r="K1396" t="s">
        <v>2036</v>
      </c>
      <c r="L1396">
        <f>IF(G1396="High",3,IF(G1396="Medium",2,1))</f>
        <v>2</v>
      </c>
    </row>
    <row r="1397" spans="1:12">
      <c r="A1397" t="s">
        <v>3423</v>
      </c>
      <c r="B1397" t="s">
        <v>1112</v>
      </c>
      <c r="C1397" t="s">
        <v>2000</v>
      </c>
      <c r="D1397" t="s">
        <v>2045</v>
      </c>
      <c r="E1397" t="s">
        <v>47</v>
      </c>
      <c r="F1397" t="s">
        <v>57</v>
      </c>
      <c r="G1397" t="str">
        <f>INDEX(Risk_Matrix!$B$2:$D$4,MATCH(E1397,Risk_Matrix!$A$2:$A$4,0),MATCH(F1397,Risk_Matrix!$B$1:$D$1,0))</f>
        <v>Medium</v>
      </c>
      <c r="H1397" s="1">
        <v>46115</v>
      </c>
      <c r="I1397" t="s">
        <v>2025</v>
      </c>
      <c r="J1397" t="s">
        <v>2026</v>
      </c>
      <c r="K1397" t="s">
        <v>1993</v>
      </c>
      <c r="L1397">
        <f>IF(G1397="High",3,IF(G1397="Medium",2,1))</f>
        <v>2</v>
      </c>
    </row>
    <row r="1398" spans="1:12">
      <c r="A1398" t="s">
        <v>3424</v>
      </c>
      <c r="B1398" t="s">
        <v>1112</v>
      </c>
      <c r="C1398" t="s">
        <v>2005</v>
      </c>
      <c r="D1398" t="s">
        <v>2039</v>
      </c>
      <c r="E1398" t="s">
        <v>1971</v>
      </c>
      <c r="F1398" t="s">
        <v>57</v>
      </c>
      <c r="G1398" t="str">
        <f>INDEX(Risk_Matrix!$B$2:$D$4,MATCH(E1398,Risk_Matrix!$A$2:$A$4,0),MATCH(F1398,Risk_Matrix!$B$1:$D$1,0))</f>
        <v>Low</v>
      </c>
      <c r="H1398" s="1">
        <v>46157</v>
      </c>
      <c r="I1398" t="s">
        <v>2002</v>
      </c>
      <c r="J1398" t="s">
        <v>2003</v>
      </c>
      <c r="K1398" t="s">
        <v>1993</v>
      </c>
      <c r="L1398">
        <f>IF(G1398="High",3,IF(G1398="Medium",2,1))</f>
        <v>1</v>
      </c>
    </row>
    <row r="1399" spans="1:12">
      <c r="A1399" t="s">
        <v>3425</v>
      </c>
      <c r="B1399" t="s">
        <v>1112</v>
      </c>
      <c r="C1399" t="s">
        <v>2008</v>
      </c>
      <c r="D1399" t="s">
        <v>2009</v>
      </c>
      <c r="E1399" t="s">
        <v>1971</v>
      </c>
      <c r="F1399" t="s">
        <v>57</v>
      </c>
      <c r="G1399" t="str">
        <f>INDEX(Risk_Matrix!$B$2:$D$4,MATCH(E1399,Risk_Matrix!$A$2:$A$4,0),MATCH(F1399,Risk_Matrix!$B$1:$D$1,0))</f>
        <v>Low</v>
      </c>
      <c r="H1399" s="1">
        <v>46134</v>
      </c>
      <c r="I1399" t="s">
        <v>1987</v>
      </c>
      <c r="J1399" t="s">
        <v>1997</v>
      </c>
      <c r="K1399" t="s">
        <v>2010</v>
      </c>
      <c r="L1399">
        <f>IF(G1399="High",3,IF(G1399="Medium",2,1))</f>
        <v>1</v>
      </c>
    </row>
    <row r="1400" spans="1:12">
      <c r="A1400" t="s">
        <v>3426</v>
      </c>
      <c r="B1400" t="s">
        <v>1114</v>
      </c>
      <c r="C1400" t="s">
        <v>1985</v>
      </c>
      <c r="D1400" t="s">
        <v>2012</v>
      </c>
      <c r="E1400" t="s">
        <v>1971</v>
      </c>
      <c r="F1400" t="s">
        <v>1971</v>
      </c>
      <c r="G1400" t="str">
        <f>INDEX(Risk_Matrix!$B$2:$D$4,MATCH(E1400,Risk_Matrix!$A$2:$A$4,0),MATCH(F1400,Risk_Matrix!$B$1:$D$1,0))</f>
        <v>Medium</v>
      </c>
      <c r="H1400" s="1">
        <v>46210</v>
      </c>
      <c r="I1400" t="s">
        <v>1987</v>
      </c>
      <c r="J1400" t="s">
        <v>1988</v>
      </c>
      <c r="K1400" t="s">
        <v>1998</v>
      </c>
      <c r="L1400">
        <f>IF(G1400="High",3,IF(G1400="Medium",2,1))</f>
        <v>2</v>
      </c>
    </row>
    <row r="1401" spans="1:12">
      <c r="A1401" t="s">
        <v>3427</v>
      </c>
      <c r="B1401" t="s">
        <v>1114</v>
      </c>
      <c r="C1401" t="s">
        <v>1991</v>
      </c>
      <c r="D1401" t="s">
        <v>1992</v>
      </c>
      <c r="E1401" t="s">
        <v>1971</v>
      </c>
      <c r="F1401" t="s">
        <v>57</v>
      </c>
      <c r="G1401" t="str">
        <f>INDEX(Risk_Matrix!$B$2:$D$4,MATCH(E1401,Risk_Matrix!$A$2:$A$4,0),MATCH(F1401,Risk_Matrix!$B$1:$D$1,0))</f>
        <v>Low</v>
      </c>
      <c r="H1401" s="1">
        <v>46121</v>
      </c>
      <c r="I1401" t="s">
        <v>1987</v>
      </c>
      <c r="J1401" t="s">
        <v>1988</v>
      </c>
      <c r="K1401" t="s">
        <v>2010</v>
      </c>
      <c r="L1401">
        <f>IF(G1401="High",3,IF(G1401="Medium",2,1))</f>
        <v>1</v>
      </c>
    </row>
    <row r="1402" spans="1:12">
      <c r="A1402" t="s">
        <v>3428</v>
      </c>
      <c r="B1402" t="s">
        <v>1114</v>
      </c>
      <c r="C1402" t="s">
        <v>1995</v>
      </c>
      <c r="D1402" t="s">
        <v>2150</v>
      </c>
      <c r="E1402" t="s">
        <v>1971</v>
      </c>
      <c r="F1402" t="s">
        <v>1971</v>
      </c>
      <c r="G1402" t="str">
        <f>INDEX(Risk_Matrix!$B$2:$D$4,MATCH(E1402,Risk_Matrix!$A$2:$A$4,0),MATCH(F1402,Risk_Matrix!$B$1:$D$1,0))</f>
        <v>Medium</v>
      </c>
      <c r="H1402" s="1">
        <v>46193</v>
      </c>
      <c r="I1402" t="s">
        <v>2025</v>
      </c>
      <c r="J1402" t="s">
        <v>2026</v>
      </c>
      <c r="K1402" t="s">
        <v>2036</v>
      </c>
      <c r="L1402">
        <f>IF(G1402="High",3,IF(G1402="Medium",2,1))</f>
        <v>2</v>
      </c>
    </row>
    <row r="1403" spans="1:12">
      <c r="A1403" t="s">
        <v>3429</v>
      </c>
      <c r="B1403" t="s">
        <v>1114</v>
      </c>
      <c r="C1403" t="s">
        <v>2000</v>
      </c>
      <c r="D1403" t="s">
        <v>2001</v>
      </c>
      <c r="E1403" t="s">
        <v>1971</v>
      </c>
      <c r="F1403" t="s">
        <v>1971</v>
      </c>
      <c r="G1403" t="str">
        <f>INDEX(Risk_Matrix!$B$2:$D$4,MATCH(E1403,Risk_Matrix!$A$2:$A$4,0),MATCH(F1403,Risk_Matrix!$B$1:$D$1,0))</f>
        <v>Medium</v>
      </c>
      <c r="H1403" s="1">
        <v>46143</v>
      </c>
      <c r="I1403" t="s">
        <v>2025</v>
      </c>
      <c r="J1403" t="s">
        <v>2035</v>
      </c>
      <c r="K1403" t="s">
        <v>1993</v>
      </c>
      <c r="L1403">
        <f>IF(G1403="High",3,IF(G1403="Medium",2,1))</f>
        <v>2</v>
      </c>
    </row>
    <row r="1404" spans="1:12">
      <c r="A1404" t="s">
        <v>3430</v>
      </c>
      <c r="B1404" t="s">
        <v>1114</v>
      </c>
      <c r="C1404" t="s">
        <v>2005</v>
      </c>
      <c r="D1404" t="s">
        <v>2022</v>
      </c>
      <c r="E1404" t="s">
        <v>57</v>
      </c>
      <c r="F1404" t="s">
        <v>57</v>
      </c>
      <c r="G1404" t="str">
        <f>INDEX(Risk_Matrix!$B$2:$D$4,MATCH(E1404,Risk_Matrix!$A$2:$A$4,0),MATCH(F1404,Risk_Matrix!$B$1:$D$1,0))</f>
        <v>Low</v>
      </c>
      <c r="H1404" s="1">
        <v>46073</v>
      </c>
      <c r="I1404" t="s">
        <v>2002</v>
      </c>
      <c r="J1404" t="s">
        <v>2003</v>
      </c>
      <c r="K1404" t="s">
        <v>1993</v>
      </c>
      <c r="L1404">
        <f>IF(G1404="High",3,IF(G1404="Medium",2,1))</f>
        <v>1</v>
      </c>
    </row>
    <row r="1405" spans="1:12">
      <c r="A1405" t="s">
        <v>3431</v>
      </c>
      <c r="B1405" t="s">
        <v>1114</v>
      </c>
      <c r="C1405" t="s">
        <v>2008</v>
      </c>
      <c r="D1405" t="s">
        <v>2054</v>
      </c>
      <c r="E1405" t="s">
        <v>1971</v>
      </c>
      <c r="F1405" t="s">
        <v>47</v>
      </c>
      <c r="G1405" t="str">
        <f>INDEX(Risk_Matrix!$B$2:$D$4,MATCH(E1405,Risk_Matrix!$A$2:$A$4,0),MATCH(F1405,Risk_Matrix!$B$1:$D$1,0))</f>
        <v>High</v>
      </c>
      <c r="H1405" s="1">
        <v>46186</v>
      </c>
      <c r="I1405" t="s">
        <v>2015</v>
      </c>
      <c r="J1405" t="s">
        <v>2032</v>
      </c>
      <c r="K1405" t="s">
        <v>2010</v>
      </c>
      <c r="L1405">
        <f>IF(G1405="High",3,IF(G1405="Medium",2,1))</f>
        <v>3</v>
      </c>
    </row>
    <row r="1406" spans="1:12">
      <c r="A1406" t="s">
        <v>3432</v>
      </c>
      <c r="B1406" t="s">
        <v>1117</v>
      </c>
      <c r="C1406" t="s">
        <v>1985</v>
      </c>
      <c r="D1406" t="s">
        <v>2012</v>
      </c>
      <c r="E1406" t="s">
        <v>57</v>
      </c>
      <c r="F1406" t="s">
        <v>57</v>
      </c>
      <c r="G1406" t="str">
        <f>INDEX(Risk_Matrix!$B$2:$D$4,MATCH(E1406,Risk_Matrix!$A$2:$A$4,0),MATCH(F1406,Risk_Matrix!$B$1:$D$1,0))</f>
        <v>Low</v>
      </c>
      <c r="H1406" s="1">
        <v>46121</v>
      </c>
      <c r="I1406" t="s">
        <v>2025</v>
      </c>
      <c r="J1406" t="s">
        <v>2035</v>
      </c>
      <c r="K1406" t="s">
        <v>1998</v>
      </c>
      <c r="L1406">
        <f>IF(G1406="High",3,IF(G1406="Medium",2,1))</f>
        <v>1</v>
      </c>
    </row>
    <row r="1407" spans="1:12">
      <c r="A1407" t="s">
        <v>3433</v>
      </c>
      <c r="B1407" t="s">
        <v>1117</v>
      </c>
      <c r="C1407" t="s">
        <v>1991</v>
      </c>
      <c r="D1407" t="s">
        <v>1992</v>
      </c>
      <c r="E1407" t="s">
        <v>1971</v>
      </c>
      <c r="F1407" t="s">
        <v>1971</v>
      </c>
      <c r="G1407" t="str">
        <f>INDEX(Risk_Matrix!$B$2:$D$4,MATCH(E1407,Risk_Matrix!$A$2:$A$4,0),MATCH(F1407,Risk_Matrix!$B$1:$D$1,0))</f>
        <v>Medium</v>
      </c>
      <c r="H1407" s="1">
        <v>46226</v>
      </c>
      <c r="I1407" t="s">
        <v>2015</v>
      </c>
      <c r="J1407" t="s">
        <v>2032</v>
      </c>
      <c r="K1407" t="s">
        <v>1993</v>
      </c>
      <c r="L1407">
        <f>IF(G1407="High",3,IF(G1407="Medium",2,1))</f>
        <v>2</v>
      </c>
    </row>
    <row r="1408" spans="1:12">
      <c r="A1408" t="s">
        <v>3434</v>
      </c>
      <c r="B1408" t="s">
        <v>1117</v>
      </c>
      <c r="C1408" t="s">
        <v>1995</v>
      </c>
      <c r="D1408" t="s">
        <v>1996</v>
      </c>
      <c r="E1408" t="s">
        <v>1971</v>
      </c>
      <c r="F1408" t="s">
        <v>57</v>
      </c>
      <c r="G1408" t="str">
        <f>INDEX(Risk_Matrix!$B$2:$D$4,MATCH(E1408,Risk_Matrix!$A$2:$A$4,0),MATCH(F1408,Risk_Matrix!$B$1:$D$1,0))</f>
        <v>Low</v>
      </c>
      <c r="H1408" s="1">
        <v>46220</v>
      </c>
      <c r="I1408" t="s">
        <v>2025</v>
      </c>
      <c r="J1408" t="s">
        <v>2035</v>
      </c>
      <c r="K1408" t="s">
        <v>1998</v>
      </c>
      <c r="L1408">
        <f>IF(G1408="High",3,IF(G1408="Medium",2,1))</f>
        <v>1</v>
      </c>
    </row>
    <row r="1409" spans="1:12">
      <c r="A1409" t="s">
        <v>3435</v>
      </c>
      <c r="B1409" t="s">
        <v>1117</v>
      </c>
      <c r="C1409" t="s">
        <v>2000</v>
      </c>
      <c r="D1409" t="s">
        <v>2020</v>
      </c>
      <c r="E1409" t="s">
        <v>57</v>
      </c>
      <c r="F1409" t="s">
        <v>1971</v>
      </c>
      <c r="G1409" t="str">
        <f>INDEX(Risk_Matrix!$B$2:$D$4,MATCH(E1409,Risk_Matrix!$A$2:$A$4,0),MATCH(F1409,Risk_Matrix!$B$1:$D$1,0))</f>
        <v>Low</v>
      </c>
      <c r="H1409" s="1">
        <v>46188</v>
      </c>
      <c r="I1409" t="s">
        <v>2015</v>
      </c>
      <c r="J1409" t="s">
        <v>2016</v>
      </c>
      <c r="K1409" t="s">
        <v>1993</v>
      </c>
      <c r="L1409">
        <f>IF(G1409="High",3,IF(G1409="Medium",2,1))</f>
        <v>1</v>
      </c>
    </row>
    <row r="1410" spans="1:12">
      <c r="A1410" t="s">
        <v>3436</v>
      </c>
      <c r="B1410" t="s">
        <v>1117</v>
      </c>
      <c r="C1410" t="s">
        <v>2005</v>
      </c>
      <c r="D1410" t="s">
        <v>2039</v>
      </c>
      <c r="E1410" t="s">
        <v>1971</v>
      </c>
      <c r="F1410" t="s">
        <v>47</v>
      </c>
      <c r="G1410" t="str">
        <f>INDEX(Risk_Matrix!$B$2:$D$4,MATCH(E1410,Risk_Matrix!$A$2:$A$4,0),MATCH(F1410,Risk_Matrix!$B$1:$D$1,0))</f>
        <v>High</v>
      </c>
      <c r="H1410" s="1">
        <v>46074</v>
      </c>
      <c r="I1410" t="s">
        <v>2025</v>
      </c>
      <c r="J1410" t="s">
        <v>2035</v>
      </c>
      <c r="K1410" t="s">
        <v>1993</v>
      </c>
      <c r="L1410">
        <f>IF(G1410="High",3,IF(G1410="Medium",2,1))</f>
        <v>3</v>
      </c>
    </row>
    <row r="1411" spans="1:12">
      <c r="A1411" t="s">
        <v>3437</v>
      </c>
      <c r="B1411" t="s">
        <v>1117</v>
      </c>
      <c r="C1411" t="s">
        <v>2008</v>
      </c>
      <c r="D1411" t="s">
        <v>2024</v>
      </c>
      <c r="E1411" t="s">
        <v>57</v>
      </c>
      <c r="F1411" t="s">
        <v>57</v>
      </c>
      <c r="G1411" t="str">
        <f>INDEX(Risk_Matrix!$B$2:$D$4,MATCH(E1411,Risk_Matrix!$A$2:$A$4,0),MATCH(F1411,Risk_Matrix!$B$1:$D$1,0))</f>
        <v>Low</v>
      </c>
      <c r="H1411" s="1">
        <v>46237</v>
      </c>
      <c r="I1411" t="s">
        <v>2025</v>
      </c>
      <c r="J1411" t="s">
        <v>2026</v>
      </c>
      <c r="K1411" t="s">
        <v>2010</v>
      </c>
      <c r="L1411">
        <f>IF(G1411="High",3,IF(G1411="Medium",2,1))</f>
        <v>1</v>
      </c>
    </row>
    <row r="1412" spans="1:12">
      <c r="A1412" t="s">
        <v>3438</v>
      </c>
      <c r="B1412" t="s">
        <v>1120</v>
      </c>
      <c r="C1412" t="s">
        <v>1985</v>
      </c>
      <c r="D1412" t="s">
        <v>2028</v>
      </c>
      <c r="E1412" t="s">
        <v>57</v>
      </c>
      <c r="F1412" t="s">
        <v>57</v>
      </c>
      <c r="G1412" t="str">
        <f>INDEX(Risk_Matrix!$B$2:$D$4,MATCH(E1412,Risk_Matrix!$A$2:$A$4,0),MATCH(F1412,Risk_Matrix!$B$1:$D$1,0))</f>
        <v>Low</v>
      </c>
      <c r="H1412" s="1">
        <v>46071</v>
      </c>
      <c r="I1412" t="s">
        <v>2002</v>
      </c>
      <c r="J1412" t="s">
        <v>2029</v>
      </c>
      <c r="K1412" t="s">
        <v>1989</v>
      </c>
      <c r="L1412">
        <f>IF(G1412="High",3,IF(G1412="Medium",2,1))</f>
        <v>1</v>
      </c>
    </row>
    <row r="1413" spans="1:12">
      <c r="A1413" t="s">
        <v>3439</v>
      </c>
      <c r="B1413" t="s">
        <v>1120</v>
      </c>
      <c r="C1413" t="s">
        <v>1991</v>
      </c>
      <c r="D1413" t="s">
        <v>2064</v>
      </c>
      <c r="E1413" t="s">
        <v>1971</v>
      </c>
      <c r="F1413" t="s">
        <v>57</v>
      </c>
      <c r="G1413" t="str">
        <f>INDEX(Risk_Matrix!$B$2:$D$4,MATCH(E1413,Risk_Matrix!$A$2:$A$4,0),MATCH(F1413,Risk_Matrix!$B$1:$D$1,0))</f>
        <v>Low</v>
      </c>
      <c r="H1413" s="1">
        <v>46135</v>
      </c>
      <c r="I1413" t="s">
        <v>2025</v>
      </c>
      <c r="J1413" t="s">
        <v>2035</v>
      </c>
      <c r="K1413" t="s">
        <v>1993</v>
      </c>
      <c r="L1413">
        <f>IF(G1413="High",3,IF(G1413="Medium",2,1))</f>
        <v>1</v>
      </c>
    </row>
    <row r="1414" spans="1:12">
      <c r="A1414" t="s">
        <v>3440</v>
      </c>
      <c r="B1414" t="s">
        <v>1120</v>
      </c>
      <c r="C1414" t="s">
        <v>1995</v>
      </c>
      <c r="D1414" t="s">
        <v>1996</v>
      </c>
      <c r="E1414" t="s">
        <v>1971</v>
      </c>
      <c r="F1414" t="s">
        <v>57</v>
      </c>
      <c r="G1414" t="str">
        <f>INDEX(Risk_Matrix!$B$2:$D$4,MATCH(E1414,Risk_Matrix!$A$2:$A$4,0),MATCH(F1414,Risk_Matrix!$B$1:$D$1,0))</f>
        <v>Low</v>
      </c>
      <c r="H1414" s="1">
        <v>46114</v>
      </c>
      <c r="I1414" t="s">
        <v>2025</v>
      </c>
      <c r="J1414" t="s">
        <v>2026</v>
      </c>
      <c r="K1414" t="s">
        <v>1998</v>
      </c>
      <c r="L1414">
        <f>IF(G1414="High",3,IF(G1414="Medium",2,1))</f>
        <v>1</v>
      </c>
    </row>
    <row r="1415" spans="1:12">
      <c r="A1415" t="s">
        <v>3441</v>
      </c>
      <c r="B1415" t="s">
        <v>1120</v>
      </c>
      <c r="C1415" t="s">
        <v>2000</v>
      </c>
      <c r="D1415" t="s">
        <v>2001</v>
      </c>
      <c r="E1415" t="s">
        <v>57</v>
      </c>
      <c r="F1415" t="s">
        <v>1971</v>
      </c>
      <c r="G1415" t="str">
        <f>INDEX(Risk_Matrix!$B$2:$D$4,MATCH(E1415,Risk_Matrix!$A$2:$A$4,0),MATCH(F1415,Risk_Matrix!$B$1:$D$1,0))</f>
        <v>Low</v>
      </c>
      <c r="H1415" s="1">
        <v>46226</v>
      </c>
      <c r="I1415" t="s">
        <v>2015</v>
      </c>
      <c r="J1415" t="s">
        <v>2032</v>
      </c>
      <c r="K1415" t="s">
        <v>1993</v>
      </c>
      <c r="L1415">
        <f>IF(G1415="High",3,IF(G1415="Medium",2,1))</f>
        <v>1</v>
      </c>
    </row>
    <row r="1416" spans="1:12">
      <c r="A1416" t="s">
        <v>3442</v>
      </c>
      <c r="B1416" t="s">
        <v>1120</v>
      </c>
      <c r="C1416" t="s">
        <v>2005</v>
      </c>
      <c r="D1416" t="s">
        <v>2022</v>
      </c>
      <c r="E1416" t="s">
        <v>57</v>
      </c>
      <c r="F1416" t="s">
        <v>57</v>
      </c>
      <c r="G1416" t="str">
        <f>INDEX(Risk_Matrix!$B$2:$D$4,MATCH(E1416,Risk_Matrix!$A$2:$A$4,0),MATCH(F1416,Risk_Matrix!$B$1:$D$1,0))</f>
        <v>Low</v>
      </c>
      <c r="H1416" s="1">
        <v>46123</v>
      </c>
      <c r="I1416" t="s">
        <v>2025</v>
      </c>
      <c r="J1416" t="s">
        <v>2035</v>
      </c>
      <c r="K1416" t="s">
        <v>1993</v>
      </c>
      <c r="L1416">
        <f>IF(G1416="High",3,IF(G1416="Medium",2,1))</f>
        <v>1</v>
      </c>
    </row>
    <row r="1417" spans="1:12">
      <c r="A1417" t="s">
        <v>3443</v>
      </c>
      <c r="B1417" t="s">
        <v>1120</v>
      </c>
      <c r="C1417" t="s">
        <v>2008</v>
      </c>
      <c r="D1417" t="s">
        <v>2054</v>
      </c>
      <c r="E1417" t="s">
        <v>57</v>
      </c>
      <c r="F1417" t="s">
        <v>1971</v>
      </c>
      <c r="G1417" t="str">
        <f>INDEX(Risk_Matrix!$B$2:$D$4,MATCH(E1417,Risk_Matrix!$A$2:$A$4,0),MATCH(F1417,Risk_Matrix!$B$1:$D$1,0))</f>
        <v>Low</v>
      </c>
      <c r="H1417" s="1">
        <v>46184</v>
      </c>
      <c r="I1417" t="s">
        <v>2025</v>
      </c>
      <c r="J1417" t="s">
        <v>2026</v>
      </c>
      <c r="K1417" t="s">
        <v>2010</v>
      </c>
      <c r="L1417">
        <f>IF(G1417="High",3,IF(G1417="Medium",2,1))</f>
        <v>1</v>
      </c>
    </row>
    <row r="1418" spans="1:12">
      <c r="A1418" t="s">
        <v>3444</v>
      </c>
      <c r="B1418" t="s">
        <v>1123</v>
      </c>
      <c r="C1418" t="s">
        <v>1985</v>
      </c>
      <c r="D1418" t="s">
        <v>2062</v>
      </c>
      <c r="E1418" t="s">
        <v>1971</v>
      </c>
      <c r="F1418" t="s">
        <v>57</v>
      </c>
      <c r="G1418" t="str">
        <f>INDEX(Risk_Matrix!$B$2:$D$4,MATCH(E1418,Risk_Matrix!$A$2:$A$4,0),MATCH(F1418,Risk_Matrix!$B$1:$D$1,0))</f>
        <v>Low</v>
      </c>
      <c r="H1418" s="1">
        <v>46226</v>
      </c>
      <c r="I1418" t="s">
        <v>2002</v>
      </c>
      <c r="J1418" t="s">
        <v>2029</v>
      </c>
      <c r="K1418" t="s">
        <v>1989</v>
      </c>
      <c r="L1418">
        <f>IF(G1418="High",3,IF(G1418="Medium",2,1))</f>
        <v>1</v>
      </c>
    </row>
    <row r="1419" spans="1:12">
      <c r="A1419" t="s">
        <v>3445</v>
      </c>
      <c r="B1419" t="s">
        <v>1123</v>
      </c>
      <c r="C1419" t="s">
        <v>1991</v>
      </c>
      <c r="D1419" t="s">
        <v>2064</v>
      </c>
      <c r="E1419" t="s">
        <v>1971</v>
      </c>
      <c r="F1419" t="s">
        <v>1971</v>
      </c>
      <c r="G1419" t="str">
        <f>INDEX(Risk_Matrix!$B$2:$D$4,MATCH(E1419,Risk_Matrix!$A$2:$A$4,0),MATCH(F1419,Risk_Matrix!$B$1:$D$1,0))</f>
        <v>Medium</v>
      </c>
      <c r="H1419" s="1">
        <v>46223</v>
      </c>
      <c r="I1419" t="s">
        <v>2025</v>
      </c>
      <c r="J1419" t="s">
        <v>2026</v>
      </c>
      <c r="K1419" t="s">
        <v>1993</v>
      </c>
      <c r="L1419">
        <f>IF(G1419="High",3,IF(G1419="Medium",2,1))</f>
        <v>2</v>
      </c>
    </row>
    <row r="1420" spans="1:12">
      <c r="A1420" t="s">
        <v>3446</v>
      </c>
      <c r="B1420" t="s">
        <v>1123</v>
      </c>
      <c r="C1420" t="s">
        <v>1995</v>
      </c>
      <c r="D1420" t="s">
        <v>2150</v>
      </c>
      <c r="E1420" t="s">
        <v>57</v>
      </c>
      <c r="F1420" t="s">
        <v>57</v>
      </c>
      <c r="G1420" t="str">
        <f>INDEX(Risk_Matrix!$B$2:$D$4,MATCH(E1420,Risk_Matrix!$A$2:$A$4,0),MATCH(F1420,Risk_Matrix!$B$1:$D$1,0))</f>
        <v>Low</v>
      </c>
      <c r="H1420" s="1">
        <v>46223</v>
      </c>
      <c r="I1420" t="s">
        <v>2002</v>
      </c>
      <c r="J1420" t="s">
        <v>2029</v>
      </c>
      <c r="K1420" t="s">
        <v>2036</v>
      </c>
      <c r="L1420">
        <f>IF(G1420="High",3,IF(G1420="Medium",2,1))</f>
        <v>1</v>
      </c>
    </row>
    <row r="1421" spans="1:12">
      <c r="A1421" t="s">
        <v>3447</v>
      </c>
      <c r="B1421" t="s">
        <v>1123</v>
      </c>
      <c r="C1421" t="s">
        <v>2000</v>
      </c>
      <c r="D1421" t="s">
        <v>2045</v>
      </c>
      <c r="E1421" t="s">
        <v>57</v>
      </c>
      <c r="F1421" t="s">
        <v>1971</v>
      </c>
      <c r="G1421" t="str">
        <f>INDEX(Risk_Matrix!$B$2:$D$4,MATCH(E1421,Risk_Matrix!$A$2:$A$4,0),MATCH(F1421,Risk_Matrix!$B$1:$D$1,0))</f>
        <v>Low</v>
      </c>
      <c r="H1421" s="1">
        <v>46230</v>
      </c>
      <c r="I1421" t="s">
        <v>2002</v>
      </c>
      <c r="J1421" t="s">
        <v>2003</v>
      </c>
      <c r="K1421" t="s">
        <v>1993</v>
      </c>
      <c r="L1421">
        <f>IF(G1421="High",3,IF(G1421="Medium",2,1))</f>
        <v>1</v>
      </c>
    </row>
    <row r="1422" spans="1:12">
      <c r="A1422" t="s">
        <v>3448</v>
      </c>
      <c r="B1422" t="s">
        <v>1123</v>
      </c>
      <c r="C1422" t="s">
        <v>2005</v>
      </c>
      <c r="D1422" t="s">
        <v>2022</v>
      </c>
      <c r="E1422" t="s">
        <v>57</v>
      </c>
      <c r="F1422" t="s">
        <v>1971</v>
      </c>
      <c r="G1422" t="str">
        <f>INDEX(Risk_Matrix!$B$2:$D$4,MATCH(E1422,Risk_Matrix!$A$2:$A$4,0),MATCH(F1422,Risk_Matrix!$B$1:$D$1,0))</f>
        <v>Low</v>
      </c>
      <c r="H1422" s="1">
        <v>46137</v>
      </c>
      <c r="I1422" t="s">
        <v>1987</v>
      </c>
      <c r="J1422" t="s">
        <v>1997</v>
      </c>
      <c r="K1422" t="s">
        <v>1993</v>
      </c>
      <c r="L1422">
        <f>IF(G1422="High",3,IF(G1422="Medium",2,1))</f>
        <v>1</v>
      </c>
    </row>
    <row r="1423" spans="1:12">
      <c r="A1423" t="s">
        <v>3449</v>
      </c>
      <c r="B1423" t="s">
        <v>1123</v>
      </c>
      <c r="C1423" t="s">
        <v>2008</v>
      </c>
      <c r="D1423" t="s">
        <v>2024</v>
      </c>
      <c r="E1423" t="s">
        <v>57</v>
      </c>
      <c r="F1423" t="s">
        <v>57</v>
      </c>
      <c r="G1423" t="str">
        <f>INDEX(Risk_Matrix!$B$2:$D$4,MATCH(E1423,Risk_Matrix!$A$2:$A$4,0),MATCH(F1423,Risk_Matrix!$B$1:$D$1,0))</f>
        <v>Low</v>
      </c>
      <c r="H1423" s="1">
        <v>46126</v>
      </c>
      <c r="I1423" t="s">
        <v>1987</v>
      </c>
      <c r="J1423" t="s">
        <v>1988</v>
      </c>
      <c r="K1423" t="s">
        <v>2010</v>
      </c>
      <c r="L1423">
        <f>IF(G1423="High",3,IF(G1423="Medium",2,1))</f>
        <v>1</v>
      </c>
    </row>
    <row r="1424" spans="1:12">
      <c r="A1424" t="s">
        <v>3450</v>
      </c>
      <c r="B1424" t="s">
        <v>1125</v>
      </c>
      <c r="C1424" t="s">
        <v>1985</v>
      </c>
      <c r="D1424" t="s">
        <v>2028</v>
      </c>
      <c r="E1424" t="s">
        <v>57</v>
      </c>
      <c r="F1424" t="s">
        <v>57</v>
      </c>
      <c r="G1424" t="str">
        <f>INDEX(Risk_Matrix!$B$2:$D$4,MATCH(E1424,Risk_Matrix!$A$2:$A$4,0),MATCH(F1424,Risk_Matrix!$B$1:$D$1,0))</f>
        <v>Low</v>
      </c>
      <c r="H1424" s="1">
        <v>46076</v>
      </c>
      <c r="I1424" t="s">
        <v>1987</v>
      </c>
      <c r="J1424" t="s">
        <v>1988</v>
      </c>
      <c r="K1424" t="s">
        <v>1989</v>
      </c>
      <c r="L1424">
        <f>IF(G1424="High",3,IF(G1424="Medium",2,1))</f>
        <v>1</v>
      </c>
    </row>
    <row r="1425" spans="1:12">
      <c r="A1425" t="s">
        <v>3451</v>
      </c>
      <c r="B1425" t="s">
        <v>1125</v>
      </c>
      <c r="C1425" t="s">
        <v>1991</v>
      </c>
      <c r="D1425" t="s">
        <v>2031</v>
      </c>
      <c r="E1425" t="s">
        <v>47</v>
      </c>
      <c r="F1425" t="s">
        <v>47</v>
      </c>
      <c r="G1425" t="str">
        <f>INDEX(Risk_Matrix!$B$2:$D$4,MATCH(E1425,Risk_Matrix!$A$2:$A$4,0),MATCH(F1425,Risk_Matrix!$B$1:$D$1,0))</f>
        <v>High</v>
      </c>
      <c r="H1425" s="1">
        <v>46232</v>
      </c>
      <c r="I1425" t="s">
        <v>2015</v>
      </c>
      <c r="J1425" t="s">
        <v>2032</v>
      </c>
      <c r="K1425" t="s">
        <v>1993</v>
      </c>
      <c r="L1425">
        <f>IF(G1425="High",3,IF(G1425="Medium",2,1))</f>
        <v>3</v>
      </c>
    </row>
    <row r="1426" spans="1:12">
      <c r="A1426" t="s">
        <v>3452</v>
      </c>
      <c r="B1426" t="s">
        <v>1125</v>
      </c>
      <c r="C1426" t="s">
        <v>1995</v>
      </c>
      <c r="D1426" t="s">
        <v>2150</v>
      </c>
      <c r="E1426" t="s">
        <v>57</v>
      </c>
      <c r="F1426" t="s">
        <v>1971</v>
      </c>
      <c r="G1426" t="str">
        <f>INDEX(Risk_Matrix!$B$2:$D$4,MATCH(E1426,Risk_Matrix!$A$2:$A$4,0),MATCH(F1426,Risk_Matrix!$B$1:$D$1,0))</f>
        <v>Low</v>
      </c>
      <c r="H1426" s="1">
        <v>46156</v>
      </c>
      <c r="I1426" t="s">
        <v>2025</v>
      </c>
      <c r="J1426" t="s">
        <v>2035</v>
      </c>
      <c r="K1426" t="s">
        <v>1998</v>
      </c>
      <c r="L1426">
        <f>IF(G1426="High",3,IF(G1426="Medium",2,1))</f>
        <v>1</v>
      </c>
    </row>
    <row r="1427" spans="1:12">
      <c r="A1427" t="s">
        <v>3453</v>
      </c>
      <c r="B1427" t="s">
        <v>1125</v>
      </c>
      <c r="C1427" t="s">
        <v>2000</v>
      </c>
      <c r="D1427" t="s">
        <v>2001</v>
      </c>
      <c r="E1427" t="s">
        <v>57</v>
      </c>
      <c r="F1427" t="s">
        <v>1971</v>
      </c>
      <c r="G1427" t="str">
        <f>INDEX(Risk_Matrix!$B$2:$D$4,MATCH(E1427,Risk_Matrix!$A$2:$A$4,0),MATCH(F1427,Risk_Matrix!$B$1:$D$1,0))</f>
        <v>Low</v>
      </c>
      <c r="H1427" s="1">
        <v>46175</v>
      </c>
      <c r="I1427" t="s">
        <v>2002</v>
      </c>
      <c r="J1427" t="s">
        <v>2029</v>
      </c>
      <c r="K1427" t="s">
        <v>1989</v>
      </c>
      <c r="L1427">
        <f>IF(G1427="High",3,IF(G1427="Medium",2,1))</f>
        <v>1</v>
      </c>
    </row>
    <row r="1428" spans="1:12">
      <c r="A1428" t="s">
        <v>3454</v>
      </c>
      <c r="B1428" t="s">
        <v>1125</v>
      </c>
      <c r="C1428" t="s">
        <v>2005</v>
      </c>
      <c r="D1428" t="s">
        <v>2006</v>
      </c>
      <c r="E1428" t="s">
        <v>57</v>
      </c>
      <c r="F1428" t="s">
        <v>1971</v>
      </c>
      <c r="G1428" t="str">
        <f>INDEX(Risk_Matrix!$B$2:$D$4,MATCH(E1428,Risk_Matrix!$A$2:$A$4,0),MATCH(F1428,Risk_Matrix!$B$1:$D$1,0))</f>
        <v>Low</v>
      </c>
      <c r="H1428" s="1">
        <v>46155</v>
      </c>
      <c r="I1428" t="s">
        <v>2002</v>
      </c>
      <c r="J1428" t="s">
        <v>2003</v>
      </c>
      <c r="K1428" t="s">
        <v>1993</v>
      </c>
      <c r="L1428">
        <f>IF(G1428="High",3,IF(G1428="Medium",2,1))</f>
        <v>1</v>
      </c>
    </row>
    <row r="1429" spans="1:12">
      <c r="A1429" t="s">
        <v>3455</v>
      </c>
      <c r="B1429" t="s">
        <v>1125</v>
      </c>
      <c r="C1429" t="s">
        <v>2008</v>
      </c>
      <c r="D1429" t="s">
        <v>2024</v>
      </c>
      <c r="E1429" t="s">
        <v>47</v>
      </c>
      <c r="F1429" t="s">
        <v>47</v>
      </c>
      <c r="G1429" t="str">
        <f>INDEX(Risk_Matrix!$B$2:$D$4,MATCH(E1429,Risk_Matrix!$A$2:$A$4,0),MATCH(F1429,Risk_Matrix!$B$1:$D$1,0))</f>
        <v>High</v>
      </c>
      <c r="H1429" s="1">
        <v>46171</v>
      </c>
      <c r="I1429" t="s">
        <v>2015</v>
      </c>
      <c r="J1429" t="s">
        <v>2032</v>
      </c>
      <c r="K1429" t="s">
        <v>2010</v>
      </c>
      <c r="L1429">
        <f>IF(G1429="High",3,IF(G1429="Medium",2,1))</f>
        <v>3</v>
      </c>
    </row>
    <row r="1430" spans="1:12">
      <c r="A1430" t="s">
        <v>3456</v>
      </c>
      <c r="B1430" t="s">
        <v>1128</v>
      </c>
      <c r="C1430" t="s">
        <v>1985</v>
      </c>
      <c r="D1430" t="s">
        <v>1986</v>
      </c>
      <c r="E1430" t="s">
        <v>57</v>
      </c>
      <c r="F1430" t="s">
        <v>57</v>
      </c>
      <c r="G1430" t="str">
        <f>INDEX(Risk_Matrix!$B$2:$D$4,MATCH(E1430,Risk_Matrix!$A$2:$A$4,0),MATCH(F1430,Risk_Matrix!$B$1:$D$1,0))</f>
        <v>Low</v>
      </c>
      <c r="H1430" s="1">
        <v>46110</v>
      </c>
      <c r="I1430" t="s">
        <v>1987</v>
      </c>
      <c r="J1430" t="s">
        <v>1997</v>
      </c>
      <c r="K1430" t="s">
        <v>1989</v>
      </c>
      <c r="L1430">
        <f>IF(G1430="High",3,IF(G1430="Medium",2,1))</f>
        <v>1</v>
      </c>
    </row>
    <row r="1431" spans="1:12">
      <c r="A1431" t="s">
        <v>3457</v>
      </c>
      <c r="B1431" t="s">
        <v>1128</v>
      </c>
      <c r="C1431" t="s">
        <v>1991</v>
      </c>
      <c r="D1431" t="s">
        <v>2014</v>
      </c>
      <c r="E1431" t="s">
        <v>47</v>
      </c>
      <c r="F1431" t="s">
        <v>1971</v>
      </c>
      <c r="G1431" t="str">
        <f>INDEX(Risk_Matrix!$B$2:$D$4,MATCH(E1431,Risk_Matrix!$A$2:$A$4,0),MATCH(F1431,Risk_Matrix!$B$1:$D$1,0))</f>
        <v>High</v>
      </c>
      <c r="H1431" s="1">
        <v>46169</v>
      </c>
      <c r="I1431" t="s">
        <v>1987</v>
      </c>
      <c r="J1431" t="s">
        <v>1988</v>
      </c>
      <c r="K1431" t="s">
        <v>2010</v>
      </c>
      <c r="L1431">
        <f>IF(G1431="High",3,IF(G1431="Medium",2,1))</f>
        <v>3</v>
      </c>
    </row>
    <row r="1432" spans="1:12">
      <c r="A1432" t="s">
        <v>3458</v>
      </c>
      <c r="B1432" t="s">
        <v>1128</v>
      </c>
      <c r="C1432" t="s">
        <v>1995</v>
      </c>
      <c r="D1432" t="s">
        <v>2018</v>
      </c>
      <c r="E1432" t="s">
        <v>57</v>
      </c>
      <c r="F1432" t="s">
        <v>57</v>
      </c>
      <c r="G1432" t="str">
        <f>INDEX(Risk_Matrix!$B$2:$D$4,MATCH(E1432,Risk_Matrix!$A$2:$A$4,0),MATCH(F1432,Risk_Matrix!$B$1:$D$1,0))</f>
        <v>Low</v>
      </c>
      <c r="H1432" s="1">
        <v>46118</v>
      </c>
      <c r="I1432" t="s">
        <v>2025</v>
      </c>
      <c r="J1432" t="s">
        <v>2035</v>
      </c>
      <c r="K1432" t="s">
        <v>2036</v>
      </c>
      <c r="L1432">
        <f>IF(G1432="High",3,IF(G1432="Medium",2,1))</f>
        <v>1</v>
      </c>
    </row>
    <row r="1433" spans="1:12">
      <c r="A1433" t="s">
        <v>3459</v>
      </c>
      <c r="B1433" t="s">
        <v>1128</v>
      </c>
      <c r="C1433" t="s">
        <v>2000</v>
      </c>
      <c r="D1433" t="s">
        <v>2001</v>
      </c>
      <c r="E1433" t="s">
        <v>57</v>
      </c>
      <c r="F1433" t="s">
        <v>1971</v>
      </c>
      <c r="G1433" t="str">
        <f>INDEX(Risk_Matrix!$B$2:$D$4,MATCH(E1433,Risk_Matrix!$A$2:$A$4,0),MATCH(F1433,Risk_Matrix!$B$1:$D$1,0))</f>
        <v>Low</v>
      </c>
      <c r="H1433" s="1">
        <v>46196</v>
      </c>
      <c r="I1433" t="s">
        <v>2015</v>
      </c>
      <c r="J1433" t="s">
        <v>2032</v>
      </c>
      <c r="K1433" t="s">
        <v>1989</v>
      </c>
      <c r="L1433">
        <f>IF(G1433="High",3,IF(G1433="Medium",2,1))</f>
        <v>1</v>
      </c>
    </row>
    <row r="1434" spans="1:12">
      <c r="A1434" t="s">
        <v>3460</v>
      </c>
      <c r="B1434" t="s">
        <v>1128</v>
      </c>
      <c r="C1434" t="s">
        <v>2005</v>
      </c>
      <c r="D1434" t="s">
        <v>2022</v>
      </c>
      <c r="E1434" t="s">
        <v>57</v>
      </c>
      <c r="F1434" t="s">
        <v>57</v>
      </c>
      <c r="G1434" t="str">
        <f>INDEX(Risk_Matrix!$B$2:$D$4,MATCH(E1434,Risk_Matrix!$A$2:$A$4,0),MATCH(F1434,Risk_Matrix!$B$1:$D$1,0))</f>
        <v>Low</v>
      </c>
      <c r="H1434" s="1">
        <v>46199</v>
      </c>
      <c r="I1434" t="s">
        <v>2002</v>
      </c>
      <c r="J1434" t="s">
        <v>2029</v>
      </c>
      <c r="K1434" t="s">
        <v>1993</v>
      </c>
      <c r="L1434">
        <f>IF(G1434="High",3,IF(G1434="Medium",2,1))</f>
        <v>1</v>
      </c>
    </row>
    <row r="1435" spans="1:12">
      <c r="A1435" t="s">
        <v>3461</v>
      </c>
      <c r="B1435" t="s">
        <v>1128</v>
      </c>
      <c r="C1435" t="s">
        <v>2008</v>
      </c>
      <c r="D1435" t="s">
        <v>2054</v>
      </c>
      <c r="E1435" t="s">
        <v>1971</v>
      </c>
      <c r="F1435" t="s">
        <v>47</v>
      </c>
      <c r="G1435" t="str">
        <f>INDEX(Risk_Matrix!$B$2:$D$4,MATCH(E1435,Risk_Matrix!$A$2:$A$4,0),MATCH(F1435,Risk_Matrix!$B$1:$D$1,0))</f>
        <v>High</v>
      </c>
      <c r="H1435" s="1">
        <v>46162</v>
      </c>
      <c r="I1435" t="s">
        <v>2015</v>
      </c>
      <c r="J1435" t="s">
        <v>2032</v>
      </c>
      <c r="K1435" t="s">
        <v>2010</v>
      </c>
      <c r="L1435">
        <f>IF(G1435="High",3,IF(G1435="Medium",2,1))</f>
        <v>3</v>
      </c>
    </row>
    <row r="1436" spans="1:12">
      <c r="A1436" t="s">
        <v>3462</v>
      </c>
      <c r="B1436" t="s">
        <v>1130</v>
      </c>
      <c r="C1436" t="s">
        <v>1985</v>
      </c>
      <c r="D1436" t="s">
        <v>2012</v>
      </c>
      <c r="E1436" t="s">
        <v>1971</v>
      </c>
      <c r="F1436" t="s">
        <v>47</v>
      </c>
      <c r="G1436" t="str">
        <f>INDEX(Risk_Matrix!$B$2:$D$4,MATCH(E1436,Risk_Matrix!$A$2:$A$4,0),MATCH(F1436,Risk_Matrix!$B$1:$D$1,0))</f>
        <v>High</v>
      </c>
      <c r="H1436" s="1">
        <v>46191</v>
      </c>
      <c r="I1436" t="s">
        <v>2015</v>
      </c>
      <c r="J1436" t="s">
        <v>2032</v>
      </c>
      <c r="K1436" t="s">
        <v>1989</v>
      </c>
      <c r="L1436">
        <f>IF(G1436="High",3,IF(G1436="Medium",2,1))</f>
        <v>3</v>
      </c>
    </row>
    <row r="1437" spans="1:12">
      <c r="A1437" t="s">
        <v>3463</v>
      </c>
      <c r="B1437" t="s">
        <v>1130</v>
      </c>
      <c r="C1437" t="s">
        <v>1991</v>
      </c>
      <c r="D1437" t="s">
        <v>2031</v>
      </c>
      <c r="E1437" t="s">
        <v>57</v>
      </c>
      <c r="F1437" t="s">
        <v>57</v>
      </c>
      <c r="G1437" t="str">
        <f>INDEX(Risk_Matrix!$B$2:$D$4,MATCH(E1437,Risk_Matrix!$A$2:$A$4,0),MATCH(F1437,Risk_Matrix!$B$1:$D$1,0))</f>
        <v>Low</v>
      </c>
      <c r="H1437" s="1">
        <v>46233</v>
      </c>
      <c r="I1437" t="s">
        <v>2015</v>
      </c>
      <c r="J1437" t="s">
        <v>2032</v>
      </c>
      <c r="K1437" t="s">
        <v>2010</v>
      </c>
      <c r="L1437">
        <f>IF(G1437="High",3,IF(G1437="Medium",2,1))</f>
        <v>1</v>
      </c>
    </row>
    <row r="1438" spans="1:12">
      <c r="A1438" t="s">
        <v>3464</v>
      </c>
      <c r="B1438" t="s">
        <v>1130</v>
      </c>
      <c r="C1438" t="s">
        <v>1995</v>
      </c>
      <c r="D1438" t="s">
        <v>2150</v>
      </c>
      <c r="E1438" t="s">
        <v>57</v>
      </c>
      <c r="F1438" t="s">
        <v>1971</v>
      </c>
      <c r="G1438" t="str">
        <f>INDEX(Risk_Matrix!$B$2:$D$4,MATCH(E1438,Risk_Matrix!$A$2:$A$4,0),MATCH(F1438,Risk_Matrix!$B$1:$D$1,0))</f>
        <v>Low</v>
      </c>
      <c r="H1438" s="1">
        <v>46192</v>
      </c>
      <c r="I1438" t="s">
        <v>1987</v>
      </c>
      <c r="J1438" t="s">
        <v>1988</v>
      </c>
      <c r="K1438" t="s">
        <v>2036</v>
      </c>
      <c r="L1438">
        <f>IF(G1438="High",3,IF(G1438="Medium",2,1))</f>
        <v>1</v>
      </c>
    </row>
    <row r="1439" spans="1:12">
      <c r="A1439" t="s">
        <v>3465</v>
      </c>
      <c r="B1439" t="s">
        <v>1130</v>
      </c>
      <c r="C1439" t="s">
        <v>2000</v>
      </c>
      <c r="D1439" t="s">
        <v>2020</v>
      </c>
      <c r="E1439" t="s">
        <v>57</v>
      </c>
      <c r="F1439" t="s">
        <v>57</v>
      </c>
      <c r="G1439" t="str">
        <f>INDEX(Risk_Matrix!$B$2:$D$4,MATCH(E1439,Risk_Matrix!$A$2:$A$4,0),MATCH(F1439,Risk_Matrix!$B$1:$D$1,0))</f>
        <v>Low</v>
      </c>
      <c r="H1439" s="1">
        <v>46084</v>
      </c>
      <c r="I1439" t="s">
        <v>2025</v>
      </c>
      <c r="J1439" t="s">
        <v>2026</v>
      </c>
      <c r="K1439" t="s">
        <v>1989</v>
      </c>
      <c r="L1439">
        <f>IF(G1439="High",3,IF(G1439="Medium",2,1))</f>
        <v>1</v>
      </c>
    </row>
    <row r="1440" spans="1:12">
      <c r="A1440" t="s">
        <v>3466</v>
      </c>
      <c r="B1440" t="s">
        <v>1130</v>
      </c>
      <c r="C1440" t="s">
        <v>2005</v>
      </c>
      <c r="D1440" t="s">
        <v>2039</v>
      </c>
      <c r="E1440" t="s">
        <v>57</v>
      </c>
      <c r="F1440" t="s">
        <v>57</v>
      </c>
      <c r="G1440" t="str">
        <f>INDEX(Risk_Matrix!$B$2:$D$4,MATCH(E1440,Risk_Matrix!$A$2:$A$4,0),MATCH(F1440,Risk_Matrix!$B$1:$D$1,0))</f>
        <v>Low</v>
      </c>
      <c r="H1440" s="1">
        <v>46221</v>
      </c>
      <c r="I1440" t="s">
        <v>1987</v>
      </c>
      <c r="J1440" t="s">
        <v>1988</v>
      </c>
      <c r="K1440" t="s">
        <v>1993</v>
      </c>
      <c r="L1440">
        <f>IF(G1440="High",3,IF(G1440="Medium",2,1))</f>
        <v>1</v>
      </c>
    </row>
    <row r="1441" spans="1:12">
      <c r="A1441" t="s">
        <v>3467</v>
      </c>
      <c r="B1441" t="s">
        <v>1130</v>
      </c>
      <c r="C1441" t="s">
        <v>2008</v>
      </c>
      <c r="D1441" t="s">
        <v>2009</v>
      </c>
      <c r="E1441" t="s">
        <v>57</v>
      </c>
      <c r="F1441" t="s">
        <v>57</v>
      </c>
      <c r="G1441" t="str">
        <f>INDEX(Risk_Matrix!$B$2:$D$4,MATCH(E1441,Risk_Matrix!$A$2:$A$4,0),MATCH(F1441,Risk_Matrix!$B$1:$D$1,0))</f>
        <v>Low</v>
      </c>
      <c r="H1441" s="1">
        <v>46182</v>
      </c>
      <c r="I1441" t="s">
        <v>1987</v>
      </c>
      <c r="J1441" t="s">
        <v>1988</v>
      </c>
      <c r="K1441" t="s">
        <v>2010</v>
      </c>
      <c r="L1441">
        <f>IF(G1441="High",3,IF(G1441="Medium",2,1))</f>
        <v>1</v>
      </c>
    </row>
    <row r="1442" spans="1:12">
      <c r="A1442" t="s">
        <v>3468</v>
      </c>
      <c r="B1442" t="s">
        <v>1132</v>
      </c>
      <c r="C1442" t="s">
        <v>1985</v>
      </c>
      <c r="D1442" t="s">
        <v>2062</v>
      </c>
      <c r="E1442" t="s">
        <v>57</v>
      </c>
      <c r="F1442" t="s">
        <v>1971</v>
      </c>
      <c r="G1442" t="str">
        <f>INDEX(Risk_Matrix!$B$2:$D$4,MATCH(E1442,Risk_Matrix!$A$2:$A$4,0),MATCH(F1442,Risk_Matrix!$B$1:$D$1,0))</f>
        <v>Low</v>
      </c>
      <c r="H1442" s="1">
        <v>46085</v>
      </c>
      <c r="I1442" t="s">
        <v>2025</v>
      </c>
      <c r="J1442" t="s">
        <v>2035</v>
      </c>
      <c r="K1442" t="s">
        <v>1989</v>
      </c>
      <c r="L1442">
        <f>IF(G1442="High",3,IF(G1442="Medium",2,1))</f>
        <v>1</v>
      </c>
    </row>
    <row r="1443" spans="1:12">
      <c r="A1443" t="s">
        <v>3469</v>
      </c>
      <c r="B1443" t="s">
        <v>1132</v>
      </c>
      <c r="C1443" t="s">
        <v>1991</v>
      </c>
      <c r="D1443" t="s">
        <v>2031</v>
      </c>
      <c r="E1443" t="s">
        <v>57</v>
      </c>
      <c r="F1443" t="s">
        <v>57</v>
      </c>
      <c r="G1443" t="str">
        <f>INDEX(Risk_Matrix!$B$2:$D$4,MATCH(E1443,Risk_Matrix!$A$2:$A$4,0),MATCH(F1443,Risk_Matrix!$B$1:$D$1,0))</f>
        <v>Low</v>
      </c>
      <c r="H1443" s="1">
        <v>46163</v>
      </c>
      <c r="I1443" t="s">
        <v>2015</v>
      </c>
      <c r="J1443" t="s">
        <v>2032</v>
      </c>
      <c r="K1443" t="s">
        <v>1993</v>
      </c>
      <c r="L1443">
        <f>IF(G1443="High",3,IF(G1443="Medium",2,1))</f>
        <v>1</v>
      </c>
    </row>
    <row r="1444" spans="1:12">
      <c r="A1444" t="s">
        <v>3470</v>
      </c>
      <c r="B1444" t="s">
        <v>1132</v>
      </c>
      <c r="C1444" t="s">
        <v>1995</v>
      </c>
      <c r="D1444" t="s">
        <v>2018</v>
      </c>
      <c r="E1444" t="s">
        <v>1971</v>
      </c>
      <c r="F1444" t="s">
        <v>57</v>
      </c>
      <c r="G1444" t="str">
        <f>INDEX(Risk_Matrix!$B$2:$D$4,MATCH(E1444,Risk_Matrix!$A$2:$A$4,0),MATCH(F1444,Risk_Matrix!$B$1:$D$1,0))</f>
        <v>Low</v>
      </c>
      <c r="H1444" s="1">
        <v>46169</v>
      </c>
      <c r="I1444" t="s">
        <v>2025</v>
      </c>
      <c r="J1444" t="s">
        <v>2035</v>
      </c>
      <c r="K1444" t="s">
        <v>1998</v>
      </c>
      <c r="L1444">
        <f>IF(G1444="High",3,IF(G1444="Medium",2,1))</f>
        <v>1</v>
      </c>
    </row>
    <row r="1445" spans="1:12">
      <c r="A1445" t="s">
        <v>3471</v>
      </c>
      <c r="B1445" t="s">
        <v>1132</v>
      </c>
      <c r="C1445" t="s">
        <v>2000</v>
      </c>
      <c r="D1445" t="s">
        <v>2045</v>
      </c>
      <c r="E1445" t="s">
        <v>57</v>
      </c>
      <c r="F1445" t="s">
        <v>57</v>
      </c>
      <c r="G1445" t="str">
        <f>INDEX(Risk_Matrix!$B$2:$D$4,MATCH(E1445,Risk_Matrix!$A$2:$A$4,0),MATCH(F1445,Risk_Matrix!$B$1:$D$1,0))</f>
        <v>Low</v>
      </c>
      <c r="H1445" s="1">
        <v>46233</v>
      </c>
      <c r="I1445" t="s">
        <v>2015</v>
      </c>
      <c r="J1445" t="s">
        <v>2016</v>
      </c>
      <c r="K1445" t="s">
        <v>1989</v>
      </c>
      <c r="L1445">
        <f>IF(G1445="High",3,IF(G1445="Medium",2,1))</f>
        <v>1</v>
      </c>
    </row>
    <row r="1446" spans="1:12">
      <c r="A1446" t="s">
        <v>3472</v>
      </c>
      <c r="B1446" t="s">
        <v>1132</v>
      </c>
      <c r="C1446" t="s">
        <v>2005</v>
      </c>
      <c r="D1446" t="s">
        <v>2022</v>
      </c>
      <c r="E1446" t="s">
        <v>1971</v>
      </c>
      <c r="F1446" t="s">
        <v>57</v>
      </c>
      <c r="G1446" t="str">
        <f>INDEX(Risk_Matrix!$B$2:$D$4,MATCH(E1446,Risk_Matrix!$A$2:$A$4,0),MATCH(F1446,Risk_Matrix!$B$1:$D$1,0))</f>
        <v>Low</v>
      </c>
      <c r="H1446" s="1">
        <v>46128</v>
      </c>
      <c r="I1446" t="s">
        <v>1987</v>
      </c>
      <c r="J1446" t="s">
        <v>1988</v>
      </c>
      <c r="K1446" t="s">
        <v>1993</v>
      </c>
      <c r="L1446">
        <f>IF(G1446="High",3,IF(G1446="Medium",2,1))</f>
        <v>1</v>
      </c>
    </row>
    <row r="1447" spans="1:12">
      <c r="A1447" t="s">
        <v>3473</v>
      </c>
      <c r="B1447" t="s">
        <v>1132</v>
      </c>
      <c r="C1447" t="s">
        <v>2008</v>
      </c>
      <c r="D1447" t="s">
        <v>2024</v>
      </c>
      <c r="E1447" t="s">
        <v>57</v>
      </c>
      <c r="F1447" t="s">
        <v>57</v>
      </c>
      <c r="G1447" t="str">
        <f>INDEX(Risk_Matrix!$B$2:$D$4,MATCH(E1447,Risk_Matrix!$A$2:$A$4,0),MATCH(F1447,Risk_Matrix!$B$1:$D$1,0))</f>
        <v>Low</v>
      </c>
      <c r="H1447" s="1">
        <v>46182</v>
      </c>
      <c r="I1447" t="s">
        <v>2015</v>
      </c>
      <c r="J1447" t="s">
        <v>2032</v>
      </c>
      <c r="K1447" t="s">
        <v>2010</v>
      </c>
      <c r="L1447">
        <f>IF(G1447="High",3,IF(G1447="Medium",2,1))</f>
        <v>1</v>
      </c>
    </row>
    <row r="1448" spans="1:12">
      <c r="A1448" t="s">
        <v>3474</v>
      </c>
      <c r="B1448" t="s">
        <v>1135</v>
      </c>
      <c r="C1448" t="s">
        <v>1985</v>
      </c>
      <c r="D1448" t="s">
        <v>2062</v>
      </c>
      <c r="E1448" t="s">
        <v>47</v>
      </c>
      <c r="F1448" t="s">
        <v>1971</v>
      </c>
      <c r="G1448" t="str">
        <f>INDEX(Risk_Matrix!$B$2:$D$4,MATCH(E1448,Risk_Matrix!$A$2:$A$4,0),MATCH(F1448,Risk_Matrix!$B$1:$D$1,0))</f>
        <v>High</v>
      </c>
      <c r="H1448" s="1">
        <v>46200</v>
      </c>
      <c r="I1448" t="s">
        <v>2015</v>
      </c>
      <c r="J1448" t="s">
        <v>2032</v>
      </c>
      <c r="K1448" t="s">
        <v>1989</v>
      </c>
      <c r="L1448">
        <f>IF(G1448="High",3,IF(G1448="Medium",2,1))</f>
        <v>3</v>
      </c>
    </row>
    <row r="1449" spans="1:12">
      <c r="A1449" t="s">
        <v>3475</v>
      </c>
      <c r="B1449" t="s">
        <v>1135</v>
      </c>
      <c r="C1449" t="s">
        <v>1991</v>
      </c>
      <c r="D1449" t="s">
        <v>1992</v>
      </c>
      <c r="E1449" t="s">
        <v>57</v>
      </c>
      <c r="F1449" t="s">
        <v>57</v>
      </c>
      <c r="G1449" t="str">
        <f>INDEX(Risk_Matrix!$B$2:$D$4,MATCH(E1449,Risk_Matrix!$A$2:$A$4,0),MATCH(F1449,Risk_Matrix!$B$1:$D$1,0))</f>
        <v>Low</v>
      </c>
      <c r="H1449" s="1">
        <v>46190</v>
      </c>
      <c r="I1449" t="s">
        <v>2025</v>
      </c>
      <c r="J1449" t="s">
        <v>2026</v>
      </c>
      <c r="K1449" t="s">
        <v>2010</v>
      </c>
      <c r="L1449">
        <f>IF(G1449="High",3,IF(G1449="Medium",2,1))</f>
        <v>1</v>
      </c>
    </row>
    <row r="1450" spans="1:12">
      <c r="A1450" t="s">
        <v>3476</v>
      </c>
      <c r="B1450" t="s">
        <v>1135</v>
      </c>
      <c r="C1450" t="s">
        <v>1995</v>
      </c>
      <c r="D1450" t="s">
        <v>2018</v>
      </c>
      <c r="E1450" t="s">
        <v>1971</v>
      </c>
      <c r="F1450" t="s">
        <v>57</v>
      </c>
      <c r="G1450" t="str">
        <f>INDEX(Risk_Matrix!$B$2:$D$4,MATCH(E1450,Risk_Matrix!$A$2:$A$4,0),MATCH(F1450,Risk_Matrix!$B$1:$D$1,0))</f>
        <v>Low</v>
      </c>
      <c r="H1450" s="1">
        <v>46209</v>
      </c>
      <c r="I1450" t="s">
        <v>2002</v>
      </c>
      <c r="J1450" t="s">
        <v>2029</v>
      </c>
      <c r="K1450" t="s">
        <v>2036</v>
      </c>
      <c r="L1450">
        <f>IF(G1450="High",3,IF(G1450="Medium",2,1))</f>
        <v>1</v>
      </c>
    </row>
    <row r="1451" spans="1:12">
      <c r="A1451" t="s">
        <v>3477</v>
      </c>
      <c r="B1451" t="s">
        <v>1135</v>
      </c>
      <c r="C1451" t="s">
        <v>2000</v>
      </c>
      <c r="D1451" t="s">
        <v>2001</v>
      </c>
      <c r="E1451" t="s">
        <v>47</v>
      </c>
      <c r="F1451" t="s">
        <v>1971</v>
      </c>
      <c r="G1451" t="str">
        <f>INDEX(Risk_Matrix!$B$2:$D$4,MATCH(E1451,Risk_Matrix!$A$2:$A$4,0),MATCH(F1451,Risk_Matrix!$B$1:$D$1,0))</f>
        <v>High</v>
      </c>
      <c r="H1451" s="1">
        <v>46113</v>
      </c>
      <c r="I1451" t="s">
        <v>2025</v>
      </c>
      <c r="J1451" t="s">
        <v>2026</v>
      </c>
      <c r="K1451" t="s">
        <v>1993</v>
      </c>
      <c r="L1451">
        <f>IF(G1451="High",3,IF(G1451="Medium",2,1))</f>
        <v>3</v>
      </c>
    </row>
    <row r="1452" spans="1:12">
      <c r="A1452" t="s">
        <v>3478</v>
      </c>
      <c r="B1452" t="s">
        <v>1135</v>
      </c>
      <c r="C1452" t="s">
        <v>2005</v>
      </c>
      <c r="D1452" t="s">
        <v>2006</v>
      </c>
      <c r="E1452" t="s">
        <v>57</v>
      </c>
      <c r="F1452" t="s">
        <v>57</v>
      </c>
      <c r="G1452" t="str">
        <f>INDEX(Risk_Matrix!$B$2:$D$4,MATCH(E1452,Risk_Matrix!$A$2:$A$4,0),MATCH(F1452,Risk_Matrix!$B$1:$D$1,0))</f>
        <v>Low</v>
      </c>
      <c r="H1452" s="1">
        <v>46160</v>
      </c>
      <c r="I1452" t="s">
        <v>1987</v>
      </c>
      <c r="J1452" t="s">
        <v>1997</v>
      </c>
      <c r="K1452" t="s">
        <v>1993</v>
      </c>
      <c r="L1452">
        <f>IF(G1452="High",3,IF(G1452="Medium",2,1))</f>
        <v>1</v>
      </c>
    </row>
    <row r="1453" spans="1:12">
      <c r="A1453" t="s">
        <v>3479</v>
      </c>
      <c r="B1453" t="s">
        <v>1135</v>
      </c>
      <c r="C1453" t="s">
        <v>2008</v>
      </c>
      <c r="D1453" t="s">
        <v>2024</v>
      </c>
      <c r="E1453" t="s">
        <v>57</v>
      </c>
      <c r="F1453" t="s">
        <v>1971</v>
      </c>
      <c r="G1453" t="str">
        <f>INDEX(Risk_Matrix!$B$2:$D$4,MATCH(E1453,Risk_Matrix!$A$2:$A$4,0),MATCH(F1453,Risk_Matrix!$B$1:$D$1,0))</f>
        <v>Low</v>
      </c>
      <c r="H1453" s="1">
        <v>46150</v>
      </c>
      <c r="I1453" t="s">
        <v>2025</v>
      </c>
      <c r="J1453" t="s">
        <v>2035</v>
      </c>
      <c r="K1453" t="s">
        <v>2010</v>
      </c>
      <c r="L1453">
        <f>IF(G1453="High",3,IF(G1453="Medium",2,1))</f>
        <v>1</v>
      </c>
    </row>
    <row r="1454" spans="1:12">
      <c r="A1454" t="s">
        <v>3480</v>
      </c>
      <c r="B1454" t="s">
        <v>1137</v>
      </c>
      <c r="C1454" t="s">
        <v>1985</v>
      </c>
      <c r="D1454" t="s">
        <v>2062</v>
      </c>
      <c r="E1454" t="s">
        <v>1971</v>
      </c>
      <c r="F1454" t="s">
        <v>1971</v>
      </c>
      <c r="G1454" t="str">
        <f>INDEX(Risk_Matrix!$B$2:$D$4,MATCH(E1454,Risk_Matrix!$A$2:$A$4,0),MATCH(F1454,Risk_Matrix!$B$1:$D$1,0))</f>
        <v>Medium</v>
      </c>
      <c r="H1454" s="1">
        <v>46181</v>
      </c>
      <c r="I1454" t="s">
        <v>2025</v>
      </c>
      <c r="J1454" t="s">
        <v>2035</v>
      </c>
      <c r="K1454" t="s">
        <v>1989</v>
      </c>
      <c r="L1454">
        <f>IF(G1454="High",3,IF(G1454="Medium",2,1))</f>
        <v>2</v>
      </c>
    </row>
    <row r="1455" spans="1:12">
      <c r="A1455" t="s">
        <v>3481</v>
      </c>
      <c r="B1455" t="s">
        <v>1137</v>
      </c>
      <c r="C1455" t="s">
        <v>1991</v>
      </c>
      <c r="D1455" t="s">
        <v>2014</v>
      </c>
      <c r="E1455" t="s">
        <v>1971</v>
      </c>
      <c r="F1455" t="s">
        <v>1971</v>
      </c>
      <c r="G1455" t="str">
        <f>INDEX(Risk_Matrix!$B$2:$D$4,MATCH(E1455,Risk_Matrix!$A$2:$A$4,0),MATCH(F1455,Risk_Matrix!$B$1:$D$1,0))</f>
        <v>Medium</v>
      </c>
      <c r="H1455" s="1">
        <v>46056</v>
      </c>
      <c r="I1455" t="s">
        <v>2025</v>
      </c>
      <c r="J1455" t="s">
        <v>2035</v>
      </c>
      <c r="K1455" t="s">
        <v>1993</v>
      </c>
      <c r="L1455">
        <f>IF(G1455="High",3,IF(G1455="Medium",2,1))</f>
        <v>2</v>
      </c>
    </row>
    <row r="1456" spans="1:12">
      <c r="A1456" t="s">
        <v>3482</v>
      </c>
      <c r="B1456" t="s">
        <v>1137</v>
      </c>
      <c r="C1456" t="s">
        <v>1995</v>
      </c>
      <c r="D1456" t="s">
        <v>2018</v>
      </c>
      <c r="E1456" t="s">
        <v>1971</v>
      </c>
      <c r="F1456" t="s">
        <v>57</v>
      </c>
      <c r="G1456" t="str">
        <f>INDEX(Risk_Matrix!$B$2:$D$4,MATCH(E1456,Risk_Matrix!$A$2:$A$4,0),MATCH(F1456,Risk_Matrix!$B$1:$D$1,0))</f>
        <v>Low</v>
      </c>
      <c r="H1456" s="1">
        <v>46213</v>
      </c>
      <c r="I1456" t="s">
        <v>2025</v>
      </c>
      <c r="J1456" t="s">
        <v>2035</v>
      </c>
      <c r="K1456" t="s">
        <v>2036</v>
      </c>
      <c r="L1456">
        <f>IF(G1456="High",3,IF(G1456="Medium",2,1))</f>
        <v>1</v>
      </c>
    </row>
    <row r="1457" spans="1:12">
      <c r="A1457" t="s">
        <v>3483</v>
      </c>
      <c r="B1457" t="s">
        <v>1137</v>
      </c>
      <c r="C1457" t="s">
        <v>2000</v>
      </c>
      <c r="D1457" t="s">
        <v>2001</v>
      </c>
      <c r="E1457" t="s">
        <v>1971</v>
      </c>
      <c r="F1457" t="s">
        <v>47</v>
      </c>
      <c r="G1457" t="str">
        <f>INDEX(Risk_Matrix!$B$2:$D$4,MATCH(E1457,Risk_Matrix!$A$2:$A$4,0),MATCH(F1457,Risk_Matrix!$B$1:$D$1,0))</f>
        <v>High</v>
      </c>
      <c r="H1457" s="1">
        <v>46118</v>
      </c>
      <c r="I1457" t="s">
        <v>2025</v>
      </c>
      <c r="J1457" t="s">
        <v>2035</v>
      </c>
      <c r="K1457" t="s">
        <v>1993</v>
      </c>
      <c r="L1457">
        <f>IF(G1457="High",3,IF(G1457="Medium",2,1))</f>
        <v>3</v>
      </c>
    </row>
    <row r="1458" spans="1:12">
      <c r="A1458" t="s">
        <v>3484</v>
      </c>
      <c r="B1458" t="s">
        <v>1137</v>
      </c>
      <c r="C1458" t="s">
        <v>2005</v>
      </c>
      <c r="D1458" t="s">
        <v>2039</v>
      </c>
      <c r="E1458" t="s">
        <v>57</v>
      </c>
      <c r="F1458" t="s">
        <v>57</v>
      </c>
      <c r="G1458" t="str">
        <f>INDEX(Risk_Matrix!$B$2:$D$4,MATCH(E1458,Risk_Matrix!$A$2:$A$4,0),MATCH(F1458,Risk_Matrix!$B$1:$D$1,0))</f>
        <v>Low</v>
      </c>
      <c r="H1458" s="1">
        <v>46093</v>
      </c>
      <c r="I1458" t="s">
        <v>2025</v>
      </c>
      <c r="J1458" t="s">
        <v>2026</v>
      </c>
      <c r="K1458" t="s">
        <v>1993</v>
      </c>
      <c r="L1458">
        <f>IF(G1458="High",3,IF(G1458="Medium",2,1))</f>
        <v>1</v>
      </c>
    </row>
    <row r="1459" spans="1:12">
      <c r="A1459" t="s">
        <v>3485</v>
      </c>
      <c r="B1459" t="s">
        <v>1137</v>
      </c>
      <c r="C1459" t="s">
        <v>2008</v>
      </c>
      <c r="D1459" t="s">
        <v>2054</v>
      </c>
      <c r="E1459" t="s">
        <v>57</v>
      </c>
      <c r="F1459" t="s">
        <v>1971</v>
      </c>
      <c r="G1459" t="str">
        <f>INDEX(Risk_Matrix!$B$2:$D$4,MATCH(E1459,Risk_Matrix!$A$2:$A$4,0),MATCH(F1459,Risk_Matrix!$B$1:$D$1,0))</f>
        <v>Low</v>
      </c>
      <c r="H1459" s="1">
        <v>46207</v>
      </c>
      <c r="I1459" t="s">
        <v>2015</v>
      </c>
      <c r="J1459" t="s">
        <v>2032</v>
      </c>
      <c r="K1459" t="s">
        <v>1998</v>
      </c>
      <c r="L1459">
        <f>IF(G1459="High",3,IF(G1459="Medium",2,1))</f>
        <v>1</v>
      </c>
    </row>
    <row r="1460" spans="1:12">
      <c r="A1460" t="s">
        <v>3486</v>
      </c>
      <c r="B1460" t="s">
        <v>1139</v>
      </c>
      <c r="C1460" t="s">
        <v>1985</v>
      </c>
      <c r="D1460" t="s">
        <v>1986</v>
      </c>
      <c r="E1460" t="s">
        <v>1971</v>
      </c>
      <c r="F1460" t="s">
        <v>57</v>
      </c>
      <c r="G1460" t="str">
        <f>INDEX(Risk_Matrix!$B$2:$D$4,MATCH(E1460,Risk_Matrix!$A$2:$A$4,0),MATCH(F1460,Risk_Matrix!$B$1:$D$1,0))</f>
        <v>Low</v>
      </c>
      <c r="H1460" s="1">
        <v>46062</v>
      </c>
      <c r="I1460" t="s">
        <v>2025</v>
      </c>
      <c r="J1460" t="s">
        <v>2035</v>
      </c>
      <c r="K1460" t="s">
        <v>1998</v>
      </c>
      <c r="L1460">
        <f>IF(G1460="High",3,IF(G1460="Medium",2,1))</f>
        <v>1</v>
      </c>
    </row>
    <row r="1461" spans="1:12">
      <c r="A1461" t="s">
        <v>3487</v>
      </c>
      <c r="B1461" t="s">
        <v>1139</v>
      </c>
      <c r="C1461" t="s">
        <v>1991</v>
      </c>
      <c r="D1461" t="s">
        <v>2031</v>
      </c>
      <c r="E1461" t="s">
        <v>57</v>
      </c>
      <c r="F1461" t="s">
        <v>57</v>
      </c>
      <c r="G1461" t="str">
        <f>INDEX(Risk_Matrix!$B$2:$D$4,MATCH(E1461,Risk_Matrix!$A$2:$A$4,0),MATCH(F1461,Risk_Matrix!$B$1:$D$1,0))</f>
        <v>Low</v>
      </c>
      <c r="H1461" s="1">
        <v>46060</v>
      </c>
      <c r="I1461" t="s">
        <v>2002</v>
      </c>
      <c r="J1461" t="s">
        <v>2003</v>
      </c>
      <c r="K1461" t="s">
        <v>1993</v>
      </c>
      <c r="L1461">
        <f>IF(G1461="High",3,IF(G1461="Medium",2,1))</f>
        <v>1</v>
      </c>
    </row>
    <row r="1462" spans="1:12">
      <c r="A1462" t="s">
        <v>3488</v>
      </c>
      <c r="B1462" t="s">
        <v>1139</v>
      </c>
      <c r="C1462" t="s">
        <v>1995</v>
      </c>
      <c r="D1462" t="s">
        <v>1996</v>
      </c>
      <c r="E1462" t="s">
        <v>57</v>
      </c>
      <c r="F1462" t="s">
        <v>57</v>
      </c>
      <c r="G1462" t="str">
        <f>INDEX(Risk_Matrix!$B$2:$D$4,MATCH(E1462,Risk_Matrix!$A$2:$A$4,0),MATCH(F1462,Risk_Matrix!$B$1:$D$1,0))</f>
        <v>Low</v>
      </c>
      <c r="H1462" s="1">
        <v>46223</v>
      </c>
      <c r="I1462" t="s">
        <v>2015</v>
      </c>
      <c r="J1462" t="s">
        <v>2032</v>
      </c>
      <c r="K1462" t="s">
        <v>1998</v>
      </c>
      <c r="L1462">
        <f>IF(G1462="High",3,IF(G1462="Medium",2,1))</f>
        <v>1</v>
      </c>
    </row>
    <row r="1463" spans="1:12">
      <c r="A1463" t="s">
        <v>3489</v>
      </c>
      <c r="B1463" t="s">
        <v>1139</v>
      </c>
      <c r="C1463" t="s">
        <v>2000</v>
      </c>
      <c r="D1463" t="s">
        <v>2001</v>
      </c>
      <c r="E1463" t="s">
        <v>57</v>
      </c>
      <c r="F1463" t="s">
        <v>1971</v>
      </c>
      <c r="G1463" t="str">
        <f>INDEX(Risk_Matrix!$B$2:$D$4,MATCH(E1463,Risk_Matrix!$A$2:$A$4,0),MATCH(F1463,Risk_Matrix!$B$1:$D$1,0))</f>
        <v>Low</v>
      </c>
      <c r="H1463" s="1">
        <v>46062</v>
      </c>
      <c r="I1463" t="s">
        <v>2025</v>
      </c>
      <c r="J1463" t="s">
        <v>2035</v>
      </c>
      <c r="K1463" t="s">
        <v>1989</v>
      </c>
      <c r="L1463">
        <f>IF(G1463="High",3,IF(G1463="Medium",2,1))</f>
        <v>1</v>
      </c>
    </row>
    <row r="1464" spans="1:12">
      <c r="A1464" t="s">
        <v>3490</v>
      </c>
      <c r="B1464" t="s">
        <v>1139</v>
      </c>
      <c r="C1464" t="s">
        <v>2005</v>
      </c>
      <c r="D1464" t="s">
        <v>2022</v>
      </c>
      <c r="E1464" t="s">
        <v>57</v>
      </c>
      <c r="F1464" t="s">
        <v>57</v>
      </c>
      <c r="G1464" t="str">
        <f>INDEX(Risk_Matrix!$B$2:$D$4,MATCH(E1464,Risk_Matrix!$A$2:$A$4,0),MATCH(F1464,Risk_Matrix!$B$1:$D$1,0))</f>
        <v>Low</v>
      </c>
      <c r="H1464" s="1">
        <v>46171</v>
      </c>
      <c r="I1464" t="s">
        <v>2015</v>
      </c>
      <c r="J1464" t="s">
        <v>2016</v>
      </c>
      <c r="K1464" t="s">
        <v>1993</v>
      </c>
      <c r="L1464">
        <f>IF(G1464="High",3,IF(G1464="Medium",2,1))</f>
        <v>1</v>
      </c>
    </row>
    <row r="1465" spans="1:12">
      <c r="A1465" t="s">
        <v>3491</v>
      </c>
      <c r="B1465" t="s">
        <v>1139</v>
      </c>
      <c r="C1465" t="s">
        <v>2008</v>
      </c>
      <c r="D1465" t="s">
        <v>2054</v>
      </c>
      <c r="E1465" t="s">
        <v>1971</v>
      </c>
      <c r="F1465" t="s">
        <v>47</v>
      </c>
      <c r="G1465" t="str">
        <f>INDEX(Risk_Matrix!$B$2:$D$4,MATCH(E1465,Risk_Matrix!$A$2:$A$4,0),MATCH(F1465,Risk_Matrix!$B$1:$D$1,0))</f>
        <v>High</v>
      </c>
      <c r="H1465" s="1">
        <v>46164</v>
      </c>
      <c r="I1465" t="s">
        <v>2015</v>
      </c>
      <c r="J1465" t="s">
        <v>2032</v>
      </c>
      <c r="K1465" t="s">
        <v>2010</v>
      </c>
      <c r="L1465">
        <f>IF(G1465="High",3,IF(G1465="Medium",2,1))</f>
        <v>3</v>
      </c>
    </row>
    <row r="1466" spans="1:12">
      <c r="A1466" t="s">
        <v>3492</v>
      </c>
      <c r="B1466" t="s">
        <v>1141</v>
      </c>
      <c r="C1466" t="s">
        <v>1985</v>
      </c>
      <c r="D1466" t="s">
        <v>1986</v>
      </c>
      <c r="E1466" t="s">
        <v>47</v>
      </c>
      <c r="F1466" t="s">
        <v>57</v>
      </c>
      <c r="G1466" t="str">
        <f>INDEX(Risk_Matrix!$B$2:$D$4,MATCH(E1466,Risk_Matrix!$A$2:$A$4,0),MATCH(F1466,Risk_Matrix!$B$1:$D$1,0))</f>
        <v>Medium</v>
      </c>
      <c r="H1466" s="1">
        <v>46224</v>
      </c>
      <c r="I1466" t="s">
        <v>2015</v>
      </c>
      <c r="J1466" t="s">
        <v>2016</v>
      </c>
      <c r="K1466" t="s">
        <v>1998</v>
      </c>
      <c r="L1466">
        <f>IF(G1466="High",3,IF(G1466="Medium",2,1))</f>
        <v>2</v>
      </c>
    </row>
    <row r="1467" spans="1:12">
      <c r="A1467" t="s">
        <v>3493</v>
      </c>
      <c r="B1467" t="s">
        <v>1141</v>
      </c>
      <c r="C1467" t="s">
        <v>1991</v>
      </c>
      <c r="D1467" t="s">
        <v>2014</v>
      </c>
      <c r="E1467" t="s">
        <v>57</v>
      </c>
      <c r="F1467" t="s">
        <v>57</v>
      </c>
      <c r="G1467" t="str">
        <f>INDEX(Risk_Matrix!$B$2:$D$4,MATCH(E1467,Risk_Matrix!$A$2:$A$4,0),MATCH(F1467,Risk_Matrix!$B$1:$D$1,0))</f>
        <v>Low</v>
      </c>
      <c r="H1467" s="1">
        <v>46176</v>
      </c>
      <c r="I1467" t="s">
        <v>1987</v>
      </c>
      <c r="J1467" t="s">
        <v>1988</v>
      </c>
      <c r="K1467" t="s">
        <v>2010</v>
      </c>
      <c r="L1467">
        <f>IF(G1467="High",3,IF(G1467="Medium",2,1))</f>
        <v>1</v>
      </c>
    </row>
    <row r="1468" spans="1:12">
      <c r="A1468" t="s">
        <v>3494</v>
      </c>
      <c r="B1468" t="s">
        <v>1141</v>
      </c>
      <c r="C1468" t="s">
        <v>1995</v>
      </c>
      <c r="D1468" t="s">
        <v>1996</v>
      </c>
      <c r="E1468" t="s">
        <v>47</v>
      </c>
      <c r="F1468" t="s">
        <v>1971</v>
      </c>
      <c r="G1468" t="str">
        <f>INDEX(Risk_Matrix!$B$2:$D$4,MATCH(E1468,Risk_Matrix!$A$2:$A$4,0),MATCH(F1468,Risk_Matrix!$B$1:$D$1,0))</f>
        <v>High</v>
      </c>
      <c r="H1468" s="1">
        <v>46221</v>
      </c>
      <c r="I1468" t="s">
        <v>2015</v>
      </c>
      <c r="J1468" t="s">
        <v>2032</v>
      </c>
      <c r="K1468" t="s">
        <v>2036</v>
      </c>
      <c r="L1468">
        <f>IF(G1468="High",3,IF(G1468="Medium",2,1))</f>
        <v>3</v>
      </c>
    </row>
    <row r="1469" spans="1:12">
      <c r="A1469" t="s">
        <v>3495</v>
      </c>
      <c r="B1469" t="s">
        <v>1141</v>
      </c>
      <c r="C1469" t="s">
        <v>2000</v>
      </c>
      <c r="D1469" t="s">
        <v>2020</v>
      </c>
      <c r="E1469" t="s">
        <v>1971</v>
      </c>
      <c r="F1469" t="s">
        <v>1971</v>
      </c>
      <c r="G1469" t="str">
        <f>INDEX(Risk_Matrix!$B$2:$D$4,MATCH(E1469,Risk_Matrix!$A$2:$A$4,0),MATCH(F1469,Risk_Matrix!$B$1:$D$1,0))</f>
        <v>Medium</v>
      </c>
      <c r="H1469" s="1">
        <v>46075</v>
      </c>
      <c r="I1469" t="s">
        <v>2025</v>
      </c>
      <c r="J1469" t="s">
        <v>2035</v>
      </c>
      <c r="K1469" t="s">
        <v>1993</v>
      </c>
      <c r="L1469">
        <f>IF(G1469="High",3,IF(G1469="Medium",2,1))</f>
        <v>2</v>
      </c>
    </row>
    <row r="1470" spans="1:12">
      <c r="A1470" t="s">
        <v>3496</v>
      </c>
      <c r="B1470" t="s">
        <v>1141</v>
      </c>
      <c r="C1470" t="s">
        <v>2005</v>
      </c>
      <c r="D1470" t="s">
        <v>2022</v>
      </c>
      <c r="E1470" t="s">
        <v>57</v>
      </c>
      <c r="F1470" t="s">
        <v>1971</v>
      </c>
      <c r="G1470" t="str">
        <f>INDEX(Risk_Matrix!$B$2:$D$4,MATCH(E1470,Risk_Matrix!$A$2:$A$4,0),MATCH(F1470,Risk_Matrix!$B$1:$D$1,0))</f>
        <v>Low</v>
      </c>
      <c r="H1470" s="1">
        <v>46145</v>
      </c>
      <c r="I1470" t="s">
        <v>2025</v>
      </c>
      <c r="J1470" t="s">
        <v>2026</v>
      </c>
      <c r="K1470" t="s">
        <v>1993</v>
      </c>
      <c r="L1470">
        <f>IF(G1470="High",3,IF(G1470="Medium",2,1))</f>
        <v>1</v>
      </c>
    </row>
    <row r="1471" spans="1:12">
      <c r="A1471" t="s">
        <v>3497</v>
      </c>
      <c r="B1471" t="s">
        <v>1141</v>
      </c>
      <c r="C1471" t="s">
        <v>2008</v>
      </c>
      <c r="D1471" t="s">
        <v>2009</v>
      </c>
      <c r="E1471" t="s">
        <v>1971</v>
      </c>
      <c r="F1471" t="s">
        <v>57</v>
      </c>
      <c r="G1471" t="str">
        <f>INDEX(Risk_Matrix!$B$2:$D$4,MATCH(E1471,Risk_Matrix!$A$2:$A$4,0),MATCH(F1471,Risk_Matrix!$B$1:$D$1,0))</f>
        <v>Low</v>
      </c>
      <c r="H1471" s="1">
        <v>46137</v>
      </c>
      <c r="I1471" t="s">
        <v>1987</v>
      </c>
      <c r="J1471" t="s">
        <v>1997</v>
      </c>
      <c r="K1471" t="s">
        <v>2010</v>
      </c>
      <c r="L1471">
        <f>IF(G1471="High",3,IF(G1471="Medium",2,1))</f>
        <v>1</v>
      </c>
    </row>
    <row r="1472" spans="1:12">
      <c r="A1472" t="s">
        <v>3498</v>
      </c>
      <c r="B1472" t="s">
        <v>1144</v>
      </c>
      <c r="C1472" t="s">
        <v>1985</v>
      </c>
      <c r="D1472" t="s">
        <v>2062</v>
      </c>
      <c r="E1472" t="s">
        <v>57</v>
      </c>
      <c r="F1472" t="s">
        <v>47</v>
      </c>
      <c r="G1472" t="str">
        <f>INDEX(Risk_Matrix!$B$2:$D$4,MATCH(E1472,Risk_Matrix!$A$2:$A$4,0),MATCH(F1472,Risk_Matrix!$B$1:$D$1,0))</f>
        <v>Medium</v>
      </c>
      <c r="H1472" s="1">
        <v>46198</v>
      </c>
      <c r="I1472" t="s">
        <v>2015</v>
      </c>
      <c r="J1472" t="s">
        <v>2016</v>
      </c>
      <c r="K1472" t="s">
        <v>1998</v>
      </c>
      <c r="L1472">
        <f>IF(G1472="High",3,IF(G1472="Medium",2,1))</f>
        <v>2</v>
      </c>
    </row>
    <row r="1473" spans="1:12">
      <c r="A1473" t="s">
        <v>3499</v>
      </c>
      <c r="B1473" t="s">
        <v>1144</v>
      </c>
      <c r="C1473" t="s">
        <v>1991</v>
      </c>
      <c r="D1473" t="s">
        <v>2031</v>
      </c>
      <c r="E1473" t="s">
        <v>1971</v>
      </c>
      <c r="F1473" t="s">
        <v>47</v>
      </c>
      <c r="G1473" t="str">
        <f>INDEX(Risk_Matrix!$B$2:$D$4,MATCH(E1473,Risk_Matrix!$A$2:$A$4,0),MATCH(F1473,Risk_Matrix!$B$1:$D$1,0))</f>
        <v>High</v>
      </c>
      <c r="H1473" s="1">
        <v>46234</v>
      </c>
      <c r="I1473" t="s">
        <v>2015</v>
      </c>
      <c r="J1473" t="s">
        <v>2016</v>
      </c>
      <c r="K1473" t="s">
        <v>1993</v>
      </c>
      <c r="L1473">
        <f>IF(G1473="High",3,IF(G1473="Medium",2,1))</f>
        <v>3</v>
      </c>
    </row>
    <row r="1474" spans="1:12">
      <c r="A1474" t="s">
        <v>3500</v>
      </c>
      <c r="B1474" t="s">
        <v>1144</v>
      </c>
      <c r="C1474" t="s">
        <v>1995</v>
      </c>
      <c r="D1474" t="s">
        <v>1996</v>
      </c>
      <c r="E1474" t="s">
        <v>1971</v>
      </c>
      <c r="F1474" t="s">
        <v>1971</v>
      </c>
      <c r="G1474" t="str">
        <f>INDEX(Risk_Matrix!$B$2:$D$4,MATCH(E1474,Risk_Matrix!$A$2:$A$4,0),MATCH(F1474,Risk_Matrix!$B$1:$D$1,0))</f>
        <v>Medium</v>
      </c>
      <c r="H1474" s="1">
        <v>46213</v>
      </c>
      <c r="I1474" t="s">
        <v>2025</v>
      </c>
      <c r="J1474" t="s">
        <v>2026</v>
      </c>
      <c r="K1474" t="s">
        <v>1998</v>
      </c>
      <c r="L1474">
        <f>IF(G1474="High",3,IF(G1474="Medium",2,1))</f>
        <v>2</v>
      </c>
    </row>
    <row r="1475" spans="1:12">
      <c r="A1475" t="s">
        <v>3501</v>
      </c>
      <c r="B1475" t="s">
        <v>1144</v>
      </c>
      <c r="C1475" t="s">
        <v>2000</v>
      </c>
      <c r="D1475" t="s">
        <v>2045</v>
      </c>
      <c r="E1475" t="s">
        <v>47</v>
      </c>
      <c r="F1475" t="s">
        <v>1971</v>
      </c>
      <c r="G1475" t="str">
        <f>INDEX(Risk_Matrix!$B$2:$D$4,MATCH(E1475,Risk_Matrix!$A$2:$A$4,0),MATCH(F1475,Risk_Matrix!$B$1:$D$1,0))</f>
        <v>High</v>
      </c>
      <c r="H1475" s="1">
        <v>46085</v>
      </c>
      <c r="I1475" t="s">
        <v>2025</v>
      </c>
      <c r="J1475" t="s">
        <v>2026</v>
      </c>
      <c r="K1475" t="s">
        <v>1989</v>
      </c>
      <c r="L1475">
        <f>IF(G1475="High",3,IF(G1475="Medium",2,1))</f>
        <v>3</v>
      </c>
    </row>
    <row r="1476" spans="1:12">
      <c r="A1476" t="s">
        <v>3502</v>
      </c>
      <c r="B1476" t="s">
        <v>1144</v>
      </c>
      <c r="C1476" t="s">
        <v>2005</v>
      </c>
      <c r="D1476" t="s">
        <v>2006</v>
      </c>
      <c r="E1476" t="s">
        <v>57</v>
      </c>
      <c r="F1476" t="s">
        <v>57</v>
      </c>
      <c r="G1476" t="str">
        <f>INDEX(Risk_Matrix!$B$2:$D$4,MATCH(E1476,Risk_Matrix!$A$2:$A$4,0),MATCH(F1476,Risk_Matrix!$B$1:$D$1,0))</f>
        <v>Low</v>
      </c>
      <c r="H1476" s="1">
        <v>46225</v>
      </c>
      <c r="I1476" t="s">
        <v>2002</v>
      </c>
      <c r="J1476" t="s">
        <v>2003</v>
      </c>
      <c r="K1476" t="s">
        <v>1993</v>
      </c>
      <c r="L1476">
        <f>IF(G1476="High",3,IF(G1476="Medium",2,1))</f>
        <v>1</v>
      </c>
    </row>
    <row r="1477" spans="1:12">
      <c r="A1477" t="s">
        <v>3503</v>
      </c>
      <c r="B1477" t="s">
        <v>1144</v>
      </c>
      <c r="C1477" t="s">
        <v>2008</v>
      </c>
      <c r="D1477" t="s">
        <v>2009</v>
      </c>
      <c r="E1477" t="s">
        <v>57</v>
      </c>
      <c r="F1477" t="s">
        <v>57</v>
      </c>
      <c r="G1477" t="str">
        <f>INDEX(Risk_Matrix!$B$2:$D$4,MATCH(E1477,Risk_Matrix!$A$2:$A$4,0),MATCH(F1477,Risk_Matrix!$B$1:$D$1,0))</f>
        <v>Low</v>
      </c>
      <c r="H1477" s="1">
        <v>46201</v>
      </c>
      <c r="I1477" t="s">
        <v>1987</v>
      </c>
      <c r="J1477" t="s">
        <v>1988</v>
      </c>
      <c r="K1477" t="s">
        <v>2010</v>
      </c>
      <c r="L1477">
        <f>IF(G1477="High",3,IF(G1477="Medium",2,1))</f>
        <v>1</v>
      </c>
    </row>
    <row r="1478" spans="1:12">
      <c r="A1478" t="s">
        <v>3504</v>
      </c>
      <c r="B1478" t="s">
        <v>1146</v>
      </c>
      <c r="C1478" t="s">
        <v>1985</v>
      </c>
      <c r="D1478" t="s">
        <v>2062</v>
      </c>
      <c r="E1478" t="s">
        <v>1971</v>
      </c>
      <c r="F1478" t="s">
        <v>1971</v>
      </c>
      <c r="G1478" t="str">
        <f>INDEX(Risk_Matrix!$B$2:$D$4,MATCH(E1478,Risk_Matrix!$A$2:$A$4,0),MATCH(F1478,Risk_Matrix!$B$1:$D$1,0))</f>
        <v>Medium</v>
      </c>
      <c r="H1478" s="1">
        <v>46217</v>
      </c>
      <c r="I1478" t="s">
        <v>2025</v>
      </c>
      <c r="J1478" t="s">
        <v>2026</v>
      </c>
      <c r="K1478" t="s">
        <v>1989</v>
      </c>
      <c r="L1478">
        <f>IF(G1478="High",3,IF(G1478="Medium",2,1))</f>
        <v>2</v>
      </c>
    </row>
    <row r="1479" spans="1:12">
      <c r="A1479" t="s">
        <v>3505</v>
      </c>
      <c r="B1479" t="s">
        <v>1146</v>
      </c>
      <c r="C1479" t="s">
        <v>1991</v>
      </c>
      <c r="D1479" t="s">
        <v>2064</v>
      </c>
      <c r="E1479" t="s">
        <v>57</v>
      </c>
      <c r="F1479" t="s">
        <v>57</v>
      </c>
      <c r="G1479" t="str">
        <f>INDEX(Risk_Matrix!$B$2:$D$4,MATCH(E1479,Risk_Matrix!$A$2:$A$4,0),MATCH(F1479,Risk_Matrix!$B$1:$D$1,0))</f>
        <v>Low</v>
      </c>
      <c r="H1479" s="1">
        <v>46229</v>
      </c>
      <c r="I1479" t="s">
        <v>1987</v>
      </c>
      <c r="J1479" t="s">
        <v>1988</v>
      </c>
      <c r="K1479" t="s">
        <v>2010</v>
      </c>
      <c r="L1479">
        <f>IF(G1479="High",3,IF(G1479="Medium",2,1))</f>
        <v>1</v>
      </c>
    </row>
    <row r="1480" spans="1:12">
      <c r="A1480" t="s">
        <v>3506</v>
      </c>
      <c r="B1480" t="s">
        <v>1146</v>
      </c>
      <c r="C1480" t="s">
        <v>1995</v>
      </c>
      <c r="D1480" t="s">
        <v>2018</v>
      </c>
      <c r="E1480" t="s">
        <v>47</v>
      </c>
      <c r="F1480" t="s">
        <v>47</v>
      </c>
      <c r="G1480" t="str">
        <f>INDEX(Risk_Matrix!$B$2:$D$4,MATCH(E1480,Risk_Matrix!$A$2:$A$4,0),MATCH(F1480,Risk_Matrix!$B$1:$D$1,0))</f>
        <v>High</v>
      </c>
      <c r="H1480" s="1">
        <v>46172</v>
      </c>
      <c r="I1480" t="s">
        <v>2025</v>
      </c>
      <c r="J1480" t="s">
        <v>2026</v>
      </c>
      <c r="K1480" t="s">
        <v>2036</v>
      </c>
      <c r="L1480">
        <f>IF(G1480="High",3,IF(G1480="Medium",2,1))</f>
        <v>3</v>
      </c>
    </row>
    <row r="1481" spans="1:12">
      <c r="A1481" t="s">
        <v>3507</v>
      </c>
      <c r="B1481" t="s">
        <v>1146</v>
      </c>
      <c r="C1481" t="s">
        <v>2000</v>
      </c>
      <c r="D1481" t="s">
        <v>2001</v>
      </c>
      <c r="E1481" t="s">
        <v>1971</v>
      </c>
      <c r="F1481" t="s">
        <v>1971</v>
      </c>
      <c r="G1481" t="str">
        <f>INDEX(Risk_Matrix!$B$2:$D$4,MATCH(E1481,Risk_Matrix!$A$2:$A$4,0),MATCH(F1481,Risk_Matrix!$B$1:$D$1,0))</f>
        <v>Medium</v>
      </c>
      <c r="H1481" s="1">
        <v>46220</v>
      </c>
      <c r="I1481" t="s">
        <v>2015</v>
      </c>
      <c r="J1481" t="s">
        <v>2016</v>
      </c>
      <c r="K1481" t="s">
        <v>1989</v>
      </c>
      <c r="L1481">
        <f>IF(G1481="High",3,IF(G1481="Medium",2,1))</f>
        <v>2</v>
      </c>
    </row>
    <row r="1482" spans="1:12">
      <c r="A1482" t="s">
        <v>3508</v>
      </c>
      <c r="B1482" t="s">
        <v>1146</v>
      </c>
      <c r="C1482" t="s">
        <v>2005</v>
      </c>
      <c r="D1482" t="s">
        <v>2022</v>
      </c>
      <c r="E1482" t="s">
        <v>1971</v>
      </c>
      <c r="F1482" t="s">
        <v>57</v>
      </c>
      <c r="G1482" t="str">
        <f>INDEX(Risk_Matrix!$B$2:$D$4,MATCH(E1482,Risk_Matrix!$A$2:$A$4,0),MATCH(F1482,Risk_Matrix!$B$1:$D$1,0))</f>
        <v>Low</v>
      </c>
      <c r="H1482" s="1">
        <v>46220</v>
      </c>
      <c r="I1482" t="s">
        <v>2002</v>
      </c>
      <c r="J1482" t="s">
        <v>2029</v>
      </c>
      <c r="K1482" t="s">
        <v>2036</v>
      </c>
      <c r="L1482">
        <f>IF(G1482="High",3,IF(G1482="Medium",2,1))</f>
        <v>1</v>
      </c>
    </row>
    <row r="1483" spans="1:12">
      <c r="A1483" t="s">
        <v>3509</v>
      </c>
      <c r="B1483" t="s">
        <v>1146</v>
      </c>
      <c r="C1483" t="s">
        <v>2008</v>
      </c>
      <c r="D1483" t="s">
        <v>2024</v>
      </c>
      <c r="E1483" t="s">
        <v>47</v>
      </c>
      <c r="F1483" t="s">
        <v>47</v>
      </c>
      <c r="G1483" t="str">
        <f>INDEX(Risk_Matrix!$B$2:$D$4,MATCH(E1483,Risk_Matrix!$A$2:$A$4,0),MATCH(F1483,Risk_Matrix!$B$1:$D$1,0))</f>
        <v>High</v>
      </c>
      <c r="H1483" s="1">
        <v>46163</v>
      </c>
      <c r="I1483" t="s">
        <v>2015</v>
      </c>
      <c r="J1483" t="s">
        <v>2016</v>
      </c>
      <c r="K1483" t="s">
        <v>2010</v>
      </c>
      <c r="L1483">
        <f>IF(G1483="High",3,IF(G1483="Medium",2,1))</f>
        <v>3</v>
      </c>
    </row>
    <row r="1484" spans="1:12">
      <c r="A1484" t="s">
        <v>3510</v>
      </c>
      <c r="B1484" t="s">
        <v>1148</v>
      </c>
      <c r="C1484" t="s">
        <v>1985</v>
      </c>
      <c r="D1484" t="s">
        <v>2028</v>
      </c>
      <c r="E1484" t="s">
        <v>1971</v>
      </c>
      <c r="F1484" t="s">
        <v>1971</v>
      </c>
      <c r="G1484" t="str">
        <f>INDEX(Risk_Matrix!$B$2:$D$4,MATCH(E1484,Risk_Matrix!$A$2:$A$4,0),MATCH(F1484,Risk_Matrix!$B$1:$D$1,0))</f>
        <v>Medium</v>
      </c>
      <c r="H1484" s="1">
        <v>46161</v>
      </c>
      <c r="I1484" t="s">
        <v>2025</v>
      </c>
      <c r="J1484" t="s">
        <v>2035</v>
      </c>
      <c r="K1484" t="s">
        <v>1998</v>
      </c>
      <c r="L1484">
        <f>IF(G1484="High",3,IF(G1484="Medium",2,1))</f>
        <v>2</v>
      </c>
    </row>
    <row r="1485" spans="1:12">
      <c r="A1485" t="s">
        <v>3511</v>
      </c>
      <c r="B1485" t="s">
        <v>1148</v>
      </c>
      <c r="C1485" t="s">
        <v>1991</v>
      </c>
      <c r="D1485" t="s">
        <v>2031</v>
      </c>
      <c r="E1485" t="s">
        <v>57</v>
      </c>
      <c r="F1485" t="s">
        <v>57</v>
      </c>
      <c r="G1485" t="str">
        <f>INDEX(Risk_Matrix!$B$2:$D$4,MATCH(E1485,Risk_Matrix!$A$2:$A$4,0),MATCH(F1485,Risk_Matrix!$B$1:$D$1,0))</f>
        <v>Low</v>
      </c>
      <c r="H1485" s="1">
        <v>46083</v>
      </c>
      <c r="I1485" t="s">
        <v>2025</v>
      </c>
      <c r="J1485" t="s">
        <v>2035</v>
      </c>
      <c r="K1485" t="s">
        <v>1993</v>
      </c>
      <c r="L1485">
        <f>IF(G1485="High",3,IF(G1485="Medium",2,1))</f>
        <v>1</v>
      </c>
    </row>
    <row r="1486" spans="1:12">
      <c r="A1486" t="s">
        <v>3512</v>
      </c>
      <c r="B1486" t="s">
        <v>1148</v>
      </c>
      <c r="C1486" t="s">
        <v>1995</v>
      </c>
      <c r="D1486" t="s">
        <v>2034</v>
      </c>
      <c r="E1486" t="s">
        <v>57</v>
      </c>
      <c r="F1486" t="s">
        <v>1971</v>
      </c>
      <c r="G1486" t="str">
        <f>INDEX(Risk_Matrix!$B$2:$D$4,MATCH(E1486,Risk_Matrix!$A$2:$A$4,0),MATCH(F1486,Risk_Matrix!$B$1:$D$1,0))</f>
        <v>Low</v>
      </c>
      <c r="H1486" s="1">
        <v>46168</v>
      </c>
      <c r="I1486" t="s">
        <v>2015</v>
      </c>
      <c r="J1486" t="s">
        <v>2016</v>
      </c>
      <c r="K1486" t="s">
        <v>1998</v>
      </c>
      <c r="L1486">
        <f>IF(G1486="High",3,IF(G1486="Medium",2,1))</f>
        <v>1</v>
      </c>
    </row>
    <row r="1487" spans="1:12">
      <c r="A1487" t="s">
        <v>3513</v>
      </c>
      <c r="B1487" t="s">
        <v>1148</v>
      </c>
      <c r="C1487" t="s">
        <v>2000</v>
      </c>
      <c r="D1487" t="s">
        <v>2020</v>
      </c>
      <c r="E1487" t="s">
        <v>1971</v>
      </c>
      <c r="F1487" t="s">
        <v>57</v>
      </c>
      <c r="G1487" t="str">
        <f>INDEX(Risk_Matrix!$B$2:$D$4,MATCH(E1487,Risk_Matrix!$A$2:$A$4,0),MATCH(F1487,Risk_Matrix!$B$1:$D$1,0))</f>
        <v>Low</v>
      </c>
      <c r="H1487" s="1">
        <v>46229</v>
      </c>
      <c r="I1487" t="s">
        <v>1987</v>
      </c>
      <c r="J1487" t="s">
        <v>1988</v>
      </c>
      <c r="K1487" t="s">
        <v>1989</v>
      </c>
      <c r="L1487">
        <f>IF(G1487="High",3,IF(G1487="Medium",2,1))</f>
        <v>1</v>
      </c>
    </row>
    <row r="1488" spans="1:12">
      <c r="A1488" t="s">
        <v>3514</v>
      </c>
      <c r="B1488" t="s">
        <v>1148</v>
      </c>
      <c r="C1488" t="s">
        <v>2005</v>
      </c>
      <c r="D1488" t="s">
        <v>2039</v>
      </c>
      <c r="E1488" t="s">
        <v>57</v>
      </c>
      <c r="F1488" t="s">
        <v>47</v>
      </c>
      <c r="G1488" t="str">
        <f>INDEX(Risk_Matrix!$B$2:$D$4,MATCH(E1488,Risk_Matrix!$A$2:$A$4,0),MATCH(F1488,Risk_Matrix!$B$1:$D$1,0))</f>
        <v>Medium</v>
      </c>
      <c r="H1488" s="1">
        <v>46076</v>
      </c>
      <c r="I1488" t="s">
        <v>2025</v>
      </c>
      <c r="J1488" t="s">
        <v>2026</v>
      </c>
      <c r="K1488" t="s">
        <v>1993</v>
      </c>
      <c r="L1488">
        <f>IF(G1488="High",3,IF(G1488="Medium",2,1))</f>
        <v>2</v>
      </c>
    </row>
    <row r="1489" spans="1:12">
      <c r="A1489" t="s">
        <v>3515</v>
      </c>
      <c r="B1489" t="s">
        <v>1148</v>
      </c>
      <c r="C1489" t="s">
        <v>2008</v>
      </c>
      <c r="D1489" t="s">
        <v>2054</v>
      </c>
      <c r="E1489" t="s">
        <v>47</v>
      </c>
      <c r="F1489" t="s">
        <v>1971</v>
      </c>
      <c r="G1489" t="str">
        <f>INDEX(Risk_Matrix!$B$2:$D$4,MATCH(E1489,Risk_Matrix!$A$2:$A$4,0),MATCH(F1489,Risk_Matrix!$B$1:$D$1,0))</f>
        <v>High</v>
      </c>
      <c r="H1489" s="1">
        <v>46174</v>
      </c>
      <c r="I1489" t="s">
        <v>2025</v>
      </c>
      <c r="J1489" t="s">
        <v>2035</v>
      </c>
      <c r="K1489" t="s">
        <v>2010</v>
      </c>
      <c r="L1489">
        <f>IF(G1489="High",3,IF(G1489="Medium",2,1))</f>
        <v>3</v>
      </c>
    </row>
    <row r="1490" spans="1:12">
      <c r="A1490" t="s">
        <v>3516</v>
      </c>
      <c r="B1490" t="s">
        <v>1150</v>
      </c>
      <c r="C1490" t="s">
        <v>1985</v>
      </c>
      <c r="D1490" t="s">
        <v>1986</v>
      </c>
      <c r="E1490" t="s">
        <v>57</v>
      </c>
      <c r="F1490" t="s">
        <v>1971</v>
      </c>
      <c r="G1490" t="str">
        <f>INDEX(Risk_Matrix!$B$2:$D$4,MATCH(E1490,Risk_Matrix!$A$2:$A$4,0),MATCH(F1490,Risk_Matrix!$B$1:$D$1,0))</f>
        <v>Low</v>
      </c>
      <c r="H1490" s="1">
        <v>46195</v>
      </c>
      <c r="I1490" t="s">
        <v>2025</v>
      </c>
      <c r="J1490" t="s">
        <v>2035</v>
      </c>
      <c r="K1490" t="s">
        <v>1989</v>
      </c>
      <c r="L1490">
        <f>IF(G1490="High",3,IF(G1490="Medium",2,1))</f>
        <v>1</v>
      </c>
    </row>
    <row r="1491" spans="1:12">
      <c r="A1491" t="s">
        <v>3517</v>
      </c>
      <c r="B1491" t="s">
        <v>1150</v>
      </c>
      <c r="C1491" t="s">
        <v>1991</v>
      </c>
      <c r="D1491" t="s">
        <v>2014</v>
      </c>
      <c r="E1491" t="s">
        <v>1971</v>
      </c>
      <c r="F1491" t="s">
        <v>47</v>
      </c>
      <c r="G1491" t="str">
        <f>INDEX(Risk_Matrix!$B$2:$D$4,MATCH(E1491,Risk_Matrix!$A$2:$A$4,0),MATCH(F1491,Risk_Matrix!$B$1:$D$1,0))</f>
        <v>High</v>
      </c>
      <c r="H1491" s="1">
        <v>46221</v>
      </c>
      <c r="I1491" t="s">
        <v>2025</v>
      </c>
      <c r="J1491" t="s">
        <v>2035</v>
      </c>
      <c r="K1491" t="s">
        <v>2010</v>
      </c>
      <c r="L1491">
        <f>IF(G1491="High",3,IF(G1491="Medium",2,1))</f>
        <v>3</v>
      </c>
    </row>
    <row r="1492" spans="1:12">
      <c r="A1492" t="s">
        <v>3518</v>
      </c>
      <c r="B1492" t="s">
        <v>1150</v>
      </c>
      <c r="C1492" t="s">
        <v>1995</v>
      </c>
      <c r="D1492" t="s">
        <v>2034</v>
      </c>
      <c r="E1492" t="s">
        <v>57</v>
      </c>
      <c r="F1492" t="s">
        <v>57</v>
      </c>
      <c r="G1492" t="str">
        <f>INDEX(Risk_Matrix!$B$2:$D$4,MATCH(E1492,Risk_Matrix!$A$2:$A$4,0),MATCH(F1492,Risk_Matrix!$B$1:$D$1,0))</f>
        <v>Low</v>
      </c>
      <c r="H1492" s="1">
        <v>46215</v>
      </c>
      <c r="I1492" t="s">
        <v>2015</v>
      </c>
      <c r="J1492" t="s">
        <v>2016</v>
      </c>
      <c r="K1492" t="s">
        <v>1998</v>
      </c>
      <c r="L1492">
        <f>IF(G1492="High",3,IF(G1492="Medium",2,1))</f>
        <v>1</v>
      </c>
    </row>
    <row r="1493" spans="1:12">
      <c r="A1493" t="s">
        <v>3519</v>
      </c>
      <c r="B1493" t="s">
        <v>1150</v>
      </c>
      <c r="C1493" t="s">
        <v>2000</v>
      </c>
      <c r="D1493" t="s">
        <v>2045</v>
      </c>
      <c r="E1493" t="s">
        <v>1971</v>
      </c>
      <c r="F1493" t="s">
        <v>57</v>
      </c>
      <c r="G1493" t="str">
        <f>INDEX(Risk_Matrix!$B$2:$D$4,MATCH(E1493,Risk_Matrix!$A$2:$A$4,0),MATCH(F1493,Risk_Matrix!$B$1:$D$1,0))</f>
        <v>Low</v>
      </c>
      <c r="H1493" s="1">
        <v>46191</v>
      </c>
      <c r="I1493" t="s">
        <v>2015</v>
      </c>
      <c r="J1493" t="s">
        <v>2032</v>
      </c>
      <c r="K1493" t="s">
        <v>1989</v>
      </c>
      <c r="L1493">
        <f>IF(G1493="High",3,IF(G1493="Medium",2,1))</f>
        <v>1</v>
      </c>
    </row>
    <row r="1494" spans="1:12">
      <c r="A1494" t="s">
        <v>3520</v>
      </c>
      <c r="B1494" t="s">
        <v>1150</v>
      </c>
      <c r="C1494" t="s">
        <v>2005</v>
      </c>
      <c r="D1494" t="s">
        <v>2022</v>
      </c>
      <c r="E1494" t="s">
        <v>57</v>
      </c>
      <c r="F1494" t="s">
        <v>57</v>
      </c>
      <c r="G1494" t="str">
        <f>INDEX(Risk_Matrix!$B$2:$D$4,MATCH(E1494,Risk_Matrix!$A$2:$A$4,0),MATCH(F1494,Risk_Matrix!$B$1:$D$1,0))</f>
        <v>Low</v>
      </c>
      <c r="H1494" s="1">
        <v>46196</v>
      </c>
      <c r="I1494" t="s">
        <v>2015</v>
      </c>
      <c r="J1494" t="s">
        <v>2032</v>
      </c>
      <c r="K1494" t="s">
        <v>1993</v>
      </c>
      <c r="L1494">
        <f>IF(G1494="High",3,IF(G1494="Medium",2,1))</f>
        <v>1</v>
      </c>
    </row>
    <row r="1495" spans="1:12">
      <c r="A1495" t="s">
        <v>3521</v>
      </c>
      <c r="B1495" t="s">
        <v>1150</v>
      </c>
      <c r="C1495" t="s">
        <v>2008</v>
      </c>
      <c r="D1495" t="s">
        <v>2054</v>
      </c>
      <c r="E1495" t="s">
        <v>57</v>
      </c>
      <c r="F1495" t="s">
        <v>1971</v>
      </c>
      <c r="G1495" t="str">
        <f>INDEX(Risk_Matrix!$B$2:$D$4,MATCH(E1495,Risk_Matrix!$A$2:$A$4,0),MATCH(F1495,Risk_Matrix!$B$1:$D$1,0))</f>
        <v>Low</v>
      </c>
      <c r="H1495" s="1">
        <v>46088</v>
      </c>
      <c r="I1495" t="s">
        <v>2025</v>
      </c>
      <c r="J1495" t="s">
        <v>2035</v>
      </c>
      <c r="K1495" t="s">
        <v>2010</v>
      </c>
      <c r="L1495">
        <f>IF(G1495="High",3,IF(G1495="Medium",2,1))</f>
        <v>1</v>
      </c>
    </row>
    <row r="1496" spans="1:12">
      <c r="A1496" t="s">
        <v>3522</v>
      </c>
      <c r="B1496" t="s">
        <v>1152</v>
      </c>
      <c r="C1496" t="s">
        <v>1985</v>
      </c>
      <c r="D1496" t="s">
        <v>2028</v>
      </c>
      <c r="E1496" t="s">
        <v>57</v>
      </c>
      <c r="F1496" t="s">
        <v>57</v>
      </c>
      <c r="G1496" t="str">
        <f>INDEX(Risk_Matrix!$B$2:$D$4,MATCH(E1496,Risk_Matrix!$A$2:$A$4,0),MATCH(F1496,Risk_Matrix!$B$1:$D$1,0))</f>
        <v>Low</v>
      </c>
      <c r="H1496" s="1">
        <v>46164</v>
      </c>
      <c r="I1496" t="s">
        <v>2002</v>
      </c>
      <c r="J1496" t="s">
        <v>2003</v>
      </c>
      <c r="K1496" t="s">
        <v>1989</v>
      </c>
      <c r="L1496">
        <f>IF(G1496="High",3,IF(G1496="Medium",2,1))</f>
        <v>1</v>
      </c>
    </row>
    <row r="1497" spans="1:12">
      <c r="A1497" t="s">
        <v>3523</v>
      </c>
      <c r="B1497" t="s">
        <v>1152</v>
      </c>
      <c r="C1497" t="s">
        <v>1991</v>
      </c>
      <c r="D1497" t="s">
        <v>2014</v>
      </c>
      <c r="E1497" t="s">
        <v>1971</v>
      </c>
      <c r="F1497" t="s">
        <v>1971</v>
      </c>
      <c r="G1497" t="str">
        <f>INDEX(Risk_Matrix!$B$2:$D$4,MATCH(E1497,Risk_Matrix!$A$2:$A$4,0),MATCH(F1497,Risk_Matrix!$B$1:$D$1,0))</f>
        <v>Medium</v>
      </c>
      <c r="H1497" s="1">
        <v>46103</v>
      </c>
      <c r="I1497" t="s">
        <v>2025</v>
      </c>
      <c r="J1497" t="s">
        <v>2035</v>
      </c>
      <c r="K1497" t="s">
        <v>2010</v>
      </c>
      <c r="L1497">
        <f>IF(G1497="High",3,IF(G1497="Medium",2,1))</f>
        <v>2</v>
      </c>
    </row>
    <row r="1498" spans="1:12">
      <c r="A1498" t="s">
        <v>3524</v>
      </c>
      <c r="B1498" t="s">
        <v>1152</v>
      </c>
      <c r="C1498" t="s">
        <v>1995</v>
      </c>
      <c r="D1498" t="s">
        <v>2034</v>
      </c>
      <c r="E1498" t="s">
        <v>57</v>
      </c>
      <c r="F1498" t="s">
        <v>1971</v>
      </c>
      <c r="G1498" t="str">
        <f>INDEX(Risk_Matrix!$B$2:$D$4,MATCH(E1498,Risk_Matrix!$A$2:$A$4,0),MATCH(F1498,Risk_Matrix!$B$1:$D$1,0))</f>
        <v>Low</v>
      </c>
      <c r="H1498" s="1">
        <v>46206</v>
      </c>
      <c r="I1498" t="s">
        <v>2002</v>
      </c>
      <c r="J1498" t="s">
        <v>2029</v>
      </c>
      <c r="K1498" t="s">
        <v>1998</v>
      </c>
      <c r="L1498">
        <f>IF(G1498="High",3,IF(G1498="Medium",2,1))</f>
        <v>1</v>
      </c>
    </row>
    <row r="1499" spans="1:12">
      <c r="A1499" t="s">
        <v>3525</v>
      </c>
      <c r="B1499" t="s">
        <v>1152</v>
      </c>
      <c r="C1499" t="s">
        <v>2000</v>
      </c>
      <c r="D1499" t="s">
        <v>2045</v>
      </c>
      <c r="E1499" t="s">
        <v>1971</v>
      </c>
      <c r="F1499" t="s">
        <v>57</v>
      </c>
      <c r="G1499" t="str">
        <f>INDEX(Risk_Matrix!$B$2:$D$4,MATCH(E1499,Risk_Matrix!$A$2:$A$4,0),MATCH(F1499,Risk_Matrix!$B$1:$D$1,0))</f>
        <v>Low</v>
      </c>
      <c r="H1499" s="1">
        <v>46159</v>
      </c>
      <c r="I1499" t="s">
        <v>2015</v>
      </c>
      <c r="J1499" t="s">
        <v>2032</v>
      </c>
      <c r="K1499" t="s">
        <v>1993</v>
      </c>
      <c r="L1499">
        <f>IF(G1499="High",3,IF(G1499="Medium",2,1))</f>
        <v>1</v>
      </c>
    </row>
    <row r="1500" spans="1:12">
      <c r="A1500" t="s">
        <v>3526</v>
      </c>
      <c r="B1500" t="s">
        <v>1152</v>
      </c>
      <c r="C1500" t="s">
        <v>2005</v>
      </c>
      <c r="D1500" t="s">
        <v>2039</v>
      </c>
      <c r="E1500" t="s">
        <v>1971</v>
      </c>
      <c r="F1500" t="s">
        <v>57</v>
      </c>
      <c r="G1500" t="str">
        <f>INDEX(Risk_Matrix!$B$2:$D$4,MATCH(E1500,Risk_Matrix!$A$2:$A$4,0),MATCH(F1500,Risk_Matrix!$B$1:$D$1,0))</f>
        <v>Low</v>
      </c>
      <c r="H1500" s="1">
        <v>46073</v>
      </c>
      <c r="I1500" t="s">
        <v>1987</v>
      </c>
      <c r="J1500" t="s">
        <v>1988</v>
      </c>
      <c r="K1500" t="s">
        <v>1993</v>
      </c>
      <c r="L1500">
        <f>IF(G1500="High",3,IF(G1500="Medium",2,1))</f>
        <v>1</v>
      </c>
    </row>
    <row r="1501" spans="1:12">
      <c r="A1501" t="s">
        <v>3527</v>
      </c>
      <c r="B1501" t="s">
        <v>1152</v>
      </c>
      <c r="C1501" t="s">
        <v>2008</v>
      </c>
      <c r="D1501" t="s">
        <v>2054</v>
      </c>
      <c r="E1501" t="s">
        <v>1971</v>
      </c>
      <c r="F1501" t="s">
        <v>1971</v>
      </c>
      <c r="G1501" t="str">
        <f>INDEX(Risk_Matrix!$B$2:$D$4,MATCH(E1501,Risk_Matrix!$A$2:$A$4,0),MATCH(F1501,Risk_Matrix!$B$1:$D$1,0))</f>
        <v>Medium</v>
      </c>
      <c r="H1501" s="1">
        <v>46062</v>
      </c>
      <c r="I1501" t="s">
        <v>2025</v>
      </c>
      <c r="J1501" t="s">
        <v>2026</v>
      </c>
      <c r="K1501" t="s">
        <v>2010</v>
      </c>
      <c r="L1501">
        <f>IF(G1501="High",3,IF(G1501="Medium",2,1))</f>
        <v>2</v>
      </c>
    </row>
    <row r="1502" spans="1:12">
      <c r="A1502" t="s">
        <v>3528</v>
      </c>
      <c r="B1502" t="s">
        <v>1154</v>
      </c>
      <c r="C1502" t="s">
        <v>1985</v>
      </c>
      <c r="D1502" t="s">
        <v>2012</v>
      </c>
      <c r="E1502" t="s">
        <v>1971</v>
      </c>
      <c r="F1502" t="s">
        <v>47</v>
      </c>
      <c r="G1502" t="str">
        <f>INDEX(Risk_Matrix!$B$2:$D$4,MATCH(E1502,Risk_Matrix!$A$2:$A$4,0),MATCH(F1502,Risk_Matrix!$B$1:$D$1,0))</f>
        <v>High</v>
      </c>
      <c r="H1502" s="1">
        <v>46154</v>
      </c>
      <c r="I1502" t="s">
        <v>2025</v>
      </c>
      <c r="J1502" t="s">
        <v>2026</v>
      </c>
      <c r="K1502" t="s">
        <v>1998</v>
      </c>
      <c r="L1502">
        <f>IF(G1502="High",3,IF(G1502="Medium",2,1))</f>
        <v>3</v>
      </c>
    </row>
    <row r="1503" spans="1:12">
      <c r="A1503" t="s">
        <v>3529</v>
      </c>
      <c r="B1503" t="s">
        <v>1154</v>
      </c>
      <c r="C1503" t="s">
        <v>1991</v>
      </c>
      <c r="D1503" t="s">
        <v>1992</v>
      </c>
      <c r="E1503" t="s">
        <v>57</v>
      </c>
      <c r="F1503" t="s">
        <v>47</v>
      </c>
      <c r="G1503" t="str">
        <f>INDEX(Risk_Matrix!$B$2:$D$4,MATCH(E1503,Risk_Matrix!$A$2:$A$4,0),MATCH(F1503,Risk_Matrix!$B$1:$D$1,0))</f>
        <v>Medium</v>
      </c>
      <c r="H1503" s="1">
        <v>46120</v>
      </c>
      <c r="I1503" t="s">
        <v>2025</v>
      </c>
      <c r="J1503" t="s">
        <v>2035</v>
      </c>
      <c r="K1503" t="s">
        <v>2010</v>
      </c>
      <c r="L1503">
        <f>IF(G1503="High",3,IF(G1503="Medium",2,1))</f>
        <v>2</v>
      </c>
    </row>
    <row r="1504" spans="1:12">
      <c r="A1504" t="s">
        <v>3530</v>
      </c>
      <c r="B1504" t="s">
        <v>1154</v>
      </c>
      <c r="C1504" t="s">
        <v>1995</v>
      </c>
      <c r="D1504" t="s">
        <v>2150</v>
      </c>
      <c r="E1504" t="s">
        <v>57</v>
      </c>
      <c r="F1504" t="s">
        <v>1971</v>
      </c>
      <c r="G1504" t="str">
        <f>INDEX(Risk_Matrix!$B$2:$D$4,MATCH(E1504,Risk_Matrix!$A$2:$A$4,0),MATCH(F1504,Risk_Matrix!$B$1:$D$1,0))</f>
        <v>Low</v>
      </c>
      <c r="H1504" s="1">
        <v>46157</v>
      </c>
      <c r="I1504" t="s">
        <v>2025</v>
      </c>
      <c r="J1504" t="s">
        <v>2026</v>
      </c>
      <c r="K1504" t="s">
        <v>2036</v>
      </c>
      <c r="L1504">
        <f>IF(G1504="High",3,IF(G1504="Medium",2,1))</f>
        <v>1</v>
      </c>
    </row>
    <row r="1505" spans="1:12">
      <c r="A1505" t="s">
        <v>3531</v>
      </c>
      <c r="B1505" t="s">
        <v>1154</v>
      </c>
      <c r="C1505" t="s">
        <v>2000</v>
      </c>
      <c r="D1505" t="s">
        <v>2001</v>
      </c>
      <c r="E1505" t="s">
        <v>47</v>
      </c>
      <c r="F1505" t="s">
        <v>1971</v>
      </c>
      <c r="G1505" t="str">
        <f>INDEX(Risk_Matrix!$B$2:$D$4,MATCH(E1505,Risk_Matrix!$A$2:$A$4,0),MATCH(F1505,Risk_Matrix!$B$1:$D$1,0))</f>
        <v>High</v>
      </c>
      <c r="H1505" s="1">
        <v>46122</v>
      </c>
      <c r="I1505" t="s">
        <v>2025</v>
      </c>
      <c r="J1505" t="s">
        <v>2035</v>
      </c>
      <c r="K1505" t="s">
        <v>1989</v>
      </c>
      <c r="L1505">
        <f>IF(G1505="High",3,IF(G1505="Medium",2,1))</f>
        <v>3</v>
      </c>
    </row>
    <row r="1506" spans="1:12">
      <c r="A1506" t="s">
        <v>3532</v>
      </c>
      <c r="B1506" t="s">
        <v>1154</v>
      </c>
      <c r="C1506" t="s">
        <v>2005</v>
      </c>
      <c r="D1506" t="s">
        <v>2039</v>
      </c>
      <c r="E1506" t="s">
        <v>47</v>
      </c>
      <c r="F1506" t="s">
        <v>57</v>
      </c>
      <c r="G1506" t="str">
        <f>INDEX(Risk_Matrix!$B$2:$D$4,MATCH(E1506,Risk_Matrix!$A$2:$A$4,0),MATCH(F1506,Risk_Matrix!$B$1:$D$1,0))</f>
        <v>Medium</v>
      </c>
      <c r="H1506" s="1">
        <v>46229</v>
      </c>
      <c r="I1506" t="s">
        <v>2025</v>
      </c>
      <c r="J1506" t="s">
        <v>2035</v>
      </c>
      <c r="K1506" t="s">
        <v>2036</v>
      </c>
      <c r="L1506">
        <f>IF(G1506="High",3,IF(G1506="Medium",2,1))</f>
        <v>2</v>
      </c>
    </row>
    <row r="1507" spans="1:12">
      <c r="A1507" t="s">
        <v>3533</v>
      </c>
      <c r="B1507" t="s">
        <v>1154</v>
      </c>
      <c r="C1507" t="s">
        <v>2008</v>
      </c>
      <c r="D1507" t="s">
        <v>2054</v>
      </c>
      <c r="E1507" t="s">
        <v>47</v>
      </c>
      <c r="F1507" t="s">
        <v>1971</v>
      </c>
      <c r="G1507" t="str">
        <f>INDEX(Risk_Matrix!$B$2:$D$4,MATCH(E1507,Risk_Matrix!$A$2:$A$4,0),MATCH(F1507,Risk_Matrix!$B$1:$D$1,0))</f>
        <v>High</v>
      </c>
      <c r="H1507" s="1">
        <v>46204</v>
      </c>
      <c r="I1507" t="s">
        <v>2025</v>
      </c>
      <c r="J1507" t="s">
        <v>2026</v>
      </c>
      <c r="K1507" t="s">
        <v>2010</v>
      </c>
      <c r="L1507">
        <f>IF(G1507="High",3,IF(G1507="Medium",2,1))</f>
        <v>3</v>
      </c>
    </row>
    <row r="1508" spans="1:12">
      <c r="A1508" t="s">
        <v>3534</v>
      </c>
      <c r="B1508" t="s">
        <v>1156</v>
      </c>
      <c r="C1508" t="s">
        <v>1985</v>
      </c>
      <c r="D1508" t="s">
        <v>1986</v>
      </c>
      <c r="E1508" t="s">
        <v>1971</v>
      </c>
      <c r="F1508" t="s">
        <v>47</v>
      </c>
      <c r="G1508" t="str">
        <f>INDEX(Risk_Matrix!$B$2:$D$4,MATCH(E1508,Risk_Matrix!$A$2:$A$4,0),MATCH(F1508,Risk_Matrix!$B$1:$D$1,0))</f>
        <v>High</v>
      </c>
      <c r="H1508" s="1">
        <v>46093</v>
      </c>
      <c r="I1508" t="s">
        <v>2025</v>
      </c>
      <c r="J1508" t="s">
        <v>2035</v>
      </c>
      <c r="K1508" t="s">
        <v>1989</v>
      </c>
      <c r="L1508">
        <f>IF(G1508="High",3,IF(G1508="Medium",2,1))</f>
        <v>3</v>
      </c>
    </row>
    <row r="1509" spans="1:12">
      <c r="A1509" t="s">
        <v>3535</v>
      </c>
      <c r="B1509" t="s">
        <v>1156</v>
      </c>
      <c r="C1509" t="s">
        <v>1991</v>
      </c>
      <c r="D1509" t="s">
        <v>2031</v>
      </c>
      <c r="E1509" t="s">
        <v>57</v>
      </c>
      <c r="F1509" t="s">
        <v>1971</v>
      </c>
      <c r="G1509" t="str">
        <f>INDEX(Risk_Matrix!$B$2:$D$4,MATCH(E1509,Risk_Matrix!$A$2:$A$4,0),MATCH(F1509,Risk_Matrix!$B$1:$D$1,0))</f>
        <v>Low</v>
      </c>
      <c r="H1509" s="1">
        <v>46153</v>
      </c>
      <c r="I1509" t="s">
        <v>2002</v>
      </c>
      <c r="J1509" t="s">
        <v>2029</v>
      </c>
      <c r="K1509" t="s">
        <v>2010</v>
      </c>
      <c r="L1509">
        <f>IF(G1509="High",3,IF(G1509="Medium",2,1))</f>
        <v>1</v>
      </c>
    </row>
    <row r="1510" spans="1:12">
      <c r="A1510" t="s">
        <v>3536</v>
      </c>
      <c r="B1510" t="s">
        <v>1156</v>
      </c>
      <c r="C1510" t="s">
        <v>1995</v>
      </c>
      <c r="D1510" t="s">
        <v>1996</v>
      </c>
      <c r="E1510" t="s">
        <v>47</v>
      </c>
      <c r="F1510" t="s">
        <v>57</v>
      </c>
      <c r="G1510" t="str">
        <f>INDEX(Risk_Matrix!$B$2:$D$4,MATCH(E1510,Risk_Matrix!$A$2:$A$4,0),MATCH(F1510,Risk_Matrix!$B$1:$D$1,0))</f>
        <v>Medium</v>
      </c>
      <c r="H1510" s="1">
        <v>46146</v>
      </c>
      <c r="I1510" t="s">
        <v>1987</v>
      </c>
      <c r="J1510" t="s">
        <v>1988</v>
      </c>
      <c r="K1510" t="s">
        <v>1998</v>
      </c>
      <c r="L1510">
        <f>IF(G1510="High",3,IF(G1510="Medium",2,1))</f>
        <v>2</v>
      </c>
    </row>
    <row r="1511" spans="1:12">
      <c r="A1511" t="s">
        <v>3537</v>
      </c>
      <c r="B1511" t="s">
        <v>1156</v>
      </c>
      <c r="C1511" t="s">
        <v>2000</v>
      </c>
      <c r="D1511" t="s">
        <v>2045</v>
      </c>
      <c r="E1511" t="s">
        <v>57</v>
      </c>
      <c r="F1511" t="s">
        <v>47</v>
      </c>
      <c r="G1511" t="str">
        <f>INDEX(Risk_Matrix!$B$2:$D$4,MATCH(E1511,Risk_Matrix!$A$2:$A$4,0),MATCH(F1511,Risk_Matrix!$B$1:$D$1,0))</f>
        <v>Medium</v>
      </c>
      <c r="H1511" s="1">
        <v>46107</v>
      </c>
      <c r="I1511" t="s">
        <v>2025</v>
      </c>
      <c r="J1511" t="s">
        <v>2026</v>
      </c>
      <c r="K1511" t="s">
        <v>1993</v>
      </c>
      <c r="L1511">
        <f>IF(G1511="High",3,IF(G1511="Medium",2,1))</f>
        <v>2</v>
      </c>
    </row>
    <row r="1512" spans="1:12">
      <c r="A1512" t="s">
        <v>3538</v>
      </c>
      <c r="B1512" t="s">
        <v>1156</v>
      </c>
      <c r="C1512" t="s">
        <v>2005</v>
      </c>
      <c r="D1512" t="s">
        <v>2039</v>
      </c>
      <c r="E1512" t="s">
        <v>57</v>
      </c>
      <c r="F1512" t="s">
        <v>1971</v>
      </c>
      <c r="G1512" t="str">
        <f>INDEX(Risk_Matrix!$B$2:$D$4,MATCH(E1512,Risk_Matrix!$A$2:$A$4,0),MATCH(F1512,Risk_Matrix!$B$1:$D$1,0))</f>
        <v>Low</v>
      </c>
      <c r="H1512" s="1">
        <v>46139</v>
      </c>
      <c r="I1512" t="s">
        <v>2002</v>
      </c>
      <c r="J1512" t="s">
        <v>2029</v>
      </c>
      <c r="K1512" t="s">
        <v>1993</v>
      </c>
      <c r="L1512">
        <f>IF(G1512="High",3,IF(G1512="Medium",2,1))</f>
        <v>1</v>
      </c>
    </row>
    <row r="1513" spans="1:12">
      <c r="A1513" t="s">
        <v>3539</v>
      </c>
      <c r="B1513" t="s">
        <v>1156</v>
      </c>
      <c r="C1513" t="s">
        <v>2008</v>
      </c>
      <c r="D1513" t="s">
        <v>2054</v>
      </c>
      <c r="E1513" t="s">
        <v>1971</v>
      </c>
      <c r="F1513" t="s">
        <v>57</v>
      </c>
      <c r="G1513" t="str">
        <f>INDEX(Risk_Matrix!$B$2:$D$4,MATCH(E1513,Risk_Matrix!$A$2:$A$4,0),MATCH(F1513,Risk_Matrix!$B$1:$D$1,0))</f>
        <v>Low</v>
      </c>
      <c r="H1513" s="1">
        <v>46173</v>
      </c>
      <c r="I1513" t="s">
        <v>2025</v>
      </c>
      <c r="J1513" t="s">
        <v>2026</v>
      </c>
      <c r="K1513" t="s">
        <v>2010</v>
      </c>
      <c r="L1513">
        <f>IF(G1513="High",3,IF(G1513="Medium",2,1))</f>
        <v>1</v>
      </c>
    </row>
    <row r="1514" spans="1:12">
      <c r="A1514" t="s">
        <v>3540</v>
      </c>
      <c r="B1514" t="s">
        <v>1159</v>
      </c>
      <c r="C1514" t="s">
        <v>1985</v>
      </c>
      <c r="D1514" t="s">
        <v>2012</v>
      </c>
      <c r="E1514" t="s">
        <v>57</v>
      </c>
      <c r="F1514" t="s">
        <v>1971</v>
      </c>
      <c r="G1514" t="str">
        <f>INDEX(Risk_Matrix!$B$2:$D$4,MATCH(E1514,Risk_Matrix!$A$2:$A$4,0),MATCH(F1514,Risk_Matrix!$B$1:$D$1,0))</f>
        <v>Low</v>
      </c>
      <c r="H1514" s="1">
        <v>46056</v>
      </c>
      <c r="I1514" t="s">
        <v>2002</v>
      </c>
      <c r="J1514" t="s">
        <v>2003</v>
      </c>
      <c r="K1514" t="s">
        <v>1989</v>
      </c>
      <c r="L1514">
        <f>IF(G1514="High",3,IF(G1514="Medium",2,1))</f>
        <v>1</v>
      </c>
    </row>
    <row r="1515" spans="1:12">
      <c r="A1515" t="s">
        <v>3541</v>
      </c>
      <c r="B1515" t="s">
        <v>1159</v>
      </c>
      <c r="C1515" t="s">
        <v>1991</v>
      </c>
      <c r="D1515" t="s">
        <v>2064</v>
      </c>
      <c r="E1515" t="s">
        <v>47</v>
      </c>
      <c r="F1515" t="s">
        <v>47</v>
      </c>
      <c r="G1515" t="str">
        <f>INDEX(Risk_Matrix!$B$2:$D$4,MATCH(E1515,Risk_Matrix!$A$2:$A$4,0),MATCH(F1515,Risk_Matrix!$B$1:$D$1,0))</f>
        <v>High</v>
      </c>
      <c r="H1515" s="1">
        <v>46153</v>
      </c>
      <c r="I1515" t="s">
        <v>2015</v>
      </c>
      <c r="J1515" t="s">
        <v>2016</v>
      </c>
      <c r="K1515" t="s">
        <v>1993</v>
      </c>
      <c r="L1515">
        <f>IF(G1515="High",3,IF(G1515="Medium",2,1))</f>
        <v>3</v>
      </c>
    </row>
    <row r="1516" spans="1:12">
      <c r="A1516" t="s">
        <v>3542</v>
      </c>
      <c r="B1516" t="s">
        <v>1159</v>
      </c>
      <c r="C1516" t="s">
        <v>1995</v>
      </c>
      <c r="D1516" t="s">
        <v>2034</v>
      </c>
      <c r="E1516" t="s">
        <v>57</v>
      </c>
      <c r="F1516" t="s">
        <v>57</v>
      </c>
      <c r="G1516" t="str">
        <f>INDEX(Risk_Matrix!$B$2:$D$4,MATCH(E1516,Risk_Matrix!$A$2:$A$4,0),MATCH(F1516,Risk_Matrix!$B$1:$D$1,0))</f>
        <v>Low</v>
      </c>
      <c r="H1516" s="1">
        <v>46220</v>
      </c>
      <c r="I1516" t="s">
        <v>2015</v>
      </c>
      <c r="J1516" t="s">
        <v>2016</v>
      </c>
      <c r="K1516" t="s">
        <v>2036</v>
      </c>
      <c r="L1516">
        <f>IF(G1516="High",3,IF(G1516="Medium",2,1))</f>
        <v>1</v>
      </c>
    </row>
    <row r="1517" spans="1:12">
      <c r="A1517" t="s">
        <v>3543</v>
      </c>
      <c r="B1517" t="s">
        <v>1159</v>
      </c>
      <c r="C1517" t="s">
        <v>2000</v>
      </c>
      <c r="D1517" t="s">
        <v>2001</v>
      </c>
      <c r="E1517" t="s">
        <v>1971</v>
      </c>
      <c r="F1517" t="s">
        <v>1971</v>
      </c>
      <c r="G1517" t="str">
        <f>INDEX(Risk_Matrix!$B$2:$D$4,MATCH(E1517,Risk_Matrix!$A$2:$A$4,0),MATCH(F1517,Risk_Matrix!$B$1:$D$1,0))</f>
        <v>Medium</v>
      </c>
      <c r="H1517" s="1">
        <v>46196</v>
      </c>
      <c r="I1517" t="s">
        <v>2025</v>
      </c>
      <c r="J1517" t="s">
        <v>2026</v>
      </c>
      <c r="K1517" t="s">
        <v>1989</v>
      </c>
      <c r="L1517">
        <f>IF(G1517="High",3,IF(G1517="Medium",2,1))</f>
        <v>2</v>
      </c>
    </row>
    <row r="1518" spans="1:12">
      <c r="A1518" t="s">
        <v>3544</v>
      </c>
      <c r="B1518" t="s">
        <v>1159</v>
      </c>
      <c r="C1518" t="s">
        <v>2005</v>
      </c>
      <c r="D1518" t="s">
        <v>2039</v>
      </c>
      <c r="E1518" t="s">
        <v>57</v>
      </c>
      <c r="F1518" t="s">
        <v>57</v>
      </c>
      <c r="G1518" t="str">
        <f>INDEX(Risk_Matrix!$B$2:$D$4,MATCH(E1518,Risk_Matrix!$A$2:$A$4,0),MATCH(F1518,Risk_Matrix!$B$1:$D$1,0))</f>
        <v>Low</v>
      </c>
      <c r="H1518" s="1">
        <v>46118</v>
      </c>
      <c r="I1518" t="s">
        <v>2002</v>
      </c>
      <c r="J1518" t="s">
        <v>2003</v>
      </c>
      <c r="K1518" t="s">
        <v>1993</v>
      </c>
      <c r="L1518">
        <f>IF(G1518="High",3,IF(G1518="Medium",2,1))</f>
        <v>1</v>
      </c>
    </row>
    <row r="1519" spans="1:12">
      <c r="A1519" t="s">
        <v>3545</v>
      </c>
      <c r="B1519" t="s">
        <v>1159</v>
      </c>
      <c r="C1519" t="s">
        <v>2008</v>
      </c>
      <c r="D1519" t="s">
        <v>2024</v>
      </c>
      <c r="E1519" t="s">
        <v>1971</v>
      </c>
      <c r="F1519" t="s">
        <v>47</v>
      </c>
      <c r="G1519" t="str">
        <f>INDEX(Risk_Matrix!$B$2:$D$4,MATCH(E1519,Risk_Matrix!$A$2:$A$4,0),MATCH(F1519,Risk_Matrix!$B$1:$D$1,0))</f>
        <v>High</v>
      </c>
      <c r="H1519" s="1">
        <v>46224</v>
      </c>
      <c r="I1519" t="s">
        <v>2025</v>
      </c>
      <c r="J1519" t="s">
        <v>2035</v>
      </c>
      <c r="K1519" t="s">
        <v>2010</v>
      </c>
      <c r="L1519">
        <f>IF(G1519="High",3,IF(G1519="Medium",2,1))</f>
        <v>3</v>
      </c>
    </row>
    <row r="1520" spans="1:12">
      <c r="A1520" t="s">
        <v>3546</v>
      </c>
      <c r="B1520" t="s">
        <v>1162</v>
      </c>
      <c r="C1520" t="s">
        <v>1985</v>
      </c>
      <c r="D1520" t="s">
        <v>1986</v>
      </c>
      <c r="E1520" t="s">
        <v>1971</v>
      </c>
      <c r="F1520" t="s">
        <v>1971</v>
      </c>
      <c r="G1520" t="str">
        <f>INDEX(Risk_Matrix!$B$2:$D$4,MATCH(E1520,Risk_Matrix!$A$2:$A$4,0),MATCH(F1520,Risk_Matrix!$B$1:$D$1,0))</f>
        <v>Medium</v>
      </c>
      <c r="H1520" s="1">
        <v>46182</v>
      </c>
      <c r="I1520" t="s">
        <v>2025</v>
      </c>
      <c r="J1520" t="s">
        <v>2026</v>
      </c>
      <c r="K1520" t="s">
        <v>1989</v>
      </c>
      <c r="L1520">
        <f>IF(G1520="High",3,IF(G1520="Medium",2,1))</f>
        <v>2</v>
      </c>
    </row>
    <row r="1521" spans="1:12">
      <c r="A1521" t="s">
        <v>3547</v>
      </c>
      <c r="B1521" t="s">
        <v>1162</v>
      </c>
      <c r="C1521" t="s">
        <v>1991</v>
      </c>
      <c r="D1521" t="s">
        <v>2014</v>
      </c>
      <c r="E1521" t="s">
        <v>57</v>
      </c>
      <c r="F1521" t="s">
        <v>57</v>
      </c>
      <c r="G1521" t="str">
        <f>INDEX(Risk_Matrix!$B$2:$D$4,MATCH(E1521,Risk_Matrix!$A$2:$A$4,0),MATCH(F1521,Risk_Matrix!$B$1:$D$1,0))</f>
        <v>Low</v>
      </c>
      <c r="H1521" s="1">
        <v>46082</v>
      </c>
      <c r="I1521" t="s">
        <v>2002</v>
      </c>
      <c r="J1521" t="s">
        <v>2029</v>
      </c>
      <c r="K1521" t="s">
        <v>1993</v>
      </c>
      <c r="L1521">
        <f>IF(G1521="High",3,IF(G1521="Medium",2,1))</f>
        <v>1</v>
      </c>
    </row>
    <row r="1522" spans="1:12">
      <c r="A1522" t="s">
        <v>3548</v>
      </c>
      <c r="B1522" t="s">
        <v>1162</v>
      </c>
      <c r="C1522" t="s">
        <v>1995</v>
      </c>
      <c r="D1522" t="s">
        <v>2150</v>
      </c>
      <c r="E1522" t="s">
        <v>47</v>
      </c>
      <c r="F1522" t="s">
        <v>47</v>
      </c>
      <c r="G1522" t="str">
        <f>INDEX(Risk_Matrix!$B$2:$D$4,MATCH(E1522,Risk_Matrix!$A$2:$A$4,0),MATCH(F1522,Risk_Matrix!$B$1:$D$1,0))</f>
        <v>High</v>
      </c>
      <c r="H1522" s="1">
        <v>46173</v>
      </c>
      <c r="I1522" t="s">
        <v>2015</v>
      </c>
      <c r="J1522" t="s">
        <v>2016</v>
      </c>
      <c r="K1522" t="s">
        <v>2036</v>
      </c>
      <c r="L1522">
        <f>IF(G1522="High",3,IF(G1522="Medium",2,1))</f>
        <v>3</v>
      </c>
    </row>
    <row r="1523" spans="1:12">
      <c r="A1523" t="s">
        <v>3549</v>
      </c>
      <c r="B1523" t="s">
        <v>1162</v>
      </c>
      <c r="C1523" t="s">
        <v>2000</v>
      </c>
      <c r="D1523" t="s">
        <v>2020</v>
      </c>
      <c r="E1523" t="s">
        <v>57</v>
      </c>
      <c r="F1523" t="s">
        <v>57</v>
      </c>
      <c r="G1523" t="str">
        <f>INDEX(Risk_Matrix!$B$2:$D$4,MATCH(E1523,Risk_Matrix!$A$2:$A$4,0),MATCH(F1523,Risk_Matrix!$B$1:$D$1,0))</f>
        <v>Low</v>
      </c>
      <c r="H1523" s="1">
        <v>46185</v>
      </c>
      <c r="I1523" t="s">
        <v>2015</v>
      </c>
      <c r="J1523" t="s">
        <v>2032</v>
      </c>
      <c r="K1523" t="s">
        <v>1993</v>
      </c>
      <c r="L1523">
        <f>IF(G1523="High",3,IF(G1523="Medium",2,1))</f>
        <v>1</v>
      </c>
    </row>
    <row r="1524" spans="1:12">
      <c r="A1524" t="s">
        <v>3550</v>
      </c>
      <c r="B1524" t="s">
        <v>1162</v>
      </c>
      <c r="C1524" t="s">
        <v>2005</v>
      </c>
      <c r="D1524" t="s">
        <v>2006</v>
      </c>
      <c r="E1524" t="s">
        <v>57</v>
      </c>
      <c r="F1524" t="s">
        <v>57</v>
      </c>
      <c r="G1524" t="str">
        <f>INDEX(Risk_Matrix!$B$2:$D$4,MATCH(E1524,Risk_Matrix!$A$2:$A$4,0),MATCH(F1524,Risk_Matrix!$B$1:$D$1,0))</f>
        <v>Low</v>
      </c>
      <c r="H1524" s="1">
        <v>46201</v>
      </c>
      <c r="I1524" t="s">
        <v>2025</v>
      </c>
      <c r="J1524" t="s">
        <v>2035</v>
      </c>
      <c r="K1524" t="s">
        <v>1993</v>
      </c>
      <c r="L1524">
        <f>IF(G1524="High",3,IF(G1524="Medium",2,1))</f>
        <v>1</v>
      </c>
    </row>
    <row r="1525" spans="1:12">
      <c r="A1525" t="s">
        <v>3551</v>
      </c>
      <c r="B1525" t="s">
        <v>1162</v>
      </c>
      <c r="C1525" t="s">
        <v>2008</v>
      </c>
      <c r="D1525" t="s">
        <v>2024</v>
      </c>
      <c r="E1525" t="s">
        <v>1971</v>
      </c>
      <c r="F1525" t="s">
        <v>57</v>
      </c>
      <c r="G1525" t="str">
        <f>INDEX(Risk_Matrix!$B$2:$D$4,MATCH(E1525,Risk_Matrix!$A$2:$A$4,0),MATCH(F1525,Risk_Matrix!$B$1:$D$1,0))</f>
        <v>Low</v>
      </c>
      <c r="H1525" s="1">
        <v>46185</v>
      </c>
      <c r="I1525" t="s">
        <v>1987</v>
      </c>
      <c r="J1525" t="s">
        <v>1997</v>
      </c>
      <c r="K1525" t="s">
        <v>2010</v>
      </c>
      <c r="L1525">
        <f>IF(G1525="High",3,IF(G1525="Medium",2,1))</f>
        <v>1</v>
      </c>
    </row>
    <row r="1526" spans="1:12">
      <c r="A1526" t="s">
        <v>3552</v>
      </c>
      <c r="B1526" t="s">
        <v>1164</v>
      </c>
      <c r="C1526" t="s">
        <v>1985</v>
      </c>
      <c r="D1526" t="s">
        <v>2012</v>
      </c>
      <c r="E1526" t="s">
        <v>1971</v>
      </c>
      <c r="F1526" t="s">
        <v>57</v>
      </c>
      <c r="G1526" t="str">
        <f>INDEX(Risk_Matrix!$B$2:$D$4,MATCH(E1526,Risk_Matrix!$A$2:$A$4,0),MATCH(F1526,Risk_Matrix!$B$1:$D$1,0))</f>
        <v>Low</v>
      </c>
      <c r="H1526" s="1">
        <v>46128</v>
      </c>
      <c r="I1526" t="s">
        <v>2002</v>
      </c>
      <c r="J1526" t="s">
        <v>2003</v>
      </c>
      <c r="K1526" t="s">
        <v>1989</v>
      </c>
      <c r="L1526">
        <f>IF(G1526="High",3,IF(G1526="Medium",2,1))</f>
        <v>1</v>
      </c>
    </row>
    <row r="1527" spans="1:12">
      <c r="A1527" t="s">
        <v>3553</v>
      </c>
      <c r="B1527" t="s">
        <v>1164</v>
      </c>
      <c r="C1527" t="s">
        <v>1991</v>
      </c>
      <c r="D1527" t="s">
        <v>2031</v>
      </c>
      <c r="E1527" t="s">
        <v>57</v>
      </c>
      <c r="F1527" t="s">
        <v>57</v>
      </c>
      <c r="G1527" t="str">
        <f>INDEX(Risk_Matrix!$B$2:$D$4,MATCH(E1527,Risk_Matrix!$A$2:$A$4,0),MATCH(F1527,Risk_Matrix!$B$1:$D$1,0))</f>
        <v>Low</v>
      </c>
      <c r="H1527" s="1">
        <v>46095</v>
      </c>
      <c r="I1527" t="s">
        <v>1987</v>
      </c>
      <c r="J1527" t="s">
        <v>1997</v>
      </c>
      <c r="K1527" t="s">
        <v>1993</v>
      </c>
      <c r="L1527">
        <f>IF(G1527="High",3,IF(G1527="Medium",2,1))</f>
        <v>1</v>
      </c>
    </row>
    <row r="1528" spans="1:12">
      <c r="A1528" t="s">
        <v>3554</v>
      </c>
      <c r="B1528" t="s">
        <v>1164</v>
      </c>
      <c r="C1528" t="s">
        <v>1995</v>
      </c>
      <c r="D1528" t="s">
        <v>2018</v>
      </c>
      <c r="E1528" t="s">
        <v>47</v>
      </c>
      <c r="F1528" t="s">
        <v>47</v>
      </c>
      <c r="G1528" t="str">
        <f>INDEX(Risk_Matrix!$B$2:$D$4,MATCH(E1528,Risk_Matrix!$A$2:$A$4,0),MATCH(F1528,Risk_Matrix!$B$1:$D$1,0))</f>
        <v>High</v>
      </c>
      <c r="H1528" s="1">
        <v>46079</v>
      </c>
      <c r="I1528" t="s">
        <v>2025</v>
      </c>
      <c r="J1528" t="s">
        <v>2035</v>
      </c>
      <c r="K1528" t="s">
        <v>1998</v>
      </c>
      <c r="L1528">
        <f>IF(G1528="High",3,IF(G1528="Medium",2,1))</f>
        <v>3</v>
      </c>
    </row>
    <row r="1529" spans="1:12">
      <c r="A1529" t="s">
        <v>3555</v>
      </c>
      <c r="B1529" t="s">
        <v>1164</v>
      </c>
      <c r="C1529" t="s">
        <v>2000</v>
      </c>
      <c r="D1529" t="s">
        <v>2045</v>
      </c>
      <c r="E1529" t="s">
        <v>57</v>
      </c>
      <c r="F1529" t="s">
        <v>47</v>
      </c>
      <c r="G1529" t="str">
        <f>INDEX(Risk_Matrix!$B$2:$D$4,MATCH(E1529,Risk_Matrix!$A$2:$A$4,0),MATCH(F1529,Risk_Matrix!$B$1:$D$1,0))</f>
        <v>Medium</v>
      </c>
      <c r="H1529" s="1">
        <v>46219</v>
      </c>
      <c r="I1529" t="s">
        <v>2002</v>
      </c>
      <c r="J1529" t="s">
        <v>2003</v>
      </c>
      <c r="K1529" t="s">
        <v>1993</v>
      </c>
      <c r="L1529">
        <f>IF(G1529="High",3,IF(G1529="Medium",2,1))</f>
        <v>2</v>
      </c>
    </row>
    <row r="1530" spans="1:12">
      <c r="A1530" t="s">
        <v>3556</v>
      </c>
      <c r="B1530" t="s">
        <v>1164</v>
      </c>
      <c r="C1530" t="s">
        <v>2005</v>
      </c>
      <c r="D1530" t="s">
        <v>2022</v>
      </c>
      <c r="E1530" t="s">
        <v>57</v>
      </c>
      <c r="F1530" t="s">
        <v>47</v>
      </c>
      <c r="G1530" t="str">
        <f>INDEX(Risk_Matrix!$B$2:$D$4,MATCH(E1530,Risk_Matrix!$A$2:$A$4,0),MATCH(F1530,Risk_Matrix!$B$1:$D$1,0))</f>
        <v>Medium</v>
      </c>
      <c r="H1530" s="1">
        <v>46077</v>
      </c>
      <c r="I1530" t="s">
        <v>1987</v>
      </c>
      <c r="J1530" t="s">
        <v>1997</v>
      </c>
      <c r="K1530" t="s">
        <v>1993</v>
      </c>
      <c r="L1530">
        <f>IF(G1530="High",3,IF(G1530="Medium",2,1))</f>
        <v>2</v>
      </c>
    </row>
    <row r="1531" spans="1:12">
      <c r="A1531" t="s">
        <v>3557</v>
      </c>
      <c r="B1531" t="s">
        <v>1164</v>
      </c>
      <c r="C1531" t="s">
        <v>2008</v>
      </c>
      <c r="D1531" t="s">
        <v>2009</v>
      </c>
      <c r="E1531" t="s">
        <v>57</v>
      </c>
      <c r="F1531" t="s">
        <v>1971</v>
      </c>
      <c r="G1531" t="str">
        <f>INDEX(Risk_Matrix!$B$2:$D$4,MATCH(E1531,Risk_Matrix!$A$2:$A$4,0),MATCH(F1531,Risk_Matrix!$B$1:$D$1,0))</f>
        <v>Low</v>
      </c>
      <c r="H1531" s="1">
        <v>46173</v>
      </c>
      <c r="I1531" t="s">
        <v>2025</v>
      </c>
      <c r="J1531" t="s">
        <v>2035</v>
      </c>
      <c r="K1531" t="s">
        <v>2010</v>
      </c>
      <c r="L1531">
        <f>IF(G1531="High",3,IF(G1531="Medium",2,1))</f>
        <v>1</v>
      </c>
    </row>
    <row r="1532" spans="1:12">
      <c r="A1532" t="s">
        <v>3558</v>
      </c>
      <c r="B1532" t="s">
        <v>1167</v>
      </c>
      <c r="C1532" t="s">
        <v>1985</v>
      </c>
      <c r="D1532" t="s">
        <v>2028</v>
      </c>
      <c r="E1532" t="s">
        <v>1971</v>
      </c>
      <c r="F1532" t="s">
        <v>47</v>
      </c>
      <c r="G1532" t="str">
        <f>INDEX(Risk_Matrix!$B$2:$D$4,MATCH(E1532,Risk_Matrix!$A$2:$A$4,0),MATCH(F1532,Risk_Matrix!$B$1:$D$1,0))</f>
        <v>High</v>
      </c>
      <c r="H1532" s="1">
        <v>46208</v>
      </c>
      <c r="I1532" t="s">
        <v>2025</v>
      </c>
      <c r="J1532" t="s">
        <v>2026</v>
      </c>
      <c r="K1532" t="s">
        <v>1989</v>
      </c>
      <c r="L1532">
        <f>IF(G1532="High",3,IF(G1532="Medium",2,1))</f>
        <v>3</v>
      </c>
    </row>
    <row r="1533" spans="1:12">
      <c r="A1533" t="s">
        <v>3559</v>
      </c>
      <c r="B1533" t="s">
        <v>1167</v>
      </c>
      <c r="C1533" t="s">
        <v>1991</v>
      </c>
      <c r="D1533" t="s">
        <v>1992</v>
      </c>
      <c r="E1533" t="s">
        <v>57</v>
      </c>
      <c r="F1533" t="s">
        <v>57</v>
      </c>
      <c r="G1533" t="str">
        <f>INDEX(Risk_Matrix!$B$2:$D$4,MATCH(E1533,Risk_Matrix!$A$2:$A$4,0),MATCH(F1533,Risk_Matrix!$B$1:$D$1,0))</f>
        <v>Low</v>
      </c>
      <c r="H1533" s="1">
        <v>46201</v>
      </c>
      <c r="I1533" t="s">
        <v>2025</v>
      </c>
      <c r="J1533" t="s">
        <v>2026</v>
      </c>
      <c r="K1533" t="s">
        <v>2010</v>
      </c>
      <c r="L1533">
        <f>IF(G1533="High",3,IF(G1533="Medium",2,1))</f>
        <v>1</v>
      </c>
    </row>
    <row r="1534" spans="1:12">
      <c r="A1534" t="s">
        <v>3560</v>
      </c>
      <c r="B1534" t="s">
        <v>1167</v>
      </c>
      <c r="C1534" t="s">
        <v>1995</v>
      </c>
      <c r="D1534" t="s">
        <v>1996</v>
      </c>
      <c r="E1534" t="s">
        <v>57</v>
      </c>
      <c r="F1534" t="s">
        <v>1971</v>
      </c>
      <c r="G1534" t="str">
        <f>INDEX(Risk_Matrix!$B$2:$D$4,MATCH(E1534,Risk_Matrix!$A$2:$A$4,0),MATCH(F1534,Risk_Matrix!$B$1:$D$1,0))</f>
        <v>Low</v>
      </c>
      <c r="H1534" s="1">
        <v>46149</v>
      </c>
      <c r="I1534" t="s">
        <v>2002</v>
      </c>
      <c r="J1534" t="s">
        <v>2003</v>
      </c>
      <c r="K1534" t="s">
        <v>2036</v>
      </c>
      <c r="L1534">
        <f>IF(G1534="High",3,IF(G1534="Medium",2,1))</f>
        <v>1</v>
      </c>
    </row>
    <row r="1535" spans="1:12">
      <c r="A1535" t="s">
        <v>3561</v>
      </c>
      <c r="B1535" t="s">
        <v>1167</v>
      </c>
      <c r="C1535" t="s">
        <v>2000</v>
      </c>
      <c r="D1535" t="s">
        <v>2001</v>
      </c>
      <c r="E1535" t="s">
        <v>47</v>
      </c>
      <c r="F1535" t="s">
        <v>57</v>
      </c>
      <c r="G1535" t="str">
        <f>INDEX(Risk_Matrix!$B$2:$D$4,MATCH(E1535,Risk_Matrix!$A$2:$A$4,0),MATCH(F1535,Risk_Matrix!$B$1:$D$1,0))</f>
        <v>Medium</v>
      </c>
      <c r="H1535" s="1">
        <v>46200</v>
      </c>
      <c r="I1535" t="s">
        <v>1987</v>
      </c>
      <c r="J1535" t="s">
        <v>1997</v>
      </c>
      <c r="K1535" t="s">
        <v>1993</v>
      </c>
      <c r="L1535">
        <f>IF(G1535="High",3,IF(G1535="Medium",2,1))</f>
        <v>2</v>
      </c>
    </row>
    <row r="1536" spans="1:12">
      <c r="A1536" t="s">
        <v>3562</v>
      </c>
      <c r="B1536" t="s">
        <v>1167</v>
      </c>
      <c r="C1536" t="s">
        <v>2005</v>
      </c>
      <c r="D1536" t="s">
        <v>2022</v>
      </c>
      <c r="E1536" t="s">
        <v>47</v>
      </c>
      <c r="F1536" t="s">
        <v>47</v>
      </c>
      <c r="G1536" t="str">
        <f>INDEX(Risk_Matrix!$B$2:$D$4,MATCH(E1536,Risk_Matrix!$A$2:$A$4,0),MATCH(F1536,Risk_Matrix!$B$1:$D$1,0))</f>
        <v>High</v>
      </c>
      <c r="H1536" s="1">
        <v>46186</v>
      </c>
      <c r="I1536" t="s">
        <v>2015</v>
      </c>
      <c r="J1536" t="s">
        <v>2032</v>
      </c>
      <c r="K1536" t="s">
        <v>1993</v>
      </c>
      <c r="L1536">
        <f>IF(G1536="High",3,IF(G1536="Medium",2,1))</f>
        <v>3</v>
      </c>
    </row>
    <row r="1537" spans="1:12">
      <c r="A1537" t="s">
        <v>3563</v>
      </c>
      <c r="B1537" t="s">
        <v>1167</v>
      </c>
      <c r="C1537" t="s">
        <v>2008</v>
      </c>
      <c r="D1537" t="s">
        <v>2009</v>
      </c>
      <c r="E1537" t="s">
        <v>47</v>
      </c>
      <c r="F1537" t="s">
        <v>1971</v>
      </c>
      <c r="G1537" t="str">
        <f>INDEX(Risk_Matrix!$B$2:$D$4,MATCH(E1537,Risk_Matrix!$A$2:$A$4,0),MATCH(F1537,Risk_Matrix!$B$1:$D$1,0))</f>
        <v>High</v>
      </c>
      <c r="H1537" s="1">
        <v>46227</v>
      </c>
      <c r="I1537" t="s">
        <v>2015</v>
      </c>
      <c r="J1537" t="s">
        <v>2032</v>
      </c>
      <c r="K1537" t="s">
        <v>2010</v>
      </c>
      <c r="L1537">
        <f>IF(G1537="High",3,IF(G1537="Medium",2,1))</f>
        <v>3</v>
      </c>
    </row>
    <row r="1538" spans="1:12">
      <c r="A1538" t="s">
        <v>3564</v>
      </c>
      <c r="B1538" t="s">
        <v>1169</v>
      </c>
      <c r="C1538" t="s">
        <v>1985</v>
      </c>
      <c r="D1538" t="s">
        <v>2012</v>
      </c>
      <c r="E1538" t="s">
        <v>1971</v>
      </c>
      <c r="F1538" t="s">
        <v>47</v>
      </c>
      <c r="G1538" t="str">
        <f>INDEX(Risk_Matrix!$B$2:$D$4,MATCH(E1538,Risk_Matrix!$A$2:$A$4,0),MATCH(F1538,Risk_Matrix!$B$1:$D$1,0))</f>
        <v>High</v>
      </c>
      <c r="H1538" s="1">
        <v>46055</v>
      </c>
      <c r="I1538" t="s">
        <v>2025</v>
      </c>
      <c r="J1538" t="s">
        <v>2035</v>
      </c>
      <c r="K1538" t="s">
        <v>1998</v>
      </c>
      <c r="L1538">
        <f>IF(G1538="High",3,IF(G1538="Medium",2,1))</f>
        <v>3</v>
      </c>
    </row>
    <row r="1539" spans="1:12">
      <c r="A1539" t="s">
        <v>3565</v>
      </c>
      <c r="B1539" t="s">
        <v>1169</v>
      </c>
      <c r="C1539" t="s">
        <v>1991</v>
      </c>
      <c r="D1539" t="s">
        <v>2014</v>
      </c>
      <c r="E1539" t="s">
        <v>1971</v>
      </c>
      <c r="F1539" t="s">
        <v>47</v>
      </c>
      <c r="G1539" t="str">
        <f>INDEX(Risk_Matrix!$B$2:$D$4,MATCH(E1539,Risk_Matrix!$A$2:$A$4,0),MATCH(F1539,Risk_Matrix!$B$1:$D$1,0))</f>
        <v>High</v>
      </c>
      <c r="H1539" s="1">
        <v>46156</v>
      </c>
      <c r="I1539" t="s">
        <v>2015</v>
      </c>
      <c r="J1539" t="s">
        <v>2032</v>
      </c>
      <c r="K1539" t="s">
        <v>2010</v>
      </c>
      <c r="L1539">
        <f>IF(G1539="High",3,IF(G1539="Medium",2,1))</f>
        <v>3</v>
      </c>
    </row>
    <row r="1540" spans="1:12">
      <c r="A1540" t="s">
        <v>3566</v>
      </c>
      <c r="B1540" t="s">
        <v>1169</v>
      </c>
      <c r="C1540" t="s">
        <v>1995</v>
      </c>
      <c r="D1540" t="s">
        <v>1996</v>
      </c>
      <c r="E1540" t="s">
        <v>1971</v>
      </c>
      <c r="F1540" t="s">
        <v>57</v>
      </c>
      <c r="G1540" t="str">
        <f>INDEX(Risk_Matrix!$B$2:$D$4,MATCH(E1540,Risk_Matrix!$A$2:$A$4,0),MATCH(F1540,Risk_Matrix!$B$1:$D$1,0))</f>
        <v>Low</v>
      </c>
      <c r="H1540" s="1">
        <v>46159</v>
      </c>
      <c r="I1540" t="s">
        <v>1987</v>
      </c>
      <c r="J1540" t="s">
        <v>1988</v>
      </c>
      <c r="K1540" t="s">
        <v>1998</v>
      </c>
      <c r="L1540">
        <f>IF(G1540="High",3,IF(G1540="Medium",2,1))</f>
        <v>1</v>
      </c>
    </row>
    <row r="1541" spans="1:12">
      <c r="A1541" t="s">
        <v>3567</v>
      </c>
      <c r="B1541" t="s">
        <v>1169</v>
      </c>
      <c r="C1541" t="s">
        <v>2000</v>
      </c>
      <c r="D1541" t="s">
        <v>2045</v>
      </c>
      <c r="E1541" t="s">
        <v>47</v>
      </c>
      <c r="F1541" t="s">
        <v>1971</v>
      </c>
      <c r="G1541" t="str">
        <f>INDEX(Risk_Matrix!$B$2:$D$4,MATCH(E1541,Risk_Matrix!$A$2:$A$4,0),MATCH(F1541,Risk_Matrix!$B$1:$D$1,0))</f>
        <v>High</v>
      </c>
      <c r="H1541" s="1">
        <v>46114</v>
      </c>
      <c r="I1541" t="s">
        <v>1987</v>
      </c>
      <c r="J1541" t="s">
        <v>1997</v>
      </c>
      <c r="K1541" t="s">
        <v>1989</v>
      </c>
      <c r="L1541">
        <f>IF(G1541="High",3,IF(G1541="Medium",2,1))</f>
        <v>3</v>
      </c>
    </row>
    <row r="1542" spans="1:12">
      <c r="A1542" t="s">
        <v>3568</v>
      </c>
      <c r="B1542" t="s">
        <v>1169</v>
      </c>
      <c r="C1542" t="s">
        <v>2005</v>
      </c>
      <c r="D1542" t="s">
        <v>2039</v>
      </c>
      <c r="E1542" t="s">
        <v>1971</v>
      </c>
      <c r="F1542" t="s">
        <v>1971</v>
      </c>
      <c r="G1542" t="str">
        <f>INDEX(Risk_Matrix!$B$2:$D$4,MATCH(E1542,Risk_Matrix!$A$2:$A$4,0),MATCH(F1542,Risk_Matrix!$B$1:$D$1,0))</f>
        <v>Medium</v>
      </c>
      <c r="H1542" s="1">
        <v>46082</v>
      </c>
      <c r="I1542" t="s">
        <v>2025</v>
      </c>
      <c r="J1542" t="s">
        <v>2035</v>
      </c>
      <c r="K1542" t="s">
        <v>1993</v>
      </c>
      <c r="L1542">
        <f>IF(G1542="High",3,IF(G1542="Medium",2,1))</f>
        <v>2</v>
      </c>
    </row>
    <row r="1543" spans="1:12">
      <c r="A1543" t="s">
        <v>3569</v>
      </c>
      <c r="B1543" t="s">
        <v>1169</v>
      </c>
      <c r="C1543" t="s">
        <v>2008</v>
      </c>
      <c r="D1543" t="s">
        <v>2054</v>
      </c>
      <c r="E1543" t="s">
        <v>57</v>
      </c>
      <c r="F1543" t="s">
        <v>57</v>
      </c>
      <c r="G1543" t="str">
        <f>INDEX(Risk_Matrix!$B$2:$D$4,MATCH(E1543,Risk_Matrix!$A$2:$A$4,0),MATCH(F1543,Risk_Matrix!$B$1:$D$1,0))</f>
        <v>Low</v>
      </c>
      <c r="H1543" s="1">
        <v>46200</v>
      </c>
      <c r="I1543" t="s">
        <v>2025</v>
      </c>
      <c r="J1543" t="s">
        <v>2035</v>
      </c>
      <c r="K1543" t="s">
        <v>2010</v>
      </c>
      <c r="L1543">
        <f>IF(G1543="High",3,IF(G1543="Medium",2,1))</f>
        <v>1</v>
      </c>
    </row>
    <row r="1544" spans="1:12">
      <c r="A1544" t="s">
        <v>3570</v>
      </c>
      <c r="B1544" t="s">
        <v>1171</v>
      </c>
      <c r="C1544" t="s">
        <v>1985</v>
      </c>
      <c r="D1544" t="s">
        <v>1986</v>
      </c>
      <c r="E1544" t="s">
        <v>57</v>
      </c>
      <c r="F1544" t="s">
        <v>57</v>
      </c>
      <c r="G1544" t="str">
        <f>INDEX(Risk_Matrix!$B$2:$D$4,MATCH(E1544,Risk_Matrix!$A$2:$A$4,0),MATCH(F1544,Risk_Matrix!$B$1:$D$1,0))</f>
        <v>Low</v>
      </c>
      <c r="H1544" s="1">
        <v>46085</v>
      </c>
      <c r="I1544" t="s">
        <v>2025</v>
      </c>
      <c r="J1544" t="s">
        <v>2026</v>
      </c>
      <c r="K1544" t="s">
        <v>1989</v>
      </c>
      <c r="L1544">
        <f>IF(G1544="High",3,IF(G1544="Medium",2,1))</f>
        <v>1</v>
      </c>
    </row>
    <row r="1545" spans="1:12">
      <c r="A1545" t="s">
        <v>3571</v>
      </c>
      <c r="B1545" t="s">
        <v>1171</v>
      </c>
      <c r="C1545" t="s">
        <v>1991</v>
      </c>
      <c r="D1545" t="s">
        <v>1992</v>
      </c>
      <c r="E1545" t="s">
        <v>1971</v>
      </c>
      <c r="F1545" t="s">
        <v>1971</v>
      </c>
      <c r="G1545" t="str">
        <f>INDEX(Risk_Matrix!$B$2:$D$4,MATCH(E1545,Risk_Matrix!$A$2:$A$4,0),MATCH(F1545,Risk_Matrix!$B$1:$D$1,0))</f>
        <v>Medium</v>
      </c>
      <c r="H1545" s="1">
        <v>46237</v>
      </c>
      <c r="I1545" t="s">
        <v>2015</v>
      </c>
      <c r="J1545" t="s">
        <v>2016</v>
      </c>
      <c r="K1545" t="s">
        <v>1993</v>
      </c>
      <c r="L1545">
        <f>IF(G1545="High",3,IF(G1545="Medium",2,1))</f>
        <v>2</v>
      </c>
    </row>
    <row r="1546" spans="1:12">
      <c r="A1546" t="s">
        <v>3572</v>
      </c>
      <c r="B1546" t="s">
        <v>1171</v>
      </c>
      <c r="C1546" t="s">
        <v>1995</v>
      </c>
      <c r="D1546" t="s">
        <v>2018</v>
      </c>
      <c r="E1546" t="s">
        <v>57</v>
      </c>
      <c r="F1546" t="s">
        <v>57</v>
      </c>
      <c r="G1546" t="str">
        <f>INDEX(Risk_Matrix!$B$2:$D$4,MATCH(E1546,Risk_Matrix!$A$2:$A$4,0),MATCH(F1546,Risk_Matrix!$B$1:$D$1,0))</f>
        <v>Low</v>
      </c>
      <c r="H1546" s="1">
        <v>46067</v>
      </c>
      <c r="I1546" t="s">
        <v>2025</v>
      </c>
      <c r="J1546" t="s">
        <v>2035</v>
      </c>
      <c r="K1546" t="s">
        <v>1998</v>
      </c>
      <c r="L1546">
        <f>IF(G1546="High",3,IF(G1546="Medium",2,1))</f>
        <v>1</v>
      </c>
    </row>
    <row r="1547" spans="1:12">
      <c r="A1547" t="s">
        <v>3573</v>
      </c>
      <c r="B1547" t="s">
        <v>1171</v>
      </c>
      <c r="C1547" t="s">
        <v>2000</v>
      </c>
      <c r="D1547" t="s">
        <v>2020</v>
      </c>
      <c r="E1547" t="s">
        <v>47</v>
      </c>
      <c r="F1547" t="s">
        <v>57</v>
      </c>
      <c r="G1547" t="str">
        <f>INDEX(Risk_Matrix!$B$2:$D$4,MATCH(E1547,Risk_Matrix!$A$2:$A$4,0),MATCH(F1547,Risk_Matrix!$B$1:$D$1,0))</f>
        <v>Medium</v>
      </c>
      <c r="H1547" s="1">
        <v>46055</v>
      </c>
      <c r="I1547" t="s">
        <v>2025</v>
      </c>
      <c r="J1547" t="s">
        <v>2026</v>
      </c>
      <c r="K1547" t="s">
        <v>1993</v>
      </c>
      <c r="L1547">
        <f>IF(G1547="High",3,IF(G1547="Medium",2,1))</f>
        <v>2</v>
      </c>
    </row>
    <row r="1548" spans="1:12">
      <c r="A1548" t="s">
        <v>3574</v>
      </c>
      <c r="B1548" t="s">
        <v>1171</v>
      </c>
      <c r="C1548" t="s">
        <v>2005</v>
      </c>
      <c r="D1548" t="s">
        <v>2006</v>
      </c>
      <c r="E1548" t="s">
        <v>57</v>
      </c>
      <c r="F1548" t="s">
        <v>1971</v>
      </c>
      <c r="G1548" t="str">
        <f>INDEX(Risk_Matrix!$B$2:$D$4,MATCH(E1548,Risk_Matrix!$A$2:$A$4,0),MATCH(F1548,Risk_Matrix!$B$1:$D$1,0))</f>
        <v>Low</v>
      </c>
      <c r="H1548" s="1">
        <v>46166</v>
      </c>
      <c r="I1548" t="s">
        <v>2015</v>
      </c>
      <c r="J1548" t="s">
        <v>2032</v>
      </c>
      <c r="K1548" t="s">
        <v>1993</v>
      </c>
      <c r="L1548">
        <f>IF(G1548="High",3,IF(G1548="Medium",2,1))</f>
        <v>1</v>
      </c>
    </row>
    <row r="1549" spans="1:12">
      <c r="A1549" t="s">
        <v>3575</v>
      </c>
      <c r="B1549" t="s">
        <v>1171</v>
      </c>
      <c r="C1549" t="s">
        <v>2008</v>
      </c>
      <c r="D1549" t="s">
        <v>2054</v>
      </c>
      <c r="E1549" t="s">
        <v>57</v>
      </c>
      <c r="F1549" t="s">
        <v>57</v>
      </c>
      <c r="G1549" t="str">
        <f>INDEX(Risk_Matrix!$B$2:$D$4,MATCH(E1549,Risk_Matrix!$A$2:$A$4,0),MATCH(F1549,Risk_Matrix!$B$1:$D$1,0))</f>
        <v>Low</v>
      </c>
      <c r="H1549" s="1">
        <v>46180</v>
      </c>
      <c r="I1549" t="s">
        <v>1987</v>
      </c>
      <c r="J1549" t="s">
        <v>1997</v>
      </c>
      <c r="K1549" t="s">
        <v>2010</v>
      </c>
      <c r="L1549">
        <f>IF(G1549="High",3,IF(G1549="Medium",2,1))</f>
        <v>1</v>
      </c>
    </row>
    <row r="1550" spans="1:12">
      <c r="A1550" t="s">
        <v>3576</v>
      </c>
      <c r="B1550" t="s">
        <v>1173</v>
      </c>
      <c r="C1550" t="s">
        <v>1985</v>
      </c>
      <c r="D1550" t="s">
        <v>2012</v>
      </c>
      <c r="E1550" t="s">
        <v>57</v>
      </c>
      <c r="F1550" t="s">
        <v>47</v>
      </c>
      <c r="G1550" t="str">
        <f>INDEX(Risk_Matrix!$B$2:$D$4,MATCH(E1550,Risk_Matrix!$A$2:$A$4,0),MATCH(F1550,Risk_Matrix!$B$1:$D$1,0))</f>
        <v>Medium</v>
      </c>
      <c r="H1550" s="1">
        <v>46203</v>
      </c>
      <c r="I1550" t="s">
        <v>2015</v>
      </c>
      <c r="J1550" t="s">
        <v>2016</v>
      </c>
      <c r="K1550" t="s">
        <v>1989</v>
      </c>
      <c r="L1550">
        <f>IF(G1550="High",3,IF(G1550="Medium",2,1))</f>
        <v>2</v>
      </c>
    </row>
    <row r="1551" spans="1:12">
      <c r="A1551" t="s">
        <v>3577</v>
      </c>
      <c r="B1551" t="s">
        <v>1173</v>
      </c>
      <c r="C1551" t="s">
        <v>1991</v>
      </c>
      <c r="D1551" t="s">
        <v>2064</v>
      </c>
      <c r="E1551" t="s">
        <v>47</v>
      </c>
      <c r="F1551" t="s">
        <v>1971</v>
      </c>
      <c r="G1551" t="str">
        <f>INDEX(Risk_Matrix!$B$2:$D$4,MATCH(E1551,Risk_Matrix!$A$2:$A$4,0),MATCH(F1551,Risk_Matrix!$B$1:$D$1,0))</f>
        <v>High</v>
      </c>
      <c r="H1551" s="1">
        <v>46153</v>
      </c>
      <c r="I1551" t="s">
        <v>2015</v>
      </c>
      <c r="J1551" t="s">
        <v>2016</v>
      </c>
      <c r="K1551" t="s">
        <v>1993</v>
      </c>
      <c r="L1551">
        <f>IF(G1551="High",3,IF(G1551="Medium",2,1))</f>
        <v>3</v>
      </c>
    </row>
    <row r="1552" spans="1:12">
      <c r="A1552" t="s">
        <v>3578</v>
      </c>
      <c r="B1552" t="s">
        <v>1173</v>
      </c>
      <c r="C1552" t="s">
        <v>1995</v>
      </c>
      <c r="D1552" t="s">
        <v>2018</v>
      </c>
      <c r="E1552" t="s">
        <v>47</v>
      </c>
      <c r="F1552" t="s">
        <v>1971</v>
      </c>
      <c r="G1552" t="str">
        <f>INDEX(Risk_Matrix!$B$2:$D$4,MATCH(E1552,Risk_Matrix!$A$2:$A$4,0),MATCH(F1552,Risk_Matrix!$B$1:$D$1,0))</f>
        <v>High</v>
      </c>
      <c r="H1552" s="1">
        <v>46120</v>
      </c>
      <c r="I1552" t="s">
        <v>2025</v>
      </c>
      <c r="J1552" t="s">
        <v>2026</v>
      </c>
      <c r="K1552" t="s">
        <v>2036</v>
      </c>
      <c r="L1552">
        <f>IF(G1552="High",3,IF(G1552="Medium",2,1))</f>
        <v>3</v>
      </c>
    </row>
    <row r="1553" spans="1:12">
      <c r="A1553" t="s">
        <v>3579</v>
      </c>
      <c r="B1553" t="s">
        <v>1173</v>
      </c>
      <c r="C1553" t="s">
        <v>2000</v>
      </c>
      <c r="D1553" t="s">
        <v>2020</v>
      </c>
      <c r="E1553" t="s">
        <v>57</v>
      </c>
      <c r="F1553" t="s">
        <v>47</v>
      </c>
      <c r="G1553" t="str">
        <f>INDEX(Risk_Matrix!$B$2:$D$4,MATCH(E1553,Risk_Matrix!$A$2:$A$4,0),MATCH(F1553,Risk_Matrix!$B$1:$D$1,0))</f>
        <v>Medium</v>
      </c>
      <c r="H1553" s="1">
        <v>46209</v>
      </c>
      <c r="I1553" t="s">
        <v>2015</v>
      </c>
      <c r="J1553" t="s">
        <v>2016</v>
      </c>
      <c r="K1553" t="s">
        <v>1993</v>
      </c>
      <c r="L1553">
        <f>IF(G1553="High",3,IF(G1553="Medium",2,1))</f>
        <v>2</v>
      </c>
    </row>
    <row r="1554" spans="1:12">
      <c r="A1554" t="s">
        <v>3580</v>
      </c>
      <c r="B1554" t="s">
        <v>1173</v>
      </c>
      <c r="C1554" t="s">
        <v>2005</v>
      </c>
      <c r="D1554" t="s">
        <v>2039</v>
      </c>
      <c r="E1554" t="s">
        <v>1971</v>
      </c>
      <c r="F1554" t="s">
        <v>47</v>
      </c>
      <c r="G1554" t="str">
        <f>INDEX(Risk_Matrix!$B$2:$D$4,MATCH(E1554,Risk_Matrix!$A$2:$A$4,0),MATCH(F1554,Risk_Matrix!$B$1:$D$1,0))</f>
        <v>High</v>
      </c>
      <c r="H1554" s="1">
        <v>46222</v>
      </c>
      <c r="I1554" t="s">
        <v>2015</v>
      </c>
      <c r="J1554" t="s">
        <v>2016</v>
      </c>
      <c r="K1554" t="s">
        <v>1993</v>
      </c>
      <c r="L1554">
        <f>IF(G1554="High",3,IF(G1554="Medium",2,1))</f>
        <v>3</v>
      </c>
    </row>
    <row r="1555" spans="1:12">
      <c r="A1555" t="s">
        <v>3581</v>
      </c>
      <c r="B1555" t="s">
        <v>1173</v>
      </c>
      <c r="C1555" t="s">
        <v>2008</v>
      </c>
      <c r="D1555" t="s">
        <v>2054</v>
      </c>
      <c r="E1555" t="s">
        <v>47</v>
      </c>
      <c r="F1555" t="s">
        <v>47</v>
      </c>
      <c r="G1555" t="str">
        <f>INDEX(Risk_Matrix!$B$2:$D$4,MATCH(E1555,Risk_Matrix!$A$2:$A$4,0),MATCH(F1555,Risk_Matrix!$B$1:$D$1,0))</f>
        <v>High</v>
      </c>
      <c r="H1555" s="1">
        <v>46233</v>
      </c>
      <c r="I1555" t="s">
        <v>2015</v>
      </c>
      <c r="J1555" t="s">
        <v>2032</v>
      </c>
      <c r="K1555" t="s">
        <v>2010</v>
      </c>
      <c r="L1555">
        <f>IF(G1555="High",3,IF(G1555="Medium",2,1))</f>
        <v>3</v>
      </c>
    </row>
    <row r="1556" spans="1:12">
      <c r="A1556" t="s">
        <v>3582</v>
      </c>
      <c r="B1556" t="s">
        <v>1175</v>
      </c>
      <c r="C1556" t="s">
        <v>1985</v>
      </c>
      <c r="D1556" t="s">
        <v>2012</v>
      </c>
      <c r="E1556" t="s">
        <v>1971</v>
      </c>
      <c r="F1556" t="s">
        <v>57</v>
      </c>
      <c r="G1556" t="str">
        <f>INDEX(Risk_Matrix!$B$2:$D$4,MATCH(E1556,Risk_Matrix!$A$2:$A$4,0),MATCH(F1556,Risk_Matrix!$B$1:$D$1,0))</f>
        <v>Low</v>
      </c>
      <c r="H1556" s="1">
        <v>46094</v>
      </c>
      <c r="I1556" t="s">
        <v>2002</v>
      </c>
      <c r="J1556" t="s">
        <v>2003</v>
      </c>
      <c r="K1556" t="s">
        <v>1998</v>
      </c>
      <c r="L1556">
        <f>IF(G1556="High",3,IF(G1556="Medium",2,1))</f>
        <v>1</v>
      </c>
    </row>
    <row r="1557" spans="1:12">
      <c r="A1557" t="s">
        <v>3583</v>
      </c>
      <c r="B1557" t="s">
        <v>1175</v>
      </c>
      <c r="C1557" t="s">
        <v>1991</v>
      </c>
      <c r="D1557" t="s">
        <v>2064</v>
      </c>
      <c r="E1557" t="s">
        <v>57</v>
      </c>
      <c r="F1557" t="s">
        <v>57</v>
      </c>
      <c r="G1557" t="str">
        <f>INDEX(Risk_Matrix!$B$2:$D$4,MATCH(E1557,Risk_Matrix!$A$2:$A$4,0),MATCH(F1557,Risk_Matrix!$B$1:$D$1,0))</f>
        <v>Low</v>
      </c>
      <c r="H1557" s="1">
        <v>46170</v>
      </c>
      <c r="I1557" t="s">
        <v>1987</v>
      </c>
      <c r="J1557" t="s">
        <v>1997</v>
      </c>
      <c r="K1557" t="s">
        <v>1993</v>
      </c>
      <c r="L1557">
        <f>IF(G1557="High",3,IF(G1557="Medium",2,1))</f>
        <v>1</v>
      </c>
    </row>
    <row r="1558" spans="1:12">
      <c r="A1558" t="s">
        <v>3584</v>
      </c>
      <c r="B1558" t="s">
        <v>1175</v>
      </c>
      <c r="C1558" t="s">
        <v>1995</v>
      </c>
      <c r="D1558" t="s">
        <v>2018</v>
      </c>
      <c r="E1558" t="s">
        <v>1971</v>
      </c>
      <c r="F1558" t="s">
        <v>57</v>
      </c>
      <c r="G1558" t="str">
        <f>INDEX(Risk_Matrix!$B$2:$D$4,MATCH(E1558,Risk_Matrix!$A$2:$A$4,0),MATCH(F1558,Risk_Matrix!$B$1:$D$1,0))</f>
        <v>Low</v>
      </c>
      <c r="H1558" s="1">
        <v>46131</v>
      </c>
      <c r="I1558" t="s">
        <v>2025</v>
      </c>
      <c r="J1558" t="s">
        <v>2026</v>
      </c>
      <c r="K1558" t="s">
        <v>1998</v>
      </c>
      <c r="L1558">
        <f>IF(G1558="High",3,IF(G1558="Medium",2,1))</f>
        <v>1</v>
      </c>
    </row>
    <row r="1559" spans="1:12">
      <c r="A1559" t="s">
        <v>3585</v>
      </c>
      <c r="B1559" t="s">
        <v>1175</v>
      </c>
      <c r="C1559" t="s">
        <v>2000</v>
      </c>
      <c r="D1559" t="s">
        <v>2045</v>
      </c>
      <c r="E1559" t="s">
        <v>57</v>
      </c>
      <c r="F1559" t="s">
        <v>57</v>
      </c>
      <c r="G1559" t="str">
        <f>INDEX(Risk_Matrix!$B$2:$D$4,MATCH(E1559,Risk_Matrix!$A$2:$A$4,0),MATCH(F1559,Risk_Matrix!$B$1:$D$1,0))</f>
        <v>Low</v>
      </c>
      <c r="H1559" s="1">
        <v>46098</v>
      </c>
      <c r="I1559" t="s">
        <v>2025</v>
      </c>
      <c r="J1559" t="s">
        <v>2026</v>
      </c>
      <c r="K1559" t="s">
        <v>1989</v>
      </c>
      <c r="L1559">
        <f>IF(G1559="High",3,IF(G1559="Medium",2,1))</f>
        <v>1</v>
      </c>
    </row>
    <row r="1560" spans="1:12">
      <c r="A1560" t="s">
        <v>3586</v>
      </c>
      <c r="B1560" t="s">
        <v>1175</v>
      </c>
      <c r="C1560" t="s">
        <v>2005</v>
      </c>
      <c r="D1560" t="s">
        <v>2039</v>
      </c>
      <c r="E1560" t="s">
        <v>1971</v>
      </c>
      <c r="F1560" t="s">
        <v>47</v>
      </c>
      <c r="G1560" t="str">
        <f>INDEX(Risk_Matrix!$B$2:$D$4,MATCH(E1560,Risk_Matrix!$A$2:$A$4,0),MATCH(F1560,Risk_Matrix!$B$1:$D$1,0))</f>
        <v>High</v>
      </c>
      <c r="H1560" s="1">
        <v>46211</v>
      </c>
      <c r="I1560" t="s">
        <v>2025</v>
      </c>
      <c r="J1560" t="s">
        <v>2035</v>
      </c>
      <c r="K1560" t="s">
        <v>1993</v>
      </c>
      <c r="L1560">
        <f>IF(G1560="High",3,IF(G1560="Medium",2,1))</f>
        <v>3</v>
      </c>
    </row>
    <row r="1561" spans="1:12">
      <c r="A1561" t="s">
        <v>3587</v>
      </c>
      <c r="B1561" t="s">
        <v>1175</v>
      </c>
      <c r="C1561" t="s">
        <v>2008</v>
      </c>
      <c r="D1561" t="s">
        <v>2009</v>
      </c>
      <c r="E1561" t="s">
        <v>1971</v>
      </c>
      <c r="F1561" t="s">
        <v>1971</v>
      </c>
      <c r="G1561" t="str">
        <f>INDEX(Risk_Matrix!$B$2:$D$4,MATCH(E1561,Risk_Matrix!$A$2:$A$4,0),MATCH(F1561,Risk_Matrix!$B$1:$D$1,0))</f>
        <v>Medium</v>
      </c>
      <c r="H1561" s="1">
        <v>46152</v>
      </c>
      <c r="I1561" t="s">
        <v>1987</v>
      </c>
      <c r="J1561" t="s">
        <v>1997</v>
      </c>
      <c r="K1561" t="s">
        <v>2010</v>
      </c>
      <c r="L1561">
        <f>IF(G1561="High",3,IF(G1561="Medium",2,1))</f>
        <v>2</v>
      </c>
    </row>
    <row r="1562" spans="1:12">
      <c r="A1562" t="s">
        <v>3588</v>
      </c>
      <c r="B1562" t="s">
        <v>1177</v>
      </c>
      <c r="C1562" t="s">
        <v>1985</v>
      </c>
      <c r="D1562" t="s">
        <v>2028</v>
      </c>
      <c r="E1562" t="s">
        <v>1971</v>
      </c>
      <c r="F1562" t="s">
        <v>47</v>
      </c>
      <c r="G1562" t="str">
        <f>INDEX(Risk_Matrix!$B$2:$D$4,MATCH(E1562,Risk_Matrix!$A$2:$A$4,0),MATCH(F1562,Risk_Matrix!$B$1:$D$1,0))</f>
        <v>High</v>
      </c>
      <c r="H1562" s="1">
        <v>46226</v>
      </c>
      <c r="I1562" t="s">
        <v>1987</v>
      </c>
      <c r="J1562" t="s">
        <v>1997</v>
      </c>
      <c r="K1562" t="s">
        <v>1989</v>
      </c>
      <c r="L1562">
        <f>IF(G1562="High",3,IF(G1562="Medium",2,1))</f>
        <v>3</v>
      </c>
    </row>
    <row r="1563" spans="1:12">
      <c r="A1563" t="s">
        <v>3589</v>
      </c>
      <c r="B1563" t="s">
        <v>1177</v>
      </c>
      <c r="C1563" t="s">
        <v>1991</v>
      </c>
      <c r="D1563" t="s">
        <v>1992</v>
      </c>
      <c r="E1563" t="s">
        <v>57</v>
      </c>
      <c r="F1563" t="s">
        <v>57</v>
      </c>
      <c r="G1563" t="str">
        <f>INDEX(Risk_Matrix!$B$2:$D$4,MATCH(E1563,Risk_Matrix!$A$2:$A$4,0),MATCH(F1563,Risk_Matrix!$B$1:$D$1,0))</f>
        <v>Low</v>
      </c>
      <c r="H1563" s="1">
        <v>46086</v>
      </c>
      <c r="I1563" t="s">
        <v>2002</v>
      </c>
      <c r="J1563" t="s">
        <v>2029</v>
      </c>
      <c r="K1563" t="s">
        <v>1993</v>
      </c>
      <c r="L1563">
        <f>IF(G1563="High",3,IF(G1563="Medium",2,1))</f>
        <v>1</v>
      </c>
    </row>
    <row r="1564" spans="1:12">
      <c r="A1564" t="s">
        <v>3590</v>
      </c>
      <c r="B1564" t="s">
        <v>1177</v>
      </c>
      <c r="C1564" t="s">
        <v>1995</v>
      </c>
      <c r="D1564" t="s">
        <v>2150</v>
      </c>
      <c r="E1564" t="s">
        <v>1971</v>
      </c>
      <c r="F1564" t="s">
        <v>57</v>
      </c>
      <c r="G1564" t="str">
        <f>INDEX(Risk_Matrix!$B$2:$D$4,MATCH(E1564,Risk_Matrix!$A$2:$A$4,0),MATCH(F1564,Risk_Matrix!$B$1:$D$1,0))</f>
        <v>Low</v>
      </c>
      <c r="H1564" s="1">
        <v>46103</v>
      </c>
      <c r="I1564" t="s">
        <v>2025</v>
      </c>
      <c r="J1564" t="s">
        <v>2026</v>
      </c>
      <c r="K1564" t="s">
        <v>1998</v>
      </c>
      <c r="L1564">
        <f>IF(G1564="High",3,IF(G1564="Medium",2,1))</f>
        <v>1</v>
      </c>
    </row>
    <row r="1565" spans="1:12">
      <c r="A1565" t="s">
        <v>3591</v>
      </c>
      <c r="B1565" t="s">
        <v>1177</v>
      </c>
      <c r="C1565" t="s">
        <v>2000</v>
      </c>
      <c r="D1565" t="s">
        <v>2001</v>
      </c>
      <c r="E1565" t="s">
        <v>57</v>
      </c>
      <c r="F1565" t="s">
        <v>57</v>
      </c>
      <c r="G1565" t="str">
        <f>INDEX(Risk_Matrix!$B$2:$D$4,MATCH(E1565,Risk_Matrix!$A$2:$A$4,0),MATCH(F1565,Risk_Matrix!$B$1:$D$1,0))</f>
        <v>Low</v>
      </c>
      <c r="H1565" s="1">
        <v>46093</v>
      </c>
      <c r="I1565" t="s">
        <v>2002</v>
      </c>
      <c r="J1565" t="s">
        <v>2029</v>
      </c>
      <c r="K1565" t="s">
        <v>1989</v>
      </c>
      <c r="L1565">
        <f>IF(G1565="High",3,IF(G1565="Medium",2,1))</f>
        <v>1</v>
      </c>
    </row>
    <row r="1566" spans="1:12">
      <c r="A1566" t="s">
        <v>3592</v>
      </c>
      <c r="B1566" t="s">
        <v>1177</v>
      </c>
      <c r="C1566" t="s">
        <v>2005</v>
      </c>
      <c r="D1566" t="s">
        <v>2022</v>
      </c>
      <c r="E1566" t="s">
        <v>47</v>
      </c>
      <c r="F1566" t="s">
        <v>57</v>
      </c>
      <c r="G1566" t="str">
        <f>INDEX(Risk_Matrix!$B$2:$D$4,MATCH(E1566,Risk_Matrix!$A$2:$A$4,0),MATCH(F1566,Risk_Matrix!$B$1:$D$1,0))</f>
        <v>Medium</v>
      </c>
      <c r="H1566" s="1">
        <v>46234</v>
      </c>
      <c r="I1566" t="s">
        <v>2025</v>
      </c>
      <c r="J1566" t="s">
        <v>2026</v>
      </c>
      <c r="K1566" t="s">
        <v>1993</v>
      </c>
      <c r="L1566">
        <f>IF(G1566="High",3,IF(G1566="Medium",2,1))</f>
        <v>2</v>
      </c>
    </row>
    <row r="1567" spans="1:12">
      <c r="A1567" t="s">
        <v>3593</v>
      </c>
      <c r="B1567" t="s">
        <v>1177</v>
      </c>
      <c r="C1567" t="s">
        <v>2008</v>
      </c>
      <c r="D1567" t="s">
        <v>2009</v>
      </c>
      <c r="E1567" t="s">
        <v>1971</v>
      </c>
      <c r="F1567" t="s">
        <v>57</v>
      </c>
      <c r="G1567" t="str">
        <f>INDEX(Risk_Matrix!$B$2:$D$4,MATCH(E1567,Risk_Matrix!$A$2:$A$4,0),MATCH(F1567,Risk_Matrix!$B$1:$D$1,0))</f>
        <v>Low</v>
      </c>
      <c r="H1567" s="1">
        <v>46149</v>
      </c>
      <c r="I1567" t="s">
        <v>2002</v>
      </c>
      <c r="J1567" t="s">
        <v>2003</v>
      </c>
      <c r="K1567" t="s">
        <v>2010</v>
      </c>
      <c r="L1567">
        <f>IF(G1567="High",3,IF(G1567="Medium",2,1))</f>
        <v>1</v>
      </c>
    </row>
    <row r="1568" spans="1:12">
      <c r="A1568" t="s">
        <v>3594</v>
      </c>
      <c r="B1568" t="s">
        <v>1179</v>
      </c>
      <c r="C1568" t="s">
        <v>1985</v>
      </c>
      <c r="D1568" t="s">
        <v>2062</v>
      </c>
      <c r="E1568" t="s">
        <v>1971</v>
      </c>
      <c r="F1568" t="s">
        <v>47</v>
      </c>
      <c r="G1568" t="str">
        <f>INDEX(Risk_Matrix!$B$2:$D$4,MATCH(E1568,Risk_Matrix!$A$2:$A$4,0),MATCH(F1568,Risk_Matrix!$B$1:$D$1,0))</f>
        <v>High</v>
      </c>
      <c r="H1568" s="1">
        <v>46205</v>
      </c>
      <c r="I1568" t="s">
        <v>2015</v>
      </c>
      <c r="J1568" t="s">
        <v>2016</v>
      </c>
      <c r="K1568" t="s">
        <v>1989</v>
      </c>
      <c r="L1568">
        <f>IF(G1568="High",3,IF(G1568="Medium",2,1))</f>
        <v>3</v>
      </c>
    </row>
    <row r="1569" spans="1:12">
      <c r="A1569" t="s">
        <v>3595</v>
      </c>
      <c r="B1569" t="s">
        <v>1179</v>
      </c>
      <c r="C1569" t="s">
        <v>1991</v>
      </c>
      <c r="D1569" t="s">
        <v>2031</v>
      </c>
      <c r="E1569" t="s">
        <v>1971</v>
      </c>
      <c r="F1569" t="s">
        <v>57</v>
      </c>
      <c r="G1569" t="str">
        <f>INDEX(Risk_Matrix!$B$2:$D$4,MATCH(E1569,Risk_Matrix!$A$2:$A$4,0),MATCH(F1569,Risk_Matrix!$B$1:$D$1,0))</f>
        <v>Low</v>
      </c>
      <c r="H1569" s="1">
        <v>46209</v>
      </c>
      <c r="I1569" t="s">
        <v>2025</v>
      </c>
      <c r="J1569" t="s">
        <v>2035</v>
      </c>
      <c r="K1569" t="s">
        <v>2010</v>
      </c>
      <c r="L1569">
        <f>IF(G1569="High",3,IF(G1569="Medium",2,1))</f>
        <v>1</v>
      </c>
    </row>
    <row r="1570" spans="1:12">
      <c r="A1570" t="s">
        <v>3596</v>
      </c>
      <c r="B1570" t="s">
        <v>1179</v>
      </c>
      <c r="C1570" t="s">
        <v>1995</v>
      </c>
      <c r="D1570" t="s">
        <v>2034</v>
      </c>
      <c r="E1570" t="s">
        <v>47</v>
      </c>
      <c r="F1570" t="s">
        <v>1971</v>
      </c>
      <c r="G1570" t="str">
        <f>INDEX(Risk_Matrix!$B$2:$D$4,MATCH(E1570,Risk_Matrix!$A$2:$A$4,0),MATCH(F1570,Risk_Matrix!$B$1:$D$1,0))</f>
        <v>High</v>
      </c>
      <c r="H1570" s="1">
        <v>46107</v>
      </c>
      <c r="I1570" t="s">
        <v>1987</v>
      </c>
      <c r="J1570" t="s">
        <v>1997</v>
      </c>
      <c r="K1570" t="s">
        <v>2036</v>
      </c>
      <c r="L1570">
        <f>IF(G1570="High",3,IF(G1570="Medium",2,1))</f>
        <v>3</v>
      </c>
    </row>
    <row r="1571" spans="1:12">
      <c r="A1571" t="s">
        <v>3597</v>
      </c>
      <c r="B1571" t="s">
        <v>1179</v>
      </c>
      <c r="C1571" t="s">
        <v>2000</v>
      </c>
      <c r="D1571" t="s">
        <v>2020</v>
      </c>
      <c r="E1571" t="s">
        <v>1971</v>
      </c>
      <c r="F1571" t="s">
        <v>57</v>
      </c>
      <c r="G1571" t="str">
        <f>INDEX(Risk_Matrix!$B$2:$D$4,MATCH(E1571,Risk_Matrix!$A$2:$A$4,0),MATCH(F1571,Risk_Matrix!$B$1:$D$1,0))</f>
        <v>Low</v>
      </c>
      <c r="H1571" s="1">
        <v>46096</v>
      </c>
      <c r="I1571" t="s">
        <v>1987</v>
      </c>
      <c r="J1571" t="s">
        <v>1988</v>
      </c>
      <c r="K1571" t="s">
        <v>1989</v>
      </c>
      <c r="L1571">
        <f>IF(G1571="High",3,IF(G1571="Medium",2,1))</f>
        <v>1</v>
      </c>
    </row>
    <row r="1572" spans="1:12">
      <c r="A1572" t="s">
        <v>3598</v>
      </c>
      <c r="B1572" t="s">
        <v>1179</v>
      </c>
      <c r="C1572" t="s">
        <v>2005</v>
      </c>
      <c r="D1572" t="s">
        <v>2006</v>
      </c>
      <c r="E1572" t="s">
        <v>1971</v>
      </c>
      <c r="F1572" t="s">
        <v>47</v>
      </c>
      <c r="G1572" t="str">
        <f>INDEX(Risk_Matrix!$B$2:$D$4,MATCH(E1572,Risk_Matrix!$A$2:$A$4,0),MATCH(F1572,Risk_Matrix!$B$1:$D$1,0))</f>
        <v>High</v>
      </c>
      <c r="H1572" s="1">
        <v>46230</v>
      </c>
      <c r="I1572" t="s">
        <v>2015</v>
      </c>
      <c r="J1572" t="s">
        <v>2032</v>
      </c>
      <c r="K1572" t="s">
        <v>1993</v>
      </c>
      <c r="L1572">
        <f>IF(G1572="High",3,IF(G1572="Medium",2,1))</f>
        <v>3</v>
      </c>
    </row>
    <row r="1573" spans="1:12">
      <c r="A1573" t="s">
        <v>3599</v>
      </c>
      <c r="B1573" t="s">
        <v>1179</v>
      </c>
      <c r="C1573" t="s">
        <v>2008</v>
      </c>
      <c r="D1573" t="s">
        <v>2024</v>
      </c>
      <c r="E1573" t="s">
        <v>57</v>
      </c>
      <c r="F1573" t="s">
        <v>1971</v>
      </c>
      <c r="G1573" t="str">
        <f>INDEX(Risk_Matrix!$B$2:$D$4,MATCH(E1573,Risk_Matrix!$A$2:$A$4,0),MATCH(F1573,Risk_Matrix!$B$1:$D$1,0))</f>
        <v>Low</v>
      </c>
      <c r="H1573" s="1">
        <v>46103</v>
      </c>
      <c r="I1573" t="s">
        <v>2025</v>
      </c>
      <c r="J1573" t="s">
        <v>2035</v>
      </c>
      <c r="K1573" t="s">
        <v>2010</v>
      </c>
      <c r="L1573">
        <f>IF(G1573="High",3,IF(G1573="Medium",2,1))</f>
        <v>1</v>
      </c>
    </row>
    <row r="1574" spans="1:12">
      <c r="A1574" t="s">
        <v>3600</v>
      </c>
      <c r="B1574" t="s">
        <v>1181</v>
      </c>
      <c r="C1574" t="s">
        <v>1985</v>
      </c>
      <c r="D1574" t="s">
        <v>2012</v>
      </c>
      <c r="E1574" t="s">
        <v>1971</v>
      </c>
      <c r="F1574" t="s">
        <v>47</v>
      </c>
      <c r="G1574" t="str">
        <f>INDEX(Risk_Matrix!$B$2:$D$4,MATCH(E1574,Risk_Matrix!$A$2:$A$4,0),MATCH(F1574,Risk_Matrix!$B$1:$D$1,0))</f>
        <v>High</v>
      </c>
      <c r="H1574" s="1">
        <v>46136</v>
      </c>
      <c r="I1574" t="s">
        <v>1987</v>
      </c>
      <c r="J1574" t="s">
        <v>1997</v>
      </c>
      <c r="K1574" t="s">
        <v>1998</v>
      </c>
      <c r="L1574">
        <f>IF(G1574="High",3,IF(G1574="Medium",2,1))</f>
        <v>3</v>
      </c>
    </row>
    <row r="1575" spans="1:12">
      <c r="A1575" t="s">
        <v>3601</v>
      </c>
      <c r="B1575" t="s">
        <v>1181</v>
      </c>
      <c r="C1575" t="s">
        <v>1991</v>
      </c>
      <c r="D1575" t="s">
        <v>2064</v>
      </c>
      <c r="E1575" t="s">
        <v>47</v>
      </c>
      <c r="F1575" t="s">
        <v>47</v>
      </c>
      <c r="G1575" t="str">
        <f>INDEX(Risk_Matrix!$B$2:$D$4,MATCH(E1575,Risk_Matrix!$A$2:$A$4,0),MATCH(F1575,Risk_Matrix!$B$1:$D$1,0))</f>
        <v>High</v>
      </c>
      <c r="H1575" s="1">
        <v>46226</v>
      </c>
      <c r="I1575" t="s">
        <v>2025</v>
      </c>
      <c r="J1575" t="s">
        <v>2026</v>
      </c>
      <c r="K1575" t="s">
        <v>2010</v>
      </c>
      <c r="L1575">
        <f>IF(G1575="High",3,IF(G1575="Medium",2,1))</f>
        <v>3</v>
      </c>
    </row>
    <row r="1576" spans="1:12">
      <c r="A1576" t="s">
        <v>3602</v>
      </c>
      <c r="B1576" t="s">
        <v>1181</v>
      </c>
      <c r="C1576" t="s">
        <v>1995</v>
      </c>
      <c r="D1576" t="s">
        <v>2018</v>
      </c>
      <c r="E1576" t="s">
        <v>57</v>
      </c>
      <c r="F1576" t="s">
        <v>57</v>
      </c>
      <c r="G1576" t="str">
        <f>INDEX(Risk_Matrix!$B$2:$D$4,MATCH(E1576,Risk_Matrix!$A$2:$A$4,0),MATCH(F1576,Risk_Matrix!$B$1:$D$1,0))</f>
        <v>Low</v>
      </c>
      <c r="H1576" s="1">
        <v>46130</v>
      </c>
      <c r="I1576" t="s">
        <v>2002</v>
      </c>
      <c r="J1576" t="s">
        <v>2029</v>
      </c>
      <c r="K1576" t="s">
        <v>1998</v>
      </c>
      <c r="L1576">
        <f>IF(G1576="High",3,IF(G1576="Medium",2,1))</f>
        <v>1</v>
      </c>
    </row>
    <row r="1577" spans="1:12">
      <c r="A1577" t="s">
        <v>3603</v>
      </c>
      <c r="B1577" t="s">
        <v>1181</v>
      </c>
      <c r="C1577" t="s">
        <v>2000</v>
      </c>
      <c r="D1577" t="s">
        <v>2001</v>
      </c>
      <c r="E1577" t="s">
        <v>1971</v>
      </c>
      <c r="F1577" t="s">
        <v>1971</v>
      </c>
      <c r="G1577" t="str">
        <f>INDEX(Risk_Matrix!$B$2:$D$4,MATCH(E1577,Risk_Matrix!$A$2:$A$4,0),MATCH(F1577,Risk_Matrix!$B$1:$D$1,0))</f>
        <v>Medium</v>
      </c>
      <c r="H1577" s="1">
        <v>46192</v>
      </c>
      <c r="I1577" t="s">
        <v>1987</v>
      </c>
      <c r="J1577" t="s">
        <v>1997</v>
      </c>
      <c r="K1577" t="s">
        <v>1993</v>
      </c>
      <c r="L1577">
        <f>IF(G1577="High",3,IF(G1577="Medium",2,1))</f>
        <v>2</v>
      </c>
    </row>
    <row r="1578" spans="1:12">
      <c r="A1578" t="s">
        <v>3604</v>
      </c>
      <c r="B1578" t="s">
        <v>1181</v>
      </c>
      <c r="C1578" t="s">
        <v>2005</v>
      </c>
      <c r="D1578" t="s">
        <v>2022</v>
      </c>
      <c r="E1578" t="s">
        <v>47</v>
      </c>
      <c r="F1578" t="s">
        <v>57</v>
      </c>
      <c r="G1578" t="str">
        <f>INDEX(Risk_Matrix!$B$2:$D$4,MATCH(E1578,Risk_Matrix!$A$2:$A$4,0),MATCH(F1578,Risk_Matrix!$B$1:$D$1,0))</f>
        <v>Medium</v>
      </c>
      <c r="H1578" s="1">
        <v>46233</v>
      </c>
      <c r="I1578" t="s">
        <v>1987</v>
      </c>
      <c r="J1578" t="s">
        <v>1997</v>
      </c>
      <c r="K1578" t="s">
        <v>2036</v>
      </c>
      <c r="L1578">
        <f>IF(G1578="High",3,IF(G1578="Medium",2,1))</f>
        <v>2</v>
      </c>
    </row>
    <row r="1579" spans="1:12">
      <c r="A1579" t="s">
        <v>3605</v>
      </c>
      <c r="B1579" t="s">
        <v>1181</v>
      </c>
      <c r="C1579" t="s">
        <v>2008</v>
      </c>
      <c r="D1579" t="s">
        <v>2009</v>
      </c>
      <c r="E1579" t="s">
        <v>47</v>
      </c>
      <c r="F1579" t="s">
        <v>47</v>
      </c>
      <c r="G1579" t="str">
        <f>INDEX(Risk_Matrix!$B$2:$D$4,MATCH(E1579,Risk_Matrix!$A$2:$A$4,0),MATCH(F1579,Risk_Matrix!$B$1:$D$1,0))</f>
        <v>High</v>
      </c>
      <c r="H1579" s="1">
        <v>46221</v>
      </c>
      <c r="I1579" t="s">
        <v>2015</v>
      </c>
      <c r="J1579" t="s">
        <v>2032</v>
      </c>
      <c r="K1579" t="s">
        <v>2010</v>
      </c>
      <c r="L1579">
        <f>IF(G1579="High",3,IF(G1579="Medium",2,1))</f>
        <v>3</v>
      </c>
    </row>
    <row r="1580" spans="1:12">
      <c r="A1580" t="s">
        <v>3606</v>
      </c>
      <c r="B1580" t="s">
        <v>1183</v>
      </c>
      <c r="C1580" t="s">
        <v>1985</v>
      </c>
      <c r="D1580" t="s">
        <v>1986</v>
      </c>
      <c r="E1580" t="s">
        <v>1971</v>
      </c>
      <c r="F1580" t="s">
        <v>47</v>
      </c>
      <c r="G1580" t="str">
        <f>INDEX(Risk_Matrix!$B$2:$D$4,MATCH(E1580,Risk_Matrix!$A$2:$A$4,0),MATCH(F1580,Risk_Matrix!$B$1:$D$1,0))</f>
        <v>High</v>
      </c>
      <c r="H1580" s="1">
        <v>46202</v>
      </c>
      <c r="I1580" t="s">
        <v>2015</v>
      </c>
      <c r="J1580" t="s">
        <v>2032</v>
      </c>
      <c r="K1580" t="s">
        <v>1989</v>
      </c>
      <c r="L1580">
        <f>IF(G1580="High",3,IF(G1580="Medium",2,1))</f>
        <v>3</v>
      </c>
    </row>
    <row r="1581" spans="1:12">
      <c r="A1581" t="s">
        <v>3607</v>
      </c>
      <c r="B1581" t="s">
        <v>1183</v>
      </c>
      <c r="C1581" t="s">
        <v>1991</v>
      </c>
      <c r="D1581" t="s">
        <v>2064</v>
      </c>
      <c r="E1581" t="s">
        <v>47</v>
      </c>
      <c r="F1581" t="s">
        <v>57</v>
      </c>
      <c r="G1581" t="str">
        <f>INDEX(Risk_Matrix!$B$2:$D$4,MATCH(E1581,Risk_Matrix!$A$2:$A$4,0),MATCH(F1581,Risk_Matrix!$B$1:$D$1,0))</f>
        <v>Medium</v>
      </c>
      <c r="H1581" s="1">
        <v>46180</v>
      </c>
      <c r="I1581" t="s">
        <v>2015</v>
      </c>
      <c r="J1581" t="s">
        <v>2016</v>
      </c>
      <c r="K1581" t="s">
        <v>1993</v>
      </c>
      <c r="L1581">
        <f>IF(G1581="High",3,IF(G1581="Medium",2,1))</f>
        <v>2</v>
      </c>
    </row>
    <row r="1582" spans="1:12">
      <c r="A1582" t="s">
        <v>3608</v>
      </c>
      <c r="B1582" t="s">
        <v>1183</v>
      </c>
      <c r="C1582" t="s">
        <v>1995</v>
      </c>
      <c r="D1582" t="s">
        <v>2034</v>
      </c>
      <c r="E1582" t="s">
        <v>1971</v>
      </c>
      <c r="F1582" t="s">
        <v>47</v>
      </c>
      <c r="G1582" t="str">
        <f>INDEX(Risk_Matrix!$B$2:$D$4,MATCH(E1582,Risk_Matrix!$A$2:$A$4,0),MATCH(F1582,Risk_Matrix!$B$1:$D$1,0))</f>
        <v>High</v>
      </c>
      <c r="H1582" s="1">
        <v>46060</v>
      </c>
      <c r="I1582" t="s">
        <v>2025</v>
      </c>
      <c r="J1582" t="s">
        <v>2026</v>
      </c>
      <c r="K1582" t="s">
        <v>1998</v>
      </c>
      <c r="L1582">
        <f>IF(G1582="High",3,IF(G1582="Medium",2,1))</f>
        <v>3</v>
      </c>
    </row>
    <row r="1583" spans="1:12">
      <c r="A1583" t="s">
        <v>3609</v>
      </c>
      <c r="B1583" t="s">
        <v>1183</v>
      </c>
      <c r="C1583" t="s">
        <v>2000</v>
      </c>
      <c r="D1583" t="s">
        <v>2001</v>
      </c>
      <c r="E1583" t="s">
        <v>47</v>
      </c>
      <c r="F1583" t="s">
        <v>57</v>
      </c>
      <c r="G1583" t="str">
        <f>INDEX(Risk_Matrix!$B$2:$D$4,MATCH(E1583,Risk_Matrix!$A$2:$A$4,0),MATCH(F1583,Risk_Matrix!$B$1:$D$1,0))</f>
        <v>Medium</v>
      </c>
      <c r="H1583" s="1">
        <v>46061</v>
      </c>
      <c r="I1583" t="s">
        <v>2025</v>
      </c>
      <c r="J1583" t="s">
        <v>2035</v>
      </c>
      <c r="K1583" t="s">
        <v>1993</v>
      </c>
      <c r="L1583">
        <f>IF(G1583="High",3,IF(G1583="Medium",2,1))</f>
        <v>2</v>
      </c>
    </row>
    <row r="1584" spans="1:12">
      <c r="A1584" t="s">
        <v>3610</v>
      </c>
      <c r="B1584" t="s">
        <v>1183</v>
      </c>
      <c r="C1584" t="s">
        <v>2005</v>
      </c>
      <c r="D1584" t="s">
        <v>2022</v>
      </c>
      <c r="E1584" t="s">
        <v>47</v>
      </c>
      <c r="F1584" t="s">
        <v>47</v>
      </c>
      <c r="G1584" t="str">
        <f>INDEX(Risk_Matrix!$B$2:$D$4,MATCH(E1584,Risk_Matrix!$A$2:$A$4,0),MATCH(F1584,Risk_Matrix!$B$1:$D$1,0))</f>
        <v>High</v>
      </c>
      <c r="H1584" s="1">
        <v>46207</v>
      </c>
      <c r="I1584" t="s">
        <v>2015</v>
      </c>
      <c r="J1584" t="s">
        <v>2032</v>
      </c>
      <c r="K1584" t="s">
        <v>1993</v>
      </c>
      <c r="L1584">
        <f>IF(G1584="High",3,IF(G1584="Medium",2,1))</f>
        <v>3</v>
      </c>
    </row>
    <row r="1585" spans="1:12">
      <c r="A1585" t="s">
        <v>3611</v>
      </c>
      <c r="B1585" t="s">
        <v>1183</v>
      </c>
      <c r="C1585" t="s">
        <v>2008</v>
      </c>
      <c r="D1585" t="s">
        <v>2054</v>
      </c>
      <c r="E1585" t="s">
        <v>1971</v>
      </c>
      <c r="F1585" t="s">
        <v>1971</v>
      </c>
      <c r="G1585" t="str">
        <f>INDEX(Risk_Matrix!$B$2:$D$4,MATCH(E1585,Risk_Matrix!$A$2:$A$4,0),MATCH(F1585,Risk_Matrix!$B$1:$D$1,0))</f>
        <v>Medium</v>
      </c>
      <c r="H1585" s="1">
        <v>46110</v>
      </c>
      <c r="I1585" t="s">
        <v>2025</v>
      </c>
      <c r="J1585" t="s">
        <v>2026</v>
      </c>
      <c r="K1585" t="s">
        <v>2010</v>
      </c>
      <c r="L1585">
        <f>IF(G1585="High",3,IF(G1585="Medium",2,1))</f>
        <v>2</v>
      </c>
    </row>
    <row r="1586" spans="1:12">
      <c r="A1586" t="s">
        <v>3612</v>
      </c>
      <c r="B1586" t="s">
        <v>1185</v>
      </c>
      <c r="C1586" t="s">
        <v>1985</v>
      </c>
      <c r="D1586" t="s">
        <v>2012</v>
      </c>
      <c r="E1586" t="s">
        <v>1971</v>
      </c>
      <c r="F1586" t="s">
        <v>57</v>
      </c>
      <c r="G1586" t="str">
        <f>INDEX(Risk_Matrix!$B$2:$D$4,MATCH(E1586,Risk_Matrix!$A$2:$A$4,0),MATCH(F1586,Risk_Matrix!$B$1:$D$1,0))</f>
        <v>Low</v>
      </c>
      <c r="H1586" s="1">
        <v>46131</v>
      </c>
      <c r="I1586" t="s">
        <v>1987</v>
      </c>
      <c r="J1586" t="s">
        <v>1988</v>
      </c>
      <c r="K1586" t="s">
        <v>1989</v>
      </c>
      <c r="L1586">
        <f>IF(G1586="High",3,IF(G1586="Medium",2,1))</f>
        <v>1</v>
      </c>
    </row>
    <row r="1587" spans="1:12">
      <c r="A1587" t="s">
        <v>3613</v>
      </c>
      <c r="B1587" t="s">
        <v>1185</v>
      </c>
      <c r="C1587" t="s">
        <v>1991</v>
      </c>
      <c r="D1587" t="s">
        <v>2014</v>
      </c>
      <c r="E1587" t="s">
        <v>57</v>
      </c>
      <c r="F1587" t="s">
        <v>57</v>
      </c>
      <c r="G1587" t="str">
        <f>INDEX(Risk_Matrix!$B$2:$D$4,MATCH(E1587,Risk_Matrix!$A$2:$A$4,0),MATCH(F1587,Risk_Matrix!$B$1:$D$1,0))</f>
        <v>Low</v>
      </c>
      <c r="H1587" s="1">
        <v>46151</v>
      </c>
      <c r="I1587" t="s">
        <v>2015</v>
      </c>
      <c r="J1587" t="s">
        <v>2032</v>
      </c>
      <c r="K1587" t="s">
        <v>1993</v>
      </c>
      <c r="L1587">
        <f>IF(G1587="High",3,IF(G1587="Medium",2,1))</f>
        <v>1</v>
      </c>
    </row>
    <row r="1588" spans="1:12">
      <c r="A1588" t="s">
        <v>3614</v>
      </c>
      <c r="B1588" t="s">
        <v>1185</v>
      </c>
      <c r="C1588" t="s">
        <v>1995</v>
      </c>
      <c r="D1588" t="s">
        <v>2018</v>
      </c>
      <c r="E1588" t="s">
        <v>47</v>
      </c>
      <c r="F1588" t="s">
        <v>47</v>
      </c>
      <c r="G1588" t="str">
        <f>INDEX(Risk_Matrix!$B$2:$D$4,MATCH(E1588,Risk_Matrix!$A$2:$A$4,0),MATCH(F1588,Risk_Matrix!$B$1:$D$1,0))</f>
        <v>High</v>
      </c>
      <c r="H1588" s="1">
        <v>46150</v>
      </c>
      <c r="I1588" t="s">
        <v>1987</v>
      </c>
      <c r="J1588" t="s">
        <v>1997</v>
      </c>
      <c r="K1588" t="s">
        <v>2036</v>
      </c>
      <c r="L1588">
        <f>IF(G1588="High",3,IF(G1588="Medium",2,1))</f>
        <v>3</v>
      </c>
    </row>
    <row r="1589" spans="1:12">
      <c r="A1589" t="s">
        <v>3615</v>
      </c>
      <c r="B1589" t="s">
        <v>1185</v>
      </c>
      <c r="C1589" t="s">
        <v>2000</v>
      </c>
      <c r="D1589" t="s">
        <v>2020</v>
      </c>
      <c r="E1589" t="s">
        <v>57</v>
      </c>
      <c r="F1589" t="s">
        <v>57</v>
      </c>
      <c r="G1589" t="str">
        <f>INDEX(Risk_Matrix!$B$2:$D$4,MATCH(E1589,Risk_Matrix!$A$2:$A$4,0),MATCH(F1589,Risk_Matrix!$B$1:$D$1,0))</f>
        <v>Low</v>
      </c>
      <c r="H1589" s="1">
        <v>46147</v>
      </c>
      <c r="I1589" t="s">
        <v>2025</v>
      </c>
      <c r="J1589" t="s">
        <v>2035</v>
      </c>
      <c r="K1589" t="s">
        <v>1989</v>
      </c>
      <c r="L1589">
        <f>IF(G1589="High",3,IF(G1589="Medium",2,1))</f>
        <v>1</v>
      </c>
    </row>
    <row r="1590" spans="1:12">
      <c r="A1590" t="s">
        <v>3616</v>
      </c>
      <c r="B1590" t="s">
        <v>1185</v>
      </c>
      <c r="C1590" t="s">
        <v>2005</v>
      </c>
      <c r="D1590" t="s">
        <v>2022</v>
      </c>
      <c r="E1590" t="s">
        <v>57</v>
      </c>
      <c r="F1590" t="s">
        <v>57</v>
      </c>
      <c r="G1590" t="str">
        <f>INDEX(Risk_Matrix!$B$2:$D$4,MATCH(E1590,Risk_Matrix!$A$2:$A$4,0),MATCH(F1590,Risk_Matrix!$B$1:$D$1,0))</f>
        <v>Low</v>
      </c>
      <c r="H1590" s="1">
        <v>46164</v>
      </c>
      <c r="I1590" t="s">
        <v>2002</v>
      </c>
      <c r="J1590" t="s">
        <v>2029</v>
      </c>
      <c r="K1590" t="s">
        <v>2036</v>
      </c>
      <c r="L1590">
        <f>IF(G1590="High",3,IF(G1590="Medium",2,1))</f>
        <v>1</v>
      </c>
    </row>
    <row r="1591" spans="1:12">
      <c r="A1591" t="s">
        <v>3617</v>
      </c>
      <c r="B1591" t="s">
        <v>1185</v>
      </c>
      <c r="C1591" t="s">
        <v>2008</v>
      </c>
      <c r="D1591" t="s">
        <v>2024</v>
      </c>
      <c r="E1591" t="s">
        <v>47</v>
      </c>
      <c r="F1591" t="s">
        <v>47</v>
      </c>
      <c r="G1591" t="str">
        <f>INDEX(Risk_Matrix!$B$2:$D$4,MATCH(E1591,Risk_Matrix!$A$2:$A$4,0),MATCH(F1591,Risk_Matrix!$B$1:$D$1,0))</f>
        <v>High</v>
      </c>
      <c r="H1591" s="1">
        <v>46121</v>
      </c>
      <c r="I1591" t="s">
        <v>2025</v>
      </c>
      <c r="J1591" t="s">
        <v>2035</v>
      </c>
      <c r="K1591" t="s">
        <v>2010</v>
      </c>
      <c r="L1591">
        <f>IF(G1591="High",3,IF(G1591="Medium",2,1))</f>
        <v>3</v>
      </c>
    </row>
    <row r="1592" spans="1:12">
      <c r="A1592" t="s">
        <v>3618</v>
      </c>
      <c r="B1592" t="s">
        <v>1187</v>
      </c>
      <c r="C1592" t="s">
        <v>1985</v>
      </c>
      <c r="D1592" t="s">
        <v>2012</v>
      </c>
      <c r="E1592" t="s">
        <v>47</v>
      </c>
      <c r="F1592" t="s">
        <v>1971</v>
      </c>
      <c r="G1592" t="str">
        <f>INDEX(Risk_Matrix!$B$2:$D$4,MATCH(E1592,Risk_Matrix!$A$2:$A$4,0),MATCH(F1592,Risk_Matrix!$B$1:$D$1,0))</f>
        <v>High</v>
      </c>
      <c r="H1592" s="1">
        <v>46160</v>
      </c>
      <c r="I1592" t="s">
        <v>2015</v>
      </c>
      <c r="J1592" t="s">
        <v>2016</v>
      </c>
      <c r="K1592" t="s">
        <v>1998</v>
      </c>
      <c r="L1592">
        <f>IF(G1592="High",3,IF(G1592="Medium",2,1))</f>
        <v>3</v>
      </c>
    </row>
    <row r="1593" spans="1:12">
      <c r="A1593" t="s">
        <v>3619</v>
      </c>
      <c r="B1593" t="s">
        <v>1187</v>
      </c>
      <c r="C1593" t="s">
        <v>1991</v>
      </c>
      <c r="D1593" t="s">
        <v>1992</v>
      </c>
      <c r="E1593" t="s">
        <v>57</v>
      </c>
      <c r="F1593" t="s">
        <v>47</v>
      </c>
      <c r="G1593" t="str">
        <f>INDEX(Risk_Matrix!$B$2:$D$4,MATCH(E1593,Risk_Matrix!$A$2:$A$4,0),MATCH(F1593,Risk_Matrix!$B$1:$D$1,0))</f>
        <v>Medium</v>
      </c>
      <c r="H1593" s="1">
        <v>46206</v>
      </c>
      <c r="I1593" t="s">
        <v>2015</v>
      </c>
      <c r="J1593" t="s">
        <v>2016</v>
      </c>
      <c r="K1593" t="s">
        <v>1993</v>
      </c>
      <c r="L1593">
        <f>IF(G1593="High",3,IF(G1593="Medium",2,1))</f>
        <v>2</v>
      </c>
    </row>
    <row r="1594" spans="1:12">
      <c r="A1594" t="s">
        <v>3620</v>
      </c>
      <c r="B1594" t="s">
        <v>1187</v>
      </c>
      <c r="C1594" t="s">
        <v>1995</v>
      </c>
      <c r="D1594" t="s">
        <v>2034</v>
      </c>
      <c r="E1594" t="s">
        <v>57</v>
      </c>
      <c r="F1594" t="s">
        <v>1971</v>
      </c>
      <c r="G1594" t="str">
        <f>INDEX(Risk_Matrix!$B$2:$D$4,MATCH(E1594,Risk_Matrix!$A$2:$A$4,0),MATCH(F1594,Risk_Matrix!$B$1:$D$1,0))</f>
        <v>Low</v>
      </c>
      <c r="H1594" s="1">
        <v>46161</v>
      </c>
      <c r="I1594" t="s">
        <v>2015</v>
      </c>
      <c r="J1594" t="s">
        <v>2032</v>
      </c>
      <c r="K1594" t="s">
        <v>2036</v>
      </c>
      <c r="L1594">
        <f>IF(G1594="High",3,IF(G1594="Medium",2,1))</f>
        <v>1</v>
      </c>
    </row>
    <row r="1595" spans="1:12">
      <c r="A1595" t="s">
        <v>3621</v>
      </c>
      <c r="B1595" t="s">
        <v>1187</v>
      </c>
      <c r="C1595" t="s">
        <v>2000</v>
      </c>
      <c r="D1595" t="s">
        <v>2001</v>
      </c>
      <c r="E1595" t="s">
        <v>57</v>
      </c>
      <c r="F1595" t="s">
        <v>1971</v>
      </c>
      <c r="G1595" t="str">
        <f>INDEX(Risk_Matrix!$B$2:$D$4,MATCH(E1595,Risk_Matrix!$A$2:$A$4,0),MATCH(F1595,Risk_Matrix!$B$1:$D$1,0))</f>
        <v>Low</v>
      </c>
      <c r="H1595" s="1">
        <v>46117</v>
      </c>
      <c r="I1595" t="s">
        <v>2025</v>
      </c>
      <c r="J1595" t="s">
        <v>2026</v>
      </c>
      <c r="K1595" t="s">
        <v>1993</v>
      </c>
      <c r="L1595">
        <f>IF(G1595="High",3,IF(G1595="Medium",2,1))</f>
        <v>1</v>
      </c>
    </row>
    <row r="1596" spans="1:12">
      <c r="A1596" t="s">
        <v>3622</v>
      </c>
      <c r="B1596" t="s">
        <v>1187</v>
      </c>
      <c r="C1596" t="s">
        <v>2005</v>
      </c>
      <c r="D1596" t="s">
        <v>2006</v>
      </c>
      <c r="E1596" t="s">
        <v>57</v>
      </c>
      <c r="F1596" t="s">
        <v>47</v>
      </c>
      <c r="G1596" t="str">
        <f>INDEX(Risk_Matrix!$B$2:$D$4,MATCH(E1596,Risk_Matrix!$A$2:$A$4,0),MATCH(F1596,Risk_Matrix!$B$1:$D$1,0))</f>
        <v>Medium</v>
      </c>
      <c r="H1596" s="1">
        <v>46231</v>
      </c>
      <c r="I1596" t="s">
        <v>2015</v>
      </c>
      <c r="J1596" t="s">
        <v>2032</v>
      </c>
      <c r="K1596" t="s">
        <v>1993</v>
      </c>
      <c r="L1596">
        <f>IF(G1596="High",3,IF(G1596="Medium",2,1))</f>
        <v>2</v>
      </c>
    </row>
    <row r="1597" spans="1:12">
      <c r="A1597" t="s">
        <v>3623</v>
      </c>
      <c r="B1597" t="s">
        <v>1187</v>
      </c>
      <c r="C1597" t="s">
        <v>2008</v>
      </c>
      <c r="D1597" t="s">
        <v>2024</v>
      </c>
      <c r="E1597" t="s">
        <v>47</v>
      </c>
      <c r="F1597" t="s">
        <v>1971</v>
      </c>
      <c r="G1597" t="str">
        <f>INDEX(Risk_Matrix!$B$2:$D$4,MATCH(E1597,Risk_Matrix!$A$2:$A$4,0),MATCH(F1597,Risk_Matrix!$B$1:$D$1,0))</f>
        <v>High</v>
      </c>
      <c r="H1597" s="1">
        <v>46110</v>
      </c>
      <c r="I1597" t="s">
        <v>2025</v>
      </c>
      <c r="J1597" t="s">
        <v>2035</v>
      </c>
      <c r="K1597" t="s">
        <v>2010</v>
      </c>
      <c r="L1597">
        <f>IF(G1597="High",3,IF(G1597="Medium",2,1))</f>
        <v>3</v>
      </c>
    </row>
    <row r="1598" spans="1:12">
      <c r="A1598" t="s">
        <v>3624</v>
      </c>
      <c r="B1598" t="s">
        <v>1189</v>
      </c>
      <c r="C1598" t="s">
        <v>1985</v>
      </c>
      <c r="D1598" t="s">
        <v>2062</v>
      </c>
      <c r="E1598" t="s">
        <v>47</v>
      </c>
      <c r="F1598" t="s">
        <v>57</v>
      </c>
      <c r="G1598" t="str">
        <f>INDEX(Risk_Matrix!$B$2:$D$4,MATCH(E1598,Risk_Matrix!$A$2:$A$4,0),MATCH(F1598,Risk_Matrix!$B$1:$D$1,0))</f>
        <v>Medium</v>
      </c>
      <c r="H1598" s="1">
        <v>46197</v>
      </c>
      <c r="I1598" t="s">
        <v>1987</v>
      </c>
      <c r="J1598" t="s">
        <v>1997</v>
      </c>
      <c r="K1598" t="s">
        <v>1998</v>
      </c>
      <c r="L1598">
        <f>IF(G1598="High",3,IF(G1598="Medium",2,1))</f>
        <v>2</v>
      </c>
    </row>
    <row r="1599" spans="1:12">
      <c r="A1599" t="s">
        <v>3625</v>
      </c>
      <c r="B1599" t="s">
        <v>1189</v>
      </c>
      <c r="C1599" t="s">
        <v>1991</v>
      </c>
      <c r="D1599" t="s">
        <v>2064</v>
      </c>
      <c r="E1599" t="s">
        <v>47</v>
      </c>
      <c r="F1599" t="s">
        <v>57</v>
      </c>
      <c r="G1599" t="str">
        <f>INDEX(Risk_Matrix!$B$2:$D$4,MATCH(E1599,Risk_Matrix!$A$2:$A$4,0),MATCH(F1599,Risk_Matrix!$B$1:$D$1,0))</f>
        <v>Medium</v>
      </c>
      <c r="H1599" s="1">
        <v>46151</v>
      </c>
      <c r="I1599" t="s">
        <v>2015</v>
      </c>
      <c r="J1599" t="s">
        <v>2032</v>
      </c>
      <c r="K1599" t="s">
        <v>1993</v>
      </c>
      <c r="L1599">
        <f>IF(G1599="High",3,IF(G1599="Medium",2,1))</f>
        <v>2</v>
      </c>
    </row>
    <row r="1600" spans="1:12">
      <c r="A1600" t="s">
        <v>3626</v>
      </c>
      <c r="B1600" t="s">
        <v>1189</v>
      </c>
      <c r="C1600" t="s">
        <v>1995</v>
      </c>
      <c r="D1600" t="s">
        <v>1996</v>
      </c>
      <c r="E1600" t="s">
        <v>47</v>
      </c>
      <c r="F1600" t="s">
        <v>1971</v>
      </c>
      <c r="G1600" t="str">
        <f>INDEX(Risk_Matrix!$B$2:$D$4,MATCH(E1600,Risk_Matrix!$A$2:$A$4,0),MATCH(F1600,Risk_Matrix!$B$1:$D$1,0))</f>
        <v>High</v>
      </c>
      <c r="H1600" s="1">
        <v>46057</v>
      </c>
      <c r="I1600" t="s">
        <v>2025</v>
      </c>
      <c r="J1600" t="s">
        <v>2026</v>
      </c>
      <c r="K1600" t="s">
        <v>2036</v>
      </c>
      <c r="L1600">
        <f>IF(G1600="High",3,IF(G1600="Medium",2,1))</f>
        <v>3</v>
      </c>
    </row>
    <row r="1601" spans="1:12">
      <c r="A1601" t="s">
        <v>3627</v>
      </c>
      <c r="B1601" t="s">
        <v>1189</v>
      </c>
      <c r="C1601" t="s">
        <v>2000</v>
      </c>
      <c r="D1601" t="s">
        <v>2001</v>
      </c>
      <c r="E1601" t="s">
        <v>1971</v>
      </c>
      <c r="F1601" t="s">
        <v>1971</v>
      </c>
      <c r="G1601" t="str">
        <f>INDEX(Risk_Matrix!$B$2:$D$4,MATCH(E1601,Risk_Matrix!$A$2:$A$4,0),MATCH(F1601,Risk_Matrix!$B$1:$D$1,0))</f>
        <v>Medium</v>
      </c>
      <c r="H1601" s="1">
        <v>46214</v>
      </c>
      <c r="I1601" t="s">
        <v>2025</v>
      </c>
      <c r="J1601" t="s">
        <v>2026</v>
      </c>
      <c r="K1601" t="s">
        <v>1993</v>
      </c>
      <c r="L1601">
        <f>IF(G1601="High",3,IF(G1601="Medium",2,1))</f>
        <v>2</v>
      </c>
    </row>
    <row r="1602" spans="1:12">
      <c r="A1602" t="s">
        <v>3628</v>
      </c>
      <c r="B1602" t="s">
        <v>1189</v>
      </c>
      <c r="C1602" t="s">
        <v>2005</v>
      </c>
      <c r="D1602" t="s">
        <v>2006</v>
      </c>
      <c r="E1602" t="s">
        <v>57</v>
      </c>
      <c r="F1602" t="s">
        <v>1971</v>
      </c>
      <c r="G1602" t="str">
        <f>INDEX(Risk_Matrix!$B$2:$D$4,MATCH(E1602,Risk_Matrix!$A$2:$A$4,0),MATCH(F1602,Risk_Matrix!$B$1:$D$1,0))</f>
        <v>Low</v>
      </c>
      <c r="H1602" s="1">
        <v>46161</v>
      </c>
      <c r="I1602" t="s">
        <v>2025</v>
      </c>
      <c r="J1602" t="s">
        <v>2026</v>
      </c>
      <c r="K1602" t="s">
        <v>1993</v>
      </c>
      <c r="L1602">
        <f>IF(G1602="High",3,IF(G1602="Medium",2,1))</f>
        <v>1</v>
      </c>
    </row>
    <row r="1603" spans="1:12">
      <c r="A1603" t="s">
        <v>3629</v>
      </c>
      <c r="B1603" t="s">
        <v>1189</v>
      </c>
      <c r="C1603" t="s">
        <v>2008</v>
      </c>
      <c r="D1603" t="s">
        <v>2009</v>
      </c>
      <c r="E1603" t="s">
        <v>57</v>
      </c>
      <c r="F1603" t="s">
        <v>47</v>
      </c>
      <c r="G1603" t="str">
        <f>INDEX(Risk_Matrix!$B$2:$D$4,MATCH(E1603,Risk_Matrix!$A$2:$A$4,0),MATCH(F1603,Risk_Matrix!$B$1:$D$1,0))</f>
        <v>Medium</v>
      </c>
      <c r="H1603" s="1">
        <v>46200</v>
      </c>
      <c r="I1603" t="s">
        <v>1987</v>
      </c>
      <c r="J1603" t="s">
        <v>1997</v>
      </c>
      <c r="K1603" t="s">
        <v>2010</v>
      </c>
      <c r="L1603">
        <f>IF(G1603="High",3,IF(G1603="Medium",2,1))</f>
        <v>2</v>
      </c>
    </row>
    <row r="1604" spans="1:12">
      <c r="A1604" t="s">
        <v>3630</v>
      </c>
      <c r="B1604" t="s">
        <v>1191</v>
      </c>
      <c r="C1604" t="s">
        <v>1985</v>
      </c>
      <c r="D1604" t="s">
        <v>1986</v>
      </c>
      <c r="E1604" t="s">
        <v>1971</v>
      </c>
      <c r="F1604" t="s">
        <v>57</v>
      </c>
      <c r="G1604" t="str">
        <f>INDEX(Risk_Matrix!$B$2:$D$4,MATCH(E1604,Risk_Matrix!$A$2:$A$4,0),MATCH(F1604,Risk_Matrix!$B$1:$D$1,0))</f>
        <v>Low</v>
      </c>
      <c r="H1604" s="1">
        <v>46231</v>
      </c>
      <c r="I1604" t="s">
        <v>1987</v>
      </c>
      <c r="J1604" t="s">
        <v>1988</v>
      </c>
      <c r="K1604" t="s">
        <v>1989</v>
      </c>
      <c r="L1604">
        <f>IF(G1604="High",3,IF(G1604="Medium",2,1))</f>
        <v>1</v>
      </c>
    </row>
    <row r="1605" spans="1:12">
      <c r="A1605" t="s">
        <v>3631</v>
      </c>
      <c r="B1605" t="s">
        <v>1191</v>
      </c>
      <c r="C1605" t="s">
        <v>1991</v>
      </c>
      <c r="D1605" t="s">
        <v>2064</v>
      </c>
      <c r="E1605" t="s">
        <v>57</v>
      </c>
      <c r="F1605" t="s">
        <v>1971</v>
      </c>
      <c r="G1605" t="str">
        <f>INDEX(Risk_Matrix!$B$2:$D$4,MATCH(E1605,Risk_Matrix!$A$2:$A$4,0),MATCH(F1605,Risk_Matrix!$B$1:$D$1,0))</f>
        <v>Low</v>
      </c>
      <c r="H1605" s="1">
        <v>46067</v>
      </c>
      <c r="I1605" t="s">
        <v>2025</v>
      </c>
      <c r="J1605" t="s">
        <v>2035</v>
      </c>
      <c r="K1605" t="s">
        <v>1993</v>
      </c>
      <c r="L1605">
        <f>IF(G1605="High",3,IF(G1605="Medium",2,1))</f>
        <v>1</v>
      </c>
    </row>
    <row r="1606" spans="1:12">
      <c r="A1606" t="s">
        <v>3632</v>
      </c>
      <c r="B1606" t="s">
        <v>1191</v>
      </c>
      <c r="C1606" t="s">
        <v>1995</v>
      </c>
      <c r="D1606" t="s">
        <v>1996</v>
      </c>
      <c r="E1606" t="s">
        <v>57</v>
      </c>
      <c r="F1606" t="s">
        <v>57</v>
      </c>
      <c r="G1606" t="str">
        <f>INDEX(Risk_Matrix!$B$2:$D$4,MATCH(E1606,Risk_Matrix!$A$2:$A$4,0),MATCH(F1606,Risk_Matrix!$B$1:$D$1,0))</f>
        <v>Low</v>
      </c>
      <c r="H1606" s="1">
        <v>46231</v>
      </c>
      <c r="I1606" t="s">
        <v>1987</v>
      </c>
      <c r="J1606" t="s">
        <v>1997</v>
      </c>
      <c r="K1606" t="s">
        <v>2036</v>
      </c>
      <c r="L1606">
        <f>IF(G1606="High",3,IF(G1606="Medium",2,1))</f>
        <v>1</v>
      </c>
    </row>
    <row r="1607" spans="1:12">
      <c r="A1607" t="s">
        <v>3633</v>
      </c>
      <c r="B1607" t="s">
        <v>1191</v>
      </c>
      <c r="C1607" t="s">
        <v>2000</v>
      </c>
      <c r="D1607" t="s">
        <v>2001</v>
      </c>
      <c r="E1607" t="s">
        <v>57</v>
      </c>
      <c r="F1607" t="s">
        <v>57</v>
      </c>
      <c r="G1607" t="str">
        <f>INDEX(Risk_Matrix!$B$2:$D$4,MATCH(E1607,Risk_Matrix!$A$2:$A$4,0),MATCH(F1607,Risk_Matrix!$B$1:$D$1,0))</f>
        <v>Low</v>
      </c>
      <c r="H1607" s="1">
        <v>46167</v>
      </c>
      <c r="I1607" t="s">
        <v>2025</v>
      </c>
      <c r="J1607" t="s">
        <v>2035</v>
      </c>
      <c r="K1607" t="s">
        <v>1993</v>
      </c>
      <c r="L1607">
        <f>IF(G1607="High",3,IF(G1607="Medium",2,1))</f>
        <v>1</v>
      </c>
    </row>
    <row r="1608" spans="1:12">
      <c r="A1608" t="s">
        <v>3634</v>
      </c>
      <c r="B1608" t="s">
        <v>1191</v>
      </c>
      <c r="C1608" t="s">
        <v>2005</v>
      </c>
      <c r="D1608" t="s">
        <v>2039</v>
      </c>
      <c r="E1608" t="s">
        <v>1971</v>
      </c>
      <c r="F1608" t="s">
        <v>1971</v>
      </c>
      <c r="G1608" t="str">
        <f>INDEX(Risk_Matrix!$B$2:$D$4,MATCH(E1608,Risk_Matrix!$A$2:$A$4,0),MATCH(F1608,Risk_Matrix!$B$1:$D$1,0))</f>
        <v>Medium</v>
      </c>
      <c r="H1608" s="1">
        <v>46129</v>
      </c>
      <c r="I1608" t="s">
        <v>2002</v>
      </c>
      <c r="J1608" t="s">
        <v>2003</v>
      </c>
      <c r="K1608" t="s">
        <v>1993</v>
      </c>
      <c r="L1608">
        <f>IF(G1608="High",3,IF(G1608="Medium",2,1))</f>
        <v>2</v>
      </c>
    </row>
    <row r="1609" spans="1:12">
      <c r="A1609" t="s">
        <v>3635</v>
      </c>
      <c r="B1609" t="s">
        <v>1191</v>
      </c>
      <c r="C1609" t="s">
        <v>2008</v>
      </c>
      <c r="D1609" t="s">
        <v>2024</v>
      </c>
      <c r="E1609" t="s">
        <v>57</v>
      </c>
      <c r="F1609" t="s">
        <v>47</v>
      </c>
      <c r="G1609" t="str">
        <f>INDEX(Risk_Matrix!$B$2:$D$4,MATCH(E1609,Risk_Matrix!$A$2:$A$4,0),MATCH(F1609,Risk_Matrix!$B$1:$D$1,0))</f>
        <v>Medium</v>
      </c>
      <c r="H1609" s="1">
        <v>46068</v>
      </c>
      <c r="I1609" t="s">
        <v>1987</v>
      </c>
      <c r="J1609" t="s">
        <v>1988</v>
      </c>
      <c r="K1609" t="s">
        <v>2010</v>
      </c>
      <c r="L1609">
        <f>IF(G1609="High",3,IF(G1609="Medium",2,1))</f>
        <v>2</v>
      </c>
    </row>
    <row r="1610" spans="1:12">
      <c r="A1610" t="s">
        <v>3636</v>
      </c>
      <c r="B1610" t="s">
        <v>1192</v>
      </c>
      <c r="C1610" t="s">
        <v>1985</v>
      </c>
      <c r="D1610" t="s">
        <v>1986</v>
      </c>
      <c r="E1610" t="s">
        <v>57</v>
      </c>
      <c r="F1610" t="s">
        <v>47</v>
      </c>
      <c r="G1610" t="str">
        <f>INDEX(Risk_Matrix!$B$2:$D$4,MATCH(E1610,Risk_Matrix!$A$2:$A$4,0),MATCH(F1610,Risk_Matrix!$B$1:$D$1,0))</f>
        <v>Medium</v>
      </c>
      <c r="H1610" s="1">
        <v>46094</v>
      </c>
      <c r="I1610" t="s">
        <v>2025</v>
      </c>
      <c r="J1610" t="s">
        <v>2035</v>
      </c>
      <c r="K1610" t="s">
        <v>1989</v>
      </c>
      <c r="L1610">
        <f>IF(G1610="High",3,IF(G1610="Medium",2,1))</f>
        <v>2</v>
      </c>
    </row>
    <row r="1611" spans="1:12">
      <c r="A1611" t="s">
        <v>3637</v>
      </c>
      <c r="B1611" t="s">
        <v>1192</v>
      </c>
      <c r="C1611" t="s">
        <v>1991</v>
      </c>
      <c r="D1611" t="s">
        <v>2031</v>
      </c>
      <c r="E1611" t="s">
        <v>47</v>
      </c>
      <c r="F1611" t="s">
        <v>57</v>
      </c>
      <c r="G1611" t="str">
        <f>INDEX(Risk_Matrix!$B$2:$D$4,MATCH(E1611,Risk_Matrix!$A$2:$A$4,0),MATCH(F1611,Risk_Matrix!$B$1:$D$1,0))</f>
        <v>Medium</v>
      </c>
      <c r="H1611" s="1">
        <v>46056</v>
      </c>
      <c r="I1611" t="s">
        <v>1987</v>
      </c>
      <c r="J1611" t="s">
        <v>1997</v>
      </c>
      <c r="K1611" t="s">
        <v>1993</v>
      </c>
      <c r="L1611">
        <f>IF(G1611="High",3,IF(G1611="Medium",2,1))</f>
        <v>2</v>
      </c>
    </row>
    <row r="1612" spans="1:12">
      <c r="A1612" t="s">
        <v>3638</v>
      </c>
      <c r="B1612" t="s">
        <v>1192</v>
      </c>
      <c r="C1612" t="s">
        <v>1995</v>
      </c>
      <c r="D1612" t="s">
        <v>2018</v>
      </c>
      <c r="E1612" t="s">
        <v>1971</v>
      </c>
      <c r="F1612" t="s">
        <v>1971</v>
      </c>
      <c r="G1612" t="str">
        <f>INDEX(Risk_Matrix!$B$2:$D$4,MATCH(E1612,Risk_Matrix!$A$2:$A$4,0),MATCH(F1612,Risk_Matrix!$B$1:$D$1,0))</f>
        <v>Medium</v>
      </c>
      <c r="H1612" s="1">
        <v>46124</v>
      </c>
      <c r="I1612" t="s">
        <v>2025</v>
      </c>
      <c r="J1612" t="s">
        <v>2035</v>
      </c>
      <c r="K1612" t="s">
        <v>2036</v>
      </c>
      <c r="L1612">
        <f>IF(G1612="High",3,IF(G1612="Medium",2,1))</f>
        <v>2</v>
      </c>
    </row>
    <row r="1613" spans="1:12">
      <c r="A1613" t="s">
        <v>3639</v>
      </c>
      <c r="B1613" t="s">
        <v>1192</v>
      </c>
      <c r="C1613" t="s">
        <v>2000</v>
      </c>
      <c r="D1613" t="s">
        <v>2045</v>
      </c>
      <c r="E1613" t="s">
        <v>57</v>
      </c>
      <c r="F1613" t="s">
        <v>57</v>
      </c>
      <c r="G1613" t="str">
        <f>INDEX(Risk_Matrix!$B$2:$D$4,MATCH(E1613,Risk_Matrix!$A$2:$A$4,0),MATCH(F1613,Risk_Matrix!$B$1:$D$1,0))</f>
        <v>Low</v>
      </c>
      <c r="H1613" s="1">
        <v>46181</v>
      </c>
      <c r="I1613" t="s">
        <v>1987</v>
      </c>
      <c r="J1613" t="s">
        <v>1997</v>
      </c>
      <c r="K1613" t="s">
        <v>1989</v>
      </c>
      <c r="L1613">
        <f>IF(G1613="High",3,IF(G1613="Medium",2,1))</f>
        <v>1</v>
      </c>
    </row>
    <row r="1614" spans="1:12">
      <c r="A1614" t="s">
        <v>3640</v>
      </c>
      <c r="B1614" t="s">
        <v>1192</v>
      </c>
      <c r="C1614" t="s">
        <v>2005</v>
      </c>
      <c r="D1614" t="s">
        <v>2022</v>
      </c>
      <c r="E1614" t="s">
        <v>1971</v>
      </c>
      <c r="F1614" t="s">
        <v>57</v>
      </c>
      <c r="G1614" t="str">
        <f>INDEX(Risk_Matrix!$B$2:$D$4,MATCH(E1614,Risk_Matrix!$A$2:$A$4,0),MATCH(F1614,Risk_Matrix!$B$1:$D$1,0))</f>
        <v>Low</v>
      </c>
      <c r="H1614" s="1">
        <v>46154</v>
      </c>
      <c r="I1614" t="s">
        <v>2002</v>
      </c>
      <c r="J1614" t="s">
        <v>2029</v>
      </c>
      <c r="K1614" t="s">
        <v>1993</v>
      </c>
      <c r="L1614">
        <f>IF(G1614="High",3,IF(G1614="Medium",2,1))</f>
        <v>1</v>
      </c>
    </row>
    <row r="1615" spans="1:12">
      <c r="A1615" t="s">
        <v>3641</v>
      </c>
      <c r="B1615" t="s">
        <v>1192</v>
      </c>
      <c r="C1615" t="s">
        <v>2008</v>
      </c>
      <c r="D1615" t="s">
        <v>2024</v>
      </c>
      <c r="E1615" t="s">
        <v>47</v>
      </c>
      <c r="F1615" t="s">
        <v>47</v>
      </c>
      <c r="G1615" t="str">
        <f>INDEX(Risk_Matrix!$B$2:$D$4,MATCH(E1615,Risk_Matrix!$A$2:$A$4,0),MATCH(F1615,Risk_Matrix!$B$1:$D$1,0))</f>
        <v>High</v>
      </c>
      <c r="H1615" s="1">
        <v>46138</v>
      </c>
      <c r="I1615" t="s">
        <v>2002</v>
      </c>
      <c r="J1615" t="s">
        <v>2003</v>
      </c>
      <c r="K1615" t="s">
        <v>2010</v>
      </c>
      <c r="L1615">
        <f>IF(G1615="High",3,IF(G1615="Medium",2,1))</f>
        <v>3</v>
      </c>
    </row>
    <row r="1616" spans="1:12">
      <c r="A1616" t="s">
        <v>3642</v>
      </c>
      <c r="B1616" t="s">
        <v>1194</v>
      </c>
      <c r="C1616" t="s">
        <v>1985</v>
      </c>
      <c r="D1616" t="s">
        <v>2028</v>
      </c>
      <c r="E1616" t="s">
        <v>57</v>
      </c>
      <c r="F1616" t="s">
        <v>1971</v>
      </c>
      <c r="G1616" t="str">
        <f>INDEX(Risk_Matrix!$B$2:$D$4,MATCH(E1616,Risk_Matrix!$A$2:$A$4,0),MATCH(F1616,Risk_Matrix!$B$1:$D$1,0))</f>
        <v>Low</v>
      </c>
      <c r="H1616" s="1">
        <v>46178</v>
      </c>
      <c r="I1616" t="s">
        <v>2015</v>
      </c>
      <c r="J1616" t="s">
        <v>2032</v>
      </c>
      <c r="K1616" t="s">
        <v>1989</v>
      </c>
      <c r="L1616">
        <f>IF(G1616="High",3,IF(G1616="Medium",2,1))</f>
        <v>1</v>
      </c>
    </row>
    <row r="1617" spans="1:12">
      <c r="A1617" t="s">
        <v>3643</v>
      </c>
      <c r="B1617" t="s">
        <v>1194</v>
      </c>
      <c r="C1617" t="s">
        <v>1991</v>
      </c>
      <c r="D1617" t="s">
        <v>2014</v>
      </c>
      <c r="E1617" t="s">
        <v>57</v>
      </c>
      <c r="F1617" t="s">
        <v>57</v>
      </c>
      <c r="G1617" t="str">
        <f>INDEX(Risk_Matrix!$B$2:$D$4,MATCH(E1617,Risk_Matrix!$A$2:$A$4,0),MATCH(F1617,Risk_Matrix!$B$1:$D$1,0))</f>
        <v>Low</v>
      </c>
      <c r="H1617" s="1">
        <v>46212</v>
      </c>
      <c r="I1617" t="s">
        <v>1987</v>
      </c>
      <c r="J1617" t="s">
        <v>1988</v>
      </c>
      <c r="K1617" t="s">
        <v>1993</v>
      </c>
      <c r="L1617">
        <f>IF(G1617="High",3,IF(G1617="Medium",2,1))</f>
        <v>1</v>
      </c>
    </row>
    <row r="1618" spans="1:12">
      <c r="A1618" t="s">
        <v>3644</v>
      </c>
      <c r="B1618" t="s">
        <v>1194</v>
      </c>
      <c r="C1618" t="s">
        <v>1995</v>
      </c>
      <c r="D1618" t="s">
        <v>2018</v>
      </c>
      <c r="E1618" t="s">
        <v>57</v>
      </c>
      <c r="F1618" t="s">
        <v>1971</v>
      </c>
      <c r="G1618" t="str">
        <f>INDEX(Risk_Matrix!$B$2:$D$4,MATCH(E1618,Risk_Matrix!$A$2:$A$4,0),MATCH(F1618,Risk_Matrix!$B$1:$D$1,0))</f>
        <v>Low</v>
      </c>
      <c r="H1618" s="1">
        <v>46119</v>
      </c>
      <c r="I1618" t="s">
        <v>2025</v>
      </c>
      <c r="J1618" t="s">
        <v>2026</v>
      </c>
      <c r="K1618" t="s">
        <v>2036</v>
      </c>
      <c r="L1618">
        <f>IF(G1618="High",3,IF(G1618="Medium",2,1))</f>
        <v>1</v>
      </c>
    </row>
    <row r="1619" spans="1:12">
      <c r="A1619" t="s">
        <v>3645</v>
      </c>
      <c r="B1619" t="s">
        <v>1194</v>
      </c>
      <c r="C1619" t="s">
        <v>2000</v>
      </c>
      <c r="D1619" t="s">
        <v>2001</v>
      </c>
      <c r="E1619" t="s">
        <v>1971</v>
      </c>
      <c r="F1619" t="s">
        <v>1971</v>
      </c>
      <c r="G1619" t="str">
        <f>INDEX(Risk_Matrix!$B$2:$D$4,MATCH(E1619,Risk_Matrix!$A$2:$A$4,0),MATCH(F1619,Risk_Matrix!$B$1:$D$1,0))</f>
        <v>Medium</v>
      </c>
      <c r="H1619" s="1">
        <v>46082</v>
      </c>
      <c r="I1619" t="s">
        <v>2025</v>
      </c>
      <c r="J1619" t="s">
        <v>2035</v>
      </c>
      <c r="K1619" t="s">
        <v>1989</v>
      </c>
      <c r="L1619">
        <f>IF(G1619="High",3,IF(G1619="Medium",2,1))</f>
        <v>2</v>
      </c>
    </row>
    <row r="1620" spans="1:12">
      <c r="A1620" t="s">
        <v>3646</v>
      </c>
      <c r="B1620" t="s">
        <v>1194</v>
      </c>
      <c r="C1620" t="s">
        <v>2005</v>
      </c>
      <c r="D1620" t="s">
        <v>2006</v>
      </c>
      <c r="E1620" t="s">
        <v>57</v>
      </c>
      <c r="F1620" t="s">
        <v>57</v>
      </c>
      <c r="G1620" t="str">
        <f>INDEX(Risk_Matrix!$B$2:$D$4,MATCH(E1620,Risk_Matrix!$A$2:$A$4,0),MATCH(F1620,Risk_Matrix!$B$1:$D$1,0))</f>
        <v>Low</v>
      </c>
      <c r="H1620" s="1">
        <v>46069</v>
      </c>
      <c r="I1620" t="s">
        <v>1987</v>
      </c>
      <c r="J1620" t="s">
        <v>1997</v>
      </c>
      <c r="K1620" t="s">
        <v>1993</v>
      </c>
      <c r="L1620">
        <f>IF(G1620="High",3,IF(G1620="Medium",2,1))</f>
        <v>1</v>
      </c>
    </row>
    <row r="1621" spans="1:12">
      <c r="A1621" t="s">
        <v>3647</v>
      </c>
      <c r="B1621" t="s">
        <v>1194</v>
      </c>
      <c r="C1621" t="s">
        <v>2008</v>
      </c>
      <c r="D1621" t="s">
        <v>2024</v>
      </c>
      <c r="E1621" t="s">
        <v>1971</v>
      </c>
      <c r="F1621" t="s">
        <v>1971</v>
      </c>
      <c r="G1621" t="str">
        <f>INDEX(Risk_Matrix!$B$2:$D$4,MATCH(E1621,Risk_Matrix!$A$2:$A$4,0),MATCH(F1621,Risk_Matrix!$B$1:$D$1,0))</f>
        <v>Medium</v>
      </c>
      <c r="H1621" s="1">
        <v>46168</v>
      </c>
      <c r="I1621" t="s">
        <v>2015</v>
      </c>
      <c r="J1621" t="s">
        <v>2032</v>
      </c>
      <c r="K1621" t="s">
        <v>2010</v>
      </c>
      <c r="L1621">
        <f>IF(G1621="High",3,IF(G1621="Medium",2,1))</f>
        <v>2</v>
      </c>
    </row>
    <row r="1622" spans="1:12">
      <c r="A1622" t="s">
        <v>3648</v>
      </c>
      <c r="B1622" t="s">
        <v>1196</v>
      </c>
      <c r="C1622" t="s">
        <v>1985</v>
      </c>
      <c r="D1622" t="s">
        <v>1986</v>
      </c>
      <c r="E1622" t="s">
        <v>1971</v>
      </c>
      <c r="F1622" t="s">
        <v>57</v>
      </c>
      <c r="G1622" t="str">
        <f>INDEX(Risk_Matrix!$B$2:$D$4,MATCH(E1622,Risk_Matrix!$A$2:$A$4,0),MATCH(F1622,Risk_Matrix!$B$1:$D$1,0))</f>
        <v>Low</v>
      </c>
      <c r="H1622" s="1">
        <v>46186</v>
      </c>
      <c r="I1622" t="s">
        <v>1987</v>
      </c>
      <c r="J1622" t="s">
        <v>1988</v>
      </c>
      <c r="K1622" t="s">
        <v>1998</v>
      </c>
      <c r="L1622">
        <f>IF(G1622="High",3,IF(G1622="Medium",2,1))</f>
        <v>1</v>
      </c>
    </row>
    <row r="1623" spans="1:12">
      <c r="A1623" t="s">
        <v>3649</v>
      </c>
      <c r="B1623" t="s">
        <v>1196</v>
      </c>
      <c r="C1623" t="s">
        <v>1991</v>
      </c>
      <c r="D1623" t="s">
        <v>1992</v>
      </c>
      <c r="E1623" t="s">
        <v>1971</v>
      </c>
      <c r="F1623" t="s">
        <v>57</v>
      </c>
      <c r="G1623" t="str">
        <f>INDEX(Risk_Matrix!$B$2:$D$4,MATCH(E1623,Risk_Matrix!$A$2:$A$4,0),MATCH(F1623,Risk_Matrix!$B$1:$D$1,0))</f>
        <v>Low</v>
      </c>
      <c r="H1623" s="1">
        <v>46082</v>
      </c>
      <c r="I1623" t="s">
        <v>2002</v>
      </c>
      <c r="J1623" t="s">
        <v>2029</v>
      </c>
      <c r="K1623" t="s">
        <v>2010</v>
      </c>
      <c r="L1623">
        <f>IF(G1623="High",3,IF(G1623="Medium",2,1))</f>
        <v>1</v>
      </c>
    </row>
    <row r="1624" spans="1:12">
      <c r="A1624" t="s">
        <v>3650</v>
      </c>
      <c r="B1624" t="s">
        <v>1196</v>
      </c>
      <c r="C1624" t="s">
        <v>1995</v>
      </c>
      <c r="D1624" t="s">
        <v>2018</v>
      </c>
      <c r="E1624" t="s">
        <v>57</v>
      </c>
      <c r="F1624" t="s">
        <v>1971</v>
      </c>
      <c r="G1624" t="str">
        <f>INDEX(Risk_Matrix!$B$2:$D$4,MATCH(E1624,Risk_Matrix!$A$2:$A$4,0),MATCH(F1624,Risk_Matrix!$B$1:$D$1,0))</f>
        <v>Low</v>
      </c>
      <c r="H1624" s="1">
        <v>46234</v>
      </c>
      <c r="I1624" t="s">
        <v>2002</v>
      </c>
      <c r="J1624" t="s">
        <v>2003</v>
      </c>
      <c r="K1624" t="s">
        <v>2036</v>
      </c>
      <c r="L1624">
        <f>IF(G1624="High",3,IF(G1624="Medium",2,1))</f>
        <v>1</v>
      </c>
    </row>
    <row r="1625" spans="1:12">
      <c r="A1625" t="s">
        <v>3651</v>
      </c>
      <c r="B1625" t="s">
        <v>1196</v>
      </c>
      <c r="C1625" t="s">
        <v>2000</v>
      </c>
      <c r="D1625" t="s">
        <v>2001</v>
      </c>
      <c r="E1625" t="s">
        <v>57</v>
      </c>
      <c r="F1625" t="s">
        <v>57</v>
      </c>
      <c r="G1625" t="str">
        <f>INDEX(Risk_Matrix!$B$2:$D$4,MATCH(E1625,Risk_Matrix!$A$2:$A$4,0),MATCH(F1625,Risk_Matrix!$B$1:$D$1,0))</f>
        <v>Low</v>
      </c>
      <c r="H1625" s="1">
        <v>46236</v>
      </c>
      <c r="I1625" t="s">
        <v>1987</v>
      </c>
      <c r="J1625" t="s">
        <v>1988</v>
      </c>
      <c r="K1625" t="s">
        <v>1989</v>
      </c>
      <c r="L1625">
        <f>IF(G1625="High",3,IF(G1625="Medium",2,1))</f>
        <v>1</v>
      </c>
    </row>
    <row r="1626" spans="1:12">
      <c r="A1626" t="s">
        <v>3652</v>
      </c>
      <c r="B1626" t="s">
        <v>1196</v>
      </c>
      <c r="C1626" t="s">
        <v>2005</v>
      </c>
      <c r="D1626" t="s">
        <v>2006</v>
      </c>
      <c r="E1626" t="s">
        <v>1971</v>
      </c>
      <c r="F1626" t="s">
        <v>47</v>
      </c>
      <c r="G1626" t="str">
        <f>INDEX(Risk_Matrix!$B$2:$D$4,MATCH(E1626,Risk_Matrix!$A$2:$A$4,0),MATCH(F1626,Risk_Matrix!$B$1:$D$1,0))</f>
        <v>High</v>
      </c>
      <c r="H1626" s="1">
        <v>46144</v>
      </c>
      <c r="I1626" t="s">
        <v>2025</v>
      </c>
      <c r="J1626" t="s">
        <v>2026</v>
      </c>
      <c r="K1626" t="s">
        <v>1993</v>
      </c>
      <c r="L1626">
        <f>IF(G1626="High",3,IF(G1626="Medium",2,1))</f>
        <v>3</v>
      </c>
    </row>
    <row r="1627" spans="1:12">
      <c r="A1627" t="s">
        <v>3653</v>
      </c>
      <c r="B1627" t="s">
        <v>1196</v>
      </c>
      <c r="C1627" t="s">
        <v>2008</v>
      </c>
      <c r="D1627" t="s">
        <v>2024</v>
      </c>
      <c r="E1627" t="s">
        <v>57</v>
      </c>
      <c r="F1627" t="s">
        <v>57</v>
      </c>
      <c r="G1627" t="str">
        <f>INDEX(Risk_Matrix!$B$2:$D$4,MATCH(E1627,Risk_Matrix!$A$2:$A$4,0),MATCH(F1627,Risk_Matrix!$B$1:$D$1,0))</f>
        <v>Low</v>
      </c>
      <c r="H1627" s="1">
        <v>46093</v>
      </c>
      <c r="I1627" t="s">
        <v>2025</v>
      </c>
      <c r="J1627" t="s">
        <v>2035</v>
      </c>
      <c r="K1627" t="s">
        <v>2010</v>
      </c>
      <c r="L1627">
        <f>IF(G1627="High",3,IF(G1627="Medium",2,1))</f>
        <v>1</v>
      </c>
    </row>
    <row r="1628" spans="1:12">
      <c r="A1628" t="s">
        <v>3654</v>
      </c>
      <c r="B1628" t="s">
        <v>1198</v>
      </c>
      <c r="C1628" t="s">
        <v>1985</v>
      </c>
      <c r="D1628" t="s">
        <v>2012</v>
      </c>
      <c r="E1628" t="s">
        <v>1971</v>
      </c>
      <c r="F1628" t="s">
        <v>1971</v>
      </c>
      <c r="G1628" t="str">
        <f>INDEX(Risk_Matrix!$B$2:$D$4,MATCH(E1628,Risk_Matrix!$A$2:$A$4,0),MATCH(F1628,Risk_Matrix!$B$1:$D$1,0))</f>
        <v>Medium</v>
      </c>
      <c r="H1628" s="1">
        <v>46059</v>
      </c>
      <c r="I1628" t="s">
        <v>1987</v>
      </c>
      <c r="J1628" t="s">
        <v>1997</v>
      </c>
      <c r="K1628" t="s">
        <v>1998</v>
      </c>
      <c r="L1628">
        <f>IF(G1628="High",3,IF(G1628="Medium",2,1))</f>
        <v>2</v>
      </c>
    </row>
    <row r="1629" spans="1:12">
      <c r="A1629" t="s">
        <v>3655</v>
      </c>
      <c r="B1629" t="s">
        <v>1198</v>
      </c>
      <c r="C1629" t="s">
        <v>1991</v>
      </c>
      <c r="D1629" t="s">
        <v>2031</v>
      </c>
      <c r="E1629" t="s">
        <v>47</v>
      </c>
      <c r="F1629" t="s">
        <v>57</v>
      </c>
      <c r="G1629" t="str">
        <f>INDEX(Risk_Matrix!$B$2:$D$4,MATCH(E1629,Risk_Matrix!$A$2:$A$4,0),MATCH(F1629,Risk_Matrix!$B$1:$D$1,0))</f>
        <v>Medium</v>
      </c>
      <c r="H1629" s="1">
        <v>46166</v>
      </c>
      <c r="I1629" t="s">
        <v>2015</v>
      </c>
      <c r="J1629" t="s">
        <v>2032</v>
      </c>
      <c r="K1629" t="s">
        <v>1993</v>
      </c>
      <c r="L1629">
        <f>IF(G1629="High",3,IF(G1629="Medium",2,1))</f>
        <v>2</v>
      </c>
    </row>
    <row r="1630" spans="1:12">
      <c r="A1630" t="s">
        <v>3656</v>
      </c>
      <c r="B1630" t="s">
        <v>1198</v>
      </c>
      <c r="C1630" t="s">
        <v>1995</v>
      </c>
      <c r="D1630" t="s">
        <v>2018</v>
      </c>
      <c r="E1630" t="s">
        <v>1971</v>
      </c>
      <c r="F1630" t="s">
        <v>1971</v>
      </c>
      <c r="G1630" t="str">
        <f>INDEX(Risk_Matrix!$B$2:$D$4,MATCH(E1630,Risk_Matrix!$A$2:$A$4,0),MATCH(F1630,Risk_Matrix!$B$1:$D$1,0))</f>
        <v>Medium</v>
      </c>
      <c r="H1630" s="1">
        <v>46097</v>
      </c>
      <c r="I1630" t="s">
        <v>2025</v>
      </c>
      <c r="J1630" t="s">
        <v>2035</v>
      </c>
      <c r="K1630" t="s">
        <v>1998</v>
      </c>
      <c r="L1630">
        <f>IF(G1630="High",3,IF(G1630="Medium",2,1))</f>
        <v>2</v>
      </c>
    </row>
    <row r="1631" spans="1:12">
      <c r="A1631" t="s">
        <v>3657</v>
      </c>
      <c r="B1631" t="s">
        <v>1198</v>
      </c>
      <c r="C1631" t="s">
        <v>2000</v>
      </c>
      <c r="D1631" t="s">
        <v>2001</v>
      </c>
      <c r="E1631" t="s">
        <v>57</v>
      </c>
      <c r="F1631" t="s">
        <v>57</v>
      </c>
      <c r="G1631" t="str">
        <f>INDEX(Risk_Matrix!$B$2:$D$4,MATCH(E1631,Risk_Matrix!$A$2:$A$4,0),MATCH(F1631,Risk_Matrix!$B$1:$D$1,0))</f>
        <v>Low</v>
      </c>
      <c r="H1631" s="1">
        <v>46198</v>
      </c>
      <c r="I1631" t="s">
        <v>2002</v>
      </c>
      <c r="J1631" t="s">
        <v>2029</v>
      </c>
      <c r="K1631" t="s">
        <v>1993</v>
      </c>
      <c r="L1631">
        <f>IF(G1631="High",3,IF(G1631="Medium",2,1))</f>
        <v>1</v>
      </c>
    </row>
    <row r="1632" spans="1:12">
      <c r="A1632" t="s">
        <v>3658</v>
      </c>
      <c r="B1632" t="s">
        <v>1198</v>
      </c>
      <c r="C1632" t="s">
        <v>2005</v>
      </c>
      <c r="D1632" t="s">
        <v>2006</v>
      </c>
      <c r="E1632" t="s">
        <v>47</v>
      </c>
      <c r="F1632" t="s">
        <v>1971</v>
      </c>
      <c r="G1632" t="str">
        <f>INDEX(Risk_Matrix!$B$2:$D$4,MATCH(E1632,Risk_Matrix!$A$2:$A$4,0),MATCH(F1632,Risk_Matrix!$B$1:$D$1,0))</f>
        <v>High</v>
      </c>
      <c r="H1632" s="1">
        <v>46199</v>
      </c>
      <c r="I1632" t="s">
        <v>2025</v>
      </c>
      <c r="J1632" t="s">
        <v>2035</v>
      </c>
      <c r="K1632" t="s">
        <v>2036</v>
      </c>
      <c r="L1632">
        <f>IF(G1632="High",3,IF(G1632="Medium",2,1))</f>
        <v>3</v>
      </c>
    </row>
    <row r="1633" spans="1:12">
      <c r="A1633" t="s">
        <v>3659</v>
      </c>
      <c r="B1633" t="s">
        <v>1198</v>
      </c>
      <c r="C1633" t="s">
        <v>2008</v>
      </c>
      <c r="D1633" t="s">
        <v>2009</v>
      </c>
      <c r="E1633" t="s">
        <v>1971</v>
      </c>
      <c r="F1633" t="s">
        <v>57</v>
      </c>
      <c r="G1633" t="str">
        <f>INDEX(Risk_Matrix!$B$2:$D$4,MATCH(E1633,Risk_Matrix!$A$2:$A$4,0),MATCH(F1633,Risk_Matrix!$B$1:$D$1,0))</f>
        <v>Low</v>
      </c>
      <c r="H1633" s="1">
        <v>46162</v>
      </c>
      <c r="I1633" t="s">
        <v>2015</v>
      </c>
      <c r="J1633" t="s">
        <v>2032</v>
      </c>
      <c r="K1633" t="s">
        <v>2010</v>
      </c>
      <c r="L1633">
        <f>IF(G1633="High",3,IF(G1633="Medium",2,1))</f>
        <v>1</v>
      </c>
    </row>
    <row r="1634" spans="1:12">
      <c r="A1634" t="s">
        <v>3660</v>
      </c>
      <c r="B1634" t="s">
        <v>1199</v>
      </c>
      <c r="C1634" t="s">
        <v>1985</v>
      </c>
      <c r="D1634" t="s">
        <v>2012</v>
      </c>
      <c r="E1634" t="s">
        <v>57</v>
      </c>
      <c r="F1634" t="s">
        <v>57</v>
      </c>
      <c r="G1634" t="str">
        <f>INDEX(Risk_Matrix!$B$2:$D$4,MATCH(E1634,Risk_Matrix!$A$2:$A$4,0),MATCH(F1634,Risk_Matrix!$B$1:$D$1,0))</f>
        <v>Low</v>
      </c>
      <c r="H1634" s="1">
        <v>46080</v>
      </c>
      <c r="I1634" t="s">
        <v>2002</v>
      </c>
      <c r="J1634" t="s">
        <v>2029</v>
      </c>
      <c r="K1634" t="s">
        <v>1998</v>
      </c>
      <c r="L1634">
        <f>IF(G1634="High",3,IF(G1634="Medium",2,1))</f>
        <v>1</v>
      </c>
    </row>
    <row r="1635" spans="1:12">
      <c r="A1635" t="s">
        <v>3661</v>
      </c>
      <c r="B1635" t="s">
        <v>1199</v>
      </c>
      <c r="C1635" t="s">
        <v>1991</v>
      </c>
      <c r="D1635" t="s">
        <v>2031</v>
      </c>
      <c r="E1635" t="s">
        <v>1971</v>
      </c>
      <c r="F1635" t="s">
        <v>1971</v>
      </c>
      <c r="G1635" t="str">
        <f>INDEX(Risk_Matrix!$B$2:$D$4,MATCH(E1635,Risk_Matrix!$A$2:$A$4,0),MATCH(F1635,Risk_Matrix!$B$1:$D$1,0))</f>
        <v>Medium</v>
      </c>
      <c r="H1635" s="1">
        <v>46218</v>
      </c>
      <c r="I1635" t="s">
        <v>2015</v>
      </c>
      <c r="J1635" t="s">
        <v>2016</v>
      </c>
      <c r="K1635" t="s">
        <v>2010</v>
      </c>
      <c r="L1635">
        <f>IF(G1635="High",3,IF(G1635="Medium",2,1))</f>
        <v>2</v>
      </c>
    </row>
    <row r="1636" spans="1:12">
      <c r="A1636" t="s">
        <v>3662</v>
      </c>
      <c r="B1636" t="s">
        <v>1199</v>
      </c>
      <c r="C1636" t="s">
        <v>1995</v>
      </c>
      <c r="D1636" t="s">
        <v>2034</v>
      </c>
      <c r="E1636" t="s">
        <v>57</v>
      </c>
      <c r="F1636" t="s">
        <v>57</v>
      </c>
      <c r="G1636" t="str">
        <f>INDEX(Risk_Matrix!$B$2:$D$4,MATCH(E1636,Risk_Matrix!$A$2:$A$4,0),MATCH(F1636,Risk_Matrix!$B$1:$D$1,0))</f>
        <v>Low</v>
      </c>
      <c r="H1636" s="1">
        <v>46223</v>
      </c>
      <c r="I1636" t="s">
        <v>2015</v>
      </c>
      <c r="J1636" t="s">
        <v>2016</v>
      </c>
      <c r="K1636" t="s">
        <v>2036</v>
      </c>
      <c r="L1636">
        <f>IF(G1636="High",3,IF(G1636="Medium",2,1))</f>
        <v>1</v>
      </c>
    </row>
    <row r="1637" spans="1:12">
      <c r="A1637" t="s">
        <v>3663</v>
      </c>
      <c r="B1637" t="s">
        <v>1199</v>
      </c>
      <c r="C1637" t="s">
        <v>2000</v>
      </c>
      <c r="D1637" t="s">
        <v>2001</v>
      </c>
      <c r="E1637" t="s">
        <v>57</v>
      </c>
      <c r="F1637" t="s">
        <v>1971</v>
      </c>
      <c r="G1637" t="str">
        <f>INDEX(Risk_Matrix!$B$2:$D$4,MATCH(E1637,Risk_Matrix!$A$2:$A$4,0),MATCH(F1637,Risk_Matrix!$B$1:$D$1,0))</f>
        <v>Low</v>
      </c>
      <c r="H1637" s="1">
        <v>46233</v>
      </c>
      <c r="I1637" t="s">
        <v>2015</v>
      </c>
      <c r="J1637" t="s">
        <v>2032</v>
      </c>
      <c r="K1637" t="s">
        <v>1989</v>
      </c>
      <c r="L1637">
        <f>IF(G1637="High",3,IF(G1637="Medium",2,1))</f>
        <v>1</v>
      </c>
    </row>
    <row r="1638" spans="1:12">
      <c r="A1638" t="s">
        <v>3664</v>
      </c>
      <c r="B1638" t="s">
        <v>1199</v>
      </c>
      <c r="C1638" t="s">
        <v>2005</v>
      </c>
      <c r="D1638" t="s">
        <v>2022</v>
      </c>
      <c r="E1638" t="s">
        <v>1971</v>
      </c>
      <c r="F1638" t="s">
        <v>57</v>
      </c>
      <c r="G1638" t="str">
        <f>INDEX(Risk_Matrix!$B$2:$D$4,MATCH(E1638,Risk_Matrix!$A$2:$A$4,0),MATCH(F1638,Risk_Matrix!$B$1:$D$1,0))</f>
        <v>Low</v>
      </c>
      <c r="H1638" s="1">
        <v>46074</v>
      </c>
      <c r="I1638" t="s">
        <v>2025</v>
      </c>
      <c r="J1638" t="s">
        <v>2035</v>
      </c>
      <c r="K1638" t="s">
        <v>1993</v>
      </c>
      <c r="L1638">
        <f>IF(G1638="High",3,IF(G1638="Medium",2,1))</f>
        <v>1</v>
      </c>
    </row>
    <row r="1639" spans="1:12">
      <c r="A1639" t="s">
        <v>3665</v>
      </c>
      <c r="B1639" t="s">
        <v>1199</v>
      </c>
      <c r="C1639" t="s">
        <v>2008</v>
      </c>
      <c r="D1639" t="s">
        <v>2009</v>
      </c>
      <c r="E1639" t="s">
        <v>57</v>
      </c>
      <c r="F1639" t="s">
        <v>57</v>
      </c>
      <c r="G1639" t="str">
        <f>INDEX(Risk_Matrix!$B$2:$D$4,MATCH(E1639,Risk_Matrix!$A$2:$A$4,0),MATCH(F1639,Risk_Matrix!$B$1:$D$1,0))</f>
        <v>Low</v>
      </c>
      <c r="H1639" s="1">
        <v>46151</v>
      </c>
      <c r="I1639" t="s">
        <v>2002</v>
      </c>
      <c r="J1639" t="s">
        <v>2003</v>
      </c>
      <c r="K1639" t="s">
        <v>2010</v>
      </c>
      <c r="L1639">
        <f>IF(G1639="High",3,IF(G1639="Medium",2,1))</f>
        <v>1</v>
      </c>
    </row>
    <row r="1640" spans="1:12">
      <c r="A1640" t="s">
        <v>3666</v>
      </c>
      <c r="B1640" t="s">
        <v>1201</v>
      </c>
      <c r="C1640" t="s">
        <v>1985</v>
      </c>
      <c r="D1640" t="s">
        <v>1986</v>
      </c>
      <c r="E1640" t="s">
        <v>57</v>
      </c>
      <c r="F1640" t="s">
        <v>47</v>
      </c>
      <c r="G1640" t="str">
        <f>INDEX(Risk_Matrix!$B$2:$D$4,MATCH(E1640,Risk_Matrix!$A$2:$A$4,0),MATCH(F1640,Risk_Matrix!$B$1:$D$1,0))</f>
        <v>Medium</v>
      </c>
      <c r="H1640" s="1">
        <v>46200</v>
      </c>
      <c r="I1640" t="s">
        <v>1987</v>
      </c>
      <c r="J1640" t="s">
        <v>1988</v>
      </c>
      <c r="K1640" t="s">
        <v>1989</v>
      </c>
      <c r="L1640">
        <f>IF(G1640="High",3,IF(G1640="Medium",2,1))</f>
        <v>2</v>
      </c>
    </row>
    <row r="1641" spans="1:12">
      <c r="A1641" t="s">
        <v>3667</v>
      </c>
      <c r="B1641" t="s">
        <v>1201</v>
      </c>
      <c r="C1641" t="s">
        <v>1991</v>
      </c>
      <c r="D1641" t="s">
        <v>2064</v>
      </c>
      <c r="E1641" t="s">
        <v>57</v>
      </c>
      <c r="F1641" t="s">
        <v>57</v>
      </c>
      <c r="G1641" t="str">
        <f>INDEX(Risk_Matrix!$B$2:$D$4,MATCH(E1641,Risk_Matrix!$A$2:$A$4,0),MATCH(F1641,Risk_Matrix!$B$1:$D$1,0))</f>
        <v>Low</v>
      </c>
      <c r="H1641" s="1">
        <v>46159</v>
      </c>
      <c r="I1641" t="s">
        <v>2002</v>
      </c>
      <c r="J1641" t="s">
        <v>2003</v>
      </c>
      <c r="K1641" t="s">
        <v>1993</v>
      </c>
      <c r="L1641">
        <f>IF(G1641="High",3,IF(G1641="Medium",2,1))</f>
        <v>1</v>
      </c>
    </row>
    <row r="1642" spans="1:12">
      <c r="A1642" t="s">
        <v>3668</v>
      </c>
      <c r="B1642" t="s">
        <v>1201</v>
      </c>
      <c r="C1642" t="s">
        <v>1995</v>
      </c>
      <c r="D1642" t="s">
        <v>1996</v>
      </c>
      <c r="E1642" t="s">
        <v>1971</v>
      </c>
      <c r="F1642" t="s">
        <v>57</v>
      </c>
      <c r="G1642" t="str">
        <f>INDEX(Risk_Matrix!$B$2:$D$4,MATCH(E1642,Risk_Matrix!$A$2:$A$4,0),MATCH(F1642,Risk_Matrix!$B$1:$D$1,0))</f>
        <v>Low</v>
      </c>
      <c r="H1642" s="1">
        <v>46063</v>
      </c>
      <c r="I1642" t="s">
        <v>1987</v>
      </c>
      <c r="J1642" t="s">
        <v>1997</v>
      </c>
      <c r="K1642" t="s">
        <v>2036</v>
      </c>
      <c r="L1642">
        <f>IF(G1642="High",3,IF(G1642="Medium",2,1))</f>
        <v>1</v>
      </c>
    </row>
    <row r="1643" spans="1:12">
      <c r="A1643" t="s">
        <v>3669</v>
      </c>
      <c r="B1643" t="s">
        <v>1201</v>
      </c>
      <c r="C1643" t="s">
        <v>2000</v>
      </c>
      <c r="D1643" t="s">
        <v>2001</v>
      </c>
      <c r="E1643" t="s">
        <v>1971</v>
      </c>
      <c r="F1643" t="s">
        <v>57</v>
      </c>
      <c r="G1643" t="str">
        <f>INDEX(Risk_Matrix!$B$2:$D$4,MATCH(E1643,Risk_Matrix!$A$2:$A$4,0),MATCH(F1643,Risk_Matrix!$B$1:$D$1,0))</f>
        <v>Low</v>
      </c>
      <c r="H1643" s="1">
        <v>46197</v>
      </c>
      <c r="I1643" t="s">
        <v>2025</v>
      </c>
      <c r="J1643" t="s">
        <v>2026</v>
      </c>
      <c r="K1643" t="s">
        <v>1989</v>
      </c>
      <c r="L1643">
        <f>IF(G1643="High",3,IF(G1643="Medium",2,1))</f>
        <v>1</v>
      </c>
    </row>
    <row r="1644" spans="1:12">
      <c r="A1644" t="s">
        <v>3670</v>
      </c>
      <c r="B1644" t="s">
        <v>1201</v>
      </c>
      <c r="C1644" t="s">
        <v>2005</v>
      </c>
      <c r="D1644" t="s">
        <v>2039</v>
      </c>
      <c r="E1644" t="s">
        <v>57</v>
      </c>
      <c r="F1644" t="s">
        <v>1971</v>
      </c>
      <c r="G1644" t="str">
        <f>INDEX(Risk_Matrix!$B$2:$D$4,MATCH(E1644,Risk_Matrix!$A$2:$A$4,0),MATCH(F1644,Risk_Matrix!$B$1:$D$1,0))</f>
        <v>Low</v>
      </c>
      <c r="H1644" s="1">
        <v>46216</v>
      </c>
      <c r="I1644" t="s">
        <v>2015</v>
      </c>
      <c r="J1644" t="s">
        <v>2016</v>
      </c>
      <c r="K1644" t="s">
        <v>1993</v>
      </c>
      <c r="L1644">
        <f>IF(G1644="High",3,IF(G1644="Medium",2,1))</f>
        <v>1</v>
      </c>
    </row>
    <row r="1645" spans="1:12">
      <c r="A1645" t="s">
        <v>3671</v>
      </c>
      <c r="B1645" t="s">
        <v>1201</v>
      </c>
      <c r="C1645" t="s">
        <v>2008</v>
      </c>
      <c r="D1645" t="s">
        <v>2054</v>
      </c>
      <c r="E1645" t="s">
        <v>57</v>
      </c>
      <c r="F1645" t="s">
        <v>57</v>
      </c>
      <c r="G1645" t="str">
        <f>INDEX(Risk_Matrix!$B$2:$D$4,MATCH(E1645,Risk_Matrix!$A$2:$A$4,0),MATCH(F1645,Risk_Matrix!$B$1:$D$1,0))</f>
        <v>Low</v>
      </c>
      <c r="H1645" s="1">
        <v>46067</v>
      </c>
      <c r="I1645" t="s">
        <v>1987</v>
      </c>
      <c r="J1645" t="s">
        <v>1997</v>
      </c>
      <c r="K1645" t="s">
        <v>2010</v>
      </c>
      <c r="L1645">
        <f>IF(G1645="High",3,IF(G1645="Medium",2,1))</f>
        <v>1</v>
      </c>
    </row>
    <row r="1646" spans="1:12">
      <c r="A1646" t="s">
        <v>3672</v>
      </c>
      <c r="B1646" t="s">
        <v>1203</v>
      </c>
      <c r="C1646" t="s">
        <v>1985</v>
      </c>
      <c r="D1646" t="s">
        <v>2062</v>
      </c>
      <c r="E1646" t="s">
        <v>57</v>
      </c>
      <c r="F1646" t="s">
        <v>57</v>
      </c>
      <c r="G1646" t="str">
        <f>INDEX(Risk_Matrix!$B$2:$D$4,MATCH(E1646,Risk_Matrix!$A$2:$A$4,0),MATCH(F1646,Risk_Matrix!$B$1:$D$1,0))</f>
        <v>Low</v>
      </c>
      <c r="H1646" s="1">
        <v>46197</v>
      </c>
      <c r="I1646" t="s">
        <v>2002</v>
      </c>
      <c r="J1646" t="s">
        <v>2003</v>
      </c>
      <c r="K1646" t="s">
        <v>1989</v>
      </c>
      <c r="L1646">
        <f>IF(G1646="High",3,IF(G1646="Medium",2,1))</f>
        <v>1</v>
      </c>
    </row>
    <row r="1647" spans="1:12">
      <c r="A1647" t="s">
        <v>3673</v>
      </c>
      <c r="B1647" t="s">
        <v>1203</v>
      </c>
      <c r="C1647" t="s">
        <v>1991</v>
      </c>
      <c r="D1647" t="s">
        <v>1992</v>
      </c>
      <c r="E1647" t="s">
        <v>1971</v>
      </c>
      <c r="F1647" t="s">
        <v>57</v>
      </c>
      <c r="G1647" t="str">
        <f>INDEX(Risk_Matrix!$B$2:$D$4,MATCH(E1647,Risk_Matrix!$A$2:$A$4,0),MATCH(F1647,Risk_Matrix!$B$1:$D$1,0))</f>
        <v>Low</v>
      </c>
      <c r="H1647" s="1">
        <v>46058</v>
      </c>
      <c r="I1647" t="s">
        <v>2025</v>
      </c>
      <c r="J1647" t="s">
        <v>2026</v>
      </c>
      <c r="K1647" t="s">
        <v>2010</v>
      </c>
      <c r="L1647">
        <f>IF(G1647="High",3,IF(G1647="Medium",2,1))</f>
        <v>1</v>
      </c>
    </row>
    <row r="1648" spans="1:12">
      <c r="A1648" t="s">
        <v>3674</v>
      </c>
      <c r="B1648" t="s">
        <v>1203</v>
      </c>
      <c r="C1648" t="s">
        <v>1995</v>
      </c>
      <c r="D1648" t="s">
        <v>2018</v>
      </c>
      <c r="E1648" t="s">
        <v>57</v>
      </c>
      <c r="F1648" t="s">
        <v>47</v>
      </c>
      <c r="G1648" t="str">
        <f>INDEX(Risk_Matrix!$B$2:$D$4,MATCH(E1648,Risk_Matrix!$A$2:$A$4,0),MATCH(F1648,Risk_Matrix!$B$1:$D$1,0))</f>
        <v>Medium</v>
      </c>
      <c r="H1648" s="1">
        <v>46153</v>
      </c>
      <c r="I1648" t="s">
        <v>2025</v>
      </c>
      <c r="J1648" t="s">
        <v>2026</v>
      </c>
      <c r="K1648" t="s">
        <v>1998</v>
      </c>
      <c r="L1648">
        <f>IF(G1648="High",3,IF(G1648="Medium",2,1))</f>
        <v>2</v>
      </c>
    </row>
    <row r="1649" spans="1:12">
      <c r="A1649" t="s">
        <v>3675</v>
      </c>
      <c r="B1649" t="s">
        <v>1203</v>
      </c>
      <c r="C1649" t="s">
        <v>2000</v>
      </c>
      <c r="D1649" t="s">
        <v>2020</v>
      </c>
      <c r="E1649" t="s">
        <v>47</v>
      </c>
      <c r="F1649" t="s">
        <v>47</v>
      </c>
      <c r="G1649" t="str">
        <f>INDEX(Risk_Matrix!$B$2:$D$4,MATCH(E1649,Risk_Matrix!$A$2:$A$4,0),MATCH(F1649,Risk_Matrix!$B$1:$D$1,0))</f>
        <v>High</v>
      </c>
      <c r="H1649" s="1">
        <v>46169</v>
      </c>
      <c r="I1649" t="s">
        <v>2015</v>
      </c>
      <c r="J1649" t="s">
        <v>2032</v>
      </c>
      <c r="K1649" t="s">
        <v>1989</v>
      </c>
      <c r="L1649">
        <f>IF(G1649="High",3,IF(G1649="Medium",2,1))</f>
        <v>3</v>
      </c>
    </row>
    <row r="1650" spans="1:12">
      <c r="A1650" t="s">
        <v>3676</v>
      </c>
      <c r="B1650" t="s">
        <v>1203</v>
      </c>
      <c r="C1650" t="s">
        <v>2005</v>
      </c>
      <c r="D1650" t="s">
        <v>2039</v>
      </c>
      <c r="E1650" t="s">
        <v>57</v>
      </c>
      <c r="F1650" t="s">
        <v>57</v>
      </c>
      <c r="G1650" t="str">
        <f>INDEX(Risk_Matrix!$B$2:$D$4,MATCH(E1650,Risk_Matrix!$A$2:$A$4,0),MATCH(F1650,Risk_Matrix!$B$1:$D$1,0))</f>
        <v>Low</v>
      </c>
      <c r="H1650" s="1">
        <v>46179</v>
      </c>
      <c r="I1650" t="s">
        <v>2025</v>
      </c>
      <c r="J1650" t="s">
        <v>2026</v>
      </c>
      <c r="K1650" t="s">
        <v>1993</v>
      </c>
      <c r="L1650">
        <f>IF(G1650="High",3,IF(G1650="Medium",2,1))</f>
        <v>1</v>
      </c>
    </row>
    <row r="1651" spans="1:12">
      <c r="A1651" t="s">
        <v>3677</v>
      </c>
      <c r="B1651" t="s">
        <v>1203</v>
      </c>
      <c r="C1651" t="s">
        <v>2008</v>
      </c>
      <c r="D1651" t="s">
        <v>2009</v>
      </c>
      <c r="E1651" t="s">
        <v>1971</v>
      </c>
      <c r="F1651" t="s">
        <v>1971</v>
      </c>
      <c r="G1651" t="str">
        <f>INDEX(Risk_Matrix!$B$2:$D$4,MATCH(E1651,Risk_Matrix!$A$2:$A$4,0),MATCH(F1651,Risk_Matrix!$B$1:$D$1,0))</f>
        <v>Medium</v>
      </c>
      <c r="H1651" s="1">
        <v>46167</v>
      </c>
      <c r="I1651" t="s">
        <v>1987</v>
      </c>
      <c r="J1651" t="s">
        <v>1997</v>
      </c>
      <c r="K1651" t="s">
        <v>2010</v>
      </c>
      <c r="L1651">
        <f>IF(G1651="High",3,IF(G1651="Medium",2,1))</f>
        <v>2</v>
      </c>
    </row>
    <row r="1652" spans="1:12">
      <c r="A1652" t="s">
        <v>3678</v>
      </c>
      <c r="B1652" t="s">
        <v>1205</v>
      </c>
      <c r="C1652" t="s">
        <v>1985</v>
      </c>
      <c r="D1652" t="s">
        <v>2062</v>
      </c>
      <c r="E1652" t="s">
        <v>47</v>
      </c>
      <c r="F1652" t="s">
        <v>1971</v>
      </c>
      <c r="G1652" t="str">
        <f>INDEX(Risk_Matrix!$B$2:$D$4,MATCH(E1652,Risk_Matrix!$A$2:$A$4,0),MATCH(F1652,Risk_Matrix!$B$1:$D$1,0))</f>
        <v>High</v>
      </c>
      <c r="H1652" s="1">
        <v>46224</v>
      </c>
      <c r="I1652" t="s">
        <v>2015</v>
      </c>
      <c r="J1652" t="s">
        <v>2016</v>
      </c>
      <c r="K1652" t="s">
        <v>1998</v>
      </c>
      <c r="L1652">
        <f>IF(G1652="High",3,IF(G1652="Medium",2,1))</f>
        <v>3</v>
      </c>
    </row>
    <row r="1653" spans="1:12">
      <c r="A1653" t="s">
        <v>3679</v>
      </c>
      <c r="B1653" t="s">
        <v>1205</v>
      </c>
      <c r="C1653" t="s">
        <v>1991</v>
      </c>
      <c r="D1653" t="s">
        <v>2064</v>
      </c>
      <c r="E1653" t="s">
        <v>57</v>
      </c>
      <c r="F1653" t="s">
        <v>1971</v>
      </c>
      <c r="G1653" t="str">
        <f>INDEX(Risk_Matrix!$B$2:$D$4,MATCH(E1653,Risk_Matrix!$A$2:$A$4,0),MATCH(F1653,Risk_Matrix!$B$1:$D$1,0))</f>
        <v>Low</v>
      </c>
      <c r="H1653" s="1">
        <v>46210</v>
      </c>
      <c r="I1653" t="s">
        <v>2002</v>
      </c>
      <c r="J1653" t="s">
        <v>2003</v>
      </c>
      <c r="K1653" t="s">
        <v>1993</v>
      </c>
      <c r="L1653">
        <f>IF(G1653="High",3,IF(G1653="Medium",2,1))</f>
        <v>1</v>
      </c>
    </row>
    <row r="1654" spans="1:12">
      <c r="A1654" t="s">
        <v>3680</v>
      </c>
      <c r="B1654" t="s">
        <v>1205</v>
      </c>
      <c r="C1654" t="s">
        <v>1995</v>
      </c>
      <c r="D1654" t="s">
        <v>1996</v>
      </c>
      <c r="E1654" t="s">
        <v>47</v>
      </c>
      <c r="F1654" t="s">
        <v>57</v>
      </c>
      <c r="G1654" t="str">
        <f>INDEX(Risk_Matrix!$B$2:$D$4,MATCH(E1654,Risk_Matrix!$A$2:$A$4,0),MATCH(F1654,Risk_Matrix!$B$1:$D$1,0))</f>
        <v>Medium</v>
      </c>
      <c r="H1654" s="1">
        <v>46221</v>
      </c>
      <c r="I1654" t="s">
        <v>2015</v>
      </c>
      <c r="J1654" t="s">
        <v>2032</v>
      </c>
      <c r="K1654" t="s">
        <v>1998</v>
      </c>
      <c r="L1654">
        <f>IF(G1654="High",3,IF(G1654="Medium",2,1))</f>
        <v>2</v>
      </c>
    </row>
    <row r="1655" spans="1:12">
      <c r="A1655" t="s">
        <v>3681</v>
      </c>
      <c r="B1655" t="s">
        <v>1205</v>
      </c>
      <c r="C1655" t="s">
        <v>2000</v>
      </c>
      <c r="D1655" t="s">
        <v>2020</v>
      </c>
      <c r="E1655" t="s">
        <v>47</v>
      </c>
      <c r="F1655" t="s">
        <v>57</v>
      </c>
      <c r="G1655" t="str">
        <f>INDEX(Risk_Matrix!$B$2:$D$4,MATCH(E1655,Risk_Matrix!$A$2:$A$4,0),MATCH(F1655,Risk_Matrix!$B$1:$D$1,0))</f>
        <v>Medium</v>
      </c>
      <c r="H1655" s="1">
        <v>46092</v>
      </c>
      <c r="I1655" t="s">
        <v>2025</v>
      </c>
      <c r="J1655" t="s">
        <v>2035</v>
      </c>
      <c r="K1655" t="s">
        <v>1993</v>
      </c>
      <c r="L1655">
        <f>IF(G1655="High",3,IF(G1655="Medium",2,1))</f>
        <v>2</v>
      </c>
    </row>
    <row r="1656" spans="1:12">
      <c r="A1656" t="s">
        <v>3682</v>
      </c>
      <c r="B1656" t="s">
        <v>1205</v>
      </c>
      <c r="C1656" t="s">
        <v>2005</v>
      </c>
      <c r="D1656" t="s">
        <v>2039</v>
      </c>
      <c r="E1656" t="s">
        <v>47</v>
      </c>
      <c r="F1656" t="s">
        <v>47</v>
      </c>
      <c r="G1656" t="str">
        <f>INDEX(Risk_Matrix!$B$2:$D$4,MATCH(E1656,Risk_Matrix!$A$2:$A$4,0),MATCH(F1656,Risk_Matrix!$B$1:$D$1,0))</f>
        <v>High</v>
      </c>
      <c r="H1656" s="1">
        <v>46188</v>
      </c>
      <c r="I1656" t="s">
        <v>2015</v>
      </c>
      <c r="J1656" t="s">
        <v>2016</v>
      </c>
      <c r="K1656" t="s">
        <v>2036</v>
      </c>
      <c r="L1656">
        <f>IF(G1656="High",3,IF(G1656="Medium",2,1))</f>
        <v>3</v>
      </c>
    </row>
    <row r="1657" spans="1:12">
      <c r="A1657" t="s">
        <v>3683</v>
      </c>
      <c r="B1657" t="s">
        <v>1205</v>
      </c>
      <c r="C1657" t="s">
        <v>2008</v>
      </c>
      <c r="D1657" t="s">
        <v>2009</v>
      </c>
      <c r="E1657" t="s">
        <v>57</v>
      </c>
      <c r="F1657" t="s">
        <v>1971</v>
      </c>
      <c r="G1657" t="str">
        <f>INDEX(Risk_Matrix!$B$2:$D$4,MATCH(E1657,Risk_Matrix!$A$2:$A$4,0),MATCH(F1657,Risk_Matrix!$B$1:$D$1,0))</f>
        <v>Low</v>
      </c>
      <c r="H1657" s="1">
        <v>46065</v>
      </c>
      <c r="I1657" t="s">
        <v>2025</v>
      </c>
      <c r="J1657" t="s">
        <v>2026</v>
      </c>
      <c r="K1657" t="s">
        <v>2010</v>
      </c>
      <c r="L1657">
        <f>IF(G1657="High",3,IF(G1657="Medium",2,1))</f>
        <v>1</v>
      </c>
    </row>
    <row r="1658" spans="1:12">
      <c r="A1658" t="s">
        <v>3684</v>
      </c>
      <c r="B1658" t="s">
        <v>1208</v>
      </c>
      <c r="C1658" t="s">
        <v>1985</v>
      </c>
      <c r="D1658" t="s">
        <v>2012</v>
      </c>
      <c r="E1658" t="s">
        <v>57</v>
      </c>
      <c r="F1658" t="s">
        <v>1971</v>
      </c>
      <c r="G1658" t="str">
        <f>INDEX(Risk_Matrix!$B$2:$D$4,MATCH(E1658,Risk_Matrix!$A$2:$A$4,0),MATCH(F1658,Risk_Matrix!$B$1:$D$1,0))</f>
        <v>Low</v>
      </c>
      <c r="H1658" s="1">
        <v>46166</v>
      </c>
      <c r="I1658" t="s">
        <v>2002</v>
      </c>
      <c r="J1658" t="s">
        <v>2029</v>
      </c>
      <c r="K1658" t="s">
        <v>1998</v>
      </c>
      <c r="L1658">
        <f>IF(G1658="High",3,IF(G1658="Medium",2,1))</f>
        <v>1</v>
      </c>
    </row>
    <row r="1659" spans="1:12">
      <c r="A1659" t="s">
        <v>3685</v>
      </c>
      <c r="B1659" t="s">
        <v>1208</v>
      </c>
      <c r="C1659" t="s">
        <v>1991</v>
      </c>
      <c r="D1659" t="s">
        <v>2031</v>
      </c>
      <c r="E1659" t="s">
        <v>1971</v>
      </c>
      <c r="F1659" t="s">
        <v>57</v>
      </c>
      <c r="G1659" t="str">
        <f>INDEX(Risk_Matrix!$B$2:$D$4,MATCH(E1659,Risk_Matrix!$A$2:$A$4,0),MATCH(F1659,Risk_Matrix!$B$1:$D$1,0))</f>
        <v>Low</v>
      </c>
      <c r="H1659" s="1">
        <v>46144</v>
      </c>
      <c r="I1659" t="s">
        <v>2025</v>
      </c>
      <c r="J1659" t="s">
        <v>2026</v>
      </c>
      <c r="K1659" t="s">
        <v>2010</v>
      </c>
      <c r="L1659">
        <f>IF(G1659="High",3,IF(G1659="Medium",2,1))</f>
        <v>1</v>
      </c>
    </row>
    <row r="1660" spans="1:12">
      <c r="A1660" t="s">
        <v>3686</v>
      </c>
      <c r="B1660" t="s">
        <v>1208</v>
      </c>
      <c r="C1660" t="s">
        <v>1995</v>
      </c>
      <c r="D1660" t="s">
        <v>2150</v>
      </c>
      <c r="E1660" t="s">
        <v>57</v>
      </c>
      <c r="F1660" t="s">
        <v>1971</v>
      </c>
      <c r="G1660" t="str">
        <f>INDEX(Risk_Matrix!$B$2:$D$4,MATCH(E1660,Risk_Matrix!$A$2:$A$4,0),MATCH(F1660,Risk_Matrix!$B$1:$D$1,0))</f>
        <v>Low</v>
      </c>
      <c r="H1660" s="1">
        <v>46116</v>
      </c>
      <c r="I1660" t="s">
        <v>1987</v>
      </c>
      <c r="J1660" t="s">
        <v>1997</v>
      </c>
      <c r="K1660" t="s">
        <v>1998</v>
      </c>
      <c r="L1660">
        <f>IF(G1660="High",3,IF(G1660="Medium",2,1))</f>
        <v>1</v>
      </c>
    </row>
    <row r="1661" spans="1:12">
      <c r="A1661" t="s">
        <v>3687</v>
      </c>
      <c r="B1661" t="s">
        <v>1208</v>
      </c>
      <c r="C1661" t="s">
        <v>2000</v>
      </c>
      <c r="D1661" t="s">
        <v>2045</v>
      </c>
      <c r="E1661" t="s">
        <v>57</v>
      </c>
      <c r="F1661" t="s">
        <v>57</v>
      </c>
      <c r="G1661" t="str">
        <f>INDEX(Risk_Matrix!$B$2:$D$4,MATCH(E1661,Risk_Matrix!$A$2:$A$4,0),MATCH(F1661,Risk_Matrix!$B$1:$D$1,0))</f>
        <v>Low</v>
      </c>
      <c r="H1661" s="1">
        <v>46225</v>
      </c>
      <c r="I1661" t="s">
        <v>2025</v>
      </c>
      <c r="J1661" t="s">
        <v>2035</v>
      </c>
      <c r="K1661" t="s">
        <v>1989</v>
      </c>
      <c r="L1661">
        <f>IF(G1661="High",3,IF(G1661="Medium",2,1))</f>
        <v>1</v>
      </c>
    </row>
    <row r="1662" spans="1:12">
      <c r="A1662" t="s">
        <v>3688</v>
      </c>
      <c r="B1662" t="s">
        <v>1208</v>
      </c>
      <c r="C1662" t="s">
        <v>2005</v>
      </c>
      <c r="D1662" t="s">
        <v>2022</v>
      </c>
      <c r="E1662" t="s">
        <v>1971</v>
      </c>
      <c r="F1662" t="s">
        <v>1971</v>
      </c>
      <c r="G1662" t="str">
        <f>INDEX(Risk_Matrix!$B$2:$D$4,MATCH(E1662,Risk_Matrix!$A$2:$A$4,0),MATCH(F1662,Risk_Matrix!$B$1:$D$1,0))</f>
        <v>Medium</v>
      </c>
      <c r="H1662" s="1">
        <v>46233</v>
      </c>
      <c r="I1662" t="s">
        <v>2025</v>
      </c>
      <c r="J1662" t="s">
        <v>2026</v>
      </c>
      <c r="K1662" t="s">
        <v>1993</v>
      </c>
      <c r="L1662">
        <f>IF(G1662="High",3,IF(G1662="Medium",2,1))</f>
        <v>2</v>
      </c>
    </row>
    <row r="1663" spans="1:12">
      <c r="A1663" t="s">
        <v>3689</v>
      </c>
      <c r="B1663" t="s">
        <v>1208</v>
      </c>
      <c r="C1663" t="s">
        <v>2008</v>
      </c>
      <c r="D1663" t="s">
        <v>2054</v>
      </c>
      <c r="E1663" t="s">
        <v>57</v>
      </c>
      <c r="F1663" t="s">
        <v>1971</v>
      </c>
      <c r="G1663" t="str">
        <f>INDEX(Risk_Matrix!$B$2:$D$4,MATCH(E1663,Risk_Matrix!$A$2:$A$4,0),MATCH(F1663,Risk_Matrix!$B$1:$D$1,0))</f>
        <v>Low</v>
      </c>
      <c r="H1663" s="1">
        <v>46156</v>
      </c>
      <c r="I1663" t="s">
        <v>2015</v>
      </c>
      <c r="J1663" t="s">
        <v>2032</v>
      </c>
      <c r="K1663" t="s">
        <v>2010</v>
      </c>
      <c r="L1663">
        <f>IF(G1663="High",3,IF(G1663="Medium",2,1))</f>
        <v>1</v>
      </c>
    </row>
    <row r="1664" spans="1:12">
      <c r="A1664" t="s">
        <v>3690</v>
      </c>
      <c r="B1664" t="s">
        <v>1211</v>
      </c>
      <c r="C1664" t="s">
        <v>1985</v>
      </c>
      <c r="D1664" t="s">
        <v>2062</v>
      </c>
      <c r="E1664" t="s">
        <v>57</v>
      </c>
      <c r="F1664" t="s">
        <v>1971</v>
      </c>
      <c r="G1664" t="str">
        <f>INDEX(Risk_Matrix!$B$2:$D$4,MATCH(E1664,Risk_Matrix!$A$2:$A$4,0),MATCH(F1664,Risk_Matrix!$B$1:$D$1,0))</f>
        <v>Low</v>
      </c>
      <c r="H1664" s="1">
        <v>46097</v>
      </c>
      <c r="I1664" t="s">
        <v>1987</v>
      </c>
      <c r="J1664" t="s">
        <v>1997</v>
      </c>
      <c r="K1664" t="s">
        <v>1989</v>
      </c>
      <c r="L1664">
        <f>IF(G1664="High",3,IF(G1664="Medium",2,1))</f>
        <v>1</v>
      </c>
    </row>
    <row r="1665" spans="1:12">
      <c r="A1665" t="s">
        <v>3691</v>
      </c>
      <c r="B1665" t="s">
        <v>1211</v>
      </c>
      <c r="C1665" t="s">
        <v>1991</v>
      </c>
      <c r="D1665" t="s">
        <v>1992</v>
      </c>
      <c r="E1665" t="s">
        <v>57</v>
      </c>
      <c r="F1665" t="s">
        <v>57</v>
      </c>
      <c r="G1665" t="str">
        <f>INDEX(Risk_Matrix!$B$2:$D$4,MATCH(E1665,Risk_Matrix!$A$2:$A$4,0),MATCH(F1665,Risk_Matrix!$B$1:$D$1,0))</f>
        <v>Low</v>
      </c>
      <c r="H1665" s="1">
        <v>46176</v>
      </c>
      <c r="I1665" t="s">
        <v>2015</v>
      </c>
      <c r="J1665" t="s">
        <v>2032</v>
      </c>
      <c r="K1665" t="s">
        <v>1993</v>
      </c>
      <c r="L1665">
        <f>IF(G1665="High",3,IF(G1665="Medium",2,1))</f>
        <v>1</v>
      </c>
    </row>
    <row r="1666" spans="1:12">
      <c r="A1666" t="s">
        <v>3692</v>
      </c>
      <c r="B1666" t="s">
        <v>1211</v>
      </c>
      <c r="C1666" t="s">
        <v>1995</v>
      </c>
      <c r="D1666" t="s">
        <v>2018</v>
      </c>
      <c r="E1666" t="s">
        <v>57</v>
      </c>
      <c r="F1666" t="s">
        <v>57</v>
      </c>
      <c r="G1666" t="str">
        <f>INDEX(Risk_Matrix!$B$2:$D$4,MATCH(E1666,Risk_Matrix!$A$2:$A$4,0),MATCH(F1666,Risk_Matrix!$B$1:$D$1,0))</f>
        <v>Low</v>
      </c>
      <c r="H1666" s="1">
        <v>46216</v>
      </c>
      <c r="I1666" t="s">
        <v>1987</v>
      </c>
      <c r="J1666" t="s">
        <v>1988</v>
      </c>
      <c r="K1666" t="s">
        <v>1998</v>
      </c>
      <c r="L1666">
        <f>IF(G1666="High",3,IF(G1666="Medium",2,1))</f>
        <v>1</v>
      </c>
    </row>
    <row r="1667" spans="1:12">
      <c r="A1667" t="s">
        <v>3693</v>
      </c>
      <c r="B1667" t="s">
        <v>1211</v>
      </c>
      <c r="C1667" t="s">
        <v>2000</v>
      </c>
      <c r="D1667" t="s">
        <v>2020</v>
      </c>
      <c r="E1667" t="s">
        <v>47</v>
      </c>
      <c r="F1667" t="s">
        <v>57</v>
      </c>
      <c r="G1667" t="str">
        <f>INDEX(Risk_Matrix!$B$2:$D$4,MATCH(E1667,Risk_Matrix!$A$2:$A$4,0),MATCH(F1667,Risk_Matrix!$B$1:$D$1,0))</f>
        <v>Medium</v>
      </c>
      <c r="H1667" s="1">
        <v>46056</v>
      </c>
      <c r="I1667" t="s">
        <v>2025</v>
      </c>
      <c r="J1667" t="s">
        <v>2026</v>
      </c>
      <c r="K1667" t="s">
        <v>1993</v>
      </c>
      <c r="L1667">
        <f>IF(G1667="High",3,IF(G1667="Medium",2,1))</f>
        <v>2</v>
      </c>
    </row>
    <row r="1668" spans="1:12">
      <c r="A1668" t="s">
        <v>3694</v>
      </c>
      <c r="B1668" t="s">
        <v>1211</v>
      </c>
      <c r="C1668" t="s">
        <v>2005</v>
      </c>
      <c r="D1668" t="s">
        <v>2022</v>
      </c>
      <c r="E1668" t="s">
        <v>1971</v>
      </c>
      <c r="F1668" t="s">
        <v>47</v>
      </c>
      <c r="G1668" t="str">
        <f>INDEX(Risk_Matrix!$B$2:$D$4,MATCH(E1668,Risk_Matrix!$A$2:$A$4,0),MATCH(F1668,Risk_Matrix!$B$1:$D$1,0))</f>
        <v>High</v>
      </c>
      <c r="H1668" s="1">
        <v>46229</v>
      </c>
      <c r="I1668" t="s">
        <v>1987</v>
      </c>
      <c r="J1668" t="s">
        <v>1997</v>
      </c>
      <c r="K1668" t="s">
        <v>1993</v>
      </c>
      <c r="L1668">
        <f>IF(G1668="High",3,IF(G1668="Medium",2,1))</f>
        <v>3</v>
      </c>
    </row>
    <row r="1669" spans="1:12">
      <c r="A1669" t="s">
        <v>3695</v>
      </c>
      <c r="B1669" t="s">
        <v>1211</v>
      </c>
      <c r="C1669" t="s">
        <v>2008</v>
      </c>
      <c r="D1669" t="s">
        <v>2024</v>
      </c>
      <c r="E1669" t="s">
        <v>47</v>
      </c>
      <c r="F1669" t="s">
        <v>1971</v>
      </c>
      <c r="G1669" t="str">
        <f>INDEX(Risk_Matrix!$B$2:$D$4,MATCH(E1669,Risk_Matrix!$A$2:$A$4,0),MATCH(F1669,Risk_Matrix!$B$1:$D$1,0))</f>
        <v>High</v>
      </c>
      <c r="H1669" s="1">
        <v>46187</v>
      </c>
      <c r="I1669" t="s">
        <v>2015</v>
      </c>
      <c r="J1669" t="s">
        <v>2016</v>
      </c>
      <c r="K1669" t="s">
        <v>2010</v>
      </c>
      <c r="L1669">
        <f>IF(G1669="High",3,IF(G1669="Medium",2,1))</f>
        <v>3</v>
      </c>
    </row>
    <row r="1670" spans="1:12">
      <c r="A1670" t="s">
        <v>3696</v>
      </c>
      <c r="B1670" t="s">
        <v>1213</v>
      </c>
      <c r="C1670" t="s">
        <v>1985</v>
      </c>
      <c r="D1670" t="s">
        <v>2062</v>
      </c>
      <c r="E1670" t="s">
        <v>47</v>
      </c>
      <c r="F1670" t="s">
        <v>47</v>
      </c>
      <c r="G1670" t="str">
        <f>INDEX(Risk_Matrix!$B$2:$D$4,MATCH(E1670,Risk_Matrix!$A$2:$A$4,0),MATCH(F1670,Risk_Matrix!$B$1:$D$1,0))</f>
        <v>High</v>
      </c>
      <c r="H1670" s="1">
        <v>46198</v>
      </c>
      <c r="I1670" t="s">
        <v>2015</v>
      </c>
      <c r="J1670" t="s">
        <v>2016</v>
      </c>
      <c r="K1670" t="s">
        <v>1989</v>
      </c>
      <c r="L1670">
        <f>IF(G1670="High",3,IF(G1670="Medium",2,1))</f>
        <v>3</v>
      </c>
    </row>
    <row r="1671" spans="1:12">
      <c r="A1671" t="s">
        <v>3697</v>
      </c>
      <c r="B1671" t="s">
        <v>1213</v>
      </c>
      <c r="C1671" t="s">
        <v>1991</v>
      </c>
      <c r="D1671" t="s">
        <v>2064</v>
      </c>
      <c r="E1671" t="s">
        <v>1971</v>
      </c>
      <c r="F1671" t="s">
        <v>57</v>
      </c>
      <c r="G1671" t="str">
        <f>INDEX(Risk_Matrix!$B$2:$D$4,MATCH(E1671,Risk_Matrix!$A$2:$A$4,0),MATCH(F1671,Risk_Matrix!$B$1:$D$1,0))</f>
        <v>Low</v>
      </c>
      <c r="H1671" s="1">
        <v>46213</v>
      </c>
      <c r="I1671" t="s">
        <v>1987</v>
      </c>
      <c r="J1671" t="s">
        <v>1988</v>
      </c>
      <c r="K1671" t="s">
        <v>1993</v>
      </c>
      <c r="L1671">
        <f>IF(G1671="High",3,IF(G1671="Medium",2,1))</f>
        <v>1</v>
      </c>
    </row>
    <row r="1672" spans="1:12">
      <c r="A1672" t="s">
        <v>3698</v>
      </c>
      <c r="B1672" t="s">
        <v>1213</v>
      </c>
      <c r="C1672" t="s">
        <v>1995</v>
      </c>
      <c r="D1672" t="s">
        <v>2034</v>
      </c>
      <c r="E1672" t="s">
        <v>57</v>
      </c>
      <c r="F1672" t="s">
        <v>57</v>
      </c>
      <c r="G1672" t="str">
        <f>INDEX(Risk_Matrix!$B$2:$D$4,MATCH(E1672,Risk_Matrix!$A$2:$A$4,0),MATCH(F1672,Risk_Matrix!$B$1:$D$1,0))</f>
        <v>Low</v>
      </c>
      <c r="H1672" s="1">
        <v>46171</v>
      </c>
      <c r="I1672" t="s">
        <v>2015</v>
      </c>
      <c r="J1672" t="s">
        <v>2032</v>
      </c>
      <c r="K1672" t="s">
        <v>2036</v>
      </c>
      <c r="L1672">
        <f>IF(G1672="High",3,IF(G1672="Medium",2,1))</f>
        <v>1</v>
      </c>
    </row>
    <row r="1673" spans="1:12">
      <c r="A1673" t="s">
        <v>3699</v>
      </c>
      <c r="B1673" t="s">
        <v>1213</v>
      </c>
      <c r="C1673" t="s">
        <v>2000</v>
      </c>
      <c r="D1673" t="s">
        <v>2045</v>
      </c>
      <c r="E1673" t="s">
        <v>1971</v>
      </c>
      <c r="F1673" t="s">
        <v>57</v>
      </c>
      <c r="G1673" t="str">
        <f>INDEX(Risk_Matrix!$B$2:$D$4,MATCH(E1673,Risk_Matrix!$A$2:$A$4,0),MATCH(F1673,Risk_Matrix!$B$1:$D$1,0))</f>
        <v>Low</v>
      </c>
      <c r="H1673" s="1">
        <v>46226</v>
      </c>
      <c r="I1673" t="s">
        <v>2025</v>
      </c>
      <c r="J1673" t="s">
        <v>2026</v>
      </c>
      <c r="K1673" t="s">
        <v>1989</v>
      </c>
      <c r="L1673">
        <f>IF(G1673="High",3,IF(G1673="Medium",2,1))</f>
        <v>1</v>
      </c>
    </row>
    <row r="1674" spans="1:12">
      <c r="A1674" t="s">
        <v>3700</v>
      </c>
      <c r="B1674" t="s">
        <v>1213</v>
      </c>
      <c r="C1674" t="s">
        <v>2005</v>
      </c>
      <c r="D1674" t="s">
        <v>2039</v>
      </c>
      <c r="E1674" t="s">
        <v>1971</v>
      </c>
      <c r="F1674" t="s">
        <v>47</v>
      </c>
      <c r="G1674" t="str">
        <f>INDEX(Risk_Matrix!$B$2:$D$4,MATCH(E1674,Risk_Matrix!$A$2:$A$4,0),MATCH(F1674,Risk_Matrix!$B$1:$D$1,0))</f>
        <v>High</v>
      </c>
      <c r="H1674" s="1">
        <v>46155</v>
      </c>
      <c r="I1674" t="s">
        <v>2015</v>
      </c>
      <c r="J1674" t="s">
        <v>2032</v>
      </c>
      <c r="K1674" t="s">
        <v>1993</v>
      </c>
      <c r="L1674">
        <f>IF(G1674="High",3,IF(G1674="Medium",2,1))</f>
        <v>3</v>
      </c>
    </row>
    <row r="1675" spans="1:12">
      <c r="A1675" t="s">
        <v>3701</v>
      </c>
      <c r="B1675" t="s">
        <v>1213</v>
      </c>
      <c r="C1675" t="s">
        <v>2008</v>
      </c>
      <c r="D1675" t="s">
        <v>2054</v>
      </c>
      <c r="E1675" t="s">
        <v>57</v>
      </c>
      <c r="F1675" t="s">
        <v>57</v>
      </c>
      <c r="G1675" t="str">
        <f>INDEX(Risk_Matrix!$B$2:$D$4,MATCH(E1675,Risk_Matrix!$A$2:$A$4,0),MATCH(F1675,Risk_Matrix!$B$1:$D$1,0))</f>
        <v>Low</v>
      </c>
      <c r="H1675" s="1">
        <v>46128</v>
      </c>
      <c r="I1675" t="s">
        <v>2002</v>
      </c>
      <c r="J1675" t="s">
        <v>2003</v>
      </c>
      <c r="K1675" t="s">
        <v>2010</v>
      </c>
      <c r="L1675">
        <f>IF(G1675="High",3,IF(G1675="Medium",2,1))</f>
        <v>1</v>
      </c>
    </row>
    <row r="1676" spans="1:12">
      <c r="A1676" t="s">
        <v>3702</v>
      </c>
      <c r="B1676" t="s">
        <v>1215</v>
      </c>
      <c r="C1676" t="s">
        <v>1985</v>
      </c>
      <c r="D1676" t="s">
        <v>2062</v>
      </c>
      <c r="E1676" t="s">
        <v>1971</v>
      </c>
      <c r="F1676" t="s">
        <v>57</v>
      </c>
      <c r="G1676" t="str">
        <f>INDEX(Risk_Matrix!$B$2:$D$4,MATCH(E1676,Risk_Matrix!$A$2:$A$4,0),MATCH(F1676,Risk_Matrix!$B$1:$D$1,0))</f>
        <v>Low</v>
      </c>
      <c r="H1676" s="1">
        <v>46230</v>
      </c>
      <c r="I1676" t="s">
        <v>2015</v>
      </c>
      <c r="J1676" t="s">
        <v>2016</v>
      </c>
      <c r="K1676" t="s">
        <v>1989</v>
      </c>
      <c r="L1676">
        <f>IF(G1676="High",3,IF(G1676="Medium",2,1))</f>
        <v>1</v>
      </c>
    </row>
    <row r="1677" spans="1:12">
      <c r="A1677" t="s">
        <v>3703</v>
      </c>
      <c r="B1677" t="s">
        <v>1215</v>
      </c>
      <c r="C1677" t="s">
        <v>1991</v>
      </c>
      <c r="D1677" t="s">
        <v>1992</v>
      </c>
      <c r="E1677" t="s">
        <v>47</v>
      </c>
      <c r="F1677" t="s">
        <v>57</v>
      </c>
      <c r="G1677" t="str">
        <f>INDEX(Risk_Matrix!$B$2:$D$4,MATCH(E1677,Risk_Matrix!$A$2:$A$4,0),MATCH(F1677,Risk_Matrix!$B$1:$D$1,0))</f>
        <v>Medium</v>
      </c>
      <c r="H1677" s="1">
        <v>46176</v>
      </c>
      <c r="I1677" t="s">
        <v>2025</v>
      </c>
      <c r="J1677" t="s">
        <v>2035</v>
      </c>
      <c r="K1677" t="s">
        <v>1993</v>
      </c>
      <c r="L1677">
        <f>IF(G1677="High",3,IF(G1677="Medium",2,1))</f>
        <v>2</v>
      </c>
    </row>
    <row r="1678" spans="1:12">
      <c r="A1678" t="s">
        <v>3704</v>
      </c>
      <c r="B1678" t="s">
        <v>1215</v>
      </c>
      <c r="C1678" t="s">
        <v>1995</v>
      </c>
      <c r="D1678" t="s">
        <v>2034</v>
      </c>
      <c r="E1678" t="s">
        <v>57</v>
      </c>
      <c r="F1678" t="s">
        <v>57</v>
      </c>
      <c r="G1678" t="str">
        <f>INDEX(Risk_Matrix!$B$2:$D$4,MATCH(E1678,Risk_Matrix!$A$2:$A$4,0),MATCH(F1678,Risk_Matrix!$B$1:$D$1,0))</f>
        <v>Low</v>
      </c>
      <c r="H1678" s="1">
        <v>46181</v>
      </c>
      <c r="I1678" t="s">
        <v>2002</v>
      </c>
      <c r="J1678" t="s">
        <v>2029</v>
      </c>
      <c r="K1678" t="s">
        <v>1998</v>
      </c>
      <c r="L1678">
        <f>IF(G1678="High",3,IF(G1678="Medium",2,1))</f>
        <v>1</v>
      </c>
    </row>
    <row r="1679" spans="1:12">
      <c r="A1679" t="s">
        <v>3705</v>
      </c>
      <c r="B1679" t="s">
        <v>1215</v>
      </c>
      <c r="C1679" t="s">
        <v>2000</v>
      </c>
      <c r="D1679" t="s">
        <v>2020</v>
      </c>
      <c r="E1679" t="s">
        <v>47</v>
      </c>
      <c r="F1679" t="s">
        <v>47</v>
      </c>
      <c r="G1679" t="str">
        <f>INDEX(Risk_Matrix!$B$2:$D$4,MATCH(E1679,Risk_Matrix!$A$2:$A$4,0),MATCH(F1679,Risk_Matrix!$B$1:$D$1,0))</f>
        <v>High</v>
      </c>
      <c r="H1679" s="1">
        <v>46180</v>
      </c>
      <c r="I1679" t="s">
        <v>2015</v>
      </c>
      <c r="J1679" t="s">
        <v>2032</v>
      </c>
      <c r="K1679" t="s">
        <v>1993</v>
      </c>
      <c r="L1679">
        <f>IF(G1679="High",3,IF(G1679="Medium",2,1))</f>
        <v>3</v>
      </c>
    </row>
    <row r="1680" spans="1:12">
      <c r="A1680" t="s">
        <v>3706</v>
      </c>
      <c r="B1680" t="s">
        <v>1215</v>
      </c>
      <c r="C1680" t="s">
        <v>2005</v>
      </c>
      <c r="D1680" t="s">
        <v>2039</v>
      </c>
      <c r="E1680" t="s">
        <v>47</v>
      </c>
      <c r="F1680" t="s">
        <v>57</v>
      </c>
      <c r="G1680" t="str">
        <f>INDEX(Risk_Matrix!$B$2:$D$4,MATCH(E1680,Risk_Matrix!$A$2:$A$4,0),MATCH(F1680,Risk_Matrix!$B$1:$D$1,0))</f>
        <v>Medium</v>
      </c>
      <c r="H1680" s="1">
        <v>46214</v>
      </c>
      <c r="I1680" t="s">
        <v>2025</v>
      </c>
      <c r="J1680" t="s">
        <v>2035</v>
      </c>
      <c r="K1680" t="s">
        <v>1993</v>
      </c>
      <c r="L1680">
        <f>IF(G1680="High",3,IF(G1680="Medium",2,1))</f>
        <v>2</v>
      </c>
    </row>
    <row r="1681" spans="1:12">
      <c r="A1681" t="s">
        <v>3707</v>
      </c>
      <c r="B1681" t="s">
        <v>1215</v>
      </c>
      <c r="C1681" t="s">
        <v>2008</v>
      </c>
      <c r="D1681" t="s">
        <v>2054</v>
      </c>
      <c r="E1681" t="s">
        <v>1971</v>
      </c>
      <c r="F1681" t="s">
        <v>57</v>
      </c>
      <c r="G1681" t="str">
        <f>INDEX(Risk_Matrix!$B$2:$D$4,MATCH(E1681,Risk_Matrix!$A$2:$A$4,0),MATCH(F1681,Risk_Matrix!$B$1:$D$1,0))</f>
        <v>Low</v>
      </c>
      <c r="H1681" s="1">
        <v>46153</v>
      </c>
      <c r="I1681" t="s">
        <v>1987</v>
      </c>
      <c r="J1681" t="s">
        <v>1988</v>
      </c>
      <c r="K1681" t="s">
        <v>2010</v>
      </c>
      <c r="L1681">
        <f>IF(G1681="High",3,IF(G1681="Medium",2,1))</f>
        <v>1</v>
      </c>
    </row>
    <row r="1682" spans="1:12">
      <c r="A1682" t="s">
        <v>3708</v>
      </c>
      <c r="B1682" t="s">
        <v>1218</v>
      </c>
      <c r="C1682" t="s">
        <v>1985</v>
      </c>
      <c r="D1682" t="s">
        <v>1986</v>
      </c>
      <c r="E1682" t="s">
        <v>1971</v>
      </c>
      <c r="F1682" t="s">
        <v>47</v>
      </c>
      <c r="G1682" t="str">
        <f>INDEX(Risk_Matrix!$B$2:$D$4,MATCH(E1682,Risk_Matrix!$A$2:$A$4,0),MATCH(F1682,Risk_Matrix!$B$1:$D$1,0))</f>
        <v>High</v>
      </c>
      <c r="H1682" s="1">
        <v>46204</v>
      </c>
      <c r="I1682" t="s">
        <v>2015</v>
      </c>
      <c r="J1682" t="s">
        <v>2032</v>
      </c>
      <c r="K1682" t="s">
        <v>1989</v>
      </c>
      <c r="L1682">
        <f>IF(G1682="High",3,IF(G1682="Medium",2,1))</f>
        <v>3</v>
      </c>
    </row>
    <row r="1683" spans="1:12">
      <c r="A1683" t="s">
        <v>3709</v>
      </c>
      <c r="B1683" t="s">
        <v>1218</v>
      </c>
      <c r="C1683" t="s">
        <v>1991</v>
      </c>
      <c r="D1683" t="s">
        <v>1992</v>
      </c>
      <c r="E1683" t="s">
        <v>57</v>
      </c>
      <c r="F1683" t="s">
        <v>57</v>
      </c>
      <c r="G1683" t="str">
        <f>INDEX(Risk_Matrix!$B$2:$D$4,MATCH(E1683,Risk_Matrix!$A$2:$A$4,0),MATCH(F1683,Risk_Matrix!$B$1:$D$1,0))</f>
        <v>Low</v>
      </c>
      <c r="H1683" s="1">
        <v>46173</v>
      </c>
      <c r="I1683" t="s">
        <v>1987</v>
      </c>
      <c r="J1683" t="s">
        <v>1988</v>
      </c>
      <c r="K1683" t="s">
        <v>2010</v>
      </c>
      <c r="L1683">
        <f>IF(G1683="High",3,IF(G1683="Medium",2,1))</f>
        <v>1</v>
      </c>
    </row>
    <row r="1684" spans="1:12">
      <c r="A1684" t="s">
        <v>3710</v>
      </c>
      <c r="B1684" t="s">
        <v>1218</v>
      </c>
      <c r="C1684" t="s">
        <v>1995</v>
      </c>
      <c r="D1684" t="s">
        <v>2034</v>
      </c>
      <c r="E1684" t="s">
        <v>57</v>
      </c>
      <c r="F1684" t="s">
        <v>57</v>
      </c>
      <c r="G1684" t="str">
        <f>INDEX(Risk_Matrix!$B$2:$D$4,MATCH(E1684,Risk_Matrix!$A$2:$A$4,0),MATCH(F1684,Risk_Matrix!$B$1:$D$1,0))</f>
        <v>Low</v>
      </c>
      <c r="H1684" s="1">
        <v>46160</v>
      </c>
      <c r="I1684" t="s">
        <v>2025</v>
      </c>
      <c r="J1684" t="s">
        <v>2035</v>
      </c>
      <c r="K1684" t="s">
        <v>2036</v>
      </c>
      <c r="L1684">
        <f>IF(G1684="High",3,IF(G1684="Medium",2,1))</f>
        <v>1</v>
      </c>
    </row>
    <row r="1685" spans="1:12">
      <c r="A1685" t="s">
        <v>3711</v>
      </c>
      <c r="B1685" t="s">
        <v>1218</v>
      </c>
      <c r="C1685" t="s">
        <v>2000</v>
      </c>
      <c r="D1685" t="s">
        <v>2001</v>
      </c>
      <c r="E1685" t="s">
        <v>57</v>
      </c>
      <c r="F1685" t="s">
        <v>47</v>
      </c>
      <c r="G1685" t="str">
        <f>INDEX(Risk_Matrix!$B$2:$D$4,MATCH(E1685,Risk_Matrix!$A$2:$A$4,0),MATCH(F1685,Risk_Matrix!$B$1:$D$1,0))</f>
        <v>Medium</v>
      </c>
      <c r="H1685" s="1">
        <v>46223</v>
      </c>
      <c r="I1685" t="s">
        <v>1987</v>
      </c>
      <c r="J1685" t="s">
        <v>1988</v>
      </c>
      <c r="K1685" t="s">
        <v>1993</v>
      </c>
      <c r="L1685">
        <f>IF(G1685="High",3,IF(G1685="Medium",2,1))</f>
        <v>2</v>
      </c>
    </row>
    <row r="1686" spans="1:12">
      <c r="A1686" t="s">
        <v>3712</v>
      </c>
      <c r="B1686" t="s">
        <v>1218</v>
      </c>
      <c r="C1686" t="s">
        <v>2005</v>
      </c>
      <c r="D1686" t="s">
        <v>2039</v>
      </c>
      <c r="E1686" t="s">
        <v>47</v>
      </c>
      <c r="F1686" t="s">
        <v>57</v>
      </c>
      <c r="G1686" t="str">
        <f>INDEX(Risk_Matrix!$B$2:$D$4,MATCH(E1686,Risk_Matrix!$A$2:$A$4,0),MATCH(F1686,Risk_Matrix!$B$1:$D$1,0))</f>
        <v>Medium</v>
      </c>
      <c r="H1686" s="1">
        <v>46196</v>
      </c>
      <c r="I1686" t="s">
        <v>2015</v>
      </c>
      <c r="J1686" t="s">
        <v>2032</v>
      </c>
      <c r="K1686" t="s">
        <v>1993</v>
      </c>
      <c r="L1686">
        <f>IF(G1686="High",3,IF(G1686="Medium",2,1))</f>
        <v>2</v>
      </c>
    </row>
    <row r="1687" spans="1:12">
      <c r="A1687" t="s">
        <v>3713</v>
      </c>
      <c r="B1687" t="s">
        <v>1218</v>
      </c>
      <c r="C1687" t="s">
        <v>2008</v>
      </c>
      <c r="D1687" t="s">
        <v>2054</v>
      </c>
      <c r="E1687" t="s">
        <v>1971</v>
      </c>
      <c r="F1687" t="s">
        <v>1971</v>
      </c>
      <c r="G1687" t="str">
        <f>INDEX(Risk_Matrix!$B$2:$D$4,MATCH(E1687,Risk_Matrix!$A$2:$A$4,0),MATCH(F1687,Risk_Matrix!$B$1:$D$1,0))</f>
        <v>Medium</v>
      </c>
      <c r="H1687" s="1">
        <v>46140</v>
      </c>
      <c r="I1687" t="s">
        <v>1987</v>
      </c>
      <c r="J1687" t="s">
        <v>1997</v>
      </c>
      <c r="K1687" t="s">
        <v>1998</v>
      </c>
      <c r="L1687">
        <f>IF(G1687="High",3,IF(G1687="Medium",2,1))</f>
        <v>2</v>
      </c>
    </row>
    <row r="1688" spans="1:12">
      <c r="A1688" t="s">
        <v>3714</v>
      </c>
      <c r="B1688" t="s">
        <v>1220</v>
      </c>
      <c r="C1688" t="s">
        <v>1985</v>
      </c>
      <c r="D1688" t="s">
        <v>2062</v>
      </c>
      <c r="E1688" t="s">
        <v>1971</v>
      </c>
      <c r="F1688" t="s">
        <v>57</v>
      </c>
      <c r="G1688" t="str">
        <f>INDEX(Risk_Matrix!$B$2:$D$4,MATCH(E1688,Risk_Matrix!$A$2:$A$4,0),MATCH(F1688,Risk_Matrix!$B$1:$D$1,0))</f>
        <v>Low</v>
      </c>
      <c r="H1688" s="1">
        <v>46134</v>
      </c>
      <c r="I1688" t="s">
        <v>2002</v>
      </c>
      <c r="J1688" t="s">
        <v>2003</v>
      </c>
      <c r="K1688" t="s">
        <v>1998</v>
      </c>
      <c r="L1688">
        <f>IF(G1688="High",3,IF(G1688="Medium",2,1))</f>
        <v>1</v>
      </c>
    </row>
    <row r="1689" spans="1:12">
      <c r="A1689" t="s">
        <v>3715</v>
      </c>
      <c r="B1689" t="s">
        <v>1220</v>
      </c>
      <c r="C1689" t="s">
        <v>1991</v>
      </c>
      <c r="D1689" t="s">
        <v>2064</v>
      </c>
      <c r="E1689" t="s">
        <v>1971</v>
      </c>
      <c r="F1689" t="s">
        <v>57</v>
      </c>
      <c r="G1689" t="str">
        <f>INDEX(Risk_Matrix!$B$2:$D$4,MATCH(E1689,Risk_Matrix!$A$2:$A$4,0),MATCH(F1689,Risk_Matrix!$B$1:$D$1,0))</f>
        <v>Low</v>
      </c>
      <c r="H1689" s="1">
        <v>46071</v>
      </c>
      <c r="I1689" t="s">
        <v>2025</v>
      </c>
      <c r="J1689" t="s">
        <v>2026</v>
      </c>
      <c r="K1689" t="s">
        <v>2010</v>
      </c>
      <c r="L1689">
        <f>IF(G1689="High",3,IF(G1689="Medium",2,1))</f>
        <v>1</v>
      </c>
    </row>
    <row r="1690" spans="1:12">
      <c r="A1690" t="s">
        <v>3716</v>
      </c>
      <c r="B1690" t="s">
        <v>1220</v>
      </c>
      <c r="C1690" t="s">
        <v>1995</v>
      </c>
      <c r="D1690" t="s">
        <v>2034</v>
      </c>
      <c r="E1690" t="s">
        <v>1971</v>
      </c>
      <c r="F1690" t="s">
        <v>57</v>
      </c>
      <c r="G1690" t="str">
        <f>INDEX(Risk_Matrix!$B$2:$D$4,MATCH(E1690,Risk_Matrix!$A$2:$A$4,0),MATCH(F1690,Risk_Matrix!$B$1:$D$1,0))</f>
        <v>Low</v>
      </c>
      <c r="H1690" s="1">
        <v>46093</v>
      </c>
      <c r="I1690" t="s">
        <v>1987</v>
      </c>
      <c r="J1690" t="s">
        <v>1988</v>
      </c>
      <c r="K1690" t="s">
        <v>2036</v>
      </c>
      <c r="L1690">
        <f>IF(G1690="High",3,IF(G1690="Medium",2,1))</f>
        <v>1</v>
      </c>
    </row>
    <row r="1691" spans="1:12">
      <c r="A1691" t="s">
        <v>3717</v>
      </c>
      <c r="B1691" t="s">
        <v>1220</v>
      </c>
      <c r="C1691" t="s">
        <v>2000</v>
      </c>
      <c r="D1691" t="s">
        <v>2045</v>
      </c>
      <c r="E1691" t="s">
        <v>1971</v>
      </c>
      <c r="F1691" t="s">
        <v>1971</v>
      </c>
      <c r="G1691" t="str">
        <f>INDEX(Risk_Matrix!$B$2:$D$4,MATCH(E1691,Risk_Matrix!$A$2:$A$4,0),MATCH(F1691,Risk_Matrix!$B$1:$D$1,0))</f>
        <v>Medium</v>
      </c>
      <c r="H1691" s="1">
        <v>46077</v>
      </c>
      <c r="I1691" t="s">
        <v>2025</v>
      </c>
      <c r="J1691" t="s">
        <v>2035</v>
      </c>
      <c r="K1691" t="s">
        <v>1989</v>
      </c>
      <c r="L1691">
        <f>IF(G1691="High",3,IF(G1691="Medium",2,1))</f>
        <v>2</v>
      </c>
    </row>
    <row r="1692" spans="1:12">
      <c r="A1692" t="s">
        <v>3718</v>
      </c>
      <c r="B1692" t="s">
        <v>1220</v>
      </c>
      <c r="C1692" t="s">
        <v>2005</v>
      </c>
      <c r="D1692" t="s">
        <v>2006</v>
      </c>
      <c r="E1692" t="s">
        <v>1971</v>
      </c>
      <c r="F1692" t="s">
        <v>57</v>
      </c>
      <c r="G1692" t="str">
        <f>INDEX(Risk_Matrix!$B$2:$D$4,MATCH(E1692,Risk_Matrix!$A$2:$A$4,0),MATCH(F1692,Risk_Matrix!$B$1:$D$1,0))</f>
        <v>Low</v>
      </c>
      <c r="H1692" s="1">
        <v>46100</v>
      </c>
      <c r="I1692" t="s">
        <v>2025</v>
      </c>
      <c r="J1692" t="s">
        <v>2026</v>
      </c>
      <c r="K1692" t="s">
        <v>2036</v>
      </c>
      <c r="L1692">
        <f>IF(G1692="High",3,IF(G1692="Medium",2,1))</f>
        <v>1</v>
      </c>
    </row>
    <row r="1693" spans="1:12">
      <c r="A1693" t="s">
        <v>3719</v>
      </c>
      <c r="B1693" t="s">
        <v>1220</v>
      </c>
      <c r="C1693" t="s">
        <v>2008</v>
      </c>
      <c r="D1693" t="s">
        <v>2024</v>
      </c>
      <c r="E1693" t="s">
        <v>1971</v>
      </c>
      <c r="F1693" t="s">
        <v>1971</v>
      </c>
      <c r="G1693" t="str">
        <f>INDEX(Risk_Matrix!$B$2:$D$4,MATCH(E1693,Risk_Matrix!$A$2:$A$4,0),MATCH(F1693,Risk_Matrix!$B$1:$D$1,0))</f>
        <v>Medium</v>
      </c>
      <c r="H1693" s="1">
        <v>46075</v>
      </c>
      <c r="I1693" t="s">
        <v>2025</v>
      </c>
      <c r="J1693" t="s">
        <v>2035</v>
      </c>
      <c r="K1693" t="s">
        <v>2010</v>
      </c>
      <c r="L1693">
        <f>IF(G1693="High",3,IF(G1693="Medium",2,1))</f>
        <v>2</v>
      </c>
    </row>
    <row r="1694" spans="1:12">
      <c r="A1694" t="s">
        <v>3720</v>
      </c>
      <c r="B1694" t="s">
        <v>1222</v>
      </c>
      <c r="C1694" t="s">
        <v>1985</v>
      </c>
      <c r="D1694" t="s">
        <v>1986</v>
      </c>
      <c r="E1694" t="s">
        <v>57</v>
      </c>
      <c r="F1694" t="s">
        <v>47</v>
      </c>
      <c r="G1694" t="str">
        <f>INDEX(Risk_Matrix!$B$2:$D$4,MATCH(E1694,Risk_Matrix!$A$2:$A$4,0),MATCH(F1694,Risk_Matrix!$B$1:$D$1,0))</f>
        <v>Medium</v>
      </c>
      <c r="H1694" s="1">
        <v>46184</v>
      </c>
      <c r="I1694" t="s">
        <v>2015</v>
      </c>
      <c r="J1694" t="s">
        <v>2016</v>
      </c>
      <c r="K1694" t="s">
        <v>1989</v>
      </c>
      <c r="L1694">
        <f>IF(G1694="High",3,IF(G1694="Medium",2,1))</f>
        <v>2</v>
      </c>
    </row>
    <row r="1695" spans="1:12">
      <c r="A1695" t="s">
        <v>3721</v>
      </c>
      <c r="B1695" t="s">
        <v>1222</v>
      </c>
      <c r="C1695" t="s">
        <v>1991</v>
      </c>
      <c r="D1695" t="s">
        <v>1992</v>
      </c>
      <c r="E1695" t="s">
        <v>57</v>
      </c>
      <c r="F1695" t="s">
        <v>57</v>
      </c>
      <c r="G1695" t="str">
        <f>INDEX(Risk_Matrix!$B$2:$D$4,MATCH(E1695,Risk_Matrix!$A$2:$A$4,0),MATCH(F1695,Risk_Matrix!$B$1:$D$1,0))</f>
        <v>Low</v>
      </c>
      <c r="H1695" s="1">
        <v>46100</v>
      </c>
      <c r="I1695" t="s">
        <v>1987</v>
      </c>
      <c r="J1695" t="s">
        <v>1988</v>
      </c>
      <c r="K1695" t="s">
        <v>2010</v>
      </c>
      <c r="L1695">
        <f>IF(G1695="High",3,IF(G1695="Medium",2,1))</f>
        <v>1</v>
      </c>
    </row>
    <row r="1696" spans="1:12">
      <c r="A1696" t="s">
        <v>3722</v>
      </c>
      <c r="B1696" t="s">
        <v>1222</v>
      </c>
      <c r="C1696" t="s">
        <v>1995</v>
      </c>
      <c r="D1696" t="s">
        <v>2150</v>
      </c>
      <c r="E1696" t="s">
        <v>1971</v>
      </c>
      <c r="F1696" t="s">
        <v>1971</v>
      </c>
      <c r="G1696" t="str">
        <f>INDEX(Risk_Matrix!$B$2:$D$4,MATCH(E1696,Risk_Matrix!$A$2:$A$4,0),MATCH(F1696,Risk_Matrix!$B$1:$D$1,0))</f>
        <v>Medium</v>
      </c>
      <c r="H1696" s="1">
        <v>46206</v>
      </c>
      <c r="I1696" t="s">
        <v>2025</v>
      </c>
      <c r="J1696" t="s">
        <v>2035</v>
      </c>
      <c r="K1696" t="s">
        <v>1998</v>
      </c>
      <c r="L1696">
        <f>IF(G1696="High",3,IF(G1696="Medium",2,1))</f>
        <v>2</v>
      </c>
    </row>
    <row r="1697" spans="1:12">
      <c r="A1697" t="s">
        <v>3723</v>
      </c>
      <c r="B1697" t="s">
        <v>1222</v>
      </c>
      <c r="C1697" t="s">
        <v>2000</v>
      </c>
      <c r="D1697" t="s">
        <v>2001</v>
      </c>
      <c r="E1697" t="s">
        <v>57</v>
      </c>
      <c r="F1697" t="s">
        <v>57</v>
      </c>
      <c r="G1697" t="str">
        <f>INDEX(Risk_Matrix!$B$2:$D$4,MATCH(E1697,Risk_Matrix!$A$2:$A$4,0),MATCH(F1697,Risk_Matrix!$B$1:$D$1,0))</f>
        <v>Low</v>
      </c>
      <c r="H1697" s="1">
        <v>46101</v>
      </c>
      <c r="I1697" t="s">
        <v>2025</v>
      </c>
      <c r="J1697" t="s">
        <v>2026</v>
      </c>
      <c r="K1697" t="s">
        <v>1993</v>
      </c>
      <c r="L1697">
        <f>IF(G1697="High",3,IF(G1697="Medium",2,1))</f>
        <v>1</v>
      </c>
    </row>
    <row r="1698" spans="1:12">
      <c r="A1698" t="s">
        <v>3724</v>
      </c>
      <c r="B1698" t="s">
        <v>1222</v>
      </c>
      <c r="C1698" t="s">
        <v>2005</v>
      </c>
      <c r="D1698" t="s">
        <v>2006</v>
      </c>
      <c r="E1698" t="s">
        <v>57</v>
      </c>
      <c r="F1698" t="s">
        <v>1971</v>
      </c>
      <c r="G1698" t="str">
        <f>INDEX(Risk_Matrix!$B$2:$D$4,MATCH(E1698,Risk_Matrix!$A$2:$A$4,0),MATCH(F1698,Risk_Matrix!$B$1:$D$1,0))</f>
        <v>Low</v>
      </c>
      <c r="H1698" s="1">
        <v>46091</v>
      </c>
      <c r="I1698" t="s">
        <v>2025</v>
      </c>
      <c r="J1698" t="s">
        <v>2035</v>
      </c>
      <c r="K1698" t="s">
        <v>1993</v>
      </c>
      <c r="L1698">
        <f>IF(G1698="High",3,IF(G1698="Medium",2,1))</f>
        <v>1</v>
      </c>
    </row>
    <row r="1699" spans="1:12">
      <c r="A1699" t="s">
        <v>3725</v>
      </c>
      <c r="B1699" t="s">
        <v>1222</v>
      </c>
      <c r="C1699" t="s">
        <v>2008</v>
      </c>
      <c r="D1699" t="s">
        <v>2024</v>
      </c>
      <c r="E1699" t="s">
        <v>1971</v>
      </c>
      <c r="F1699" t="s">
        <v>57</v>
      </c>
      <c r="G1699" t="str">
        <f>INDEX(Risk_Matrix!$B$2:$D$4,MATCH(E1699,Risk_Matrix!$A$2:$A$4,0),MATCH(F1699,Risk_Matrix!$B$1:$D$1,0))</f>
        <v>Low</v>
      </c>
      <c r="H1699" s="1">
        <v>46170</v>
      </c>
      <c r="I1699" t="s">
        <v>2025</v>
      </c>
      <c r="J1699" t="s">
        <v>2026</v>
      </c>
      <c r="K1699" t="s">
        <v>2010</v>
      </c>
      <c r="L1699">
        <f>IF(G1699="High",3,IF(G1699="Medium",2,1))</f>
        <v>1</v>
      </c>
    </row>
    <row r="1700" spans="1:12">
      <c r="A1700" t="s">
        <v>3726</v>
      </c>
      <c r="B1700" t="s">
        <v>1224</v>
      </c>
      <c r="C1700" t="s">
        <v>1985</v>
      </c>
      <c r="D1700" t="s">
        <v>2028</v>
      </c>
      <c r="E1700" t="s">
        <v>57</v>
      </c>
      <c r="F1700" t="s">
        <v>1971</v>
      </c>
      <c r="G1700" t="str">
        <f>INDEX(Risk_Matrix!$B$2:$D$4,MATCH(E1700,Risk_Matrix!$A$2:$A$4,0),MATCH(F1700,Risk_Matrix!$B$1:$D$1,0))</f>
        <v>Low</v>
      </c>
      <c r="H1700" s="1">
        <v>46165</v>
      </c>
      <c r="I1700" t="s">
        <v>2002</v>
      </c>
      <c r="J1700" t="s">
        <v>2029</v>
      </c>
      <c r="K1700" t="s">
        <v>1998</v>
      </c>
      <c r="L1700">
        <f>IF(G1700="High",3,IF(G1700="Medium",2,1))</f>
        <v>1</v>
      </c>
    </row>
    <row r="1701" spans="1:12">
      <c r="A1701" t="s">
        <v>3727</v>
      </c>
      <c r="B1701" t="s">
        <v>1224</v>
      </c>
      <c r="C1701" t="s">
        <v>1991</v>
      </c>
      <c r="D1701" t="s">
        <v>2031</v>
      </c>
      <c r="E1701" t="s">
        <v>47</v>
      </c>
      <c r="F1701" t="s">
        <v>1971</v>
      </c>
      <c r="G1701" t="str">
        <f>INDEX(Risk_Matrix!$B$2:$D$4,MATCH(E1701,Risk_Matrix!$A$2:$A$4,0),MATCH(F1701,Risk_Matrix!$B$1:$D$1,0))</f>
        <v>High</v>
      </c>
      <c r="H1701" s="1">
        <v>46235</v>
      </c>
      <c r="I1701" t="s">
        <v>2025</v>
      </c>
      <c r="J1701" t="s">
        <v>2026</v>
      </c>
      <c r="K1701" t="s">
        <v>1993</v>
      </c>
      <c r="L1701">
        <f>IF(G1701="High",3,IF(G1701="Medium",2,1))</f>
        <v>3</v>
      </c>
    </row>
    <row r="1702" spans="1:12">
      <c r="A1702" t="s">
        <v>3728</v>
      </c>
      <c r="B1702" t="s">
        <v>1224</v>
      </c>
      <c r="C1702" t="s">
        <v>1995</v>
      </c>
      <c r="D1702" t="s">
        <v>2034</v>
      </c>
      <c r="E1702" t="s">
        <v>47</v>
      </c>
      <c r="F1702" t="s">
        <v>1971</v>
      </c>
      <c r="G1702" t="str">
        <f>INDEX(Risk_Matrix!$B$2:$D$4,MATCH(E1702,Risk_Matrix!$A$2:$A$4,0),MATCH(F1702,Risk_Matrix!$B$1:$D$1,0))</f>
        <v>High</v>
      </c>
      <c r="H1702" s="1">
        <v>46148</v>
      </c>
      <c r="I1702" t="s">
        <v>2025</v>
      </c>
      <c r="J1702" t="s">
        <v>2035</v>
      </c>
      <c r="K1702" t="s">
        <v>2036</v>
      </c>
      <c r="L1702">
        <f>IF(G1702="High",3,IF(G1702="Medium",2,1))</f>
        <v>3</v>
      </c>
    </row>
    <row r="1703" spans="1:12">
      <c r="A1703" t="s">
        <v>3729</v>
      </c>
      <c r="B1703" t="s">
        <v>1224</v>
      </c>
      <c r="C1703" t="s">
        <v>2000</v>
      </c>
      <c r="D1703" t="s">
        <v>2045</v>
      </c>
      <c r="E1703" t="s">
        <v>57</v>
      </c>
      <c r="F1703" t="s">
        <v>57</v>
      </c>
      <c r="G1703" t="str">
        <f>INDEX(Risk_Matrix!$B$2:$D$4,MATCH(E1703,Risk_Matrix!$A$2:$A$4,0),MATCH(F1703,Risk_Matrix!$B$1:$D$1,0))</f>
        <v>Low</v>
      </c>
      <c r="H1703" s="1">
        <v>46162</v>
      </c>
      <c r="I1703" t="s">
        <v>2025</v>
      </c>
      <c r="J1703" t="s">
        <v>2026</v>
      </c>
      <c r="K1703" t="s">
        <v>1989</v>
      </c>
      <c r="L1703">
        <f>IF(G1703="High",3,IF(G1703="Medium",2,1))</f>
        <v>1</v>
      </c>
    </row>
    <row r="1704" spans="1:12">
      <c r="A1704" t="s">
        <v>3730</v>
      </c>
      <c r="B1704" t="s">
        <v>1224</v>
      </c>
      <c r="C1704" t="s">
        <v>2005</v>
      </c>
      <c r="D1704" t="s">
        <v>2039</v>
      </c>
      <c r="E1704" t="s">
        <v>57</v>
      </c>
      <c r="F1704" t="s">
        <v>47</v>
      </c>
      <c r="G1704" t="str">
        <f>INDEX(Risk_Matrix!$B$2:$D$4,MATCH(E1704,Risk_Matrix!$A$2:$A$4,0),MATCH(F1704,Risk_Matrix!$B$1:$D$1,0))</f>
        <v>Medium</v>
      </c>
      <c r="H1704" s="1">
        <v>46203</v>
      </c>
      <c r="I1704" t="s">
        <v>2015</v>
      </c>
      <c r="J1704" t="s">
        <v>2016</v>
      </c>
      <c r="K1704" t="s">
        <v>2036</v>
      </c>
      <c r="L1704">
        <f>IF(G1704="High",3,IF(G1704="Medium",2,1))</f>
        <v>2</v>
      </c>
    </row>
    <row r="1705" spans="1:12">
      <c r="A1705" t="s">
        <v>3731</v>
      </c>
      <c r="B1705" t="s">
        <v>1224</v>
      </c>
      <c r="C1705" t="s">
        <v>2008</v>
      </c>
      <c r="D1705" t="s">
        <v>2054</v>
      </c>
      <c r="E1705" t="s">
        <v>57</v>
      </c>
      <c r="F1705" t="s">
        <v>1971</v>
      </c>
      <c r="G1705" t="str">
        <f>INDEX(Risk_Matrix!$B$2:$D$4,MATCH(E1705,Risk_Matrix!$A$2:$A$4,0),MATCH(F1705,Risk_Matrix!$B$1:$D$1,0))</f>
        <v>Low</v>
      </c>
      <c r="H1705" s="1">
        <v>46059</v>
      </c>
      <c r="I1705" t="s">
        <v>1987</v>
      </c>
      <c r="J1705" t="s">
        <v>1988</v>
      </c>
      <c r="K1705" t="s">
        <v>2010</v>
      </c>
      <c r="L1705">
        <f>IF(G1705="High",3,IF(G1705="Medium",2,1))</f>
        <v>1</v>
      </c>
    </row>
    <row r="1706" spans="1:12">
      <c r="A1706" t="s">
        <v>3732</v>
      </c>
      <c r="B1706" t="s">
        <v>1226</v>
      </c>
      <c r="C1706" t="s">
        <v>1985</v>
      </c>
      <c r="D1706" t="s">
        <v>2012</v>
      </c>
      <c r="E1706" t="s">
        <v>1971</v>
      </c>
      <c r="F1706" t="s">
        <v>1971</v>
      </c>
      <c r="G1706" t="str">
        <f>INDEX(Risk_Matrix!$B$2:$D$4,MATCH(E1706,Risk_Matrix!$A$2:$A$4,0),MATCH(F1706,Risk_Matrix!$B$1:$D$1,0))</f>
        <v>Medium</v>
      </c>
      <c r="H1706" s="1">
        <v>46159</v>
      </c>
      <c r="I1706" t="s">
        <v>2025</v>
      </c>
      <c r="J1706" t="s">
        <v>2035</v>
      </c>
      <c r="K1706" t="s">
        <v>1998</v>
      </c>
      <c r="L1706">
        <f>IF(G1706="High",3,IF(G1706="Medium",2,1))</f>
        <v>2</v>
      </c>
    </row>
    <row r="1707" spans="1:12">
      <c r="A1707" t="s">
        <v>3733</v>
      </c>
      <c r="B1707" t="s">
        <v>1226</v>
      </c>
      <c r="C1707" t="s">
        <v>1991</v>
      </c>
      <c r="D1707" t="s">
        <v>2031</v>
      </c>
      <c r="E1707" t="s">
        <v>57</v>
      </c>
      <c r="F1707" t="s">
        <v>57</v>
      </c>
      <c r="G1707" t="str">
        <f>INDEX(Risk_Matrix!$B$2:$D$4,MATCH(E1707,Risk_Matrix!$A$2:$A$4,0),MATCH(F1707,Risk_Matrix!$B$1:$D$1,0))</f>
        <v>Low</v>
      </c>
      <c r="H1707" s="1">
        <v>46186</v>
      </c>
      <c r="I1707" t="s">
        <v>2015</v>
      </c>
      <c r="J1707" t="s">
        <v>2016</v>
      </c>
      <c r="K1707" t="s">
        <v>1993</v>
      </c>
      <c r="L1707">
        <f>IF(G1707="High",3,IF(G1707="Medium",2,1))</f>
        <v>1</v>
      </c>
    </row>
    <row r="1708" spans="1:12">
      <c r="A1708" t="s">
        <v>3734</v>
      </c>
      <c r="B1708" t="s">
        <v>1226</v>
      </c>
      <c r="C1708" t="s">
        <v>1995</v>
      </c>
      <c r="D1708" t="s">
        <v>2150</v>
      </c>
      <c r="E1708" t="s">
        <v>1971</v>
      </c>
      <c r="F1708" t="s">
        <v>1971</v>
      </c>
      <c r="G1708" t="str">
        <f>INDEX(Risk_Matrix!$B$2:$D$4,MATCH(E1708,Risk_Matrix!$A$2:$A$4,0),MATCH(F1708,Risk_Matrix!$B$1:$D$1,0))</f>
        <v>Medium</v>
      </c>
      <c r="H1708" s="1">
        <v>46158</v>
      </c>
      <c r="I1708" t="s">
        <v>2015</v>
      </c>
      <c r="J1708" t="s">
        <v>2016</v>
      </c>
      <c r="K1708" t="s">
        <v>2036</v>
      </c>
      <c r="L1708">
        <f>IF(G1708="High",3,IF(G1708="Medium",2,1))</f>
        <v>2</v>
      </c>
    </row>
    <row r="1709" spans="1:12">
      <c r="A1709" t="s">
        <v>3735</v>
      </c>
      <c r="B1709" t="s">
        <v>1226</v>
      </c>
      <c r="C1709" t="s">
        <v>2000</v>
      </c>
      <c r="D1709" t="s">
        <v>2020</v>
      </c>
      <c r="E1709" t="s">
        <v>1971</v>
      </c>
      <c r="F1709" t="s">
        <v>57</v>
      </c>
      <c r="G1709" t="str">
        <f>INDEX(Risk_Matrix!$B$2:$D$4,MATCH(E1709,Risk_Matrix!$A$2:$A$4,0),MATCH(F1709,Risk_Matrix!$B$1:$D$1,0))</f>
        <v>Low</v>
      </c>
      <c r="H1709" s="1">
        <v>46056</v>
      </c>
      <c r="I1709" t="s">
        <v>1987</v>
      </c>
      <c r="J1709" t="s">
        <v>1997</v>
      </c>
      <c r="K1709" t="s">
        <v>1989</v>
      </c>
      <c r="L1709">
        <f>IF(G1709="High",3,IF(G1709="Medium",2,1))</f>
        <v>1</v>
      </c>
    </row>
    <row r="1710" spans="1:12">
      <c r="A1710" t="s">
        <v>3736</v>
      </c>
      <c r="B1710" t="s">
        <v>1226</v>
      </c>
      <c r="C1710" t="s">
        <v>2005</v>
      </c>
      <c r="D1710" t="s">
        <v>2022</v>
      </c>
      <c r="E1710" t="s">
        <v>1971</v>
      </c>
      <c r="F1710" t="s">
        <v>47</v>
      </c>
      <c r="G1710" t="str">
        <f>INDEX(Risk_Matrix!$B$2:$D$4,MATCH(E1710,Risk_Matrix!$A$2:$A$4,0),MATCH(F1710,Risk_Matrix!$B$1:$D$1,0))</f>
        <v>High</v>
      </c>
      <c r="H1710" s="1">
        <v>46123</v>
      </c>
      <c r="I1710" t="s">
        <v>2025</v>
      </c>
      <c r="J1710" t="s">
        <v>2035</v>
      </c>
      <c r="K1710" t="s">
        <v>1993</v>
      </c>
      <c r="L1710">
        <f>IF(G1710="High",3,IF(G1710="Medium",2,1))</f>
        <v>3</v>
      </c>
    </row>
    <row r="1711" spans="1:12">
      <c r="A1711" t="s">
        <v>3737</v>
      </c>
      <c r="B1711" t="s">
        <v>1226</v>
      </c>
      <c r="C1711" t="s">
        <v>2008</v>
      </c>
      <c r="D1711" t="s">
        <v>2024</v>
      </c>
      <c r="E1711" t="s">
        <v>1971</v>
      </c>
      <c r="F1711" t="s">
        <v>47</v>
      </c>
      <c r="G1711" t="str">
        <f>INDEX(Risk_Matrix!$B$2:$D$4,MATCH(E1711,Risk_Matrix!$A$2:$A$4,0),MATCH(F1711,Risk_Matrix!$B$1:$D$1,0))</f>
        <v>High</v>
      </c>
      <c r="H1711" s="1">
        <v>46232</v>
      </c>
      <c r="I1711" t="s">
        <v>2025</v>
      </c>
      <c r="J1711" t="s">
        <v>2035</v>
      </c>
      <c r="K1711" t="s">
        <v>2010</v>
      </c>
      <c r="L1711">
        <f>IF(G1711="High",3,IF(G1711="Medium",2,1))</f>
        <v>3</v>
      </c>
    </row>
    <row r="1712" spans="1:12">
      <c r="A1712" t="s">
        <v>3738</v>
      </c>
      <c r="B1712" t="s">
        <v>1228</v>
      </c>
      <c r="C1712" t="s">
        <v>1985</v>
      </c>
      <c r="D1712" t="s">
        <v>2012</v>
      </c>
      <c r="E1712" t="s">
        <v>57</v>
      </c>
      <c r="F1712" t="s">
        <v>57</v>
      </c>
      <c r="G1712" t="str">
        <f>INDEX(Risk_Matrix!$B$2:$D$4,MATCH(E1712,Risk_Matrix!$A$2:$A$4,0),MATCH(F1712,Risk_Matrix!$B$1:$D$1,0))</f>
        <v>Low</v>
      </c>
      <c r="H1712" s="1">
        <v>46146</v>
      </c>
      <c r="I1712" t="s">
        <v>2025</v>
      </c>
      <c r="J1712" t="s">
        <v>2035</v>
      </c>
      <c r="K1712" t="s">
        <v>1989</v>
      </c>
      <c r="L1712">
        <f>IF(G1712="High",3,IF(G1712="Medium",2,1))</f>
        <v>1</v>
      </c>
    </row>
    <row r="1713" spans="1:12">
      <c r="A1713" t="s">
        <v>3739</v>
      </c>
      <c r="B1713" t="s">
        <v>1228</v>
      </c>
      <c r="C1713" t="s">
        <v>1991</v>
      </c>
      <c r="D1713" t="s">
        <v>2064</v>
      </c>
      <c r="E1713" t="s">
        <v>57</v>
      </c>
      <c r="F1713" t="s">
        <v>57</v>
      </c>
      <c r="G1713" t="str">
        <f>INDEX(Risk_Matrix!$B$2:$D$4,MATCH(E1713,Risk_Matrix!$A$2:$A$4,0),MATCH(F1713,Risk_Matrix!$B$1:$D$1,0))</f>
        <v>Low</v>
      </c>
      <c r="H1713" s="1">
        <v>46220</v>
      </c>
      <c r="I1713" t="s">
        <v>1987</v>
      </c>
      <c r="J1713" t="s">
        <v>1997</v>
      </c>
      <c r="K1713" t="s">
        <v>1993</v>
      </c>
      <c r="L1713">
        <f>IF(G1713="High",3,IF(G1713="Medium",2,1))</f>
        <v>1</v>
      </c>
    </row>
    <row r="1714" spans="1:12">
      <c r="A1714" t="s">
        <v>3740</v>
      </c>
      <c r="B1714" t="s">
        <v>1228</v>
      </c>
      <c r="C1714" t="s">
        <v>1995</v>
      </c>
      <c r="D1714" t="s">
        <v>2150</v>
      </c>
      <c r="E1714" t="s">
        <v>1971</v>
      </c>
      <c r="F1714" t="s">
        <v>47</v>
      </c>
      <c r="G1714" t="str">
        <f>INDEX(Risk_Matrix!$B$2:$D$4,MATCH(E1714,Risk_Matrix!$A$2:$A$4,0),MATCH(F1714,Risk_Matrix!$B$1:$D$1,0))</f>
        <v>High</v>
      </c>
      <c r="H1714" s="1">
        <v>46192</v>
      </c>
      <c r="I1714" t="s">
        <v>2015</v>
      </c>
      <c r="J1714" t="s">
        <v>2032</v>
      </c>
      <c r="K1714" t="s">
        <v>1998</v>
      </c>
      <c r="L1714">
        <f>IF(G1714="High",3,IF(G1714="Medium",2,1))</f>
        <v>3</v>
      </c>
    </row>
    <row r="1715" spans="1:12">
      <c r="A1715" t="s">
        <v>3741</v>
      </c>
      <c r="B1715" t="s">
        <v>1228</v>
      </c>
      <c r="C1715" t="s">
        <v>2000</v>
      </c>
      <c r="D1715" t="s">
        <v>2020</v>
      </c>
      <c r="E1715" t="s">
        <v>57</v>
      </c>
      <c r="F1715" t="s">
        <v>47</v>
      </c>
      <c r="G1715" t="str">
        <f>INDEX(Risk_Matrix!$B$2:$D$4,MATCH(E1715,Risk_Matrix!$A$2:$A$4,0),MATCH(F1715,Risk_Matrix!$B$1:$D$1,0))</f>
        <v>Medium</v>
      </c>
      <c r="H1715" s="1">
        <v>46115</v>
      </c>
      <c r="I1715" t="s">
        <v>1987</v>
      </c>
      <c r="J1715" t="s">
        <v>1988</v>
      </c>
      <c r="K1715" t="s">
        <v>1989</v>
      </c>
      <c r="L1715">
        <f>IF(G1715="High",3,IF(G1715="Medium",2,1))</f>
        <v>2</v>
      </c>
    </row>
    <row r="1716" spans="1:12">
      <c r="A1716" t="s">
        <v>3742</v>
      </c>
      <c r="B1716" t="s">
        <v>1228</v>
      </c>
      <c r="C1716" t="s">
        <v>2005</v>
      </c>
      <c r="D1716" t="s">
        <v>2022</v>
      </c>
      <c r="E1716" t="s">
        <v>47</v>
      </c>
      <c r="F1716" t="s">
        <v>47</v>
      </c>
      <c r="G1716" t="str">
        <f>INDEX(Risk_Matrix!$B$2:$D$4,MATCH(E1716,Risk_Matrix!$A$2:$A$4,0),MATCH(F1716,Risk_Matrix!$B$1:$D$1,0))</f>
        <v>High</v>
      </c>
      <c r="H1716" s="1">
        <v>46154</v>
      </c>
      <c r="I1716" t="s">
        <v>2015</v>
      </c>
      <c r="J1716" t="s">
        <v>2016</v>
      </c>
      <c r="K1716" t="s">
        <v>1993</v>
      </c>
      <c r="L1716">
        <f>IF(G1716="High",3,IF(G1716="Medium",2,1))</f>
        <v>3</v>
      </c>
    </row>
    <row r="1717" spans="1:12">
      <c r="A1717" t="s">
        <v>3743</v>
      </c>
      <c r="B1717" t="s">
        <v>1228</v>
      </c>
      <c r="C1717" t="s">
        <v>2008</v>
      </c>
      <c r="D1717" t="s">
        <v>2024</v>
      </c>
      <c r="E1717" t="s">
        <v>47</v>
      </c>
      <c r="F1717" t="s">
        <v>1971</v>
      </c>
      <c r="G1717" t="str">
        <f>INDEX(Risk_Matrix!$B$2:$D$4,MATCH(E1717,Risk_Matrix!$A$2:$A$4,0),MATCH(F1717,Risk_Matrix!$B$1:$D$1,0))</f>
        <v>High</v>
      </c>
      <c r="H1717" s="1">
        <v>46183</v>
      </c>
      <c r="I1717" t="s">
        <v>2015</v>
      </c>
      <c r="J1717" t="s">
        <v>2016</v>
      </c>
      <c r="K1717" t="s">
        <v>2010</v>
      </c>
      <c r="L1717">
        <f>IF(G1717="High",3,IF(G1717="Medium",2,1))</f>
        <v>3</v>
      </c>
    </row>
    <row r="1718" spans="1:12">
      <c r="A1718" t="s">
        <v>3744</v>
      </c>
      <c r="B1718" t="s">
        <v>1230</v>
      </c>
      <c r="C1718" t="s">
        <v>1985</v>
      </c>
      <c r="D1718" t="s">
        <v>2062</v>
      </c>
      <c r="E1718" t="s">
        <v>1971</v>
      </c>
      <c r="F1718" t="s">
        <v>57</v>
      </c>
      <c r="G1718" t="str">
        <f>INDEX(Risk_Matrix!$B$2:$D$4,MATCH(E1718,Risk_Matrix!$A$2:$A$4,0),MATCH(F1718,Risk_Matrix!$B$1:$D$1,0))</f>
        <v>Low</v>
      </c>
      <c r="H1718" s="1">
        <v>46174</v>
      </c>
      <c r="I1718" t="s">
        <v>2002</v>
      </c>
      <c r="J1718" t="s">
        <v>2003</v>
      </c>
      <c r="K1718" t="s">
        <v>1989</v>
      </c>
      <c r="L1718">
        <f>IF(G1718="High",3,IF(G1718="Medium",2,1))</f>
        <v>1</v>
      </c>
    </row>
    <row r="1719" spans="1:12">
      <c r="A1719" t="s">
        <v>3745</v>
      </c>
      <c r="B1719" t="s">
        <v>1230</v>
      </c>
      <c r="C1719" t="s">
        <v>1991</v>
      </c>
      <c r="D1719" t="s">
        <v>2064</v>
      </c>
      <c r="E1719" t="s">
        <v>57</v>
      </c>
      <c r="F1719" t="s">
        <v>47</v>
      </c>
      <c r="G1719" t="str">
        <f>INDEX(Risk_Matrix!$B$2:$D$4,MATCH(E1719,Risk_Matrix!$A$2:$A$4,0),MATCH(F1719,Risk_Matrix!$B$1:$D$1,0))</f>
        <v>Medium</v>
      </c>
      <c r="H1719" s="1">
        <v>46073</v>
      </c>
      <c r="I1719" t="s">
        <v>2002</v>
      </c>
      <c r="J1719" t="s">
        <v>2003</v>
      </c>
      <c r="K1719" t="s">
        <v>2010</v>
      </c>
      <c r="L1719">
        <f>IF(G1719="High",3,IF(G1719="Medium",2,1))</f>
        <v>2</v>
      </c>
    </row>
    <row r="1720" spans="1:12">
      <c r="A1720" t="s">
        <v>3746</v>
      </c>
      <c r="B1720" t="s">
        <v>1230</v>
      </c>
      <c r="C1720" t="s">
        <v>1995</v>
      </c>
      <c r="D1720" t="s">
        <v>2034</v>
      </c>
      <c r="E1720" t="s">
        <v>57</v>
      </c>
      <c r="F1720" t="s">
        <v>57</v>
      </c>
      <c r="G1720" t="str">
        <f>INDEX(Risk_Matrix!$B$2:$D$4,MATCH(E1720,Risk_Matrix!$A$2:$A$4,0),MATCH(F1720,Risk_Matrix!$B$1:$D$1,0))</f>
        <v>Low</v>
      </c>
      <c r="H1720" s="1">
        <v>46139</v>
      </c>
      <c r="I1720" t="s">
        <v>2025</v>
      </c>
      <c r="J1720" t="s">
        <v>2035</v>
      </c>
      <c r="K1720" t="s">
        <v>1998</v>
      </c>
      <c r="L1720">
        <f>IF(G1720="High",3,IF(G1720="Medium",2,1))</f>
        <v>1</v>
      </c>
    </row>
    <row r="1721" spans="1:12">
      <c r="A1721" t="s">
        <v>3747</v>
      </c>
      <c r="B1721" t="s">
        <v>1230</v>
      </c>
      <c r="C1721" t="s">
        <v>2000</v>
      </c>
      <c r="D1721" t="s">
        <v>2001</v>
      </c>
      <c r="E1721" t="s">
        <v>1971</v>
      </c>
      <c r="F1721" t="s">
        <v>57</v>
      </c>
      <c r="G1721" t="str">
        <f>INDEX(Risk_Matrix!$B$2:$D$4,MATCH(E1721,Risk_Matrix!$A$2:$A$4,0),MATCH(F1721,Risk_Matrix!$B$1:$D$1,0))</f>
        <v>Low</v>
      </c>
      <c r="H1721" s="1">
        <v>46150</v>
      </c>
      <c r="I1721" t="s">
        <v>2002</v>
      </c>
      <c r="J1721" t="s">
        <v>2003</v>
      </c>
      <c r="K1721" t="s">
        <v>1989</v>
      </c>
      <c r="L1721">
        <f>IF(G1721="High",3,IF(G1721="Medium",2,1))</f>
        <v>1</v>
      </c>
    </row>
    <row r="1722" spans="1:12">
      <c r="A1722" t="s">
        <v>3748</v>
      </c>
      <c r="B1722" t="s">
        <v>1230</v>
      </c>
      <c r="C1722" t="s">
        <v>2005</v>
      </c>
      <c r="D1722" t="s">
        <v>2006</v>
      </c>
      <c r="E1722" t="s">
        <v>47</v>
      </c>
      <c r="F1722" t="s">
        <v>1971</v>
      </c>
      <c r="G1722" t="str">
        <f>INDEX(Risk_Matrix!$B$2:$D$4,MATCH(E1722,Risk_Matrix!$A$2:$A$4,0),MATCH(F1722,Risk_Matrix!$B$1:$D$1,0))</f>
        <v>High</v>
      </c>
      <c r="H1722" s="1">
        <v>46219</v>
      </c>
      <c r="I1722" t="s">
        <v>2015</v>
      </c>
      <c r="J1722" t="s">
        <v>2016</v>
      </c>
      <c r="K1722" t="s">
        <v>2036</v>
      </c>
      <c r="L1722">
        <f>IF(G1722="High",3,IF(G1722="Medium",2,1))</f>
        <v>3</v>
      </c>
    </row>
    <row r="1723" spans="1:12">
      <c r="A1723" t="s">
        <v>3749</v>
      </c>
      <c r="B1723" t="s">
        <v>1230</v>
      </c>
      <c r="C1723" t="s">
        <v>2008</v>
      </c>
      <c r="D1723" t="s">
        <v>2024</v>
      </c>
      <c r="E1723" t="s">
        <v>1971</v>
      </c>
      <c r="F1723" t="s">
        <v>1971</v>
      </c>
      <c r="G1723" t="str">
        <f>INDEX(Risk_Matrix!$B$2:$D$4,MATCH(E1723,Risk_Matrix!$A$2:$A$4,0),MATCH(F1723,Risk_Matrix!$B$1:$D$1,0))</f>
        <v>Medium</v>
      </c>
      <c r="H1723" s="1">
        <v>46217</v>
      </c>
      <c r="I1723" t="s">
        <v>2015</v>
      </c>
      <c r="J1723" t="s">
        <v>2032</v>
      </c>
      <c r="K1723" t="s">
        <v>2010</v>
      </c>
      <c r="L1723">
        <f>IF(G1723="High",3,IF(G1723="Medium",2,1))</f>
        <v>2</v>
      </c>
    </row>
    <row r="1724" spans="1:12">
      <c r="A1724" t="s">
        <v>3750</v>
      </c>
      <c r="B1724" t="s">
        <v>1232</v>
      </c>
      <c r="C1724" t="s">
        <v>1985</v>
      </c>
      <c r="D1724" t="s">
        <v>2028</v>
      </c>
      <c r="E1724" t="s">
        <v>57</v>
      </c>
      <c r="F1724" t="s">
        <v>47</v>
      </c>
      <c r="G1724" t="str">
        <f>INDEX(Risk_Matrix!$B$2:$D$4,MATCH(E1724,Risk_Matrix!$A$2:$A$4,0),MATCH(F1724,Risk_Matrix!$B$1:$D$1,0))</f>
        <v>Medium</v>
      </c>
      <c r="H1724" s="1">
        <v>46056</v>
      </c>
      <c r="I1724" t="s">
        <v>2025</v>
      </c>
      <c r="J1724" t="s">
        <v>2026</v>
      </c>
      <c r="K1724" t="s">
        <v>1989</v>
      </c>
      <c r="L1724">
        <f>IF(G1724="High",3,IF(G1724="Medium",2,1))</f>
        <v>2</v>
      </c>
    </row>
    <row r="1725" spans="1:12">
      <c r="A1725" t="s">
        <v>3751</v>
      </c>
      <c r="B1725" t="s">
        <v>1232</v>
      </c>
      <c r="C1725" t="s">
        <v>1991</v>
      </c>
      <c r="D1725" t="s">
        <v>1992</v>
      </c>
      <c r="E1725" t="s">
        <v>1971</v>
      </c>
      <c r="F1725" t="s">
        <v>47</v>
      </c>
      <c r="G1725" t="str">
        <f>INDEX(Risk_Matrix!$B$2:$D$4,MATCH(E1725,Risk_Matrix!$A$2:$A$4,0),MATCH(F1725,Risk_Matrix!$B$1:$D$1,0))</f>
        <v>High</v>
      </c>
      <c r="H1725" s="1">
        <v>46165</v>
      </c>
      <c r="I1725" t="s">
        <v>2015</v>
      </c>
      <c r="J1725" t="s">
        <v>2016</v>
      </c>
      <c r="K1725" t="s">
        <v>1993</v>
      </c>
      <c r="L1725">
        <f>IF(G1725="High",3,IF(G1725="Medium",2,1))</f>
        <v>3</v>
      </c>
    </row>
    <row r="1726" spans="1:12">
      <c r="A1726" t="s">
        <v>3752</v>
      </c>
      <c r="B1726" t="s">
        <v>1232</v>
      </c>
      <c r="C1726" t="s">
        <v>1995</v>
      </c>
      <c r="D1726" t="s">
        <v>1996</v>
      </c>
      <c r="E1726" t="s">
        <v>57</v>
      </c>
      <c r="F1726" t="s">
        <v>1971</v>
      </c>
      <c r="G1726" t="str">
        <f>INDEX(Risk_Matrix!$B$2:$D$4,MATCH(E1726,Risk_Matrix!$A$2:$A$4,0),MATCH(F1726,Risk_Matrix!$B$1:$D$1,0))</f>
        <v>Low</v>
      </c>
      <c r="H1726" s="1">
        <v>46110</v>
      </c>
      <c r="I1726" t="s">
        <v>1987</v>
      </c>
      <c r="J1726" t="s">
        <v>1997</v>
      </c>
      <c r="K1726" t="s">
        <v>1998</v>
      </c>
      <c r="L1726">
        <f>IF(G1726="High",3,IF(G1726="Medium",2,1))</f>
        <v>1</v>
      </c>
    </row>
    <row r="1727" spans="1:12">
      <c r="A1727" t="s">
        <v>3753</v>
      </c>
      <c r="B1727" t="s">
        <v>1232</v>
      </c>
      <c r="C1727" t="s">
        <v>2000</v>
      </c>
      <c r="D1727" t="s">
        <v>2045</v>
      </c>
      <c r="E1727" t="s">
        <v>57</v>
      </c>
      <c r="F1727" t="s">
        <v>1971</v>
      </c>
      <c r="G1727" t="str">
        <f>INDEX(Risk_Matrix!$B$2:$D$4,MATCH(E1727,Risk_Matrix!$A$2:$A$4,0),MATCH(F1727,Risk_Matrix!$B$1:$D$1,0))</f>
        <v>Low</v>
      </c>
      <c r="H1727" s="1">
        <v>46200</v>
      </c>
      <c r="I1727" t="s">
        <v>1987</v>
      </c>
      <c r="J1727" t="s">
        <v>1988</v>
      </c>
      <c r="K1727" t="s">
        <v>1989</v>
      </c>
      <c r="L1727">
        <f>IF(G1727="High",3,IF(G1727="Medium",2,1))</f>
        <v>1</v>
      </c>
    </row>
    <row r="1728" spans="1:12">
      <c r="A1728" t="s">
        <v>3754</v>
      </c>
      <c r="B1728" t="s">
        <v>1232</v>
      </c>
      <c r="C1728" t="s">
        <v>2005</v>
      </c>
      <c r="D1728" t="s">
        <v>2006</v>
      </c>
      <c r="E1728" t="s">
        <v>1971</v>
      </c>
      <c r="F1728" t="s">
        <v>57</v>
      </c>
      <c r="G1728" t="str">
        <f>INDEX(Risk_Matrix!$B$2:$D$4,MATCH(E1728,Risk_Matrix!$A$2:$A$4,0),MATCH(F1728,Risk_Matrix!$B$1:$D$1,0))</f>
        <v>Low</v>
      </c>
      <c r="H1728" s="1">
        <v>46192</v>
      </c>
      <c r="I1728" t="s">
        <v>2015</v>
      </c>
      <c r="J1728" t="s">
        <v>2016</v>
      </c>
      <c r="K1728" t="s">
        <v>1993</v>
      </c>
      <c r="L1728">
        <f>IF(G1728="High",3,IF(G1728="Medium",2,1))</f>
        <v>1</v>
      </c>
    </row>
    <row r="1729" spans="1:12">
      <c r="A1729" t="s">
        <v>3755</v>
      </c>
      <c r="B1729" t="s">
        <v>1232</v>
      </c>
      <c r="C1729" t="s">
        <v>2008</v>
      </c>
      <c r="D1729" t="s">
        <v>2024</v>
      </c>
      <c r="E1729" t="s">
        <v>57</v>
      </c>
      <c r="F1729" t="s">
        <v>57</v>
      </c>
      <c r="G1729" t="str">
        <f>INDEX(Risk_Matrix!$B$2:$D$4,MATCH(E1729,Risk_Matrix!$A$2:$A$4,0),MATCH(F1729,Risk_Matrix!$B$1:$D$1,0))</f>
        <v>Low</v>
      </c>
      <c r="H1729" s="1">
        <v>46218</v>
      </c>
      <c r="I1729" t="s">
        <v>2015</v>
      </c>
      <c r="J1729" t="s">
        <v>2016</v>
      </c>
      <c r="K1729" t="s">
        <v>2010</v>
      </c>
      <c r="L1729">
        <f>IF(G1729="High",3,IF(G1729="Medium",2,1))</f>
        <v>1</v>
      </c>
    </row>
    <row r="1730" spans="1:12">
      <c r="A1730" t="s">
        <v>3756</v>
      </c>
      <c r="B1730" t="s">
        <v>1234</v>
      </c>
      <c r="C1730" t="s">
        <v>1985</v>
      </c>
      <c r="D1730" t="s">
        <v>2062</v>
      </c>
      <c r="E1730" t="s">
        <v>1971</v>
      </c>
      <c r="F1730" t="s">
        <v>57</v>
      </c>
      <c r="G1730" t="str">
        <f>INDEX(Risk_Matrix!$B$2:$D$4,MATCH(E1730,Risk_Matrix!$A$2:$A$4,0),MATCH(F1730,Risk_Matrix!$B$1:$D$1,0))</f>
        <v>Low</v>
      </c>
      <c r="H1730" s="1">
        <v>46152</v>
      </c>
      <c r="I1730" t="s">
        <v>1987</v>
      </c>
      <c r="J1730" t="s">
        <v>1997</v>
      </c>
      <c r="K1730" t="s">
        <v>1989</v>
      </c>
      <c r="L1730">
        <f>IF(G1730="High",3,IF(G1730="Medium",2,1))</f>
        <v>1</v>
      </c>
    </row>
    <row r="1731" spans="1:12">
      <c r="A1731" t="s">
        <v>3757</v>
      </c>
      <c r="B1731" t="s">
        <v>1234</v>
      </c>
      <c r="C1731" t="s">
        <v>1991</v>
      </c>
      <c r="D1731" t="s">
        <v>2031</v>
      </c>
      <c r="E1731" t="s">
        <v>57</v>
      </c>
      <c r="F1731" t="s">
        <v>57</v>
      </c>
      <c r="G1731" t="str">
        <f>INDEX(Risk_Matrix!$B$2:$D$4,MATCH(E1731,Risk_Matrix!$A$2:$A$4,0),MATCH(F1731,Risk_Matrix!$B$1:$D$1,0))</f>
        <v>Low</v>
      </c>
      <c r="H1731" s="1">
        <v>46205</v>
      </c>
      <c r="I1731" t="s">
        <v>2025</v>
      </c>
      <c r="J1731" t="s">
        <v>2035</v>
      </c>
      <c r="K1731" t="s">
        <v>1993</v>
      </c>
      <c r="L1731">
        <f>IF(G1731="High",3,IF(G1731="Medium",2,1))</f>
        <v>1</v>
      </c>
    </row>
    <row r="1732" spans="1:12">
      <c r="A1732" t="s">
        <v>3758</v>
      </c>
      <c r="B1732" t="s">
        <v>1234</v>
      </c>
      <c r="C1732" t="s">
        <v>1995</v>
      </c>
      <c r="D1732" t="s">
        <v>2018</v>
      </c>
      <c r="E1732" t="s">
        <v>57</v>
      </c>
      <c r="F1732" t="s">
        <v>57</v>
      </c>
      <c r="G1732" t="str">
        <f>INDEX(Risk_Matrix!$B$2:$D$4,MATCH(E1732,Risk_Matrix!$A$2:$A$4,0),MATCH(F1732,Risk_Matrix!$B$1:$D$1,0))</f>
        <v>Low</v>
      </c>
      <c r="H1732" s="1">
        <v>46090</v>
      </c>
      <c r="I1732" t="s">
        <v>1987</v>
      </c>
      <c r="J1732" t="s">
        <v>1997</v>
      </c>
      <c r="K1732" t="s">
        <v>1998</v>
      </c>
      <c r="L1732">
        <f>IF(G1732="High",3,IF(G1732="Medium",2,1))</f>
        <v>1</v>
      </c>
    </row>
    <row r="1733" spans="1:12">
      <c r="A1733" t="s">
        <v>3759</v>
      </c>
      <c r="B1733" t="s">
        <v>1234</v>
      </c>
      <c r="C1733" t="s">
        <v>2000</v>
      </c>
      <c r="D1733" t="s">
        <v>2001</v>
      </c>
      <c r="E1733" t="s">
        <v>57</v>
      </c>
      <c r="F1733" t="s">
        <v>57</v>
      </c>
      <c r="G1733" t="str">
        <f>INDEX(Risk_Matrix!$B$2:$D$4,MATCH(E1733,Risk_Matrix!$A$2:$A$4,0),MATCH(F1733,Risk_Matrix!$B$1:$D$1,0))</f>
        <v>Low</v>
      </c>
      <c r="H1733" s="1">
        <v>46223</v>
      </c>
      <c r="I1733" t="s">
        <v>2015</v>
      </c>
      <c r="J1733" t="s">
        <v>2016</v>
      </c>
      <c r="K1733" t="s">
        <v>1993</v>
      </c>
      <c r="L1733">
        <f>IF(G1733="High",3,IF(G1733="Medium",2,1))</f>
        <v>1</v>
      </c>
    </row>
    <row r="1734" spans="1:12">
      <c r="A1734" t="s">
        <v>3760</v>
      </c>
      <c r="B1734" t="s">
        <v>1234</v>
      </c>
      <c r="C1734" t="s">
        <v>2005</v>
      </c>
      <c r="D1734" t="s">
        <v>2039</v>
      </c>
      <c r="E1734" t="s">
        <v>47</v>
      </c>
      <c r="F1734" t="s">
        <v>57</v>
      </c>
      <c r="G1734" t="str">
        <f>INDEX(Risk_Matrix!$B$2:$D$4,MATCH(E1734,Risk_Matrix!$A$2:$A$4,0),MATCH(F1734,Risk_Matrix!$B$1:$D$1,0))</f>
        <v>Medium</v>
      </c>
      <c r="H1734" s="1">
        <v>46160</v>
      </c>
      <c r="I1734" t="s">
        <v>2025</v>
      </c>
      <c r="J1734" t="s">
        <v>2026</v>
      </c>
      <c r="K1734" t="s">
        <v>1993</v>
      </c>
      <c r="L1734">
        <f>IF(G1734="High",3,IF(G1734="Medium",2,1))</f>
        <v>2</v>
      </c>
    </row>
    <row r="1735" spans="1:12">
      <c r="A1735" t="s">
        <v>3761</v>
      </c>
      <c r="B1735" t="s">
        <v>1234</v>
      </c>
      <c r="C1735" t="s">
        <v>2008</v>
      </c>
      <c r="D1735" t="s">
        <v>2024</v>
      </c>
      <c r="E1735" t="s">
        <v>57</v>
      </c>
      <c r="F1735" t="s">
        <v>57</v>
      </c>
      <c r="G1735" t="str">
        <f>INDEX(Risk_Matrix!$B$2:$D$4,MATCH(E1735,Risk_Matrix!$A$2:$A$4,0),MATCH(F1735,Risk_Matrix!$B$1:$D$1,0))</f>
        <v>Low</v>
      </c>
      <c r="H1735" s="1">
        <v>46165</v>
      </c>
      <c r="I1735" t="s">
        <v>2025</v>
      </c>
      <c r="J1735" t="s">
        <v>2035</v>
      </c>
      <c r="K1735" t="s">
        <v>2010</v>
      </c>
      <c r="L1735">
        <f>IF(G1735="High",3,IF(G1735="Medium",2,1))</f>
        <v>1</v>
      </c>
    </row>
    <row r="1736" spans="1:12">
      <c r="A1736" t="s">
        <v>3762</v>
      </c>
      <c r="B1736" t="s">
        <v>1236</v>
      </c>
      <c r="C1736" t="s">
        <v>1985</v>
      </c>
      <c r="D1736" t="s">
        <v>1986</v>
      </c>
      <c r="E1736" t="s">
        <v>1971</v>
      </c>
      <c r="F1736" t="s">
        <v>57</v>
      </c>
      <c r="G1736" t="str">
        <f>INDEX(Risk_Matrix!$B$2:$D$4,MATCH(E1736,Risk_Matrix!$A$2:$A$4,0),MATCH(F1736,Risk_Matrix!$B$1:$D$1,0))</f>
        <v>Low</v>
      </c>
      <c r="H1736" s="1">
        <v>46165</v>
      </c>
      <c r="I1736" t="s">
        <v>2015</v>
      </c>
      <c r="J1736" t="s">
        <v>2016</v>
      </c>
      <c r="K1736" t="s">
        <v>1989</v>
      </c>
      <c r="L1736">
        <f>IF(G1736="High",3,IF(G1736="Medium",2,1))</f>
        <v>1</v>
      </c>
    </row>
    <row r="1737" spans="1:12">
      <c r="A1737" t="s">
        <v>3763</v>
      </c>
      <c r="B1737" t="s">
        <v>1236</v>
      </c>
      <c r="C1737" t="s">
        <v>1991</v>
      </c>
      <c r="D1737" t="s">
        <v>2014</v>
      </c>
      <c r="E1737" t="s">
        <v>57</v>
      </c>
      <c r="F1737" t="s">
        <v>57</v>
      </c>
      <c r="G1737" t="str">
        <f>INDEX(Risk_Matrix!$B$2:$D$4,MATCH(E1737,Risk_Matrix!$A$2:$A$4,0),MATCH(F1737,Risk_Matrix!$B$1:$D$1,0))</f>
        <v>Low</v>
      </c>
      <c r="H1737" s="1">
        <v>46072</v>
      </c>
      <c r="I1737" t="s">
        <v>2025</v>
      </c>
      <c r="J1737" t="s">
        <v>2035</v>
      </c>
      <c r="K1737" t="s">
        <v>1993</v>
      </c>
      <c r="L1737">
        <f>IF(G1737="High",3,IF(G1737="Medium",2,1))</f>
        <v>1</v>
      </c>
    </row>
    <row r="1738" spans="1:12">
      <c r="A1738" t="s">
        <v>3764</v>
      </c>
      <c r="B1738" t="s">
        <v>1236</v>
      </c>
      <c r="C1738" t="s">
        <v>1995</v>
      </c>
      <c r="D1738" t="s">
        <v>2034</v>
      </c>
      <c r="E1738" t="s">
        <v>47</v>
      </c>
      <c r="F1738" t="s">
        <v>1971</v>
      </c>
      <c r="G1738" t="str">
        <f>INDEX(Risk_Matrix!$B$2:$D$4,MATCH(E1738,Risk_Matrix!$A$2:$A$4,0),MATCH(F1738,Risk_Matrix!$B$1:$D$1,0))</f>
        <v>High</v>
      </c>
      <c r="H1738" s="1">
        <v>46136</v>
      </c>
      <c r="I1738" t="s">
        <v>2025</v>
      </c>
      <c r="J1738" t="s">
        <v>2035</v>
      </c>
      <c r="K1738" t="s">
        <v>2036</v>
      </c>
      <c r="L1738">
        <f>IF(G1738="High",3,IF(G1738="Medium",2,1))</f>
        <v>3</v>
      </c>
    </row>
    <row r="1739" spans="1:12">
      <c r="A1739" t="s">
        <v>3765</v>
      </c>
      <c r="B1739" t="s">
        <v>1236</v>
      </c>
      <c r="C1739" t="s">
        <v>2000</v>
      </c>
      <c r="D1739" t="s">
        <v>2020</v>
      </c>
      <c r="E1739" t="s">
        <v>57</v>
      </c>
      <c r="F1739" t="s">
        <v>57</v>
      </c>
      <c r="G1739" t="str">
        <f>INDEX(Risk_Matrix!$B$2:$D$4,MATCH(E1739,Risk_Matrix!$A$2:$A$4,0),MATCH(F1739,Risk_Matrix!$B$1:$D$1,0))</f>
        <v>Low</v>
      </c>
      <c r="H1739" s="1">
        <v>46135</v>
      </c>
      <c r="I1739" t="s">
        <v>1987</v>
      </c>
      <c r="J1739" t="s">
        <v>1997</v>
      </c>
      <c r="K1739" t="s">
        <v>1989</v>
      </c>
      <c r="L1739">
        <f>IF(G1739="High",3,IF(G1739="Medium",2,1))</f>
        <v>1</v>
      </c>
    </row>
    <row r="1740" spans="1:12">
      <c r="A1740" t="s">
        <v>3766</v>
      </c>
      <c r="B1740" t="s">
        <v>1236</v>
      </c>
      <c r="C1740" t="s">
        <v>2005</v>
      </c>
      <c r="D1740" t="s">
        <v>2039</v>
      </c>
      <c r="E1740" t="s">
        <v>57</v>
      </c>
      <c r="F1740" t="s">
        <v>57</v>
      </c>
      <c r="G1740" t="str">
        <f>INDEX(Risk_Matrix!$B$2:$D$4,MATCH(E1740,Risk_Matrix!$A$2:$A$4,0),MATCH(F1740,Risk_Matrix!$B$1:$D$1,0))</f>
        <v>Low</v>
      </c>
      <c r="H1740" s="1">
        <v>46094</v>
      </c>
      <c r="I1740" t="s">
        <v>1987</v>
      </c>
      <c r="J1740" t="s">
        <v>1997</v>
      </c>
      <c r="K1740" t="s">
        <v>1993</v>
      </c>
      <c r="L1740">
        <f>IF(G1740="High",3,IF(G1740="Medium",2,1))</f>
        <v>1</v>
      </c>
    </row>
    <row r="1741" spans="1:12">
      <c r="A1741" t="s">
        <v>3767</v>
      </c>
      <c r="B1741" t="s">
        <v>1236</v>
      </c>
      <c r="C1741" t="s">
        <v>2008</v>
      </c>
      <c r="D1741" t="s">
        <v>2009</v>
      </c>
      <c r="E1741" t="s">
        <v>1971</v>
      </c>
      <c r="F1741" t="s">
        <v>1971</v>
      </c>
      <c r="G1741" t="str">
        <f>INDEX(Risk_Matrix!$B$2:$D$4,MATCH(E1741,Risk_Matrix!$A$2:$A$4,0),MATCH(F1741,Risk_Matrix!$B$1:$D$1,0))</f>
        <v>Medium</v>
      </c>
      <c r="H1741" s="1">
        <v>46121</v>
      </c>
      <c r="I1741" t="s">
        <v>1987</v>
      </c>
      <c r="J1741" t="s">
        <v>1988</v>
      </c>
      <c r="K1741" t="s">
        <v>2010</v>
      </c>
      <c r="L1741">
        <f>IF(G1741="High",3,IF(G1741="Medium",2,1))</f>
        <v>2</v>
      </c>
    </row>
    <row r="1742" spans="1:12">
      <c r="A1742" t="s">
        <v>3768</v>
      </c>
      <c r="B1742" t="s">
        <v>1238</v>
      </c>
      <c r="C1742" t="s">
        <v>1985</v>
      </c>
      <c r="D1742" t="s">
        <v>2062</v>
      </c>
      <c r="E1742" t="s">
        <v>57</v>
      </c>
      <c r="F1742" t="s">
        <v>57</v>
      </c>
      <c r="G1742" t="str">
        <f>INDEX(Risk_Matrix!$B$2:$D$4,MATCH(E1742,Risk_Matrix!$A$2:$A$4,0),MATCH(F1742,Risk_Matrix!$B$1:$D$1,0))</f>
        <v>Low</v>
      </c>
      <c r="H1742" s="1">
        <v>46062</v>
      </c>
      <c r="I1742" t="s">
        <v>1987</v>
      </c>
      <c r="J1742" t="s">
        <v>1997</v>
      </c>
      <c r="K1742" t="s">
        <v>1998</v>
      </c>
      <c r="L1742">
        <f>IF(G1742="High",3,IF(G1742="Medium",2,1))</f>
        <v>1</v>
      </c>
    </row>
    <row r="1743" spans="1:12">
      <c r="A1743" t="s">
        <v>3769</v>
      </c>
      <c r="B1743" t="s">
        <v>1238</v>
      </c>
      <c r="C1743" t="s">
        <v>1991</v>
      </c>
      <c r="D1743" t="s">
        <v>2064</v>
      </c>
      <c r="E1743" t="s">
        <v>1971</v>
      </c>
      <c r="F1743" t="s">
        <v>57</v>
      </c>
      <c r="G1743" t="str">
        <f>INDEX(Risk_Matrix!$B$2:$D$4,MATCH(E1743,Risk_Matrix!$A$2:$A$4,0),MATCH(F1743,Risk_Matrix!$B$1:$D$1,0))</f>
        <v>Low</v>
      </c>
      <c r="H1743" s="1">
        <v>46101</v>
      </c>
      <c r="I1743" t="s">
        <v>2002</v>
      </c>
      <c r="J1743" t="s">
        <v>2003</v>
      </c>
      <c r="K1743" t="s">
        <v>1993</v>
      </c>
      <c r="L1743">
        <f>IF(G1743="High",3,IF(G1743="Medium",2,1))</f>
        <v>1</v>
      </c>
    </row>
    <row r="1744" spans="1:12">
      <c r="A1744" t="s">
        <v>3770</v>
      </c>
      <c r="B1744" t="s">
        <v>1238</v>
      </c>
      <c r="C1744" t="s">
        <v>1995</v>
      </c>
      <c r="D1744" t="s">
        <v>1996</v>
      </c>
      <c r="E1744" t="s">
        <v>57</v>
      </c>
      <c r="F1744" t="s">
        <v>57</v>
      </c>
      <c r="G1744" t="str">
        <f>INDEX(Risk_Matrix!$B$2:$D$4,MATCH(E1744,Risk_Matrix!$A$2:$A$4,0),MATCH(F1744,Risk_Matrix!$B$1:$D$1,0))</f>
        <v>Low</v>
      </c>
      <c r="H1744" s="1">
        <v>46155</v>
      </c>
      <c r="I1744" t="s">
        <v>2025</v>
      </c>
      <c r="J1744" t="s">
        <v>2035</v>
      </c>
      <c r="K1744" t="s">
        <v>1998</v>
      </c>
      <c r="L1744">
        <f>IF(G1744="High",3,IF(G1744="Medium",2,1))</f>
        <v>1</v>
      </c>
    </row>
    <row r="1745" spans="1:12">
      <c r="A1745" t="s">
        <v>3771</v>
      </c>
      <c r="B1745" t="s">
        <v>1238</v>
      </c>
      <c r="C1745" t="s">
        <v>2000</v>
      </c>
      <c r="D1745" t="s">
        <v>2001</v>
      </c>
      <c r="E1745" t="s">
        <v>1971</v>
      </c>
      <c r="F1745" t="s">
        <v>57</v>
      </c>
      <c r="G1745" t="str">
        <f>INDEX(Risk_Matrix!$B$2:$D$4,MATCH(E1745,Risk_Matrix!$A$2:$A$4,0),MATCH(F1745,Risk_Matrix!$B$1:$D$1,0))</f>
        <v>Low</v>
      </c>
      <c r="H1745" s="1">
        <v>46108</v>
      </c>
      <c r="I1745" t="s">
        <v>2002</v>
      </c>
      <c r="J1745" t="s">
        <v>2029</v>
      </c>
      <c r="K1745" t="s">
        <v>1993</v>
      </c>
      <c r="L1745">
        <f>IF(G1745="High",3,IF(G1745="Medium",2,1))</f>
        <v>1</v>
      </c>
    </row>
    <row r="1746" spans="1:12">
      <c r="A1746" t="s">
        <v>3772</v>
      </c>
      <c r="B1746" t="s">
        <v>1238</v>
      </c>
      <c r="C1746" t="s">
        <v>2005</v>
      </c>
      <c r="D1746" t="s">
        <v>2006</v>
      </c>
      <c r="E1746" t="s">
        <v>1971</v>
      </c>
      <c r="F1746" t="s">
        <v>1971</v>
      </c>
      <c r="G1746" t="str">
        <f>INDEX(Risk_Matrix!$B$2:$D$4,MATCH(E1746,Risk_Matrix!$A$2:$A$4,0),MATCH(F1746,Risk_Matrix!$B$1:$D$1,0))</f>
        <v>Medium</v>
      </c>
      <c r="H1746" s="1">
        <v>46166</v>
      </c>
      <c r="I1746" t="s">
        <v>2015</v>
      </c>
      <c r="J1746" t="s">
        <v>2032</v>
      </c>
      <c r="K1746" t="s">
        <v>1993</v>
      </c>
      <c r="L1746">
        <f>IF(G1746="High",3,IF(G1746="Medium",2,1))</f>
        <v>2</v>
      </c>
    </row>
    <row r="1747" spans="1:12">
      <c r="A1747" t="s">
        <v>3773</v>
      </c>
      <c r="B1747" t="s">
        <v>1238</v>
      </c>
      <c r="C1747" t="s">
        <v>2008</v>
      </c>
      <c r="D1747" t="s">
        <v>2009</v>
      </c>
      <c r="E1747" t="s">
        <v>47</v>
      </c>
      <c r="F1747" t="s">
        <v>57</v>
      </c>
      <c r="G1747" t="str">
        <f>INDEX(Risk_Matrix!$B$2:$D$4,MATCH(E1747,Risk_Matrix!$A$2:$A$4,0),MATCH(F1747,Risk_Matrix!$B$1:$D$1,0))</f>
        <v>Medium</v>
      </c>
      <c r="H1747" s="1">
        <v>46120</v>
      </c>
      <c r="I1747" t="s">
        <v>2025</v>
      </c>
      <c r="J1747" t="s">
        <v>2026</v>
      </c>
      <c r="K1747" t="s">
        <v>2010</v>
      </c>
      <c r="L1747">
        <f>IF(G1747="High",3,IF(G1747="Medium",2,1))</f>
        <v>2</v>
      </c>
    </row>
    <row r="1748" spans="1:12">
      <c r="A1748" t="s">
        <v>3774</v>
      </c>
      <c r="B1748" t="s">
        <v>1239</v>
      </c>
      <c r="C1748" t="s">
        <v>1985</v>
      </c>
      <c r="D1748" t="s">
        <v>2012</v>
      </c>
      <c r="E1748" t="s">
        <v>1971</v>
      </c>
      <c r="F1748" t="s">
        <v>57</v>
      </c>
      <c r="G1748" t="str">
        <f>INDEX(Risk_Matrix!$B$2:$D$4,MATCH(E1748,Risk_Matrix!$A$2:$A$4,0),MATCH(F1748,Risk_Matrix!$B$1:$D$1,0))</f>
        <v>Low</v>
      </c>
      <c r="H1748" s="1">
        <v>46175</v>
      </c>
      <c r="I1748" t="s">
        <v>1987</v>
      </c>
      <c r="J1748" t="s">
        <v>1997</v>
      </c>
      <c r="K1748" t="s">
        <v>1989</v>
      </c>
      <c r="L1748">
        <f>IF(G1748="High",3,IF(G1748="Medium",2,1))</f>
        <v>1</v>
      </c>
    </row>
    <row r="1749" spans="1:12">
      <c r="A1749" t="s">
        <v>3775</v>
      </c>
      <c r="B1749" t="s">
        <v>1239</v>
      </c>
      <c r="C1749" t="s">
        <v>1991</v>
      </c>
      <c r="D1749" t="s">
        <v>1992</v>
      </c>
      <c r="E1749" t="s">
        <v>57</v>
      </c>
      <c r="F1749" t="s">
        <v>57</v>
      </c>
      <c r="G1749" t="str">
        <f>INDEX(Risk_Matrix!$B$2:$D$4,MATCH(E1749,Risk_Matrix!$A$2:$A$4,0),MATCH(F1749,Risk_Matrix!$B$1:$D$1,0))</f>
        <v>Low</v>
      </c>
      <c r="H1749" s="1">
        <v>46183</v>
      </c>
      <c r="I1749" t="s">
        <v>1987</v>
      </c>
      <c r="J1749" t="s">
        <v>1997</v>
      </c>
      <c r="K1749" t="s">
        <v>2010</v>
      </c>
      <c r="L1749">
        <f>IF(G1749="High",3,IF(G1749="Medium",2,1))</f>
        <v>1</v>
      </c>
    </row>
    <row r="1750" spans="1:12">
      <c r="A1750" t="s">
        <v>3776</v>
      </c>
      <c r="B1750" t="s">
        <v>1239</v>
      </c>
      <c r="C1750" t="s">
        <v>1995</v>
      </c>
      <c r="D1750" t="s">
        <v>2150</v>
      </c>
      <c r="E1750" t="s">
        <v>57</v>
      </c>
      <c r="F1750" t="s">
        <v>1971</v>
      </c>
      <c r="G1750" t="str">
        <f>INDEX(Risk_Matrix!$B$2:$D$4,MATCH(E1750,Risk_Matrix!$A$2:$A$4,0),MATCH(F1750,Risk_Matrix!$B$1:$D$1,0))</f>
        <v>Low</v>
      </c>
      <c r="H1750" s="1">
        <v>46218</v>
      </c>
      <c r="I1750" t="s">
        <v>1987</v>
      </c>
      <c r="J1750" t="s">
        <v>1997</v>
      </c>
      <c r="K1750" t="s">
        <v>1998</v>
      </c>
      <c r="L1750">
        <f>IF(G1750="High",3,IF(G1750="Medium",2,1))</f>
        <v>1</v>
      </c>
    </row>
    <row r="1751" spans="1:12">
      <c r="A1751" t="s">
        <v>3777</v>
      </c>
      <c r="B1751" t="s">
        <v>1239</v>
      </c>
      <c r="C1751" t="s">
        <v>2000</v>
      </c>
      <c r="D1751" t="s">
        <v>2045</v>
      </c>
      <c r="E1751" t="s">
        <v>1971</v>
      </c>
      <c r="F1751" t="s">
        <v>47</v>
      </c>
      <c r="G1751" t="str">
        <f>INDEX(Risk_Matrix!$B$2:$D$4,MATCH(E1751,Risk_Matrix!$A$2:$A$4,0),MATCH(F1751,Risk_Matrix!$B$1:$D$1,0))</f>
        <v>High</v>
      </c>
      <c r="H1751" s="1">
        <v>46223</v>
      </c>
      <c r="I1751" t="s">
        <v>2015</v>
      </c>
      <c r="J1751" t="s">
        <v>2016</v>
      </c>
      <c r="K1751" t="s">
        <v>1989</v>
      </c>
      <c r="L1751">
        <f>IF(G1751="High",3,IF(G1751="Medium",2,1))</f>
        <v>3</v>
      </c>
    </row>
    <row r="1752" spans="1:12">
      <c r="A1752" t="s">
        <v>3778</v>
      </c>
      <c r="B1752" t="s">
        <v>1239</v>
      </c>
      <c r="C1752" t="s">
        <v>2005</v>
      </c>
      <c r="D1752" t="s">
        <v>2022</v>
      </c>
      <c r="E1752" t="s">
        <v>1971</v>
      </c>
      <c r="F1752" t="s">
        <v>1971</v>
      </c>
      <c r="G1752" t="str">
        <f>INDEX(Risk_Matrix!$B$2:$D$4,MATCH(E1752,Risk_Matrix!$A$2:$A$4,0),MATCH(F1752,Risk_Matrix!$B$1:$D$1,0))</f>
        <v>Medium</v>
      </c>
      <c r="H1752" s="1">
        <v>46215</v>
      </c>
      <c r="I1752" t="s">
        <v>2015</v>
      </c>
      <c r="J1752" t="s">
        <v>2016</v>
      </c>
      <c r="K1752" t="s">
        <v>2036</v>
      </c>
      <c r="L1752">
        <f>IF(G1752="High",3,IF(G1752="Medium",2,1))</f>
        <v>2</v>
      </c>
    </row>
    <row r="1753" spans="1:12">
      <c r="A1753" t="s">
        <v>3779</v>
      </c>
      <c r="B1753" t="s">
        <v>1239</v>
      </c>
      <c r="C1753" t="s">
        <v>2008</v>
      </c>
      <c r="D1753" t="s">
        <v>2009</v>
      </c>
      <c r="E1753" t="s">
        <v>47</v>
      </c>
      <c r="F1753" t="s">
        <v>1971</v>
      </c>
      <c r="G1753" t="str">
        <f>INDEX(Risk_Matrix!$B$2:$D$4,MATCH(E1753,Risk_Matrix!$A$2:$A$4,0),MATCH(F1753,Risk_Matrix!$B$1:$D$1,0))</f>
        <v>High</v>
      </c>
      <c r="H1753" s="1">
        <v>46234</v>
      </c>
      <c r="I1753" t="s">
        <v>2015</v>
      </c>
      <c r="J1753" t="s">
        <v>2032</v>
      </c>
      <c r="K1753" t="s">
        <v>2010</v>
      </c>
      <c r="L1753">
        <f>IF(G1753="High",3,IF(G1753="Medium",2,1))</f>
        <v>3</v>
      </c>
    </row>
    <row r="1754" spans="1:12">
      <c r="A1754" t="s">
        <v>3780</v>
      </c>
      <c r="B1754" t="s">
        <v>1241</v>
      </c>
      <c r="C1754" t="s">
        <v>1985</v>
      </c>
      <c r="D1754" t="s">
        <v>1986</v>
      </c>
      <c r="E1754" t="s">
        <v>1971</v>
      </c>
      <c r="F1754" t="s">
        <v>1971</v>
      </c>
      <c r="G1754" t="str">
        <f>INDEX(Risk_Matrix!$B$2:$D$4,MATCH(E1754,Risk_Matrix!$A$2:$A$4,0),MATCH(F1754,Risk_Matrix!$B$1:$D$1,0))</f>
        <v>Medium</v>
      </c>
      <c r="H1754" s="1">
        <v>46224</v>
      </c>
      <c r="I1754" t="s">
        <v>2015</v>
      </c>
      <c r="J1754" t="s">
        <v>2016</v>
      </c>
      <c r="K1754" t="s">
        <v>1998</v>
      </c>
      <c r="L1754">
        <f>IF(G1754="High",3,IF(G1754="Medium",2,1))</f>
        <v>2</v>
      </c>
    </row>
    <row r="1755" spans="1:12">
      <c r="A1755" t="s">
        <v>3781</v>
      </c>
      <c r="B1755" t="s">
        <v>1241</v>
      </c>
      <c r="C1755" t="s">
        <v>1991</v>
      </c>
      <c r="D1755" t="s">
        <v>2064</v>
      </c>
      <c r="E1755" t="s">
        <v>57</v>
      </c>
      <c r="F1755" t="s">
        <v>1971</v>
      </c>
      <c r="G1755" t="str">
        <f>INDEX(Risk_Matrix!$B$2:$D$4,MATCH(E1755,Risk_Matrix!$A$2:$A$4,0),MATCH(F1755,Risk_Matrix!$B$1:$D$1,0))</f>
        <v>Low</v>
      </c>
      <c r="H1755" s="1">
        <v>46121</v>
      </c>
      <c r="I1755" t="s">
        <v>2002</v>
      </c>
      <c r="J1755" t="s">
        <v>2029</v>
      </c>
      <c r="K1755" t="s">
        <v>1993</v>
      </c>
      <c r="L1755">
        <f>IF(G1755="High",3,IF(G1755="Medium",2,1))</f>
        <v>1</v>
      </c>
    </row>
    <row r="1756" spans="1:12">
      <c r="A1756" t="s">
        <v>3782</v>
      </c>
      <c r="B1756" t="s">
        <v>1241</v>
      </c>
      <c r="C1756" t="s">
        <v>1995</v>
      </c>
      <c r="D1756" t="s">
        <v>1996</v>
      </c>
      <c r="E1756" t="s">
        <v>1971</v>
      </c>
      <c r="F1756" t="s">
        <v>1971</v>
      </c>
      <c r="G1756" t="str">
        <f>INDEX(Risk_Matrix!$B$2:$D$4,MATCH(E1756,Risk_Matrix!$A$2:$A$4,0),MATCH(F1756,Risk_Matrix!$B$1:$D$1,0))</f>
        <v>Medium</v>
      </c>
      <c r="H1756" s="1">
        <v>46181</v>
      </c>
      <c r="I1756" t="s">
        <v>2015</v>
      </c>
      <c r="J1756" t="s">
        <v>2016</v>
      </c>
      <c r="K1756" t="s">
        <v>2036</v>
      </c>
      <c r="L1756">
        <f>IF(G1756="High",3,IF(G1756="Medium",2,1))</f>
        <v>2</v>
      </c>
    </row>
    <row r="1757" spans="1:12">
      <c r="A1757" t="s">
        <v>3783</v>
      </c>
      <c r="B1757" t="s">
        <v>1241</v>
      </c>
      <c r="C1757" t="s">
        <v>2000</v>
      </c>
      <c r="D1757" t="s">
        <v>2045</v>
      </c>
      <c r="E1757" t="s">
        <v>57</v>
      </c>
      <c r="F1757" t="s">
        <v>1971</v>
      </c>
      <c r="G1757" t="str">
        <f>INDEX(Risk_Matrix!$B$2:$D$4,MATCH(E1757,Risk_Matrix!$A$2:$A$4,0),MATCH(F1757,Risk_Matrix!$B$1:$D$1,0))</f>
        <v>Low</v>
      </c>
      <c r="H1757" s="1">
        <v>46131</v>
      </c>
      <c r="I1757" t="s">
        <v>2002</v>
      </c>
      <c r="J1757" t="s">
        <v>2003</v>
      </c>
      <c r="K1757" t="s">
        <v>1993</v>
      </c>
      <c r="L1757">
        <f>IF(G1757="High",3,IF(G1757="Medium",2,1))</f>
        <v>1</v>
      </c>
    </row>
    <row r="1758" spans="1:12">
      <c r="A1758" t="s">
        <v>3784</v>
      </c>
      <c r="B1758" t="s">
        <v>1241</v>
      </c>
      <c r="C1758" t="s">
        <v>2005</v>
      </c>
      <c r="D1758" t="s">
        <v>2039</v>
      </c>
      <c r="E1758" t="s">
        <v>47</v>
      </c>
      <c r="F1758" t="s">
        <v>1971</v>
      </c>
      <c r="G1758" t="str">
        <f>INDEX(Risk_Matrix!$B$2:$D$4,MATCH(E1758,Risk_Matrix!$A$2:$A$4,0),MATCH(F1758,Risk_Matrix!$B$1:$D$1,0))</f>
        <v>High</v>
      </c>
      <c r="H1758" s="1">
        <v>46186</v>
      </c>
      <c r="I1758" t="s">
        <v>2015</v>
      </c>
      <c r="J1758" t="s">
        <v>2032</v>
      </c>
      <c r="K1758" t="s">
        <v>1993</v>
      </c>
      <c r="L1758">
        <f>IF(G1758="High",3,IF(G1758="Medium",2,1))</f>
        <v>3</v>
      </c>
    </row>
    <row r="1759" spans="1:12">
      <c r="A1759" t="s">
        <v>3785</v>
      </c>
      <c r="B1759" t="s">
        <v>1241</v>
      </c>
      <c r="C1759" t="s">
        <v>2008</v>
      </c>
      <c r="D1759" t="s">
        <v>2054</v>
      </c>
      <c r="E1759" t="s">
        <v>57</v>
      </c>
      <c r="F1759" t="s">
        <v>57</v>
      </c>
      <c r="G1759" t="str">
        <f>INDEX(Risk_Matrix!$B$2:$D$4,MATCH(E1759,Risk_Matrix!$A$2:$A$4,0),MATCH(F1759,Risk_Matrix!$B$1:$D$1,0))</f>
        <v>Low</v>
      </c>
      <c r="H1759" s="1">
        <v>46175</v>
      </c>
      <c r="I1759" t="s">
        <v>2025</v>
      </c>
      <c r="J1759" t="s">
        <v>2026</v>
      </c>
      <c r="K1759" t="s">
        <v>2010</v>
      </c>
      <c r="L1759">
        <f>IF(G1759="High",3,IF(G1759="Medium",2,1))</f>
        <v>1</v>
      </c>
    </row>
    <row r="1760" spans="1:12">
      <c r="A1760" t="s">
        <v>3786</v>
      </c>
      <c r="B1760" t="s">
        <v>1243</v>
      </c>
      <c r="C1760" t="s">
        <v>1985</v>
      </c>
      <c r="D1760" t="s">
        <v>1986</v>
      </c>
      <c r="E1760" t="s">
        <v>47</v>
      </c>
      <c r="F1760" t="s">
        <v>57</v>
      </c>
      <c r="G1760" t="str">
        <f>INDEX(Risk_Matrix!$B$2:$D$4,MATCH(E1760,Risk_Matrix!$A$2:$A$4,0),MATCH(F1760,Risk_Matrix!$B$1:$D$1,0))</f>
        <v>Medium</v>
      </c>
      <c r="H1760" s="1">
        <v>46194</v>
      </c>
      <c r="I1760" t="s">
        <v>1987</v>
      </c>
      <c r="J1760" t="s">
        <v>1997</v>
      </c>
      <c r="K1760" t="s">
        <v>1989</v>
      </c>
      <c r="L1760">
        <f>IF(G1760="High",3,IF(G1760="Medium",2,1))</f>
        <v>2</v>
      </c>
    </row>
    <row r="1761" spans="1:12">
      <c r="A1761" t="s">
        <v>3787</v>
      </c>
      <c r="B1761" t="s">
        <v>1243</v>
      </c>
      <c r="C1761" t="s">
        <v>1991</v>
      </c>
      <c r="D1761" t="s">
        <v>1992</v>
      </c>
      <c r="E1761" t="s">
        <v>47</v>
      </c>
      <c r="F1761" t="s">
        <v>57</v>
      </c>
      <c r="G1761" t="str">
        <f>INDEX(Risk_Matrix!$B$2:$D$4,MATCH(E1761,Risk_Matrix!$A$2:$A$4,0),MATCH(F1761,Risk_Matrix!$B$1:$D$1,0))</f>
        <v>Medium</v>
      </c>
      <c r="H1761" s="1">
        <v>46225</v>
      </c>
      <c r="I1761" t="s">
        <v>2015</v>
      </c>
      <c r="J1761" t="s">
        <v>2032</v>
      </c>
      <c r="K1761" t="s">
        <v>1993</v>
      </c>
      <c r="L1761">
        <f>IF(G1761="High",3,IF(G1761="Medium",2,1))</f>
        <v>2</v>
      </c>
    </row>
    <row r="1762" spans="1:12">
      <c r="A1762" t="s">
        <v>3788</v>
      </c>
      <c r="B1762" t="s">
        <v>1243</v>
      </c>
      <c r="C1762" t="s">
        <v>1995</v>
      </c>
      <c r="D1762" t="s">
        <v>2034</v>
      </c>
      <c r="E1762" t="s">
        <v>57</v>
      </c>
      <c r="F1762" t="s">
        <v>1971</v>
      </c>
      <c r="G1762" t="str">
        <f>INDEX(Risk_Matrix!$B$2:$D$4,MATCH(E1762,Risk_Matrix!$A$2:$A$4,0),MATCH(F1762,Risk_Matrix!$B$1:$D$1,0))</f>
        <v>Low</v>
      </c>
      <c r="H1762" s="1">
        <v>46083</v>
      </c>
      <c r="I1762" t="s">
        <v>2025</v>
      </c>
      <c r="J1762" t="s">
        <v>2026</v>
      </c>
      <c r="K1762" t="s">
        <v>1998</v>
      </c>
      <c r="L1762">
        <f>IF(G1762="High",3,IF(G1762="Medium",2,1))</f>
        <v>1</v>
      </c>
    </row>
    <row r="1763" spans="1:12">
      <c r="A1763" t="s">
        <v>3789</v>
      </c>
      <c r="B1763" t="s">
        <v>1243</v>
      </c>
      <c r="C1763" t="s">
        <v>2000</v>
      </c>
      <c r="D1763" t="s">
        <v>2045</v>
      </c>
      <c r="E1763" t="s">
        <v>57</v>
      </c>
      <c r="F1763" t="s">
        <v>57</v>
      </c>
      <c r="G1763" t="str">
        <f>INDEX(Risk_Matrix!$B$2:$D$4,MATCH(E1763,Risk_Matrix!$A$2:$A$4,0),MATCH(F1763,Risk_Matrix!$B$1:$D$1,0))</f>
        <v>Low</v>
      </c>
      <c r="H1763" s="1">
        <v>46057</v>
      </c>
      <c r="I1763" t="s">
        <v>2025</v>
      </c>
      <c r="J1763" t="s">
        <v>2026</v>
      </c>
      <c r="K1763" t="s">
        <v>1989</v>
      </c>
      <c r="L1763">
        <f>IF(G1763="High",3,IF(G1763="Medium",2,1))</f>
        <v>1</v>
      </c>
    </row>
    <row r="1764" spans="1:12">
      <c r="A1764" t="s">
        <v>3790</v>
      </c>
      <c r="B1764" t="s">
        <v>1243</v>
      </c>
      <c r="C1764" t="s">
        <v>2005</v>
      </c>
      <c r="D1764" t="s">
        <v>2006</v>
      </c>
      <c r="E1764" t="s">
        <v>1971</v>
      </c>
      <c r="F1764" t="s">
        <v>57</v>
      </c>
      <c r="G1764" t="str">
        <f>INDEX(Risk_Matrix!$B$2:$D$4,MATCH(E1764,Risk_Matrix!$A$2:$A$4,0),MATCH(F1764,Risk_Matrix!$B$1:$D$1,0))</f>
        <v>Low</v>
      </c>
      <c r="H1764" s="1">
        <v>46214</v>
      </c>
      <c r="I1764" t="s">
        <v>2002</v>
      </c>
      <c r="J1764" t="s">
        <v>2029</v>
      </c>
      <c r="K1764" t="s">
        <v>1993</v>
      </c>
      <c r="L1764">
        <f>IF(G1764="High",3,IF(G1764="Medium",2,1))</f>
        <v>1</v>
      </c>
    </row>
    <row r="1765" spans="1:12">
      <c r="A1765" t="s">
        <v>3791</v>
      </c>
      <c r="B1765" t="s">
        <v>1243</v>
      </c>
      <c r="C1765" t="s">
        <v>2008</v>
      </c>
      <c r="D1765" t="s">
        <v>2054</v>
      </c>
      <c r="E1765" t="s">
        <v>1971</v>
      </c>
      <c r="F1765" t="s">
        <v>1971</v>
      </c>
      <c r="G1765" t="str">
        <f>INDEX(Risk_Matrix!$B$2:$D$4,MATCH(E1765,Risk_Matrix!$A$2:$A$4,0),MATCH(F1765,Risk_Matrix!$B$1:$D$1,0))</f>
        <v>Medium</v>
      </c>
      <c r="H1765" s="1">
        <v>46165</v>
      </c>
      <c r="I1765" t="s">
        <v>2025</v>
      </c>
      <c r="J1765" t="s">
        <v>2035</v>
      </c>
      <c r="K1765" t="s">
        <v>2010</v>
      </c>
      <c r="L1765">
        <f>IF(G1765="High",3,IF(G1765="Medium",2,1))</f>
        <v>2</v>
      </c>
    </row>
    <row r="1766" spans="1:12">
      <c r="A1766" t="s">
        <v>3792</v>
      </c>
      <c r="B1766" t="s">
        <v>1245</v>
      </c>
      <c r="C1766" t="s">
        <v>1985</v>
      </c>
      <c r="D1766" t="s">
        <v>1986</v>
      </c>
      <c r="E1766" t="s">
        <v>57</v>
      </c>
      <c r="F1766" t="s">
        <v>57</v>
      </c>
      <c r="G1766" t="str">
        <f>INDEX(Risk_Matrix!$B$2:$D$4,MATCH(E1766,Risk_Matrix!$A$2:$A$4,0),MATCH(F1766,Risk_Matrix!$B$1:$D$1,0))</f>
        <v>Low</v>
      </c>
      <c r="H1766" s="1">
        <v>46213</v>
      </c>
      <c r="I1766" t="s">
        <v>2015</v>
      </c>
      <c r="J1766" t="s">
        <v>2016</v>
      </c>
      <c r="K1766" t="s">
        <v>1989</v>
      </c>
      <c r="L1766">
        <f>IF(G1766="High",3,IF(G1766="Medium",2,1))</f>
        <v>1</v>
      </c>
    </row>
    <row r="1767" spans="1:12">
      <c r="A1767" t="s">
        <v>3793</v>
      </c>
      <c r="B1767" t="s">
        <v>1245</v>
      </c>
      <c r="C1767" t="s">
        <v>1991</v>
      </c>
      <c r="D1767" t="s">
        <v>1992</v>
      </c>
      <c r="E1767" t="s">
        <v>57</v>
      </c>
      <c r="F1767" t="s">
        <v>57</v>
      </c>
      <c r="G1767" t="str">
        <f>INDEX(Risk_Matrix!$B$2:$D$4,MATCH(E1767,Risk_Matrix!$A$2:$A$4,0),MATCH(F1767,Risk_Matrix!$B$1:$D$1,0))</f>
        <v>Low</v>
      </c>
      <c r="H1767" s="1">
        <v>46204</v>
      </c>
      <c r="I1767" t="s">
        <v>2015</v>
      </c>
      <c r="J1767" t="s">
        <v>2032</v>
      </c>
      <c r="K1767" t="s">
        <v>1993</v>
      </c>
      <c r="L1767">
        <f>IF(G1767="High",3,IF(G1767="Medium",2,1))</f>
        <v>1</v>
      </c>
    </row>
    <row r="1768" spans="1:12">
      <c r="A1768" t="s">
        <v>3794</v>
      </c>
      <c r="B1768" t="s">
        <v>1245</v>
      </c>
      <c r="C1768" t="s">
        <v>1995</v>
      </c>
      <c r="D1768" t="s">
        <v>2150</v>
      </c>
      <c r="E1768" t="s">
        <v>57</v>
      </c>
      <c r="F1768" t="s">
        <v>57</v>
      </c>
      <c r="G1768" t="str">
        <f>INDEX(Risk_Matrix!$B$2:$D$4,MATCH(E1768,Risk_Matrix!$A$2:$A$4,0),MATCH(F1768,Risk_Matrix!$B$1:$D$1,0))</f>
        <v>Low</v>
      </c>
      <c r="H1768" s="1">
        <v>46235</v>
      </c>
      <c r="I1768" t="s">
        <v>2015</v>
      </c>
      <c r="J1768" t="s">
        <v>2016</v>
      </c>
      <c r="K1768" t="s">
        <v>1998</v>
      </c>
      <c r="L1768">
        <f>IF(G1768="High",3,IF(G1768="Medium",2,1))</f>
        <v>1</v>
      </c>
    </row>
    <row r="1769" spans="1:12">
      <c r="A1769" t="s">
        <v>3795</v>
      </c>
      <c r="B1769" t="s">
        <v>1245</v>
      </c>
      <c r="C1769" t="s">
        <v>2000</v>
      </c>
      <c r="D1769" t="s">
        <v>2020</v>
      </c>
      <c r="E1769" t="s">
        <v>1971</v>
      </c>
      <c r="F1769" t="s">
        <v>57</v>
      </c>
      <c r="G1769" t="str">
        <f>INDEX(Risk_Matrix!$B$2:$D$4,MATCH(E1769,Risk_Matrix!$A$2:$A$4,0),MATCH(F1769,Risk_Matrix!$B$1:$D$1,0))</f>
        <v>Low</v>
      </c>
      <c r="H1769" s="1">
        <v>46191</v>
      </c>
      <c r="I1769" t="s">
        <v>2002</v>
      </c>
      <c r="J1769" t="s">
        <v>2003</v>
      </c>
      <c r="K1769" t="s">
        <v>1989</v>
      </c>
      <c r="L1769">
        <f>IF(G1769="High",3,IF(G1769="Medium",2,1))</f>
        <v>1</v>
      </c>
    </row>
    <row r="1770" spans="1:12">
      <c r="A1770" t="s">
        <v>3796</v>
      </c>
      <c r="B1770" t="s">
        <v>1245</v>
      </c>
      <c r="C1770" t="s">
        <v>2005</v>
      </c>
      <c r="D1770" t="s">
        <v>2039</v>
      </c>
      <c r="E1770" t="s">
        <v>57</v>
      </c>
      <c r="F1770" t="s">
        <v>57</v>
      </c>
      <c r="G1770" t="str">
        <f>INDEX(Risk_Matrix!$B$2:$D$4,MATCH(E1770,Risk_Matrix!$A$2:$A$4,0),MATCH(F1770,Risk_Matrix!$B$1:$D$1,0))</f>
        <v>Low</v>
      </c>
      <c r="H1770" s="1">
        <v>46084</v>
      </c>
      <c r="I1770" t="s">
        <v>2002</v>
      </c>
      <c r="J1770" t="s">
        <v>2003</v>
      </c>
      <c r="K1770" t="s">
        <v>1993</v>
      </c>
      <c r="L1770">
        <f>IF(G1770="High",3,IF(G1770="Medium",2,1))</f>
        <v>1</v>
      </c>
    </row>
    <row r="1771" spans="1:12">
      <c r="A1771" t="s">
        <v>3797</v>
      </c>
      <c r="B1771" t="s">
        <v>1245</v>
      </c>
      <c r="C1771" t="s">
        <v>2008</v>
      </c>
      <c r="D1771" t="s">
        <v>2009</v>
      </c>
      <c r="E1771" t="s">
        <v>47</v>
      </c>
      <c r="F1771" t="s">
        <v>57</v>
      </c>
      <c r="G1771" t="str">
        <f>INDEX(Risk_Matrix!$B$2:$D$4,MATCH(E1771,Risk_Matrix!$A$2:$A$4,0),MATCH(F1771,Risk_Matrix!$B$1:$D$1,0))</f>
        <v>Medium</v>
      </c>
      <c r="H1771" s="1">
        <v>46215</v>
      </c>
      <c r="I1771" t="s">
        <v>2015</v>
      </c>
      <c r="J1771" t="s">
        <v>2032</v>
      </c>
      <c r="K1771" t="s">
        <v>2010</v>
      </c>
      <c r="L1771">
        <f>IF(G1771="High",3,IF(G1771="Medium",2,1))</f>
        <v>2</v>
      </c>
    </row>
    <row r="1772" spans="1:12">
      <c r="A1772" t="s">
        <v>3798</v>
      </c>
      <c r="B1772" t="s">
        <v>1248</v>
      </c>
      <c r="C1772" t="s">
        <v>1985</v>
      </c>
      <c r="D1772" t="s">
        <v>2012</v>
      </c>
      <c r="E1772" t="s">
        <v>57</v>
      </c>
      <c r="F1772" t="s">
        <v>57</v>
      </c>
      <c r="G1772" t="str">
        <f>INDEX(Risk_Matrix!$B$2:$D$4,MATCH(E1772,Risk_Matrix!$A$2:$A$4,0),MATCH(F1772,Risk_Matrix!$B$1:$D$1,0))</f>
        <v>Low</v>
      </c>
      <c r="H1772" s="1">
        <v>46196</v>
      </c>
      <c r="I1772" t="s">
        <v>2015</v>
      </c>
      <c r="J1772" t="s">
        <v>2032</v>
      </c>
      <c r="K1772" t="s">
        <v>1998</v>
      </c>
      <c r="L1772">
        <f>IF(G1772="High",3,IF(G1772="Medium",2,1))</f>
        <v>1</v>
      </c>
    </row>
    <row r="1773" spans="1:12">
      <c r="A1773" t="s">
        <v>3799</v>
      </c>
      <c r="B1773" t="s">
        <v>1248</v>
      </c>
      <c r="C1773" t="s">
        <v>1991</v>
      </c>
      <c r="D1773" t="s">
        <v>2031</v>
      </c>
      <c r="E1773" t="s">
        <v>57</v>
      </c>
      <c r="F1773" t="s">
        <v>57</v>
      </c>
      <c r="G1773" t="str">
        <f>INDEX(Risk_Matrix!$B$2:$D$4,MATCH(E1773,Risk_Matrix!$A$2:$A$4,0),MATCH(F1773,Risk_Matrix!$B$1:$D$1,0))</f>
        <v>Low</v>
      </c>
      <c r="H1773" s="1">
        <v>46122</v>
      </c>
      <c r="I1773" t="s">
        <v>1987</v>
      </c>
      <c r="J1773" t="s">
        <v>1997</v>
      </c>
      <c r="K1773" t="s">
        <v>2010</v>
      </c>
      <c r="L1773">
        <f>IF(G1773="High",3,IF(G1773="Medium",2,1))</f>
        <v>1</v>
      </c>
    </row>
    <row r="1774" spans="1:12">
      <c r="A1774" t="s">
        <v>3800</v>
      </c>
      <c r="B1774" t="s">
        <v>1248</v>
      </c>
      <c r="C1774" t="s">
        <v>1995</v>
      </c>
      <c r="D1774" t="s">
        <v>1996</v>
      </c>
      <c r="E1774" t="s">
        <v>47</v>
      </c>
      <c r="F1774" t="s">
        <v>57</v>
      </c>
      <c r="G1774" t="str">
        <f>INDEX(Risk_Matrix!$B$2:$D$4,MATCH(E1774,Risk_Matrix!$A$2:$A$4,0),MATCH(F1774,Risk_Matrix!$B$1:$D$1,0))</f>
        <v>Medium</v>
      </c>
      <c r="H1774" s="1">
        <v>46140</v>
      </c>
      <c r="I1774" t="s">
        <v>2025</v>
      </c>
      <c r="J1774" t="s">
        <v>2026</v>
      </c>
      <c r="K1774" t="s">
        <v>1998</v>
      </c>
      <c r="L1774">
        <f>IF(G1774="High",3,IF(G1774="Medium",2,1))</f>
        <v>2</v>
      </c>
    </row>
    <row r="1775" spans="1:12">
      <c r="A1775" t="s">
        <v>3801</v>
      </c>
      <c r="B1775" t="s">
        <v>1248</v>
      </c>
      <c r="C1775" t="s">
        <v>2000</v>
      </c>
      <c r="D1775" t="s">
        <v>2001</v>
      </c>
      <c r="E1775" t="s">
        <v>57</v>
      </c>
      <c r="F1775" t="s">
        <v>47</v>
      </c>
      <c r="G1775" t="str">
        <f>INDEX(Risk_Matrix!$B$2:$D$4,MATCH(E1775,Risk_Matrix!$A$2:$A$4,0),MATCH(F1775,Risk_Matrix!$B$1:$D$1,0))</f>
        <v>Medium</v>
      </c>
      <c r="H1775" s="1">
        <v>46165</v>
      </c>
      <c r="I1775" t="s">
        <v>2002</v>
      </c>
      <c r="J1775" t="s">
        <v>2029</v>
      </c>
      <c r="K1775" t="s">
        <v>1989</v>
      </c>
      <c r="L1775">
        <f>IF(G1775="High",3,IF(G1775="Medium",2,1))</f>
        <v>2</v>
      </c>
    </row>
    <row r="1776" spans="1:12">
      <c r="A1776" t="s">
        <v>3802</v>
      </c>
      <c r="B1776" t="s">
        <v>1248</v>
      </c>
      <c r="C1776" t="s">
        <v>2005</v>
      </c>
      <c r="D1776" t="s">
        <v>2022</v>
      </c>
      <c r="E1776" t="s">
        <v>1971</v>
      </c>
      <c r="F1776" t="s">
        <v>1971</v>
      </c>
      <c r="G1776" t="str">
        <f>INDEX(Risk_Matrix!$B$2:$D$4,MATCH(E1776,Risk_Matrix!$A$2:$A$4,0),MATCH(F1776,Risk_Matrix!$B$1:$D$1,0))</f>
        <v>Medium</v>
      </c>
      <c r="H1776" s="1">
        <v>46223</v>
      </c>
      <c r="I1776" t="s">
        <v>2015</v>
      </c>
      <c r="J1776" t="s">
        <v>2016</v>
      </c>
      <c r="K1776" t="s">
        <v>1993</v>
      </c>
      <c r="L1776">
        <f>IF(G1776="High",3,IF(G1776="Medium",2,1))</f>
        <v>2</v>
      </c>
    </row>
    <row r="1777" spans="1:12">
      <c r="A1777" t="s">
        <v>3803</v>
      </c>
      <c r="B1777" t="s">
        <v>1248</v>
      </c>
      <c r="C1777" t="s">
        <v>2008</v>
      </c>
      <c r="D1777" t="s">
        <v>2054</v>
      </c>
      <c r="E1777" t="s">
        <v>57</v>
      </c>
      <c r="F1777" t="s">
        <v>57</v>
      </c>
      <c r="G1777" t="str">
        <f>INDEX(Risk_Matrix!$B$2:$D$4,MATCH(E1777,Risk_Matrix!$A$2:$A$4,0),MATCH(F1777,Risk_Matrix!$B$1:$D$1,0))</f>
        <v>Low</v>
      </c>
      <c r="H1777" s="1">
        <v>46099</v>
      </c>
      <c r="I1777" t="s">
        <v>2002</v>
      </c>
      <c r="J1777" t="s">
        <v>2029</v>
      </c>
      <c r="K1777" t="s">
        <v>1998</v>
      </c>
      <c r="L1777">
        <f>IF(G1777="High",3,IF(G1777="Medium",2,1))</f>
        <v>1</v>
      </c>
    </row>
    <row r="1778" spans="1:12">
      <c r="A1778" t="s">
        <v>3804</v>
      </c>
      <c r="B1778" t="s">
        <v>1251</v>
      </c>
      <c r="C1778" t="s">
        <v>1985</v>
      </c>
      <c r="D1778" t="s">
        <v>2012</v>
      </c>
      <c r="E1778" t="s">
        <v>57</v>
      </c>
      <c r="F1778" t="s">
        <v>57</v>
      </c>
      <c r="G1778" t="str">
        <f>INDEX(Risk_Matrix!$B$2:$D$4,MATCH(E1778,Risk_Matrix!$A$2:$A$4,0),MATCH(F1778,Risk_Matrix!$B$1:$D$1,0))</f>
        <v>Low</v>
      </c>
      <c r="H1778" s="1">
        <v>46065</v>
      </c>
      <c r="I1778" t="s">
        <v>1987</v>
      </c>
      <c r="J1778" t="s">
        <v>1988</v>
      </c>
      <c r="K1778" t="s">
        <v>1998</v>
      </c>
      <c r="L1778">
        <f>IF(G1778="High",3,IF(G1778="Medium",2,1))</f>
        <v>1</v>
      </c>
    </row>
    <row r="1779" spans="1:12">
      <c r="A1779" t="s">
        <v>3805</v>
      </c>
      <c r="B1779" t="s">
        <v>1251</v>
      </c>
      <c r="C1779" t="s">
        <v>1991</v>
      </c>
      <c r="D1779" t="s">
        <v>2031</v>
      </c>
      <c r="E1779" t="s">
        <v>57</v>
      </c>
      <c r="F1779" t="s">
        <v>57</v>
      </c>
      <c r="G1779" t="str">
        <f>INDEX(Risk_Matrix!$B$2:$D$4,MATCH(E1779,Risk_Matrix!$A$2:$A$4,0),MATCH(F1779,Risk_Matrix!$B$1:$D$1,0))</f>
        <v>Low</v>
      </c>
      <c r="H1779" s="1">
        <v>46227</v>
      </c>
      <c r="I1779" t="s">
        <v>2002</v>
      </c>
      <c r="J1779" t="s">
        <v>2029</v>
      </c>
      <c r="K1779" t="s">
        <v>2010</v>
      </c>
      <c r="L1779">
        <f>IF(G1779="High",3,IF(G1779="Medium",2,1))</f>
        <v>1</v>
      </c>
    </row>
    <row r="1780" spans="1:12">
      <c r="A1780" t="s">
        <v>3806</v>
      </c>
      <c r="B1780" t="s">
        <v>1251</v>
      </c>
      <c r="C1780" t="s">
        <v>1995</v>
      </c>
      <c r="D1780" t="s">
        <v>2150</v>
      </c>
      <c r="E1780" t="s">
        <v>1971</v>
      </c>
      <c r="F1780" t="s">
        <v>57</v>
      </c>
      <c r="G1780" t="str">
        <f>INDEX(Risk_Matrix!$B$2:$D$4,MATCH(E1780,Risk_Matrix!$A$2:$A$4,0),MATCH(F1780,Risk_Matrix!$B$1:$D$1,0))</f>
        <v>Low</v>
      </c>
      <c r="H1780" s="1">
        <v>46204</v>
      </c>
      <c r="I1780" t="s">
        <v>2002</v>
      </c>
      <c r="J1780" t="s">
        <v>2003</v>
      </c>
      <c r="K1780" t="s">
        <v>1998</v>
      </c>
      <c r="L1780">
        <f>IF(G1780="High",3,IF(G1780="Medium",2,1))</f>
        <v>1</v>
      </c>
    </row>
    <row r="1781" spans="1:12">
      <c r="A1781" t="s">
        <v>3807</v>
      </c>
      <c r="B1781" t="s">
        <v>1251</v>
      </c>
      <c r="C1781" t="s">
        <v>2000</v>
      </c>
      <c r="D1781" t="s">
        <v>2045</v>
      </c>
      <c r="E1781" t="s">
        <v>57</v>
      </c>
      <c r="F1781" t="s">
        <v>57</v>
      </c>
      <c r="G1781" t="str">
        <f>INDEX(Risk_Matrix!$B$2:$D$4,MATCH(E1781,Risk_Matrix!$A$2:$A$4,0),MATCH(F1781,Risk_Matrix!$B$1:$D$1,0))</f>
        <v>Low</v>
      </c>
      <c r="H1781" s="1">
        <v>46171</v>
      </c>
      <c r="I1781" t="s">
        <v>1987</v>
      </c>
      <c r="J1781" t="s">
        <v>1988</v>
      </c>
      <c r="K1781" t="s">
        <v>1993</v>
      </c>
      <c r="L1781">
        <f>IF(G1781="High",3,IF(G1781="Medium",2,1))</f>
        <v>1</v>
      </c>
    </row>
    <row r="1782" spans="1:12">
      <c r="A1782" t="s">
        <v>3808</v>
      </c>
      <c r="B1782" t="s">
        <v>1251</v>
      </c>
      <c r="C1782" t="s">
        <v>2005</v>
      </c>
      <c r="D1782" t="s">
        <v>2022</v>
      </c>
      <c r="E1782" t="s">
        <v>57</v>
      </c>
      <c r="F1782" t="s">
        <v>57</v>
      </c>
      <c r="G1782" t="str">
        <f>INDEX(Risk_Matrix!$B$2:$D$4,MATCH(E1782,Risk_Matrix!$A$2:$A$4,0),MATCH(F1782,Risk_Matrix!$B$1:$D$1,0))</f>
        <v>Low</v>
      </c>
      <c r="H1782" s="1">
        <v>46129</v>
      </c>
      <c r="I1782" t="s">
        <v>1987</v>
      </c>
      <c r="J1782" t="s">
        <v>1997</v>
      </c>
      <c r="K1782" t="s">
        <v>1993</v>
      </c>
      <c r="L1782">
        <f>IF(G1782="High",3,IF(G1782="Medium",2,1))</f>
        <v>1</v>
      </c>
    </row>
    <row r="1783" spans="1:12">
      <c r="A1783" t="s">
        <v>3809</v>
      </c>
      <c r="B1783" t="s">
        <v>1251</v>
      </c>
      <c r="C1783" t="s">
        <v>2008</v>
      </c>
      <c r="D1783" t="s">
        <v>2054</v>
      </c>
      <c r="E1783" t="s">
        <v>47</v>
      </c>
      <c r="F1783" t="s">
        <v>57</v>
      </c>
      <c r="G1783" t="str">
        <f>INDEX(Risk_Matrix!$B$2:$D$4,MATCH(E1783,Risk_Matrix!$A$2:$A$4,0),MATCH(F1783,Risk_Matrix!$B$1:$D$1,0))</f>
        <v>Medium</v>
      </c>
      <c r="H1783" s="1">
        <v>46073</v>
      </c>
      <c r="I1783" t="s">
        <v>1987</v>
      </c>
      <c r="J1783" t="s">
        <v>1988</v>
      </c>
      <c r="K1783" t="s">
        <v>1998</v>
      </c>
      <c r="L1783">
        <f>IF(G1783="High",3,IF(G1783="Medium",2,1))</f>
        <v>2</v>
      </c>
    </row>
    <row r="1784" spans="1:12">
      <c r="A1784" t="s">
        <v>3810</v>
      </c>
      <c r="B1784" t="s">
        <v>1254</v>
      </c>
      <c r="C1784" t="s">
        <v>1985</v>
      </c>
      <c r="D1784" t="s">
        <v>1986</v>
      </c>
      <c r="E1784" t="s">
        <v>57</v>
      </c>
      <c r="F1784" t="s">
        <v>1971</v>
      </c>
      <c r="G1784" t="str">
        <f>INDEX(Risk_Matrix!$B$2:$D$4,MATCH(E1784,Risk_Matrix!$A$2:$A$4,0),MATCH(F1784,Risk_Matrix!$B$1:$D$1,0))</f>
        <v>Low</v>
      </c>
      <c r="H1784" s="1">
        <v>46225</v>
      </c>
      <c r="I1784" t="s">
        <v>2025</v>
      </c>
      <c r="J1784" t="s">
        <v>2035</v>
      </c>
      <c r="K1784" t="s">
        <v>1998</v>
      </c>
      <c r="L1784">
        <f>IF(G1784="High",3,IF(G1784="Medium",2,1))</f>
        <v>1</v>
      </c>
    </row>
    <row r="1785" spans="1:12">
      <c r="A1785" t="s">
        <v>3811</v>
      </c>
      <c r="B1785" t="s">
        <v>1254</v>
      </c>
      <c r="C1785" t="s">
        <v>1991</v>
      </c>
      <c r="D1785" t="s">
        <v>1992</v>
      </c>
      <c r="E1785" t="s">
        <v>57</v>
      </c>
      <c r="F1785" t="s">
        <v>57</v>
      </c>
      <c r="G1785" t="str">
        <f>INDEX(Risk_Matrix!$B$2:$D$4,MATCH(E1785,Risk_Matrix!$A$2:$A$4,0),MATCH(F1785,Risk_Matrix!$B$1:$D$1,0))</f>
        <v>Low</v>
      </c>
      <c r="H1785" s="1">
        <v>46136</v>
      </c>
      <c r="I1785" t="s">
        <v>1987</v>
      </c>
      <c r="J1785" t="s">
        <v>1997</v>
      </c>
      <c r="K1785" t="s">
        <v>1993</v>
      </c>
      <c r="L1785">
        <f>IF(G1785="High",3,IF(G1785="Medium",2,1))</f>
        <v>1</v>
      </c>
    </row>
    <row r="1786" spans="1:12">
      <c r="A1786" t="s">
        <v>3812</v>
      </c>
      <c r="B1786" t="s">
        <v>1254</v>
      </c>
      <c r="C1786" t="s">
        <v>1995</v>
      </c>
      <c r="D1786" t="s">
        <v>2018</v>
      </c>
      <c r="E1786" t="s">
        <v>57</v>
      </c>
      <c r="F1786" t="s">
        <v>57</v>
      </c>
      <c r="G1786" t="str">
        <f>INDEX(Risk_Matrix!$B$2:$D$4,MATCH(E1786,Risk_Matrix!$A$2:$A$4,0),MATCH(F1786,Risk_Matrix!$B$1:$D$1,0))</f>
        <v>Low</v>
      </c>
      <c r="H1786" s="1">
        <v>46162</v>
      </c>
      <c r="I1786" t="s">
        <v>2002</v>
      </c>
      <c r="J1786" t="s">
        <v>2029</v>
      </c>
      <c r="K1786" t="s">
        <v>1998</v>
      </c>
      <c r="L1786">
        <f>IF(G1786="High",3,IF(G1786="Medium",2,1))</f>
        <v>1</v>
      </c>
    </row>
    <row r="1787" spans="1:12">
      <c r="A1787" t="s">
        <v>3813</v>
      </c>
      <c r="B1787" t="s">
        <v>1254</v>
      </c>
      <c r="C1787" t="s">
        <v>2000</v>
      </c>
      <c r="D1787" t="s">
        <v>2020</v>
      </c>
      <c r="E1787" t="s">
        <v>1971</v>
      </c>
      <c r="F1787" t="s">
        <v>47</v>
      </c>
      <c r="G1787" t="str">
        <f>INDEX(Risk_Matrix!$B$2:$D$4,MATCH(E1787,Risk_Matrix!$A$2:$A$4,0),MATCH(F1787,Risk_Matrix!$B$1:$D$1,0))</f>
        <v>High</v>
      </c>
      <c r="H1787" s="1">
        <v>46188</v>
      </c>
      <c r="I1787" t="s">
        <v>2015</v>
      </c>
      <c r="J1787" t="s">
        <v>2032</v>
      </c>
      <c r="K1787" t="s">
        <v>1993</v>
      </c>
      <c r="L1787">
        <f>IF(G1787="High",3,IF(G1787="Medium",2,1))</f>
        <v>3</v>
      </c>
    </row>
    <row r="1788" spans="1:12">
      <c r="A1788" t="s">
        <v>3814</v>
      </c>
      <c r="B1788" t="s">
        <v>1254</v>
      </c>
      <c r="C1788" t="s">
        <v>2005</v>
      </c>
      <c r="D1788" t="s">
        <v>2039</v>
      </c>
      <c r="E1788" t="s">
        <v>57</v>
      </c>
      <c r="F1788" t="s">
        <v>57</v>
      </c>
      <c r="G1788" t="str">
        <f>INDEX(Risk_Matrix!$B$2:$D$4,MATCH(E1788,Risk_Matrix!$A$2:$A$4,0),MATCH(F1788,Risk_Matrix!$B$1:$D$1,0))</f>
        <v>Low</v>
      </c>
      <c r="H1788" s="1">
        <v>46169</v>
      </c>
      <c r="I1788" t="s">
        <v>2002</v>
      </c>
      <c r="J1788" t="s">
        <v>2029</v>
      </c>
      <c r="K1788" t="s">
        <v>1993</v>
      </c>
      <c r="L1788">
        <f>IF(G1788="High",3,IF(G1788="Medium",2,1))</f>
        <v>1</v>
      </c>
    </row>
    <row r="1789" spans="1:12">
      <c r="A1789" t="s">
        <v>3815</v>
      </c>
      <c r="B1789" t="s">
        <v>1254</v>
      </c>
      <c r="C1789" t="s">
        <v>2008</v>
      </c>
      <c r="D1789" t="s">
        <v>2054</v>
      </c>
      <c r="E1789" t="s">
        <v>47</v>
      </c>
      <c r="F1789" t="s">
        <v>57</v>
      </c>
      <c r="G1789" t="str">
        <f>INDEX(Risk_Matrix!$B$2:$D$4,MATCH(E1789,Risk_Matrix!$A$2:$A$4,0),MATCH(F1789,Risk_Matrix!$B$1:$D$1,0))</f>
        <v>Medium</v>
      </c>
      <c r="H1789" s="1">
        <v>46125</v>
      </c>
      <c r="I1789" t="s">
        <v>2025</v>
      </c>
      <c r="J1789" t="s">
        <v>2026</v>
      </c>
      <c r="K1789" t="s">
        <v>2010</v>
      </c>
      <c r="L1789">
        <f>IF(G1789="High",3,IF(G1789="Medium",2,1))</f>
        <v>2</v>
      </c>
    </row>
    <row r="1790" spans="1:12">
      <c r="A1790" t="s">
        <v>3816</v>
      </c>
      <c r="B1790" t="s">
        <v>1256</v>
      </c>
      <c r="C1790" t="s">
        <v>1985</v>
      </c>
      <c r="D1790" t="s">
        <v>2028</v>
      </c>
      <c r="E1790" t="s">
        <v>57</v>
      </c>
      <c r="F1790" t="s">
        <v>57</v>
      </c>
      <c r="G1790" t="str">
        <f>INDEX(Risk_Matrix!$B$2:$D$4,MATCH(E1790,Risk_Matrix!$A$2:$A$4,0),MATCH(F1790,Risk_Matrix!$B$1:$D$1,0))</f>
        <v>Low</v>
      </c>
      <c r="H1790" s="1">
        <v>46200</v>
      </c>
      <c r="I1790" t="s">
        <v>2015</v>
      </c>
      <c r="J1790" t="s">
        <v>2016</v>
      </c>
      <c r="K1790" t="s">
        <v>1989</v>
      </c>
      <c r="L1790">
        <f>IF(G1790="High",3,IF(G1790="Medium",2,1))</f>
        <v>1</v>
      </c>
    </row>
    <row r="1791" spans="1:12">
      <c r="A1791" t="s">
        <v>3817</v>
      </c>
      <c r="B1791" t="s">
        <v>1256</v>
      </c>
      <c r="C1791" t="s">
        <v>1991</v>
      </c>
      <c r="D1791" t="s">
        <v>2064</v>
      </c>
      <c r="E1791" t="s">
        <v>1971</v>
      </c>
      <c r="F1791" t="s">
        <v>1971</v>
      </c>
      <c r="G1791" t="str">
        <f>INDEX(Risk_Matrix!$B$2:$D$4,MATCH(E1791,Risk_Matrix!$A$2:$A$4,0),MATCH(F1791,Risk_Matrix!$B$1:$D$1,0))</f>
        <v>Medium</v>
      </c>
      <c r="H1791" s="1">
        <v>46201</v>
      </c>
      <c r="I1791" t="s">
        <v>2025</v>
      </c>
      <c r="J1791" t="s">
        <v>2026</v>
      </c>
      <c r="K1791" t="s">
        <v>2010</v>
      </c>
      <c r="L1791">
        <f>IF(G1791="High",3,IF(G1791="Medium",2,1))</f>
        <v>2</v>
      </c>
    </row>
    <row r="1792" spans="1:12">
      <c r="A1792" t="s">
        <v>3818</v>
      </c>
      <c r="B1792" t="s">
        <v>1256</v>
      </c>
      <c r="C1792" t="s">
        <v>1995</v>
      </c>
      <c r="D1792" t="s">
        <v>2034</v>
      </c>
      <c r="E1792" t="s">
        <v>57</v>
      </c>
      <c r="F1792" t="s">
        <v>57</v>
      </c>
      <c r="G1792" t="str">
        <f>INDEX(Risk_Matrix!$B$2:$D$4,MATCH(E1792,Risk_Matrix!$A$2:$A$4,0),MATCH(F1792,Risk_Matrix!$B$1:$D$1,0))</f>
        <v>Low</v>
      </c>
      <c r="H1792" s="1">
        <v>46080</v>
      </c>
      <c r="I1792" t="s">
        <v>1987</v>
      </c>
      <c r="J1792" t="s">
        <v>1997</v>
      </c>
      <c r="K1792" t="s">
        <v>2036</v>
      </c>
      <c r="L1792">
        <f>IF(G1792="High",3,IF(G1792="Medium",2,1))</f>
        <v>1</v>
      </c>
    </row>
    <row r="1793" spans="1:12">
      <c r="A1793" t="s">
        <v>3819</v>
      </c>
      <c r="B1793" t="s">
        <v>1256</v>
      </c>
      <c r="C1793" t="s">
        <v>2000</v>
      </c>
      <c r="D1793" t="s">
        <v>2001</v>
      </c>
      <c r="E1793" t="s">
        <v>1971</v>
      </c>
      <c r="F1793" t="s">
        <v>1971</v>
      </c>
      <c r="G1793" t="str">
        <f>INDEX(Risk_Matrix!$B$2:$D$4,MATCH(E1793,Risk_Matrix!$A$2:$A$4,0),MATCH(F1793,Risk_Matrix!$B$1:$D$1,0))</f>
        <v>Medium</v>
      </c>
      <c r="H1793" s="1">
        <v>46207</v>
      </c>
      <c r="I1793" t="s">
        <v>2015</v>
      </c>
      <c r="J1793" t="s">
        <v>2032</v>
      </c>
      <c r="K1793" t="s">
        <v>1989</v>
      </c>
      <c r="L1793">
        <f>IF(G1793="High",3,IF(G1793="Medium",2,1))</f>
        <v>2</v>
      </c>
    </row>
    <row r="1794" spans="1:12">
      <c r="A1794" t="s">
        <v>3820</v>
      </c>
      <c r="B1794" t="s">
        <v>1256</v>
      </c>
      <c r="C1794" t="s">
        <v>2005</v>
      </c>
      <c r="D1794" t="s">
        <v>2006</v>
      </c>
      <c r="E1794" t="s">
        <v>57</v>
      </c>
      <c r="F1794" t="s">
        <v>57</v>
      </c>
      <c r="G1794" t="str">
        <f>INDEX(Risk_Matrix!$B$2:$D$4,MATCH(E1794,Risk_Matrix!$A$2:$A$4,0),MATCH(F1794,Risk_Matrix!$B$1:$D$1,0))</f>
        <v>Low</v>
      </c>
      <c r="H1794" s="1">
        <v>46227</v>
      </c>
      <c r="I1794" t="s">
        <v>1987</v>
      </c>
      <c r="J1794" t="s">
        <v>1988</v>
      </c>
      <c r="K1794" t="s">
        <v>1993</v>
      </c>
      <c r="L1794">
        <f>IF(G1794="High",3,IF(G1794="Medium",2,1))</f>
        <v>1</v>
      </c>
    </row>
    <row r="1795" spans="1:12">
      <c r="A1795" t="s">
        <v>3821</v>
      </c>
      <c r="B1795" t="s">
        <v>1256</v>
      </c>
      <c r="C1795" t="s">
        <v>2008</v>
      </c>
      <c r="D1795" t="s">
        <v>2024</v>
      </c>
      <c r="E1795" t="s">
        <v>1971</v>
      </c>
      <c r="F1795" t="s">
        <v>47</v>
      </c>
      <c r="G1795" t="str">
        <f>INDEX(Risk_Matrix!$B$2:$D$4,MATCH(E1795,Risk_Matrix!$A$2:$A$4,0),MATCH(F1795,Risk_Matrix!$B$1:$D$1,0))</f>
        <v>High</v>
      </c>
      <c r="H1795" s="1">
        <v>46206</v>
      </c>
      <c r="I1795" t="s">
        <v>2025</v>
      </c>
      <c r="J1795" t="s">
        <v>2026</v>
      </c>
      <c r="K1795" t="s">
        <v>2010</v>
      </c>
      <c r="L1795">
        <f>IF(G1795="High",3,IF(G1795="Medium",2,1))</f>
        <v>3</v>
      </c>
    </row>
    <row r="1796" spans="1:12">
      <c r="A1796" t="s">
        <v>3822</v>
      </c>
      <c r="B1796" t="s">
        <v>1258</v>
      </c>
      <c r="C1796" t="s">
        <v>1985</v>
      </c>
      <c r="D1796" t="s">
        <v>1986</v>
      </c>
      <c r="E1796" t="s">
        <v>57</v>
      </c>
      <c r="F1796" t="s">
        <v>1971</v>
      </c>
      <c r="G1796" t="str">
        <f>INDEX(Risk_Matrix!$B$2:$D$4,MATCH(E1796,Risk_Matrix!$A$2:$A$4,0),MATCH(F1796,Risk_Matrix!$B$1:$D$1,0))</f>
        <v>Low</v>
      </c>
      <c r="H1796" s="1">
        <v>46083</v>
      </c>
      <c r="I1796" t="s">
        <v>2002</v>
      </c>
      <c r="J1796" t="s">
        <v>2029</v>
      </c>
      <c r="K1796" t="s">
        <v>1989</v>
      </c>
      <c r="L1796">
        <f>IF(G1796="High",3,IF(G1796="Medium",2,1))</f>
        <v>1</v>
      </c>
    </row>
    <row r="1797" spans="1:12">
      <c r="A1797" t="s">
        <v>3823</v>
      </c>
      <c r="B1797" t="s">
        <v>1258</v>
      </c>
      <c r="C1797" t="s">
        <v>1991</v>
      </c>
      <c r="D1797" t="s">
        <v>2014</v>
      </c>
      <c r="E1797" t="s">
        <v>1971</v>
      </c>
      <c r="F1797" t="s">
        <v>57</v>
      </c>
      <c r="G1797" t="str">
        <f>INDEX(Risk_Matrix!$B$2:$D$4,MATCH(E1797,Risk_Matrix!$A$2:$A$4,0),MATCH(F1797,Risk_Matrix!$B$1:$D$1,0))</f>
        <v>Low</v>
      </c>
      <c r="H1797" s="1">
        <v>46150</v>
      </c>
      <c r="I1797" t="s">
        <v>2025</v>
      </c>
      <c r="J1797" t="s">
        <v>2026</v>
      </c>
      <c r="K1797" t="s">
        <v>1993</v>
      </c>
      <c r="L1797">
        <f>IF(G1797="High",3,IF(G1797="Medium",2,1))</f>
        <v>1</v>
      </c>
    </row>
    <row r="1798" spans="1:12">
      <c r="A1798" t="s">
        <v>3824</v>
      </c>
      <c r="B1798" t="s">
        <v>1258</v>
      </c>
      <c r="C1798" t="s">
        <v>1995</v>
      </c>
      <c r="D1798" t="s">
        <v>2034</v>
      </c>
      <c r="E1798" t="s">
        <v>57</v>
      </c>
      <c r="F1798" t="s">
        <v>57</v>
      </c>
      <c r="G1798" t="str">
        <f>INDEX(Risk_Matrix!$B$2:$D$4,MATCH(E1798,Risk_Matrix!$A$2:$A$4,0),MATCH(F1798,Risk_Matrix!$B$1:$D$1,0))</f>
        <v>Low</v>
      </c>
      <c r="H1798" s="1">
        <v>46212</v>
      </c>
      <c r="I1798" t="s">
        <v>1987</v>
      </c>
      <c r="J1798" t="s">
        <v>1997</v>
      </c>
      <c r="K1798" t="s">
        <v>1998</v>
      </c>
      <c r="L1798">
        <f>IF(G1798="High",3,IF(G1798="Medium",2,1))</f>
        <v>1</v>
      </c>
    </row>
    <row r="1799" spans="1:12">
      <c r="A1799" t="s">
        <v>3825</v>
      </c>
      <c r="B1799" t="s">
        <v>1258</v>
      </c>
      <c r="C1799" t="s">
        <v>2000</v>
      </c>
      <c r="D1799" t="s">
        <v>2001</v>
      </c>
      <c r="E1799" t="s">
        <v>57</v>
      </c>
      <c r="F1799" t="s">
        <v>1971</v>
      </c>
      <c r="G1799" t="str">
        <f>INDEX(Risk_Matrix!$B$2:$D$4,MATCH(E1799,Risk_Matrix!$A$2:$A$4,0),MATCH(F1799,Risk_Matrix!$B$1:$D$1,0))</f>
        <v>Low</v>
      </c>
      <c r="H1799" s="1">
        <v>46111</v>
      </c>
      <c r="I1799" t="s">
        <v>1987</v>
      </c>
      <c r="J1799" t="s">
        <v>1988</v>
      </c>
      <c r="K1799" t="s">
        <v>1993</v>
      </c>
      <c r="L1799">
        <f>IF(G1799="High",3,IF(G1799="Medium",2,1))</f>
        <v>1</v>
      </c>
    </row>
    <row r="1800" spans="1:12">
      <c r="A1800" t="s">
        <v>3826</v>
      </c>
      <c r="B1800" t="s">
        <v>1258</v>
      </c>
      <c r="C1800" t="s">
        <v>2005</v>
      </c>
      <c r="D1800" t="s">
        <v>2022</v>
      </c>
      <c r="E1800" t="s">
        <v>57</v>
      </c>
      <c r="F1800" t="s">
        <v>57</v>
      </c>
      <c r="G1800" t="str">
        <f>INDEX(Risk_Matrix!$B$2:$D$4,MATCH(E1800,Risk_Matrix!$A$2:$A$4,0),MATCH(F1800,Risk_Matrix!$B$1:$D$1,0))</f>
        <v>Low</v>
      </c>
      <c r="H1800" s="1">
        <v>46164</v>
      </c>
      <c r="I1800" t="s">
        <v>2015</v>
      </c>
      <c r="J1800" t="s">
        <v>2016</v>
      </c>
      <c r="K1800" t="s">
        <v>1993</v>
      </c>
      <c r="L1800">
        <f>IF(G1800="High",3,IF(G1800="Medium",2,1))</f>
        <v>1</v>
      </c>
    </row>
    <row r="1801" spans="1:12">
      <c r="A1801" t="s">
        <v>3827</v>
      </c>
      <c r="B1801" t="s">
        <v>1258</v>
      </c>
      <c r="C1801" t="s">
        <v>2008</v>
      </c>
      <c r="D1801" t="s">
        <v>2024</v>
      </c>
      <c r="E1801" t="s">
        <v>47</v>
      </c>
      <c r="F1801" t="s">
        <v>1971</v>
      </c>
      <c r="G1801" t="str">
        <f>INDEX(Risk_Matrix!$B$2:$D$4,MATCH(E1801,Risk_Matrix!$A$2:$A$4,0),MATCH(F1801,Risk_Matrix!$B$1:$D$1,0))</f>
        <v>High</v>
      </c>
      <c r="H1801" s="1">
        <v>46207</v>
      </c>
      <c r="I1801" t="s">
        <v>2015</v>
      </c>
      <c r="J1801" t="s">
        <v>2032</v>
      </c>
      <c r="K1801" t="s">
        <v>2010</v>
      </c>
      <c r="L1801">
        <f>IF(G1801="High",3,IF(G1801="Medium",2,1))</f>
        <v>3</v>
      </c>
    </row>
    <row r="1802" spans="1:12">
      <c r="A1802" t="s">
        <v>3828</v>
      </c>
      <c r="B1802" t="s">
        <v>1261</v>
      </c>
      <c r="C1802" t="s">
        <v>1985</v>
      </c>
      <c r="D1802" t="s">
        <v>2028</v>
      </c>
      <c r="E1802" t="s">
        <v>1971</v>
      </c>
      <c r="F1802" t="s">
        <v>57</v>
      </c>
      <c r="G1802" t="str">
        <f>INDEX(Risk_Matrix!$B$2:$D$4,MATCH(E1802,Risk_Matrix!$A$2:$A$4,0),MATCH(F1802,Risk_Matrix!$B$1:$D$1,0))</f>
        <v>Low</v>
      </c>
      <c r="H1802" s="1">
        <v>46191</v>
      </c>
      <c r="I1802" t="s">
        <v>2015</v>
      </c>
      <c r="J1802" t="s">
        <v>2016</v>
      </c>
      <c r="K1802" t="s">
        <v>1989</v>
      </c>
      <c r="L1802">
        <f>IF(G1802="High",3,IF(G1802="Medium",2,1))</f>
        <v>1</v>
      </c>
    </row>
    <row r="1803" spans="1:12">
      <c r="A1803" t="s">
        <v>3829</v>
      </c>
      <c r="B1803" t="s">
        <v>1261</v>
      </c>
      <c r="C1803" t="s">
        <v>1991</v>
      </c>
      <c r="D1803" t="s">
        <v>2064</v>
      </c>
      <c r="E1803" t="s">
        <v>1971</v>
      </c>
      <c r="F1803" t="s">
        <v>57</v>
      </c>
      <c r="G1803" t="str">
        <f>INDEX(Risk_Matrix!$B$2:$D$4,MATCH(E1803,Risk_Matrix!$A$2:$A$4,0),MATCH(F1803,Risk_Matrix!$B$1:$D$1,0))</f>
        <v>Low</v>
      </c>
      <c r="H1803" s="1">
        <v>46160</v>
      </c>
      <c r="I1803" t="s">
        <v>2002</v>
      </c>
      <c r="J1803" t="s">
        <v>2029</v>
      </c>
      <c r="K1803" t="s">
        <v>1993</v>
      </c>
      <c r="L1803">
        <f>IF(G1803="High",3,IF(G1803="Medium",2,1))</f>
        <v>1</v>
      </c>
    </row>
    <row r="1804" spans="1:12">
      <c r="A1804" t="s">
        <v>3830</v>
      </c>
      <c r="B1804" t="s">
        <v>1261</v>
      </c>
      <c r="C1804" t="s">
        <v>1995</v>
      </c>
      <c r="D1804" t="s">
        <v>2018</v>
      </c>
      <c r="E1804" t="s">
        <v>57</v>
      </c>
      <c r="F1804" t="s">
        <v>47</v>
      </c>
      <c r="G1804" t="str">
        <f>INDEX(Risk_Matrix!$B$2:$D$4,MATCH(E1804,Risk_Matrix!$A$2:$A$4,0),MATCH(F1804,Risk_Matrix!$B$1:$D$1,0))</f>
        <v>Medium</v>
      </c>
      <c r="H1804" s="1">
        <v>46078</v>
      </c>
      <c r="I1804" t="s">
        <v>2025</v>
      </c>
      <c r="J1804" t="s">
        <v>2035</v>
      </c>
      <c r="K1804" t="s">
        <v>2036</v>
      </c>
      <c r="L1804">
        <f>IF(G1804="High",3,IF(G1804="Medium",2,1))</f>
        <v>2</v>
      </c>
    </row>
    <row r="1805" spans="1:12">
      <c r="A1805" t="s">
        <v>3831</v>
      </c>
      <c r="B1805" t="s">
        <v>1261</v>
      </c>
      <c r="C1805" t="s">
        <v>2000</v>
      </c>
      <c r="D1805" t="s">
        <v>2001</v>
      </c>
      <c r="E1805" t="s">
        <v>57</v>
      </c>
      <c r="F1805" t="s">
        <v>47</v>
      </c>
      <c r="G1805" t="str">
        <f>INDEX(Risk_Matrix!$B$2:$D$4,MATCH(E1805,Risk_Matrix!$A$2:$A$4,0),MATCH(F1805,Risk_Matrix!$B$1:$D$1,0))</f>
        <v>Medium</v>
      </c>
      <c r="H1805" s="1">
        <v>46140</v>
      </c>
      <c r="I1805" t="s">
        <v>2025</v>
      </c>
      <c r="J1805" t="s">
        <v>2026</v>
      </c>
      <c r="K1805" t="s">
        <v>1989</v>
      </c>
      <c r="L1805">
        <f>IF(G1805="High",3,IF(G1805="Medium",2,1))</f>
        <v>2</v>
      </c>
    </row>
    <row r="1806" spans="1:12">
      <c r="A1806" t="s">
        <v>3832</v>
      </c>
      <c r="B1806" t="s">
        <v>1261</v>
      </c>
      <c r="C1806" t="s">
        <v>2005</v>
      </c>
      <c r="D1806" t="s">
        <v>2006</v>
      </c>
      <c r="E1806" t="s">
        <v>57</v>
      </c>
      <c r="F1806" t="s">
        <v>57</v>
      </c>
      <c r="G1806" t="str">
        <f>INDEX(Risk_Matrix!$B$2:$D$4,MATCH(E1806,Risk_Matrix!$A$2:$A$4,0),MATCH(F1806,Risk_Matrix!$B$1:$D$1,0))</f>
        <v>Low</v>
      </c>
      <c r="H1806" s="1">
        <v>46171</v>
      </c>
      <c r="I1806" t="s">
        <v>2015</v>
      </c>
      <c r="J1806" t="s">
        <v>2032</v>
      </c>
      <c r="K1806" t="s">
        <v>1993</v>
      </c>
      <c r="L1806">
        <f>IF(G1806="High",3,IF(G1806="Medium",2,1))</f>
        <v>1</v>
      </c>
    </row>
    <row r="1807" spans="1:12">
      <c r="A1807" t="s">
        <v>3833</v>
      </c>
      <c r="B1807" t="s">
        <v>1261</v>
      </c>
      <c r="C1807" t="s">
        <v>2008</v>
      </c>
      <c r="D1807" t="s">
        <v>2024</v>
      </c>
      <c r="E1807" t="s">
        <v>1971</v>
      </c>
      <c r="F1807" t="s">
        <v>57</v>
      </c>
      <c r="G1807" t="str">
        <f>INDEX(Risk_Matrix!$B$2:$D$4,MATCH(E1807,Risk_Matrix!$A$2:$A$4,0),MATCH(F1807,Risk_Matrix!$B$1:$D$1,0))</f>
        <v>Low</v>
      </c>
      <c r="H1807" s="1">
        <v>46186</v>
      </c>
      <c r="I1807" t="s">
        <v>1987</v>
      </c>
      <c r="J1807" t="s">
        <v>1988</v>
      </c>
      <c r="K1807" t="s">
        <v>2010</v>
      </c>
      <c r="L1807">
        <f>IF(G1807="High",3,IF(G1807="Medium",2,1))</f>
        <v>1</v>
      </c>
    </row>
    <row r="1808" spans="1:12">
      <c r="A1808" t="s">
        <v>3834</v>
      </c>
      <c r="B1808" t="s">
        <v>1263</v>
      </c>
      <c r="C1808" t="s">
        <v>1985</v>
      </c>
      <c r="D1808" t="s">
        <v>1986</v>
      </c>
      <c r="E1808" t="s">
        <v>57</v>
      </c>
      <c r="F1808" t="s">
        <v>1971</v>
      </c>
      <c r="G1808" t="str">
        <f>INDEX(Risk_Matrix!$B$2:$D$4,MATCH(E1808,Risk_Matrix!$A$2:$A$4,0),MATCH(F1808,Risk_Matrix!$B$1:$D$1,0))</f>
        <v>Low</v>
      </c>
      <c r="H1808" s="1">
        <v>46121</v>
      </c>
      <c r="I1808" t="s">
        <v>1987</v>
      </c>
      <c r="J1808" t="s">
        <v>1997</v>
      </c>
      <c r="K1808" t="s">
        <v>1989</v>
      </c>
      <c r="L1808">
        <f>IF(G1808="High",3,IF(G1808="Medium",2,1))</f>
        <v>1</v>
      </c>
    </row>
    <row r="1809" spans="1:12">
      <c r="A1809" t="s">
        <v>3835</v>
      </c>
      <c r="B1809" t="s">
        <v>1263</v>
      </c>
      <c r="C1809" t="s">
        <v>1991</v>
      </c>
      <c r="D1809" t="s">
        <v>2014</v>
      </c>
      <c r="E1809" t="s">
        <v>47</v>
      </c>
      <c r="F1809" t="s">
        <v>57</v>
      </c>
      <c r="G1809" t="str">
        <f>INDEX(Risk_Matrix!$B$2:$D$4,MATCH(E1809,Risk_Matrix!$A$2:$A$4,0),MATCH(F1809,Risk_Matrix!$B$1:$D$1,0))</f>
        <v>Medium</v>
      </c>
      <c r="H1809" s="1">
        <v>46178</v>
      </c>
      <c r="I1809" t="s">
        <v>2015</v>
      </c>
      <c r="J1809" t="s">
        <v>2016</v>
      </c>
      <c r="K1809" t="s">
        <v>1993</v>
      </c>
      <c r="L1809">
        <f>IF(G1809="High",3,IF(G1809="Medium",2,1))</f>
        <v>2</v>
      </c>
    </row>
    <row r="1810" spans="1:12">
      <c r="A1810" t="s">
        <v>3836</v>
      </c>
      <c r="B1810" t="s">
        <v>1263</v>
      </c>
      <c r="C1810" t="s">
        <v>1995</v>
      </c>
      <c r="D1810" t="s">
        <v>2034</v>
      </c>
      <c r="E1810" t="s">
        <v>57</v>
      </c>
      <c r="F1810" t="s">
        <v>57</v>
      </c>
      <c r="G1810" t="str">
        <f>INDEX(Risk_Matrix!$B$2:$D$4,MATCH(E1810,Risk_Matrix!$A$2:$A$4,0),MATCH(F1810,Risk_Matrix!$B$1:$D$1,0))</f>
        <v>Low</v>
      </c>
      <c r="H1810" s="1">
        <v>46197</v>
      </c>
      <c r="I1810" t="s">
        <v>2015</v>
      </c>
      <c r="J1810" t="s">
        <v>2016</v>
      </c>
      <c r="K1810" t="s">
        <v>1998</v>
      </c>
      <c r="L1810">
        <f>IF(G1810="High",3,IF(G1810="Medium",2,1))</f>
        <v>1</v>
      </c>
    </row>
    <row r="1811" spans="1:12">
      <c r="A1811" t="s">
        <v>3837</v>
      </c>
      <c r="B1811" t="s">
        <v>1263</v>
      </c>
      <c r="C1811" t="s">
        <v>2000</v>
      </c>
      <c r="D1811" t="s">
        <v>2020</v>
      </c>
      <c r="E1811" t="s">
        <v>47</v>
      </c>
      <c r="F1811" t="s">
        <v>57</v>
      </c>
      <c r="G1811" t="str">
        <f>INDEX(Risk_Matrix!$B$2:$D$4,MATCH(E1811,Risk_Matrix!$A$2:$A$4,0),MATCH(F1811,Risk_Matrix!$B$1:$D$1,0))</f>
        <v>Medium</v>
      </c>
      <c r="H1811" s="1">
        <v>46200</v>
      </c>
      <c r="I1811" t="s">
        <v>2015</v>
      </c>
      <c r="J1811" t="s">
        <v>2016</v>
      </c>
      <c r="K1811" t="s">
        <v>1989</v>
      </c>
      <c r="L1811">
        <f>IF(G1811="High",3,IF(G1811="Medium",2,1))</f>
        <v>2</v>
      </c>
    </row>
    <row r="1812" spans="1:12">
      <c r="A1812" t="s">
        <v>3838</v>
      </c>
      <c r="B1812" t="s">
        <v>1263</v>
      </c>
      <c r="C1812" t="s">
        <v>2005</v>
      </c>
      <c r="D1812" t="s">
        <v>2006</v>
      </c>
      <c r="E1812" t="s">
        <v>57</v>
      </c>
      <c r="F1812" t="s">
        <v>57</v>
      </c>
      <c r="G1812" t="str">
        <f>INDEX(Risk_Matrix!$B$2:$D$4,MATCH(E1812,Risk_Matrix!$A$2:$A$4,0),MATCH(F1812,Risk_Matrix!$B$1:$D$1,0))</f>
        <v>Low</v>
      </c>
      <c r="H1812" s="1">
        <v>46158</v>
      </c>
      <c r="I1812" t="s">
        <v>2002</v>
      </c>
      <c r="J1812" t="s">
        <v>2003</v>
      </c>
      <c r="K1812" t="s">
        <v>1993</v>
      </c>
      <c r="L1812">
        <f>IF(G1812="High",3,IF(G1812="Medium",2,1))</f>
        <v>1</v>
      </c>
    </row>
    <row r="1813" spans="1:12">
      <c r="A1813" t="s">
        <v>3839</v>
      </c>
      <c r="B1813" t="s">
        <v>1263</v>
      </c>
      <c r="C1813" t="s">
        <v>2008</v>
      </c>
      <c r="D1813" t="s">
        <v>2024</v>
      </c>
      <c r="E1813" t="s">
        <v>57</v>
      </c>
      <c r="F1813" t="s">
        <v>57</v>
      </c>
      <c r="G1813" t="str">
        <f>INDEX(Risk_Matrix!$B$2:$D$4,MATCH(E1813,Risk_Matrix!$A$2:$A$4,0),MATCH(F1813,Risk_Matrix!$B$1:$D$1,0))</f>
        <v>Low</v>
      </c>
      <c r="H1813" s="1">
        <v>46073</v>
      </c>
      <c r="I1813" t="s">
        <v>2025</v>
      </c>
      <c r="J1813" t="s">
        <v>2035</v>
      </c>
      <c r="K1813" t="s">
        <v>2010</v>
      </c>
      <c r="L1813">
        <f>IF(G1813="High",3,IF(G1813="Medium",2,1))</f>
        <v>1</v>
      </c>
    </row>
    <row r="1814" spans="1:12">
      <c r="A1814" t="s">
        <v>3840</v>
      </c>
      <c r="B1814" t="s">
        <v>1265</v>
      </c>
      <c r="C1814" t="s">
        <v>1985</v>
      </c>
      <c r="D1814" t="s">
        <v>2028</v>
      </c>
      <c r="E1814" t="s">
        <v>57</v>
      </c>
      <c r="F1814" t="s">
        <v>1971</v>
      </c>
      <c r="G1814" t="str">
        <f>INDEX(Risk_Matrix!$B$2:$D$4,MATCH(E1814,Risk_Matrix!$A$2:$A$4,0),MATCH(F1814,Risk_Matrix!$B$1:$D$1,0))</f>
        <v>Low</v>
      </c>
      <c r="H1814" s="1">
        <v>46071</v>
      </c>
      <c r="I1814" t="s">
        <v>1987</v>
      </c>
      <c r="J1814" t="s">
        <v>1997</v>
      </c>
      <c r="K1814" t="s">
        <v>1989</v>
      </c>
      <c r="L1814">
        <f>IF(G1814="High",3,IF(G1814="Medium",2,1))</f>
        <v>1</v>
      </c>
    </row>
    <row r="1815" spans="1:12">
      <c r="A1815" t="s">
        <v>3841</v>
      </c>
      <c r="B1815" t="s">
        <v>1265</v>
      </c>
      <c r="C1815" t="s">
        <v>1991</v>
      </c>
      <c r="D1815" t="s">
        <v>1992</v>
      </c>
      <c r="E1815" t="s">
        <v>1971</v>
      </c>
      <c r="F1815" t="s">
        <v>57</v>
      </c>
      <c r="G1815" t="str">
        <f>INDEX(Risk_Matrix!$B$2:$D$4,MATCH(E1815,Risk_Matrix!$A$2:$A$4,0),MATCH(F1815,Risk_Matrix!$B$1:$D$1,0))</f>
        <v>Low</v>
      </c>
      <c r="H1815" s="1">
        <v>46153</v>
      </c>
      <c r="I1815" t="s">
        <v>1987</v>
      </c>
      <c r="J1815" t="s">
        <v>1997</v>
      </c>
      <c r="K1815" t="s">
        <v>1993</v>
      </c>
      <c r="L1815">
        <f>IF(G1815="High",3,IF(G1815="Medium",2,1))</f>
        <v>1</v>
      </c>
    </row>
    <row r="1816" spans="1:12">
      <c r="A1816" t="s">
        <v>3842</v>
      </c>
      <c r="B1816" t="s">
        <v>1265</v>
      </c>
      <c r="C1816" t="s">
        <v>1995</v>
      </c>
      <c r="D1816" t="s">
        <v>2034</v>
      </c>
      <c r="E1816" t="s">
        <v>57</v>
      </c>
      <c r="F1816" t="s">
        <v>1971</v>
      </c>
      <c r="G1816" t="str">
        <f>INDEX(Risk_Matrix!$B$2:$D$4,MATCH(E1816,Risk_Matrix!$A$2:$A$4,0),MATCH(F1816,Risk_Matrix!$B$1:$D$1,0))</f>
        <v>Low</v>
      </c>
      <c r="H1816" s="1">
        <v>46084</v>
      </c>
      <c r="I1816" t="s">
        <v>2002</v>
      </c>
      <c r="J1816" t="s">
        <v>2003</v>
      </c>
      <c r="K1816" t="s">
        <v>2036</v>
      </c>
      <c r="L1816">
        <f>IF(G1816="High",3,IF(G1816="Medium",2,1))</f>
        <v>1</v>
      </c>
    </row>
    <row r="1817" spans="1:12">
      <c r="A1817" t="s">
        <v>3843</v>
      </c>
      <c r="B1817" t="s">
        <v>1265</v>
      </c>
      <c r="C1817" t="s">
        <v>2000</v>
      </c>
      <c r="D1817" t="s">
        <v>2045</v>
      </c>
      <c r="E1817" t="s">
        <v>47</v>
      </c>
      <c r="F1817" t="s">
        <v>1971</v>
      </c>
      <c r="G1817" t="str">
        <f>INDEX(Risk_Matrix!$B$2:$D$4,MATCH(E1817,Risk_Matrix!$A$2:$A$4,0),MATCH(F1817,Risk_Matrix!$B$1:$D$1,0))</f>
        <v>High</v>
      </c>
      <c r="H1817" s="1">
        <v>46188</v>
      </c>
      <c r="I1817" t="s">
        <v>2015</v>
      </c>
      <c r="J1817" t="s">
        <v>2032</v>
      </c>
      <c r="K1817" t="s">
        <v>1993</v>
      </c>
      <c r="L1817">
        <f>IF(G1817="High",3,IF(G1817="Medium",2,1))</f>
        <v>3</v>
      </c>
    </row>
    <row r="1818" spans="1:12">
      <c r="A1818" t="s">
        <v>3844</v>
      </c>
      <c r="B1818" t="s">
        <v>1265</v>
      </c>
      <c r="C1818" t="s">
        <v>2005</v>
      </c>
      <c r="D1818" t="s">
        <v>2039</v>
      </c>
      <c r="E1818" t="s">
        <v>57</v>
      </c>
      <c r="F1818" t="s">
        <v>1971</v>
      </c>
      <c r="G1818" t="str">
        <f>INDEX(Risk_Matrix!$B$2:$D$4,MATCH(E1818,Risk_Matrix!$A$2:$A$4,0),MATCH(F1818,Risk_Matrix!$B$1:$D$1,0))</f>
        <v>Low</v>
      </c>
      <c r="H1818" s="1">
        <v>46106</v>
      </c>
      <c r="I1818" t="s">
        <v>2002</v>
      </c>
      <c r="J1818" t="s">
        <v>2029</v>
      </c>
      <c r="K1818" t="s">
        <v>1993</v>
      </c>
      <c r="L1818">
        <f>IF(G1818="High",3,IF(G1818="Medium",2,1))</f>
        <v>1</v>
      </c>
    </row>
    <row r="1819" spans="1:12">
      <c r="A1819" t="s">
        <v>3845</v>
      </c>
      <c r="B1819" t="s">
        <v>1265</v>
      </c>
      <c r="C1819" t="s">
        <v>2008</v>
      </c>
      <c r="D1819" t="s">
        <v>2009</v>
      </c>
      <c r="E1819" t="s">
        <v>57</v>
      </c>
      <c r="F1819" t="s">
        <v>1971</v>
      </c>
      <c r="G1819" t="str">
        <f>INDEX(Risk_Matrix!$B$2:$D$4,MATCH(E1819,Risk_Matrix!$A$2:$A$4,0),MATCH(F1819,Risk_Matrix!$B$1:$D$1,0))</f>
        <v>Low</v>
      </c>
      <c r="H1819" s="1">
        <v>46190</v>
      </c>
      <c r="I1819" t="s">
        <v>1987</v>
      </c>
      <c r="J1819" t="s">
        <v>1988</v>
      </c>
      <c r="K1819" t="s">
        <v>2010</v>
      </c>
      <c r="L1819">
        <f>IF(G1819="High",3,IF(G1819="Medium",2,1))</f>
        <v>1</v>
      </c>
    </row>
    <row r="1820" spans="1:12">
      <c r="A1820" t="s">
        <v>3846</v>
      </c>
      <c r="B1820" t="s">
        <v>1267</v>
      </c>
      <c r="C1820" t="s">
        <v>1985</v>
      </c>
      <c r="D1820" t="s">
        <v>2028</v>
      </c>
      <c r="E1820" t="s">
        <v>57</v>
      </c>
      <c r="F1820" t="s">
        <v>57</v>
      </c>
      <c r="G1820" t="str">
        <f>INDEX(Risk_Matrix!$B$2:$D$4,MATCH(E1820,Risk_Matrix!$A$2:$A$4,0),MATCH(F1820,Risk_Matrix!$B$1:$D$1,0))</f>
        <v>Low</v>
      </c>
      <c r="H1820" s="1">
        <v>46132</v>
      </c>
      <c r="I1820" t="s">
        <v>1987</v>
      </c>
      <c r="J1820" t="s">
        <v>1997</v>
      </c>
      <c r="K1820" t="s">
        <v>1998</v>
      </c>
      <c r="L1820">
        <f>IF(G1820="High",3,IF(G1820="Medium",2,1))</f>
        <v>1</v>
      </c>
    </row>
    <row r="1821" spans="1:12">
      <c r="A1821" t="s">
        <v>3847</v>
      </c>
      <c r="B1821" t="s">
        <v>1267</v>
      </c>
      <c r="C1821" t="s">
        <v>1991</v>
      </c>
      <c r="D1821" t="s">
        <v>2031</v>
      </c>
      <c r="E1821" t="s">
        <v>57</v>
      </c>
      <c r="F1821" t="s">
        <v>57</v>
      </c>
      <c r="G1821" t="str">
        <f>INDEX(Risk_Matrix!$B$2:$D$4,MATCH(E1821,Risk_Matrix!$A$2:$A$4,0),MATCH(F1821,Risk_Matrix!$B$1:$D$1,0))</f>
        <v>Low</v>
      </c>
      <c r="H1821" s="1">
        <v>46080</v>
      </c>
      <c r="I1821" t="s">
        <v>2025</v>
      </c>
      <c r="J1821" t="s">
        <v>2026</v>
      </c>
      <c r="K1821" t="s">
        <v>1993</v>
      </c>
      <c r="L1821">
        <f>IF(G1821="High",3,IF(G1821="Medium",2,1))</f>
        <v>1</v>
      </c>
    </row>
    <row r="1822" spans="1:12">
      <c r="A1822" t="s">
        <v>3848</v>
      </c>
      <c r="B1822" t="s">
        <v>1267</v>
      </c>
      <c r="C1822" t="s">
        <v>1995</v>
      </c>
      <c r="D1822" t="s">
        <v>2034</v>
      </c>
      <c r="E1822" t="s">
        <v>57</v>
      </c>
      <c r="F1822" t="s">
        <v>1971</v>
      </c>
      <c r="G1822" t="str">
        <f>INDEX(Risk_Matrix!$B$2:$D$4,MATCH(E1822,Risk_Matrix!$A$2:$A$4,0),MATCH(F1822,Risk_Matrix!$B$1:$D$1,0))</f>
        <v>Low</v>
      </c>
      <c r="H1822" s="1">
        <v>46234</v>
      </c>
      <c r="I1822" t="s">
        <v>2015</v>
      </c>
      <c r="J1822" t="s">
        <v>2016</v>
      </c>
      <c r="K1822" t="s">
        <v>2036</v>
      </c>
      <c r="L1822">
        <f>IF(G1822="High",3,IF(G1822="Medium",2,1))</f>
        <v>1</v>
      </c>
    </row>
    <row r="1823" spans="1:12">
      <c r="A1823" t="s">
        <v>3849</v>
      </c>
      <c r="B1823" t="s">
        <v>1267</v>
      </c>
      <c r="C1823" t="s">
        <v>2000</v>
      </c>
      <c r="D1823" t="s">
        <v>2045</v>
      </c>
      <c r="E1823" t="s">
        <v>47</v>
      </c>
      <c r="F1823" t="s">
        <v>1971</v>
      </c>
      <c r="G1823" t="str">
        <f>INDEX(Risk_Matrix!$B$2:$D$4,MATCH(E1823,Risk_Matrix!$A$2:$A$4,0),MATCH(F1823,Risk_Matrix!$B$1:$D$1,0))</f>
        <v>High</v>
      </c>
      <c r="H1823" s="1">
        <v>46222</v>
      </c>
      <c r="I1823" t="s">
        <v>2015</v>
      </c>
      <c r="J1823" t="s">
        <v>2016</v>
      </c>
      <c r="K1823" t="s">
        <v>1993</v>
      </c>
      <c r="L1823">
        <f>IF(G1823="High",3,IF(G1823="Medium",2,1))</f>
        <v>3</v>
      </c>
    </row>
    <row r="1824" spans="1:12">
      <c r="A1824" t="s">
        <v>3850</v>
      </c>
      <c r="B1824" t="s">
        <v>1267</v>
      </c>
      <c r="C1824" t="s">
        <v>2005</v>
      </c>
      <c r="D1824" t="s">
        <v>2022</v>
      </c>
      <c r="E1824" t="s">
        <v>57</v>
      </c>
      <c r="F1824" t="s">
        <v>57</v>
      </c>
      <c r="G1824" t="str">
        <f>INDEX(Risk_Matrix!$B$2:$D$4,MATCH(E1824,Risk_Matrix!$A$2:$A$4,0),MATCH(F1824,Risk_Matrix!$B$1:$D$1,0))</f>
        <v>Low</v>
      </c>
      <c r="H1824" s="1">
        <v>46129</v>
      </c>
      <c r="I1824" t="s">
        <v>1987</v>
      </c>
      <c r="J1824" t="s">
        <v>1997</v>
      </c>
      <c r="K1824" t="s">
        <v>1993</v>
      </c>
      <c r="L1824">
        <f>IF(G1824="High",3,IF(G1824="Medium",2,1))</f>
        <v>1</v>
      </c>
    </row>
    <row r="1825" spans="1:12">
      <c r="A1825" t="s">
        <v>3851</v>
      </c>
      <c r="B1825" t="s">
        <v>1267</v>
      </c>
      <c r="C1825" t="s">
        <v>2008</v>
      </c>
      <c r="D1825" t="s">
        <v>2024</v>
      </c>
      <c r="E1825" t="s">
        <v>57</v>
      </c>
      <c r="F1825" t="s">
        <v>1971</v>
      </c>
      <c r="G1825" t="str">
        <f>INDEX(Risk_Matrix!$B$2:$D$4,MATCH(E1825,Risk_Matrix!$A$2:$A$4,0),MATCH(F1825,Risk_Matrix!$B$1:$D$1,0))</f>
        <v>Low</v>
      </c>
      <c r="H1825" s="1">
        <v>46203</v>
      </c>
      <c r="I1825" t="s">
        <v>2015</v>
      </c>
      <c r="J1825" t="s">
        <v>2032</v>
      </c>
      <c r="K1825" t="s">
        <v>2010</v>
      </c>
      <c r="L1825">
        <f>IF(G1825="High",3,IF(G1825="Medium",2,1))</f>
        <v>1</v>
      </c>
    </row>
    <row r="1826" spans="1:12">
      <c r="A1826" t="s">
        <v>3852</v>
      </c>
      <c r="B1826" t="s">
        <v>1270</v>
      </c>
      <c r="C1826" t="s">
        <v>1985</v>
      </c>
      <c r="D1826" t="s">
        <v>1986</v>
      </c>
      <c r="E1826" t="s">
        <v>57</v>
      </c>
      <c r="F1826" t="s">
        <v>57</v>
      </c>
      <c r="G1826" t="str">
        <f>INDEX(Risk_Matrix!$B$2:$D$4,MATCH(E1826,Risk_Matrix!$A$2:$A$4,0),MATCH(F1826,Risk_Matrix!$B$1:$D$1,0))</f>
        <v>Low</v>
      </c>
      <c r="H1826" s="1">
        <v>46175</v>
      </c>
      <c r="I1826" t="s">
        <v>1987</v>
      </c>
      <c r="J1826" t="s">
        <v>1988</v>
      </c>
      <c r="K1826" t="s">
        <v>1998</v>
      </c>
      <c r="L1826">
        <f>IF(G1826="High",3,IF(G1826="Medium",2,1))</f>
        <v>1</v>
      </c>
    </row>
    <row r="1827" spans="1:12">
      <c r="A1827" t="s">
        <v>3853</v>
      </c>
      <c r="B1827" t="s">
        <v>1270</v>
      </c>
      <c r="C1827" t="s">
        <v>1991</v>
      </c>
      <c r="D1827" t="s">
        <v>2014</v>
      </c>
      <c r="E1827" t="s">
        <v>1971</v>
      </c>
      <c r="F1827" t="s">
        <v>57</v>
      </c>
      <c r="G1827" t="str">
        <f>INDEX(Risk_Matrix!$B$2:$D$4,MATCH(E1827,Risk_Matrix!$A$2:$A$4,0),MATCH(F1827,Risk_Matrix!$B$1:$D$1,0))</f>
        <v>Low</v>
      </c>
      <c r="H1827" s="1">
        <v>46102</v>
      </c>
      <c r="I1827" t="s">
        <v>2025</v>
      </c>
      <c r="J1827" t="s">
        <v>2026</v>
      </c>
      <c r="K1827" t="s">
        <v>2010</v>
      </c>
      <c r="L1827">
        <f>IF(G1827="High",3,IF(G1827="Medium",2,1))</f>
        <v>1</v>
      </c>
    </row>
    <row r="1828" spans="1:12">
      <c r="A1828" t="s">
        <v>3854</v>
      </c>
      <c r="B1828" t="s">
        <v>1270</v>
      </c>
      <c r="C1828" t="s">
        <v>1995</v>
      </c>
      <c r="D1828" t="s">
        <v>2150</v>
      </c>
      <c r="E1828" t="s">
        <v>57</v>
      </c>
      <c r="F1828" t="s">
        <v>57</v>
      </c>
      <c r="G1828" t="str">
        <f>INDEX(Risk_Matrix!$B$2:$D$4,MATCH(E1828,Risk_Matrix!$A$2:$A$4,0),MATCH(F1828,Risk_Matrix!$B$1:$D$1,0))</f>
        <v>Low</v>
      </c>
      <c r="H1828" s="1">
        <v>46219</v>
      </c>
      <c r="I1828" t="s">
        <v>2015</v>
      </c>
      <c r="J1828" t="s">
        <v>2032</v>
      </c>
      <c r="K1828" t="s">
        <v>1998</v>
      </c>
      <c r="L1828">
        <f>IF(G1828="High",3,IF(G1828="Medium",2,1))</f>
        <v>1</v>
      </c>
    </row>
    <row r="1829" spans="1:12">
      <c r="A1829" t="s">
        <v>3855</v>
      </c>
      <c r="B1829" t="s">
        <v>1270</v>
      </c>
      <c r="C1829" t="s">
        <v>2000</v>
      </c>
      <c r="D1829" t="s">
        <v>2020</v>
      </c>
      <c r="E1829" t="s">
        <v>47</v>
      </c>
      <c r="F1829" t="s">
        <v>57</v>
      </c>
      <c r="G1829" t="str">
        <f>INDEX(Risk_Matrix!$B$2:$D$4,MATCH(E1829,Risk_Matrix!$A$2:$A$4,0),MATCH(F1829,Risk_Matrix!$B$1:$D$1,0))</f>
        <v>Medium</v>
      </c>
      <c r="H1829" s="1">
        <v>46115</v>
      </c>
      <c r="I1829" t="s">
        <v>2025</v>
      </c>
      <c r="J1829" t="s">
        <v>2026</v>
      </c>
      <c r="K1829" t="s">
        <v>1989</v>
      </c>
      <c r="L1829">
        <f>IF(G1829="High",3,IF(G1829="Medium",2,1))</f>
        <v>2</v>
      </c>
    </row>
    <row r="1830" spans="1:12">
      <c r="A1830" t="s">
        <v>3856</v>
      </c>
      <c r="B1830" t="s">
        <v>1270</v>
      </c>
      <c r="C1830" t="s">
        <v>2005</v>
      </c>
      <c r="D1830" t="s">
        <v>2006</v>
      </c>
      <c r="E1830" t="s">
        <v>1971</v>
      </c>
      <c r="F1830" t="s">
        <v>57</v>
      </c>
      <c r="G1830" t="str">
        <f>INDEX(Risk_Matrix!$B$2:$D$4,MATCH(E1830,Risk_Matrix!$A$2:$A$4,0),MATCH(F1830,Risk_Matrix!$B$1:$D$1,0))</f>
        <v>Low</v>
      </c>
      <c r="H1830" s="1">
        <v>46222</v>
      </c>
      <c r="I1830" t="s">
        <v>2002</v>
      </c>
      <c r="J1830" t="s">
        <v>2003</v>
      </c>
      <c r="K1830" t="s">
        <v>1993</v>
      </c>
      <c r="L1830">
        <f>IF(G1830="High",3,IF(G1830="Medium",2,1))</f>
        <v>1</v>
      </c>
    </row>
    <row r="1831" spans="1:12">
      <c r="A1831" t="s">
        <v>3857</v>
      </c>
      <c r="B1831" t="s">
        <v>1270</v>
      </c>
      <c r="C1831" t="s">
        <v>2008</v>
      </c>
      <c r="D1831" t="s">
        <v>2009</v>
      </c>
      <c r="E1831" t="s">
        <v>1971</v>
      </c>
      <c r="F1831" t="s">
        <v>57</v>
      </c>
      <c r="G1831" t="str">
        <f>INDEX(Risk_Matrix!$B$2:$D$4,MATCH(E1831,Risk_Matrix!$A$2:$A$4,0),MATCH(F1831,Risk_Matrix!$B$1:$D$1,0))</f>
        <v>Low</v>
      </c>
      <c r="H1831" s="1">
        <v>46232</v>
      </c>
      <c r="I1831" t="s">
        <v>2025</v>
      </c>
      <c r="J1831" t="s">
        <v>2035</v>
      </c>
      <c r="K1831" t="s">
        <v>2010</v>
      </c>
      <c r="L1831">
        <f>IF(G1831="High",3,IF(G1831="Medium",2,1))</f>
        <v>1</v>
      </c>
    </row>
    <row r="1832" spans="1:12">
      <c r="A1832" t="s">
        <v>3858</v>
      </c>
      <c r="B1832" t="s">
        <v>1272</v>
      </c>
      <c r="C1832" t="s">
        <v>1985</v>
      </c>
      <c r="D1832" t="s">
        <v>2028</v>
      </c>
      <c r="E1832" t="s">
        <v>57</v>
      </c>
      <c r="F1832" t="s">
        <v>1971</v>
      </c>
      <c r="G1832" t="str">
        <f>INDEX(Risk_Matrix!$B$2:$D$4,MATCH(E1832,Risk_Matrix!$A$2:$A$4,0),MATCH(F1832,Risk_Matrix!$B$1:$D$1,0))</f>
        <v>Low</v>
      </c>
      <c r="H1832" s="1">
        <v>46223</v>
      </c>
      <c r="I1832" t="s">
        <v>1987</v>
      </c>
      <c r="J1832" t="s">
        <v>1997</v>
      </c>
      <c r="K1832" t="s">
        <v>1989</v>
      </c>
      <c r="L1832">
        <f>IF(G1832="High",3,IF(G1832="Medium",2,1))</f>
        <v>1</v>
      </c>
    </row>
    <row r="1833" spans="1:12">
      <c r="A1833" t="s">
        <v>3859</v>
      </c>
      <c r="B1833" t="s">
        <v>1272</v>
      </c>
      <c r="C1833" t="s">
        <v>1991</v>
      </c>
      <c r="D1833" t="s">
        <v>2064</v>
      </c>
      <c r="E1833" t="s">
        <v>47</v>
      </c>
      <c r="F1833" t="s">
        <v>1971</v>
      </c>
      <c r="G1833" t="str">
        <f>INDEX(Risk_Matrix!$B$2:$D$4,MATCH(E1833,Risk_Matrix!$A$2:$A$4,0),MATCH(F1833,Risk_Matrix!$B$1:$D$1,0))</f>
        <v>High</v>
      </c>
      <c r="H1833" s="1">
        <v>46193</v>
      </c>
      <c r="I1833" t="s">
        <v>2015</v>
      </c>
      <c r="J1833" t="s">
        <v>2016</v>
      </c>
      <c r="K1833" t="s">
        <v>2010</v>
      </c>
      <c r="L1833">
        <f>IF(G1833="High",3,IF(G1833="Medium",2,1))</f>
        <v>3</v>
      </c>
    </row>
    <row r="1834" spans="1:12">
      <c r="A1834" t="s">
        <v>3860</v>
      </c>
      <c r="B1834" t="s">
        <v>1272</v>
      </c>
      <c r="C1834" t="s">
        <v>1995</v>
      </c>
      <c r="D1834" t="s">
        <v>1996</v>
      </c>
      <c r="E1834" t="s">
        <v>57</v>
      </c>
      <c r="F1834" t="s">
        <v>47</v>
      </c>
      <c r="G1834" t="str">
        <f>INDEX(Risk_Matrix!$B$2:$D$4,MATCH(E1834,Risk_Matrix!$A$2:$A$4,0),MATCH(F1834,Risk_Matrix!$B$1:$D$1,0))</f>
        <v>Medium</v>
      </c>
      <c r="H1834" s="1">
        <v>46154</v>
      </c>
      <c r="I1834" t="s">
        <v>1987</v>
      </c>
      <c r="J1834" t="s">
        <v>1997</v>
      </c>
      <c r="K1834" t="s">
        <v>2036</v>
      </c>
      <c r="L1834">
        <f>IF(G1834="High",3,IF(G1834="Medium",2,1))</f>
        <v>2</v>
      </c>
    </row>
    <row r="1835" spans="1:12">
      <c r="A1835" t="s">
        <v>3861</v>
      </c>
      <c r="B1835" t="s">
        <v>1272</v>
      </c>
      <c r="C1835" t="s">
        <v>2000</v>
      </c>
      <c r="D1835" t="s">
        <v>2001</v>
      </c>
      <c r="E1835" t="s">
        <v>1971</v>
      </c>
      <c r="F1835" t="s">
        <v>1971</v>
      </c>
      <c r="G1835" t="str">
        <f>INDEX(Risk_Matrix!$B$2:$D$4,MATCH(E1835,Risk_Matrix!$A$2:$A$4,0),MATCH(F1835,Risk_Matrix!$B$1:$D$1,0))</f>
        <v>Medium</v>
      </c>
      <c r="H1835" s="1">
        <v>46187</v>
      </c>
      <c r="I1835" t="s">
        <v>2025</v>
      </c>
      <c r="J1835" t="s">
        <v>2035</v>
      </c>
      <c r="K1835" t="s">
        <v>1993</v>
      </c>
      <c r="L1835">
        <f>IF(G1835="High",3,IF(G1835="Medium",2,1))</f>
        <v>2</v>
      </c>
    </row>
    <row r="1836" spans="1:12">
      <c r="A1836" t="s">
        <v>3862</v>
      </c>
      <c r="B1836" t="s">
        <v>1272</v>
      </c>
      <c r="C1836" t="s">
        <v>2005</v>
      </c>
      <c r="D1836" t="s">
        <v>2022</v>
      </c>
      <c r="E1836" t="s">
        <v>57</v>
      </c>
      <c r="F1836" t="s">
        <v>57</v>
      </c>
      <c r="G1836" t="str">
        <f>INDEX(Risk_Matrix!$B$2:$D$4,MATCH(E1836,Risk_Matrix!$A$2:$A$4,0),MATCH(F1836,Risk_Matrix!$B$1:$D$1,0))</f>
        <v>Low</v>
      </c>
      <c r="H1836" s="1">
        <v>46113</v>
      </c>
      <c r="I1836" t="s">
        <v>2025</v>
      </c>
      <c r="J1836" t="s">
        <v>2035</v>
      </c>
      <c r="K1836" t="s">
        <v>1993</v>
      </c>
      <c r="L1836">
        <f>IF(G1836="High",3,IF(G1836="Medium",2,1))</f>
        <v>1</v>
      </c>
    </row>
    <row r="1837" spans="1:12">
      <c r="A1837" t="s">
        <v>3863</v>
      </c>
      <c r="B1837" t="s">
        <v>1272</v>
      </c>
      <c r="C1837" t="s">
        <v>2008</v>
      </c>
      <c r="D1837" t="s">
        <v>2054</v>
      </c>
      <c r="E1837" t="s">
        <v>47</v>
      </c>
      <c r="F1837" t="s">
        <v>57</v>
      </c>
      <c r="G1837" t="str">
        <f>INDEX(Risk_Matrix!$B$2:$D$4,MATCH(E1837,Risk_Matrix!$A$2:$A$4,0),MATCH(F1837,Risk_Matrix!$B$1:$D$1,0))</f>
        <v>Medium</v>
      </c>
      <c r="H1837" s="1">
        <v>46215</v>
      </c>
      <c r="I1837" t="s">
        <v>2025</v>
      </c>
      <c r="J1837" t="s">
        <v>2026</v>
      </c>
      <c r="K1837" t="s">
        <v>2010</v>
      </c>
      <c r="L1837">
        <f>IF(G1837="High",3,IF(G1837="Medium",2,1))</f>
        <v>2</v>
      </c>
    </row>
    <row r="1838" spans="1:12">
      <c r="A1838" t="s">
        <v>3864</v>
      </c>
      <c r="B1838" t="s">
        <v>1275</v>
      </c>
      <c r="C1838" t="s">
        <v>1985</v>
      </c>
      <c r="D1838" t="s">
        <v>2012</v>
      </c>
      <c r="E1838" t="s">
        <v>57</v>
      </c>
      <c r="F1838" t="s">
        <v>57</v>
      </c>
      <c r="G1838" t="str">
        <f>INDEX(Risk_Matrix!$B$2:$D$4,MATCH(E1838,Risk_Matrix!$A$2:$A$4,0),MATCH(F1838,Risk_Matrix!$B$1:$D$1,0))</f>
        <v>Low</v>
      </c>
      <c r="H1838" s="1">
        <v>46120</v>
      </c>
      <c r="I1838" t="s">
        <v>2002</v>
      </c>
      <c r="J1838" t="s">
        <v>2029</v>
      </c>
      <c r="K1838" t="s">
        <v>1989</v>
      </c>
      <c r="L1838">
        <f>IF(G1838="High",3,IF(G1838="Medium",2,1))</f>
        <v>1</v>
      </c>
    </row>
    <row r="1839" spans="1:12">
      <c r="A1839" t="s">
        <v>3865</v>
      </c>
      <c r="B1839" t="s">
        <v>1275</v>
      </c>
      <c r="C1839" t="s">
        <v>1991</v>
      </c>
      <c r="D1839" t="s">
        <v>1992</v>
      </c>
      <c r="E1839" t="s">
        <v>57</v>
      </c>
      <c r="F1839" t="s">
        <v>57</v>
      </c>
      <c r="G1839" t="str">
        <f>INDEX(Risk_Matrix!$B$2:$D$4,MATCH(E1839,Risk_Matrix!$A$2:$A$4,0),MATCH(F1839,Risk_Matrix!$B$1:$D$1,0))</f>
        <v>Low</v>
      </c>
      <c r="H1839" s="1">
        <v>46136</v>
      </c>
      <c r="I1839" t="s">
        <v>2025</v>
      </c>
      <c r="J1839" t="s">
        <v>2026</v>
      </c>
      <c r="K1839" t="s">
        <v>1993</v>
      </c>
      <c r="L1839">
        <f>IF(G1839="High",3,IF(G1839="Medium",2,1))</f>
        <v>1</v>
      </c>
    </row>
    <row r="1840" spans="1:12">
      <c r="A1840" t="s">
        <v>3866</v>
      </c>
      <c r="B1840" t="s">
        <v>1275</v>
      </c>
      <c r="C1840" t="s">
        <v>1995</v>
      </c>
      <c r="D1840" t="s">
        <v>2034</v>
      </c>
      <c r="E1840" t="s">
        <v>47</v>
      </c>
      <c r="F1840" t="s">
        <v>1971</v>
      </c>
      <c r="G1840" t="str">
        <f>INDEX(Risk_Matrix!$B$2:$D$4,MATCH(E1840,Risk_Matrix!$A$2:$A$4,0),MATCH(F1840,Risk_Matrix!$B$1:$D$1,0))</f>
        <v>High</v>
      </c>
      <c r="H1840" s="1">
        <v>46113</v>
      </c>
      <c r="I1840" t="s">
        <v>2025</v>
      </c>
      <c r="J1840" t="s">
        <v>2026</v>
      </c>
      <c r="K1840" t="s">
        <v>1998</v>
      </c>
      <c r="L1840">
        <f>IF(G1840="High",3,IF(G1840="Medium",2,1))</f>
        <v>3</v>
      </c>
    </row>
    <row r="1841" spans="1:12">
      <c r="A1841" t="s">
        <v>3867</v>
      </c>
      <c r="B1841" t="s">
        <v>1275</v>
      </c>
      <c r="C1841" t="s">
        <v>2000</v>
      </c>
      <c r="D1841" t="s">
        <v>2020</v>
      </c>
      <c r="E1841" t="s">
        <v>1971</v>
      </c>
      <c r="F1841" t="s">
        <v>1971</v>
      </c>
      <c r="G1841" t="str">
        <f>INDEX(Risk_Matrix!$B$2:$D$4,MATCH(E1841,Risk_Matrix!$A$2:$A$4,0),MATCH(F1841,Risk_Matrix!$B$1:$D$1,0))</f>
        <v>Medium</v>
      </c>
      <c r="H1841" s="1">
        <v>46190</v>
      </c>
      <c r="I1841" t="s">
        <v>1987</v>
      </c>
      <c r="J1841" t="s">
        <v>1997</v>
      </c>
      <c r="K1841" t="s">
        <v>1993</v>
      </c>
      <c r="L1841">
        <f>IF(G1841="High",3,IF(G1841="Medium",2,1))</f>
        <v>2</v>
      </c>
    </row>
    <row r="1842" spans="1:12">
      <c r="A1842" t="s">
        <v>3868</v>
      </c>
      <c r="B1842" t="s">
        <v>1275</v>
      </c>
      <c r="C1842" t="s">
        <v>2005</v>
      </c>
      <c r="D1842" t="s">
        <v>2039</v>
      </c>
      <c r="E1842" t="s">
        <v>1971</v>
      </c>
      <c r="F1842" t="s">
        <v>47</v>
      </c>
      <c r="G1842" t="str">
        <f>INDEX(Risk_Matrix!$B$2:$D$4,MATCH(E1842,Risk_Matrix!$A$2:$A$4,0),MATCH(F1842,Risk_Matrix!$B$1:$D$1,0))</f>
        <v>High</v>
      </c>
      <c r="H1842" s="1">
        <v>46179</v>
      </c>
      <c r="I1842" t="s">
        <v>2015</v>
      </c>
      <c r="J1842" t="s">
        <v>2016</v>
      </c>
      <c r="K1842" t="s">
        <v>1993</v>
      </c>
      <c r="L1842">
        <f>IF(G1842="High",3,IF(G1842="Medium",2,1))</f>
        <v>3</v>
      </c>
    </row>
    <row r="1843" spans="1:12">
      <c r="A1843" t="s">
        <v>3869</v>
      </c>
      <c r="B1843" t="s">
        <v>1275</v>
      </c>
      <c r="C1843" t="s">
        <v>2008</v>
      </c>
      <c r="D1843" t="s">
        <v>2024</v>
      </c>
      <c r="E1843" t="s">
        <v>1971</v>
      </c>
      <c r="F1843" t="s">
        <v>57</v>
      </c>
      <c r="G1843" t="str">
        <f>INDEX(Risk_Matrix!$B$2:$D$4,MATCH(E1843,Risk_Matrix!$A$2:$A$4,0),MATCH(F1843,Risk_Matrix!$B$1:$D$1,0))</f>
        <v>Low</v>
      </c>
      <c r="H1843" s="1">
        <v>46214</v>
      </c>
      <c r="I1843" t="s">
        <v>2025</v>
      </c>
      <c r="J1843" t="s">
        <v>2026</v>
      </c>
      <c r="K1843" t="s">
        <v>2010</v>
      </c>
      <c r="L1843">
        <f>IF(G1843="High",3,IF(G1843="Medium",2,1))</f>
        <v>1</v>
      </c>
    </row>
    <row r="1844" spans="1:12">
      <c r="A1844" t="s">
        <v>3870</v>
      </c>
      <c r="B1844" t="s">
        <v>1278</v>
      </c>
      <c r="C1844" t="s">
        <v>1985</v>
      </c>
      <c r="D1844" t="s">
        <v>2012</v>
      </c>
      <c r="E1844" t="s">
        <v>57</v>
      </c>
      <c r="F1844" t="s">
        <v>57</v>
      </c>
      <c r="G1844" t="str">
        <f>INDEX(Risk_Matrix!$B$2:$D$4,MATCH(E1844,Risk_Matrix!$A$2:$A$4,0),MATCH(F1844,Risk_Matrix!$B$1:$D$1,0))</f>
        <v>Low</v>
      </c>
      <c r="H1844" s="1">
        <v>46055</v>
      </c>
      <c r="I1844" t="s">
        <v>2025</v>
      </c>
      <c r="J1844" t="s">
        <v>2035</v>
      </c>
      <c r="K1844" t="s">
        <v>1998</v>
      </c>
      <c r="L1844">
        <f>IF(G1844="High",3,IF(G1844="Medium",2,1))</f>
        <v>1</v>
      </c>
    </row>
    <row r="1845" spans="1:12">
      <c r="A1845" t="s">
        <v>3871</v>
      </c>
      <c r="B1845" t="s">
        <v>1278</v>
      </c>
      <c r="C1845" t="s">
        <v>1991</v>
      </c>
      <c r="D1845" t="s">
        <v>1992</v>
      </c>
      <c r="E1845" t="s">
        <v>1971</v>
      </c>
      <c r="F1845" t="s">
        <v>1971</v>
      </c>
      <c r="G1845" t="str">
        <f>INDEX(Risk_Matrix!$B$2:$D$4,MATCH(E1845,Risk_Matrix!$A$2:$A$4,0),MATCH(F1845,Risk_Matrix!$B$1:$D$1,0))</f>
        <v>Medium</v>
      </c>
      <c r="H1845" s="1">
        <v>46173</v>
      </c>
      <c r="I1845" t="s">
        <v>2015</v>
      </c>
      <c r="J1845" t="s">
        <v>2016</v>
      </c>
      <c r="K1845" t="s">
        <v>2010</v>
      </c>
      <c r="L1845">
        <f>IF(G1845="High",3,IF(G1845="Medium",2,1))</f>
        <v>2</v>
      </c>
    </row>
    <row r="1846" spans="1:12">
      <c r="A1846" t="s">
        <v>3872</v>
      </c>
      <c r="B1846" t="s">
        <v>1278</v>
      </c>
      <c r="C1846" t="s">
        <v>1995</v>
      </c>
      <c r="D1846" t="s">
        <v>2034</v>
      </c>
      <c r="E1846" t="s">
        <v>47</v>
      </c>
      <c r="F1846" t="s">
        <v>57</v>
      </c>
      <c r="G1846" t="str">
        <f>INDEX(Risk_Matrix!$B$2:$D$4,MATCH(E1846,Risk_Matrix!$A$2:$A$4,0),MATCH(F1846,Risk_Matrix!$B$1:$D$1,0))</f>
        <v>Medium</v>
      </c>
      <c r="H1846" s="1">
        <v>46091</v>
      </c>
      <c r="I1846" t="s">
        <v>2025</v>
      </c>
      <c r="J1846" t="s">
        <v>2035</v>
      </c>
      <c r="K1846" t="s">
        <v>1998</v>
      </c>
      <c r="L1846">
        <f>IF(G1846="High",3,IF(G1846="Medium",2,1))</f>
        <v>2</v>
      </c>
    </row>
    <row r="1847" spans="1:12">
      <c r="A1847" t="s">
        <v>3873</v>
      </c>
      <c r="B1847" t="s">
        <v>1278</v>
      </c>
      <c r="C1847" t="s">
        <v>2000</v>
      </c>
      <c r="D1847" t="s">
        <v>2001</v>
      </c>
      <c r="E1847" t="s">
        <v>57</v>
      </c>
      <c r="F1847" t="s">
        <v>57</v>
      </c>
      <c r="G1847" t="str">
        <f>INDEX(Risk_Matrix!$B$2:$D$4,MATCH(E1847,Risk_Matrix!$A$2:$A$4,0),MATCH(F1847,Risk_Matrix!$B$1:$D$1,0))</f>
        <v>Low</v>
      </c>
      <c r="H1847" s="1">
        <v>46166</v>
      </c>
      <c r="I1847" t="s">
        <v>2025</v>
      </c>
      <c r="J1847" t="s">
        <v>2035</v>
      </c>
      <c r="K1847" t="s">
        <v>1989</v>
      </c>
      <c r="L1847">
        <f>IF(G1847="High",3,IF(G1847="Medium",2,1))</f>
        <v>1</v>
      </c>
    </row>
    <row r="1848" spans="1:12">
      <c r="A1848" t="s">
        <v>3874</v>
      </c>
      <c r="B1848" t="s">
        <v>1278</v>
      </c>
      <c r="C1848" t="s">
        <v>2005</v>
      </c>
      <c r="D1848" t="s">
        <v>2039</v>
      </c>
      <c r="E1848" t="s">
        <v>1971</v>
      </c>
      <c r="F1848" t="s">
        <v>1971</v>
      </c>
      <c r="G1848" t="str">
        <f>INDEX(Risk_Matrix!$B$2:$D$4,MATCH(E1848,Risk_Matrix!$A$2:$A$4,0),MATCH(F1848,Risk_Matrix!$B$1:$D$1,0))</f>
        <v>Medium</v>
      </c>
      <c r="H1848" s="1">
        <v>46153</v>
      </c>
      <c r="I1848" t="s">
        <v>2015</v>
      </c>
      <c r="J1848" t="s">
        <v>2032</v>
      </c>
      <c r="K1848" t="s">
        <v>1993</v>
      </c>
      <c r="L1848">
        <f>IF(G1848="High",3,IF(G1848="Medium",2,1))</f>
        <v>2</v>
      </c>
    </row>
    <row r="1849" spans="1:12">
      <c r="A1849" t="s">
        <v>3875</v>
      </c>
      <c r="B1849" t="s">
        <v>1278</v>
      </c>
      <c r="C1849" t="s">
        <v>2008</v>
      </c>
      <c r="D1849" t="s">
        <v>2009</v>
      </c>
      <c r="E1849" t="s">
        <v>1971</v>
      </c>
      <c r="F1849" t="s">
        <v>47</v>
      </c>
      <c r="G1849" t="str">
        <f>INDEX(Risk_Matrix!$B$2:$D$4,MATCH(E1849,Risk_Matrix!$A$2:$A$4,0),MATCH(F1849,Risk_Matrix!$B$1:$D$1,0))</f>
        <v>High</v>
      </c>
      <c r="H1849" s="1">
        <v>46163</v>
      </c>
      <c r="I1849" t="s">
        <v>2015</v>
      </c>
      <c r="J1849" t="s">
        <v>2016</v>
      </c>
      <c r="K1849" t="s">
        <v>2010</v>
      </c>
      <c r="L1849">
        <f>IF(G1849="High",3,IF(G1849="Medium",2,1))</f>
        <v>3</v>
      </c>
    </row>
    <row r="1850" spans="1:12">
      <c r="A1850" t="s">
        <v>3876</v>
      </c>
      <c r="B1850" t="s">
        <v>1280</v>
      </c>
      <c r="C1850" t="s">
        <v>1985</v>
      </c>
      <c r="D1850" t="s">
        <v>1986</v>
      </c>
      <c r="E1850" t="s">
        <v>57</v>
      </c>
      <c r="F1850" t="s">
        <v>1971</v>
      </c>
      <c r="G1850" t="str">
        <f>INDEX(Risk_Matrix!$B$2:$D$4,MATCH(E1850,Risk_Matrix!$A$2:$A$4,0),MATCH(F1850,Risk_Matrix!$B$1:$D$1,0))</f>
        <v>Low</v>
      </c>
      <c r="H1850" s="1">
        <v>46223</v>
      </c>
      <c r="I1850" t="s">
        <v>2002</v>
      </c>
      <c r="J1850" t="s">
        <v>2003</v>
      </c>
      <c r="K1850" t="s">
        <v>1998</v>
      </c>
      <c r="L1850">
        <f>IF(G1850="High",3,IF(G1850="Medium",2,1))</f>
        <v>1</v>
      </c>
    </row>
    <row r="1851" spans="1:12">
      <c r="A1851" t="s">
        <v>3877</v>
      </c>
      <c r="B1851" t="s">
        <v>1280</v>
      </c>
      <c r="C1851" t="s">
        <v>1991</v>
      </c>
      <c r="D1851" t="s">
        <v>2031</v>
      </c>
      <c r="E1851" t="s">
        <v>47</v>
      </c>
      <c r="F1851" t="s">
        <v>57</v>
      </c>
      <c r="G1851" t="str">
        <f>INDEX(Risk_Matrix!$B$2:$D$4,MATCH(E1851,Risk_Matrix!$A$2:$A$4,0),MATCH(F1851,Risk_Matrix!$B$1:$D$1,0))</f>
        <v>Medium</v>
      </c>
      <c r="H1851" s="1">
        <v>46198</v>
      </c>
      <c r="I1851" t="s">
        <v>2015</v>
      </c>
      <c r="J1851" t="s">
        <v>2016</v>
      </c>
      <c r="K1851" t="s">
        <v>2010</v>
      </c>
      <c r="L1851">
        <f>IF(G1851="High",3,IF(G1851="Medium",2,1))</f>
        <v>2</v>
      </c>
    </row>
    <row r="1852" spans="1:12">
      <c r="A1852" t="s">
        <v>3878</v>
      </c>
      <c r="B1852" t="s">
        <v>1280</v>
      </c>
      <c r="C1852" t="s">
        <v>1995</v>
      </c>
      <c r="D1852" t="s">
        <v>2034</v>
      </c>
      <c r="E1852" t="s">
        <v>47</v>
      </c>
      <c r="F1852" t="s">
        <v>57</v>
      </c>
      <c r="G1852" t="str">
        <f>INDEX(Risk_Matrix!$B$2:$D$4,MATCH(E1852,Risk_Matrix!$A$2:$A$4,0),MATCH(F1852,Risk_Matrix!$B$1:$D$1,0))</f>
        <v>Medium</v>
      </c>
      <c r="H1852" s="1">
        <v>46218</v>
      </c>
      <c r="I1852" t="s">
        <v>2015</v>
      </c>
      <c r="J1852" t="s">
        <v>2016</v>
      </c>
      <c r="K1852" t="s">
        <v>1998</v>
      </c>
      <c r="L1852">
        <f>IF(G1852="High",3,IF(G1852="Medium",2,1))</f>
        <v>2</v>
      </c>
    </row>
    <row r="1853" spans="1:12">
      <c r="A1853" t="s">
        <v>3879</v>
      </c>
      <c r="B1853" t="s">
        <v>1280</v>
      </c>
      <c r="C1853" t="s">
        <v>2000</v>
      </c>
      <c r="D1853" t="s">
        <v>2045</v>
      </c>
      <c r="E1853" t="s">
        <v>1971</v>
      </c>
      <c r="F1853" t="s">
        <v>1971</v>
      </c>
      <c r="G1853" t="str">
        <f>INDEX(Risk_Matrix!$B$2:$D$4,MATCH(E1853,Risk_Matrix!$A$2:$A$4,0),MATCH(F1853,Risk_Matrix!$B$1:$D$1,0))</f>
        <v>Medium</v>
      </c>
      <c r="H1853" s="1">
        <v>46060</v>
      </c>
      <c r="I1853" t="s">
        <v>2025</v>
      </c>
      <c r="J1853" t="s">
        <v>2026</v>
      </c>
      <c r="K1853" t="s">
        <v>1989</v>
      </c>
      <c r="L1853">
        <f>IF(G1853="High",3,IF(G1853="Medium",2,1))</f>
        <v>2</v>
      </c>
    </row>
    <row r="1854" spans="1:12">
      <c r="A1854" t="s">
        <v>3880</v>
      </c>
      <c r="B1854" t="s">
        <v>1280</v>
      </c>
      <c r="C1854" t="s">
        <v>2005</v>
      </c>
      <c r="D1854" t="s">
        <v>2006</v>
      </c>
      <c r="E1854" t="s">
        <v>57</v>
      </c>
      <c r="F1854" t="s">
        <v>57</v>
      </c>
      <c r="G1854" t="str">
        <f>INDEX(Risk_Matrix!$B$2:$D$4,MATCH(E1854,Risk_Matrix!$A$2:$A$4,0),MATCH(F1854,Risk_Matrix!$B$1:$D$1,0))</f>
        <v>Low</v>
      </c>
      <c r="H1854" s="1">
        <v>46086</v>
      </c>
      <c r="I1854" t="s">
        <v>2002</v>
      </c>
      <c r="J1854" t="s">
        <v>2029</v>
      </c>
      <c r="K1854" t="s">
        <v>1993</v>
      </c>
      <c r="L1854">
        <f>IF(G1854="High",3,IF(G1854="Medium",2,1))</f>
        <v>1</v>
      </c>
    </row>
    <row r="1855" spans="1:12">
      <c r="A1855" t="s">
        <v>3881</v>
      </c>
      <c r="B1855" t="s">
        <v>1280</v>
      </c>
      <c r="C1855" t="s">
        <v>2008</v>
      </c>
      <c r="D1855" t="s">
        <v>2009</v>
      </c>
      <c r="E1855" t="s">
        <v>47</v>
      </c>
      <c r="F1855" t="s">
        <v>1971</v>
      </c>
      <c r="G1855" t="str">
        <f>INDEX(Risk_Matrix!$B$2:$D$4,MATCH(E1855,Risk_Matrix!$A$2:$A$4,0),MATCH(F1855,Risk_Matrix!$B$1:$D$1,0))</f>
        <v>High</v>
      </c>
      <c r="H1855" s="1">
        <v>46149</v>
      </c>
      <c r="I1855" t="s">
        <v>2025</v>
      </c>
      <c r="J1855" t="s">
        <v>2026</v>
      </c>
      <c r="K1855" t="s">
        <v>2010</v>
      </c>
      <c r="L1855">
        <f>IF(G1855="High",3,IF(G1855="Medium",2,1))</f>
        <v>3</v>
      </c>
    </row>
    <row r="1856" spans="1:12">
      <c r="A1856" t="s">
        <v>3882</v>
      </c>
      <c r="B1856" t="s">
        <v>1282</v>
      </c>
      <c r="C1856" t="s">
        <v>1985</v>
      </c>
      <c r="D1856" t="s">
        <v>2028</v>
      </c>
      <c r="E1856" t="s">
        <v>1971</v>
      </c>
      <c r="F1856" t="s">
        <v>57</v>
      </c>
      <c r="G1856" t="str">
        <f>INDEX(Risk_Matrix!$B$2:$D$4,MATCH(E1856,Risk_Matrix!$A$2:$A$4,0),MATCH(F1856,Risk_Matrix!$B$1:$D$1,0))</f>
        <v>Low</v>
      </c>
      <c r="H1856" s="1">
        <v>46214</v>
      </c>
      <c r="I1856" t="s">
        <v>1987</v>
      </c>
      <c r="J1856" t="s">
        <v>1988</v>
      </c>
      <c r="K1856" t="s">
        <v>1998</v>
      </c>
      <c r="L1856">
        <f>IF(G1856="High",3,IF(G1856="Medium",2,1))</f>
        <v>1</v>
      </c>
    </row>
    <row r="1857" spans="1:12">
      <c r="A1857" t="s">
        <v>3883</v>
      </c>
      <c r="B1857" t="s">
        <v>1282</v>
      </c>
      <c r="C1857" t="s">
        <v>1991</v>
      </c>
      <c r="D1857" t="s">
        <v>2014</v>
      </c>
      <c r="E1857" t="s">
        <v>47</v>
      </c>
      <c r="F1857" t="s">
        <v>1971</v>
      </c>
      <c r="G1857" t="str">
        <f>INDEX(Risk_Matrix!$B$2:$D$4,MATCH(E1857,Risk_Matrix!$A$2:$A$4,0),MATCH(F1857,Risk_Matrix!$B$1:$D$1,0))</f>
        <v>High</v>
      </c>
      <c r="H1857" s="1">
        <v>46216</v>
      </c>
      <c r="I1857" t="s">
        <v>2015</v>
      </c>
      <c r="J1857" t="s">
        <v>2016</v>
      </c>
      <c r="K1857" t="s">
        <v>1993</v>
      </c>
      <c r="L1857">
        <f>IF(G1857="High",3,IF(G1857="Medium",2,1))</f>
        <v>3</v>
      </c>
    </row>
    <row r="1858" spans="1:12">
      <c r="A1858" t="s">
        <v>3884</v>
      </c>
      <c r="B1858" t="s">
        <v>1282</v>
      </c>
      <c r="C1858" t="s">
        <v>1995</v>
      </c>
      <c r="D1858" t="s">
        <v>2034</v>
      </c>
      <c r="E1858" t="s">
        <v>57</v>
      </c>
      <c r="F1858" t="s">
        <v>57</v>
      </c>
      <c r="G1858" t="str">
        <f>INDEX(Risk_Matrix!$B$2:$D$4,MATCH(E1858,Risk_Matrix!$A$2:$A$4,0),MATCH(F1858,Risk_Matrix!$B$1:$D$1,0))</f>
        <v>Low</v>
      </c>
      <c r="H1858" s="1">
        <v>46171</v>
      </c>
      <c r="I1858" t="s">
        <v>1987</v>
      </c>
      <c r="J1858" t="s">
        <v>1997</v>
      </c>
      <c r="K1858" t="s">
        <v>2036</v>
      </c>
      <c r="L1858">
        <f>IF(G1858="High",3,IF(G1858="Medium",2,1))</f>
        <v>1</v>
      </c>
    </row>
    <row r="1859" spans="1:12">
      <c r="A1859" t="s">
        <v>3885</v>
      </c>
      <c r="B1859" t="s">
        <v>1282</v>
      </c>
      <c r="C1859" t="s">
        <v>2000</v>
      </c>
      <c r="D1859" t="s">
        <v>2020</v>
      </c>
      <c r="E1859" t="s">
        <v>1971</v>
      </c>
      <c r="F1859" t="s">
        <v>47</v>
      </c>
      <c r="G1859" t="str">
        <f>INDEX(Risk_Matrix!$B$2:$D$4,MATCH(E1859,Risk_Matrix!$A$2:$A$4,0),MATCH(F1859,Risk_Matrix!$B$1:$D$1,0))</f>
        <v>High</v>
      </c>
      <c r="H1859" s="1">
        <v>46151</v>
      </c>
      <c r="I1859" t="s">
        <v>2015</v>
      </c>
      <c r="J1859" t="s">
        <v>2016</v>
      </c>
      <c r="K1859" t="s">
        <v>1993</v>
      </c>
      <c r="L1859">
        <f>IF(G1859="High",3,IF(G1859="Medium",2,1))</f>
        <v>3</v>
      </c>
    </row>
    <row r="1860" spans="1:12">
      <c r="A1860" t="s">
        <v>3886</v>
      </c>
      <c r="B1860" t="s">
        <v>1282</v>
      </c>
      <c r="C1860" t="s">
        <v>2005</v>
      </c>
      <c r="D1860" t="s">
        <v>2022</v>
      </c>
      <c r="E1860" t="s">
        <v>57</v>
      </c>
      <c r="F1860" t="s">
        <v>57</v>
      </c>
      <c r="G1860" t="str">
        <f>INDEX(Risk_Matrix!$B$2:$D$4,MATCH(E1860,Risk_Matrix!$A$2:$A$4,0),MATCH(F1860,Risk_Matrix!$B$1:$D$1,0))</f>
        <v>Low</v>
      </c>
      <c r="H1860" s="1">
        <v>46062</v>
      </c>
      <c r="I1860" t="s">
        <v>2002</v>
      </c>
      <c r="J1860" t="s">
        <v>2003</v>
      </c>
      <c r="K1860" t="s">
        <v>1993</v>
      </c>
      <c r="L1860">
        <f>IF(G1860="High",3,IF(G1860="Medium",2,1))</f>
        <v>1</v>
      </c>
    </row>
    <row r="1861" spans="1:12">
      <c r="A1861" t="s">
        <v>3887</v>
      </c>
      <c r="B1861" t="s">
        <v>1282</v>
      </c>
      <c r="C1861" t="s">
        <v>2008</v>
      </c>
      <c r="D1861" t="s">
        <v>2024</v>
      </c>
      <c r="E1861" t="s">
        <v>47</v>
      </c>
      <c r="F1861" t="s">
        <v>47</v>
      </c>
      <c r="G1861" t="str">
        <f>INDEX(Risk_Matrix!$B$2:$D$4,MATCH(E1861,Risk_Matrix!$A$2:$A$4,0),MATCH(F1861,Risk_Matrix!$B$1:$D$1,0))</f>
        <v>High</v>
      </c>
      <c r="H1861" s="1">
        <v>46184</v>
      </c>
      <c r="I1861" t="s">
        <v>1987</v>
      </c>
      <c r="J1861" t="s">
        <v>1997</v>
      </c>
      <c r="K1861" t="s">
        <v>2010</v>
      </c>
      <c r="L1861">
        <f>IF(G1861="High",3,IF(G1861="Medium",2,1))</f>
        <v>3</v>
      </c>
    </row>
    <row r="1862" spans="1:12">
      <c r="A1862" t="s">
        <v>3888</v>
      </c>
      <c r="B1862" t="s">
        <v>1284</v>
      </c>
      <c r="C1862" t="s">
        <v>1985</v>
      </c>
      <c r="D1862" t="s">
        <v>2012</v>
      </c>
      <c r="E1862" t="s">
        <v>57</v>
      </c>
      <c r="F1862" t="s">
        <v>57</v>
      </c>
      <c r="G1862" t="str">
        <f>INDEX(Risk_Matrix!$B$2:$D$4,MATCH(E1862,Risk_Matrix!$A$2:$A$4,0),MATCH(F1862,Risk_Matrix!$B$1:$D$1,0))</f>
        <v>Low</v>
      </c>
      <c r="H1862" s="1">
        <v>46190</v>
      </c>
      <c r="I1862" t="s">
        <v>2015</v>
      </c>
      <c r="J1862" t="s">
        <v>2032</v>
      </c>
      <c r="K1862" t="s">
        <v>1998</v>
      </c>
      <c r="L1862">
        <f>IF(G1862="High",3,IF(G1862="Medium",2,1))</f>
        <v>1</v>
      </c>
    </row>
    <row r="1863" spans="1:12">
      <c r="A1863" t="s">
        <v>3889</v>
      </c>
      <c r="B1863" t="s">
        <v>1284</v>
      </c>
      <c r="C1863" t="s">
        <v>1991</v>
      </c>
      <c r="D1863" t="s">
        <v>2031</v>
      </c>
      <c r="E1863" t="s">
        <v>57</v>
      </c>
      <c r="F1863" t="s">
        <v>57</v>
      </c>
      <c r="G1863" t="str">
        <f>INDEX(Risk_Matrix!$B$2:$D$4,MATCH(E1863,Risk_Matrix!$A$2:$A$4,0),MATCH(F1863,Risk_Matrix!$B$1:$D$1,0))</f>
        <v>Low</v>
      </c>
      <c r="H1863" s="1">
        <v>46157</v>
      </c>
      <c r="I1863" t="s">
        <v>1987</v>
      </c>
      <c r="J1863" t="s">
        <v>1988</v>
      </c>
      <c r="K1863" t="s">
        <v>1993</v>
      </c>
      <c r="L1863">
        <f>IF(G1863="High",3,IF(G1863="Medium",2,1))</f>
        <v>1</v>
      </c>
    </row>
    <row r="1864" spans="1:12">
      <c r="A1864" t="s">
        <v>3890</v>
      </c>
      <c r="B1864" t="s">
        <v>1284</v>
      </c>
      <c r="C1864" t="s">
        <v>1995</v>
      </c>
      <c r="D1864" t="s">
        <v>1996</v>
      </c>
      <c r="E1864" t="s">
        <v>57</v>
      </c>
      <c r="F1864" t="s">
        <v>57</v>
      </c>
      <c r="G1864" t="str">
        <f>INDEX(Risk_Matrix!$B$2:$D$4,MATCH(E1864,Risk_Matrix!$A$2:$A$4,0),MATCH(F1864,Risk_Matrix!$B$1:$D$1,0))</f>
        <v>Low</v>
      </c>
      <c r="H1864" s="1">
        <v>46200</v>
      </c>
      <c r="I1864" t="s">
        <v>1987</v>
      </c>
      <c r="J1864" t="s">
        <v>1997</v>
      </c>
      <c r="K1864" t="s">
        <v>2036</v>
      </c>
      <c r="L1864">
        <f>IF(G1864="High",3,IF(G1864="Medium",2,1))</f>
        <v>1</v>
      </c>
    </row>
    <row r="1865" spans="1:12">
      <c r="A1865" t="s">
        <v>3891</v>
      </c>
      <c r="B1865" t="s">
        <v>1284</v>
      </c>
      <c r="C1865" t="s">
        <v>2000</v>
      </c>
      <c r="D1865" t="s">
        <v>2020</v>
      </c>
      <c r="E1865" t="s">
        <v>57</v>
      </c>
      <c r="F1865" t="s">
        <v>57</v>
      </c>
      <c r="G1865" t="str">
        <f>INDEX(Risk_Matrix!$B$2:$D$4,MATCH(E1865,Risk_Matrix!$A$2:$A$4,0),MATCH(F1865,Risk_Matrix!$B$1:$D$1,0))</f>
        <v>Low</v>
      </c>
      <c r="H1865" s="1">
        <v>46230</v>
      </c>
      <c r="I1865" t="s">
        <v>2015</v>
      </c>
      <c r="J1865" t="s">
        <v>2032</v>
      </c>
      <c r="K1865" t="s">
        <v>1989</v>
      </c>
      <c r="L1865">
        <f>IF(G1865="High",3,IF(G1865="Medium",2,1))</f>
        <v>1</v>
      </c>
    </row>
    <row r="1866" spans="1:12">
      <c r="A1866" t="s">
        <v>3892</v>
      </c>
      <c r="B1866" t="s">
        <v>1284</v>
      </c>
      <c r="C1866" t="s">
        <v>2005</v>
      </c>
      <c r="D1866" t="s">
        <v>2039</v>
      </c>
      <c r="E1866" t="s">
        <v>47</v>
      </c>
      <c r="F1866" t="s">
        <v>1971</v>
      </c>
      <c r="G1866" t="str">
        <f>INDEX(Risk_Matrix!$B$2:$D$4,MATCH(E1866,Risk_Matrix!$A$2:$A$4,0),MATCH(F1866,Risk_Matrix!$B$1:$D$1,0))</f>
        <v>High</v>
      </c>
      <c r="H1866" s="1">
        <v>46136</v>
      </c>
      <c r="I1866" t="s">
        <v>2025</v>
      </c>
      <c r="J1866" t="s">
        <v>2035</v>
      </c>
      <c r="K1866" t="s">
        <v>1993</v>
      </c>
      <c r="L1866">
        <f>IF(G1866="High",3,IF(G1866="Medium",2,1))</f>
        <v>3</v>
      </c>
    </row>
    <row r="1867" spans="1:12">
      <c r="A1867" t="s">
        <v>3893</v>
      </c>
      <c r="B1867" t="s">
        <v>1284</v>
      </c>
      <c r="C1867" t="s">
        <v>2008</v>
      </c>
      <c r="D1867" t="s">
        <v>2009</v>
      </c>
      <c r="E1867" t="s">
        <v>1971</v>
      </c>
      <c r="F1867" t="s">
        <v>1971</v>
      </c>
      <c r="G1867" t="str">
        <f>INDEX(Risk_Matrix!$B$2:$D$4,MATCH(E1867,Risk_Matrix!$A$2:$A$4,0),MATCH(F1867,Risk_Matrix!$B$1:$D$1,0))</f>
        <v>Medium</v>
      </c>
      <c r="H1867" s="1">
        <v>46218</v>
      </c>
      <c r="I1867" t="s">
        <v>2015</v>
      </c>
      <c r="J1867" t="s">
        <v>2032</v>
      </c>
      <c r="K1867" t="s">
        <v>2010</v>
      </c>
      <c r="L1867">
        <f>IF(G1867="High",3,IF(G1867="Medium",2,1))</f>
        <v>2</v>
      </c>
    </row>
    <row r="1868" spans="1:12">
      <c r="A1868" t="s">
        <v>3894</v>
      </c>
      <c r="B1868" t="s">
        <v>1287</v>
      </c>
      <c r="C1868" t="s">
        <v>1985</v>
      </c>
      <c r="D1868" t="s">
        <v>2028</v>
      </c>
      <c r="E1868" t="s">
        <v>57</v>
      </c>
      <c r="F1868" t="s">
        <v>57</v>
      </c>
      <c r="G1868" t="str">
        <f>INDEX(Risk_Matrix!$B$2:$D$4,MATCH(E1868,Risk_Matrix!$A$2:$A$4,0),MATCH(F1868,Risk_Matrix!$B$1:$D$1,0))</f>
        <v>Low</v>
      </c>
      <c r="H1868" s="1">
        <v>46104</v>
      </c>
      <c r="I1868" t="s">
        <v>2025</v>
      </c>
      <c r="J1868" t="s">
        <v>2035</v>
      </c>
      <c r="K1868" t="s">
        <v>1989</v>
      </c>
      <c r="L1868">
        <f>IF(G1868="High",3,IF(G1868="Medium",2,1))</f>
        <v>1</v>
      </c>
    </row>
    <row r="1869" spans="1:12">
      <c r="A1869" t="s">
        <v>3895</v>
      </c>
      <c r="B1869" t="s">
        <v>1287</v>
      </c>
      <c r="C1869" t="s">
        <v>1991</v>
      </c>
      <c r="D1869" t="s">
        <v>2014</v>
      </c>
      <c r="E1869" t="s">
        <v>1971</v>
      </c>
      <c r="F1869" t="s">
        <v>57</v>
      </c>
      <c r="G1869" t="str">
        <f>INDEX(Risk_Matrix!$B$2:$D$4,MATCH(E1869,Risk_Matrix!$A$2:$A$4,0),MATCH(F1869,Risk_Matrix!$B$1:$D$1,0))</f>
        <v>Low</v>
      </c>
      <c r="H1869" s="1">
        <v>46198</v>
      </c>
      <c r="I1869" t="s">
        <v>2025</v>
      </c>
      <c r="J1869" t="s">
        <v>2026</v>
      </c>
      <c r="K1869" t="s">
        <v>2010</v>
      </c>
      <c r="L1869">
        <f>IF(G1869="High",3,IF(G1869="Medium",2,1))</f>
        <v>1</v>
      </c>
    </row>
    <row r="1870" spans="1:12">
      <c r="A1870" t="s">
        <v>3896</v>
      </c>
      <c r="B1870" t="s">
        <v>1287</v>
      </c>
      <c r="C1870" t="s">
        <v>1995</v>
      </c>
      <c r="D1870" t="s">
        <v>2018</v>
      </c>
      <c r="E1870" t="s">
        <v>57</v>
      </c>
      <c r="F1870" t="s">
        <v>57</v>
      </c>
      <c r="G1870" t="str">
        <f>INDEX(Risk_Matrix!$B$2:$D$4,MATCH(E1870,Risk_Matrix!$A$2:$A$4,0),MATCH(F1870,Risk_Matrix!$B$1:$D$1,0))</f>
        <v>Low</v>
      </c>
      <c r="H1870" s="1">
        <v>46142</v>
      </c>
      <c r="I1870" t="s">
        <v>1987</v>
      </c>
      <c r="J1870" t="s">
        <v>1997</v>
      </c>
      <c r="K1870" t="s">
        <v>1998</v>
      </c>
      <c r="L1870">
        <f>IF(G1870="High",3,IF(G1870="Medium",2,1))</f>
        <v>1</v>
      </c>
    </row>
    <row r="1871" spans="1:12">
      <c r="A1871" t="s">
        <v>3897</v>
      </c>
      <c r="B1871" t="s">
        <v>1287</v>
      </c>
      <c r="C1871" t="s">
        <v>2000</v>
      </c>
      <c r="D1871" t="s">
        <v>2020</v>
      </c>
      <c r="E1871" t="s">
        <v>1971</v>
      </c>
      <c r="F1871" t="s">
        <v>57</v>
      </c>
      <c r="G1871" t="str">
        <f>INDEX(Risk_Matrix!$B$2:$D$4,MATCH(E1871,Risk_Matrix!$A$2:$A$4,0),MATCH(F1871,Risk_Matrix!$B$1:$D$1,0))</f>
        <v>Low</v>
      </c>
      <c r="H1871" s="1">
        <v>46212</v>
      </c>
      <c r="I1871" t="s">
        <v>1987</v>
      </c>
      <c r="J1871" t="s">
        <v>1988</v>
      </c>
      <c r="K1871" t="s">
        <v>1993</v>
      </c>
      <c r="L1871">
        <f>IF(G1871="High",3,IF(G1871="Medium",2,1))</f>
        <v>1</v>
      </c>
    </row>
    <row r="1872" spans="1:12">
      <c r="A1872" t="s">
        <v>3898</v>
      </c>
      <c r="B1872" t="s">
        <v>1287</v>
      </c>
      <c r="C1872" t="s">
        <v>2005</v>
      </c>
      <c r="D1872" t="s">
        <v>2006</v>
      </c>
      <c r="E1872" t="s">
        <v>1971</v>
      </c>
      <c r="F1872" t="s">
        <v>47</v>
      </c>
      <c r="G1872" t="str">
        <f>INDEX(Risk_Matrix!$B$2:$D$4,MATCH(E1872,Risk_Matrix!$A$2:$A$4,0),MATCH(F1872,Risk_Matrix!$B$1:$D$1,0))</f>
        <v>High</v>
      </c>
      <c r="H1872" s="1">
        <v>46215</v>
      </c>
      <c r="I1872" t="s">
        <v>2025</v>
      </c>
      <c r="J1872" t="s">
        <v>2035</v>
      </c>
      <c r="K1872" t="s">
        <v>1993</v>
      </c>
      <c r="L1872">
        <f>IF(G1872="High",3,IF(G1872="Medium",2,1))</f>
        <v>3</v>
      </c>
    </row>
    <row r="1873" spans="1:12">
      <c r="A1873" t="s">
        <v>3899</v>
      </c>
      <c r="B1873" t="s">
        <v>1287</v>
      </c>
      <c r="C1873" t="s">
        <v>2008</v>
      </c>
      <c r="D1873" t="s">
        <v>2054</v>
      </c>
      <c r="E1873" t="s">
        <v>57</v>
      </c>
      <c r="F1873" t="s">
        <v>57</v>
      </c>
      <c r="G1873" t="str">
        <f>INDEX(Risk_Matrix!$B$2:$D$4,MATCH(E1873,Risk_Matrix!$A$2:$A$4,0),MATCH(F1873,Risk_Matrix!$B$1:$D$1,0))</f>
        <v>Low</v>
      </c>
      <c r="H1873" s="1">
        <v>46115</v>
      </c>
      <c r="I1873" t="s">
        <v>2025</v>
      </c>
      <c r="J1873" t="s">
        <v>2035</v>
      </c>
      <c r="K1873" t="s">
        <v>2010</v>
      </c>
      <c r="L1873">
        <f>IF(G1873="High",3,IF(G1873="Medium",2,1))</f>
        <v>1</v>
      </c>
    </row>
    <row r="1874" spans="1:12">
      <c r="A1874" t="s">
        <v>3900</v>
      </c>
      <c r="B1874" t="s">
        <v>1290</v>
      </c>
      <c r="C1874" t="s">
        <v>1985</v>
      </c>
      <c r="D1874" t="s">
        <v>2028</v>
      </c>
      <c r="E1874" t="s">
        <v>47</v>
      </c>
      <c r="F1874" t="s">
        <v>57</v>
      </c>
      <c r="G1874" t="str">
        <f>INDEX(Risk_Matrix!$B$2:$D$4,MATCH(E1874,Risk_Matrix!$A$2:$A$4,0),MATCH(F1874,Risk_Matrix!$B$1:$D$1,0))</f>
        <v>Medium</v>
      </c>
      <c r="H1874" s="1">
        <v>46221</v>
      </c>
      <c r="I1874" t="s">
        <v>1987</v>
      </c>
      <c r="J1874" t="s">
        <v>1997</v>
      </c>
      <c r="K1874" t="s">
        <v>1989</v>
      </c>
      <c r="L1874">
        <f>IF(G1874="High",3,IF(G1874="Medium",2,1))</f>
        <v>2</v>
      </c>
    </row>
    <row r="1875" spans="1:12">
      <c r="A1875" t="s">
        <v>3901</v>
      </c>
      <c r="B1875" t="s">
        <v>1290</v>
      </c>
      <c r="C1875" t="s">
        <v>1991</v>
      </c>
      <c r="D1875" t="s">
        <v>2014</v>
      </c>
      <c r="E1875" t="s">
        <v>57</v>
      </c>
      <c r="F1875" t="s">
        <v>57</v>
      </c>
      <c r="G1875" t="str">
        <f>INDEX(Risk_Matrix!$B$2:$D$4,MATCH(E1875,Risk_Matrix!$A$2:$A$4,0),MATCH(F1875,Risk_Matrix!$B$1:$D$1,0))</f>
        <v>Low</v>
      </c>
      <c r="H1875" s="1">
        <v>46228</v>
      </c>
      <c r="I1875" t="s">
        <v>1987</v>
      </c>
      <c r="J1875" t="s">
        <v>1997</v>
      </c>
      <c r="K1875" t="s">
        <v>2010</v>
      </c>
      <c r="L1875">
        <f>IF(G1875="High",3,IF(G1875="Medium",2,1))</f>
        <v>1</v>
      </c>
    </row>
    <row r="1876" spans="1:12">
      <c r="A1876" t="s">
        <v>3902</v>
      </c>
      <c r="B1876" t="s">
        <v>1290</v>
      </c>
      <c r="C1876" t="s">
        <v>1995</v>
      </c>
      <c r="D1876" t="s">
        <v>1996</v>
      </c>
      <c r="E1876" t="s">
        <v>57</v>
      </c>
      <c r="F1876" t="s">
        <v>57</v>
      </c>
      <c r="G1876" t="str">
        <f>INDEX(Risk_Matrix!$B$2:$D$4,MATCH(E1876,Risk_Matrix!$A$2:$A$4,0),MATCH(F1876,Risk_Matrix!$B$1:$D$1,0))</f>
        <v>Low</v>
      </c>
      <c r="H1876" s="1">
        <v>46198</v>
      </c>
      <c r="I1876" t="s">
        <v>2025</v>
      </c>
      <c r="J1876" t="s">
        <v>2035</v>
      </c>
      <c r="K1876" t="s">
        <v>1998</v>
      </c>
      <c r="L1876">
        <f>IF(G1876="High",3,IF(G1876="Medium",2,1))</f>
        <v>1</v>
      </c>
    </row>
    <row r="1877" spans="1:12">
      <c r="A1877" t="s">
        <v>3903</v>
      </c>
      <c r="B1877" t="s">
        <v>1290</v>
      </c>
      <c r="C1877" t="s">
        <v>2000</v>
      </c>
      <c r="D1877" t="s">
        <v>2020</v>
      </c>
      <c r="E1877" t="s">
        <v>47</v>
      </c>
      <c r="F1877" t="s">
        <v>47</v>
      </c>
      <c r="G1877" t="str">
        <f>INDEX(Risk_Matrix!$B$2:$D$4,MATCH(E1877,Risk_Matrix!$A$2:$A$4,0),MATCH(F1877,Risk_Matrix!$B$1:$D$1,0))</f>
        <v>High</v>
      </c>
      <c r="H1877" s="1">
        <v>46186</v>
      </c>
      <c r="I1877" t="s">
        <v>2015</v>
      </c>
      <c r="J1877" t="s">
        <v>2016</v>
      </c>
      <c r="K1877" t="s">
        <v>1993</v>
      </c>
      <c r="L1877">
        <f>IF(G1877="High",3,IF(G1877="Medium",2,1))</f>
        <v>3</v>
      </c>
    </row>
    <row r="1878" spans="1:12">
      <c r="A1878" t="s">
        <v>3904</v>
      </c>
      <c r="B1878" t="s">
        <v>1290</v>
      </c>
      <c r="C1878" t="s">
        <v>2005</v>
      </c>
      <c r="D1878" t="s">
        <v>2022</v>
      </c>
      <c r="E1878" t="s">
        <v>1971</v>
      </c>
      <c r="F1878" t="s">
        <v>1971</v>
      </c>
      <c r="G1878" t="str">
        <f>INDEX(Risk_Matrix!$B$2:$D$4,MATCH(E1878,Risk_Matrix!$A$2:$A$4,0),MATCH(F1878,Risk_Matrix!$B$1:$D$1,0))</f>
        <v>Medium</v>
      </c>
      <c r="H1878" s="1">
        <v>46126</v>
      </c>
      <c r="I1878" t="s">
        <v>2025</v>
      </c>
      <c r="J1878" t="s">
        <v>2035</v>
      </c>
      <c r="K1878" t="s">
        <v>2036</v>
      </c>
      <c r="L1878">
        <f>IF(G1878="High",3,IF(G1878="Medium",2,1))</f>
        <v>2</v>
      </c>
    </row>
    <row r="1879" spans="1:12">
      <c r="A1879" t="s">
        <v>3905</v>
      </c>
      <c r="B1879" t="s">
        <v>1290</v>
      </c>
      <c r="C1879" t="s">
        <v>2008</v>
      </c>
      <c r="D1879" t="s">
        <v>2009</v>
      </c>
      <c r="E1879" t="s">
        <v>1971</v>
      </c>
      <c r="F1879" t="s">
        <v>57</v>
      </c>
      <c r="G1879" t="str">
        <f>INDEX(Risk_Matrix!$B$2:$D$4,MATCH(E1879,Risk_Matrix!$A$2:$A$4,0),MATCH(F1879,Risk_Matrix!$B$1:$D$1,0))</f>
        <v>Low</v>
      </c>
      <c r="H1879" s="1">
        <v>46207</v>
      </c>
      <c r="I1879" t="s">
        <v>2025</v>
      </c>
      <c r="J1879" t="s">
        <v>2035</v>
      </c>
      <c r="K1879" t="s">
        <v>2010</v>
      </c>
      <c r="L1879">
        <f>IF(G1879="High",3,IF(G1879="Medium",2,1))</f>
        <v>1</v>
      </c>
    </row>
    <row r="1880" spans="1:12">
      <c r="A1880" t="s">
        <v>3906</v>
      </c>
      <c r="B1880" t="s">
        <v>1292</v>
      </c>
      <c r="C1880" t="s">
        <v>1985</v>
      </c>
      <c r="D1880" t="s">
        <v>1986</v>
      </c>
      <c r="E1880" t="s">
        <v>57</v>
      </c>
      <c r="F1880" t="s">
        <v>57</v>
      </c>
      <c r="G1880" t="str">
        <f>INDEX(Risk_Matrix!$B$2:$D$4,MATCH(E1880,Risk_Matrix!$A$2:$A$4,0),MATCH(F1880,Risk_Matrix!$B$1:$D$1,0))</f>
        <v>Low</v>
      </c>
      <c r="H1880" s="1">
        <v>46084</v>
      </c>
      <c r="I1880" t="s">
        <v>2002</v>
      </c>
      <c r="J1880" t="s">
        <v>2029</v>
      </c>
      <c r="K1880" t="s">
        <v>1998</v>
      </c>
      <c r="L1880">
        <f>IF(G1880="High",3,IF(G1880="Medium",2,1))</f>
        <v>1</v>
      </c>
    </row>
    <row r="1881" spans="1:12">
      <c r="A1881" t="s">
        <v>3907</v>
      </c>
      <c r="B1881" t="s">
        <v>1292</v>
      </c>
      <c r="C1881" t="s">
        <v>1991</v>
      </c>
      <c r="D1881" t="s">
        <v>2064</v>
      </c>
      <c r="E1881" t="s">
        <v>1971</v>
      </c>
      <c r="F1881" t="s">
        <v>47</v>
      </c>
      <c r="G1881" t="str">
        <f>INDEX(Risk_Matrix!$B$2:$D$4,MATCH(E1881,Risk_Matrix!$A$2:$A$4,0),MATCH(F1881,Risk_Matrix!$B$1:$D$1,0))</f>
        <v>High</v>
      </c>
      <c r="H1881" s="1">
        <v>46169</v>
      </c>
      <c r="I1881" t="s">
        <v>2015</v>
      </c>
      <c r="J1881" t="s">
        <v>2032</v>
      </c>
      <c r="K1881" t="s">
        <v>1993</v>
      </c>
      <c r="L1881">
        <f>IF(G1881="High",3,IF(G1881="Medium",2,1))</f>
        <v>3</v>
      </c>
    </row>
    <row r="1882" spans="1:12">
      <c r="A1882" t="s">
        <v>3908</v>
      </c>
      <c r="B1882" t="s">
        <v>1292</v>
      </c>
      <c r="C1882" t="s">
        <v>1995</v>
      </c>
      <c r="D1882" t="s">
        <v>2150</v>
      </c>
      <c r="E1882" t="s">
        <v>57</v>
      </c>
      <c r="F1882" t="s">
        <v>47</v>
      </c>
      <c r="G1882" t="str">
        <f>INDEX(Risk_Matrix!$B$2:$D$4,MATCH(E1882,Risk_Matrix!$A$2:$A$4,0),MATCH(F1882,Risk_Matrix!$B$1:$D$1,0))</f>
        <v>Medium</v>
      </c>
      <c r="H1882" s="1">
        <v>46158</v>
      </c>
      <c r="I1882" t="s">
        <v>2015</v>
      </c>
      <c r="J1882" t="s">
        <v>2016</v>
      </c>
      <c r="K1882" t="s">
        <v>1998</v>
      </c>
      <c r="L1882">
        <f>IF(G1882="High",3,IF(G1882="Medium",2,1))</f>
        <v>2</v>
      </c>
    </row>
    <row r="1883" spans="1:12">
      <c r="A1883" t="s">
        <v>3909</v>
      </c>
      <c r="B1883" t="s">
        <v>1292</v>
      </c>
      <c r="C1883" t="s">
        <v>2000</v>
      </c>
      <c r="D1883" t="s">
        <v>2001</v>
      </c>
      <c r="E1883" t="s">
        <v>57</v>
      </c>
      <c r="F1883" t="s">
        <v>57</v>
      </c>
      <c r="G1883" t="str">
        <f>INDEX(Risk_Matrix!$B$2:$D$4,MATCH(E1883,Risk_Matrix!$A$2:$A$4,0),MATCH(F1883,Risk_Matrix!$B$1:$D$1,0))</f>
        <v>Low</v>
      </c>
      <c r="H1883" s="1">
        <v>46143</v>
      </c>
      <c r="I1883" t="s">
        <v>1987</v>
      </c>
      <c r="J1883" t="s">
        <v>1988</v>
      </c>
      <c r="K1883" t="s">
        <v>1989</v>
      </c>
      <c r="L1883">
        <f>IF(G1883="High",3,IF(G1883="Medium",2,1))</f>
        <v>1</v>
      </c>
    </row>
    <row r="1884" spans="1:12">
      <c r="A1884" t="s">
        <v>3910</v>
      </c>
      <c r="B1884" t="s">
        <v>1292</v>
      </c>
      <c r="C1884" t="s">
        <v>2005</v>
      </c>
      <c r="D1884" t="s">
        <v>2006</v>
      </c>
      <c r="E1884" t="s">
        <v>57</v>
      </c>
      <c r="F1884" t="s">
        <v>57</v>
      </c>
      <c r="G1884" t="str">
        <f>INDEX(Risk_Matrix!$B$2:$D$4,MATCH(E1884,Risk_Matrix!$A$2:$A$4,0),MATCH(F1884,Risk_Matrix!$B$1:$D$1,0))</f>
        <v>Low</v>
      </c>
      <c r="H1884" s="1">
        <v>46092</v>
      </c>
      <c r="I1884" t="s">
        <v>2025</v>
      </c>
      <c r="J1884" t="s">
        <v>2026</v>
      </c>
      <c r="K1884" t="s">
        <v>1993</v>
      </c>
      <c r="L1884">
        <f>IF(G1884="High",3,IF(G1884="Medium",2,1))</f>
        <v>1</v>
      </c>
    </row>
    <row r="1885" spans="1:12">
      <c r="A1885" t="s">
        <v>3911</v>
      </c>
      <c r="B1885" t="s">
        <v>1292</v>
      </c>
      <c r="C1885" t="s">
        <v>2008</v>
      </c>
      <c r="D1885" t="s">
        <v>2054</v>
      </c>
      <c r="E1885" t="s">
        <v>1971</v>
      </c>
      <c r="F1885" t="s">
        <v>1971</v>
      </c>
      <c r="G1885" t="str">
        <f>INDEX(Risk_Matrix!$B$2:$D$4,MATCH(E1885,Risk_Matrix!$A$2:$A$4,0),MATCH(F1885,Risk_Matrix!$B$1:$D$1,0))</f>
        <v>Medium</v>
      </c>
      <c r="H1885" s="1">
        <v>46217</v>
      </c>
      <c r="I1885" t="s">
        <v>1987</v>
      </c>
      <c r="J1885" t="s">
        <v>1988</v>
      </c>
      <c r="K1885" t="s">
        <v>2010</v>
      </c>
      <c r="L1885">
        <f>IF(G1885="High",3,IF(G1885="Medium",2,1))</f>
        <v>2</v>
      </c>
    </row>
    <row r="1886" spans="1:12">
      <c r="A1886" t="s">
        <v>3912</v>
      </c>
      <c r="B1886" t="s">
        <v>1295</v>
      </c>
      <c r="C1886" t="s">
        <v>1985</v>
      </c>
      <c r="D1886" t="s">
        <v>1986</v>
      </c>
      <c r="E1886" t="s">
        <v>1971</v>
      </c>
      <c r="F1886" t="s">
        <v>1971</v>
      </c>
      <c r="G1886" t="str">
        <f>INDEX(Risk_Matrix!$B$2:$D$4,MATCH(E1886,Risk_Matrix!$A$2:$A$4,0),MATCH(F1886,Risk_Matrix!$B$1:$D$1,0))</f>
        <v>Medium</v>
      </c>
      <c r="H1886" s="1">
        <v>46059</v>
      </c>
      <c r="I1886" t="s">
        <v>2025</v>
      </c>
      <c r="J1886" t="s">
        <v>2026</v>
      </c>
      <c r="K1886" t="s">
        <v>1989</v>
      </c>
      <c r="L1886">
        <f>IF(G1886="High",3,IF(G1886="Medium",2,1))</f>
        <v>2</v>
      </c>
    </row>
    <row r="1887" spans="1:12">
      <c r="A1887" t="s">
        <v>3913</v>
      </c>
      <c r="B1887" t="s">
        <v>1295</v>
      </c>
      <c r="C1887" t="s">
        <v>1991</v>
      </c>
      <c r="D1887" t="s">
        <v>2014</v>
      </c>
      <c r="E1887" t="s">
        <v>57</v>
      </c>
      <c r="F1887" t="s">
        <v>47</v>
      </c>
      <c r="G1887" t="str">
        <f>INDEX(Risk_Matrix!$B$2:$D$4,MATCH(E1887,Risk_Matrix!$A$2:$A$4,0),MATCH(F1887,Risk_Matrix!$B$1:$D$1,0))</f>
        <v>Medium</v>
      </c>
      <c r="H1887" s="1">
        <v>46221</v>
      </c>
      <c r="I1887" t="s">
        <v>2015</v>
      </c>
      <c r="J1887" t="s">
        <v>2016</v>
      </c>
      <c r="K1887" t="s">
        <v>2010</v>
      </c>
      <c r="L1887">
        <f>IF(G1887="High",3,IF(G1887="Medium",2,1))</f>
        <v>2</v>
      </c>
    </row>
    <row r="1888" spans="1:12">
      <c r="A1888" t="s">
        <v>3914</v>
      </c>
      <c r="B1888" t="s">
        <v>1295</v>
      </c>
      <c r="C1888" t="s">
        <v>1995</v>
      </c>
      <c r="D1888" t="s">
        <v>2034</v>
      </c>
      <c r="E1888" t="s">
        <v>1971</v>
      </c>
      <c r="F1888" t="s">
        <v>1971</v>
      </c>
      <c r="G1888" t="str">
        <f>INDEX(Risk_Matrix!$B$2:$D$4,MATCH(E1888,Risk_Matrix!$A$2:$A$4,0),MATCH(F1888,Risk_Matrix!$B$1:$D$1,0))</f>
        <v>Medium</v>
      </c>
      <c r="H1888" s="1">
        <v>46147</v>
      </c>
      <c r="I1888" t="s">
        <v>1987</v>
      </c>
      <c r="J1888" t="s">
        <v>1997</v>
      </c>
      <c r="K1888" t="s">
        <v>2036</v>
      </c>
      <c r="L1888">
        <f>IF(G1888="High",3,IF(G1888="Medium",2,1))</f>
        <v>2</v>
      </c>
    </row>
    <row r="1889" spans="1:12">
      <c r="A1889" t="s">
        <v>3915</v>
      </c>
      <c r="B1889" t="s">
        <v>1295</v>
      </c>
      <c r="C1889" t="s">
        <v>2000</v>
      </c>
      <c r="D1889" t="s">
        <v>2001</v>
      </c>
      <c r="E1889" t="s">
        <v>47</v>
      </c>
      <c r="F1889" t="s">
        <v>1971</v>
      </c>
      <c r="G1889" t="str">
        <f>INDEX(Risk_Matrix!$B$2:$D$4,MATCH(E1889,Risk_Matrix!$A$2:$A$4,0),MATCH(F1889,Risk_Matrix!$B$1:$D$1,0))</f>
        <v>High</v>
      </c>
      <c r="H1889" s="1">
        <v>46214</v>
      </c>
      <c r="I1889" t="s">
        <v>2015</v>
      </c>
      <c r="J1889" t="s">
        <v>2016</v>
      </c>
      <c r="K1889" t="s">
        <v>1993</v>
      </c>
      <c r="L1889">
        <f>IF(G1889="High",3,IF(G1889="Medium",2,1))</f>
        <v>3</v>
      </c>
    </row>
    <row r="1890" spans="1:12">
      <c r="A1890" t="s">
        <v>3916</v>
      </c>
      <c r="B1890" t="s">
        <v>1295</v>
      </c>
      <c r="C1890" t="s">
        <v>2005</v>
      </c>
      <c r="D1890" t="s">
        <v>2022</v>
      </c>
      <c r="E1890" t="s">
        <v>1971</v>
      </c>
      <c r="F1890" t="s">
        <v>47</v>
      </c>
      <c r="G1890" t="str">
        <f>INDEX(Risk_Matrix!$B$2:$D$4,MATCH(E1890,Risk_Matrix!$A$2:$A$4,0),MATCH(F1890,Risk_Matrix!$B$1:$D$1,0))</f>
        <v>High</v>
      </c>
      <c r="H1890" s="1">
        <v>46166</v>
      </c>
      <c r="I1890" t="s">
        <v>2025</v>
      </c>
      <c r="J1890" t="s">
        <v>2035</v>
      </c>
      <c r="K1890" t="s">
        <v>1993</v>
      </c>
      <c r="L1890">
        <f>IF(G1890="High",3,IF(G1890="Medium",2,1))</f>
        <v>3</v>
      </c>
    </row>
    <row r="1891" spans="1:12">
      <c r="A1891" t="s">
        <v>3917</v>
      </c>
      <c r="B1891" t="s">
        <v>1295</v>
      </c>
      <c r="C1891" t="s">
        <v>2008</v>
      </c>
      <c r="D1891" t="s">
        <v>2054</v>
      </c>
      <c r="E1891" t="s">
        <v>57</v>
      </c>
      <c r="F1891" t="s">
        <v>57</v>
      </c>
      <c r="G1891" t="str">
        <f>INDEX(Risk_Matrix!$B$2:$D$4,MATCH(E1891,Risk_Matrix!$A$2:$A$4,0),MATCH(F1891,Risk_Matrix!$B$1:$D$1,0))</f>
        <v>Low</v>
      </c>
      <c r="H1891" s="1">
        <v>46136</v>
      </c>
      <c r="I1891" t="s">
        <v>1987</v>
      </c>
      <c r="J1891" t="s">
        <v>1988</v>
      </c>
      <c r="K1891" t="s">
        <v>2010</v>
      </c>
      <c r="L1891">
        <f>IF(G1891="High",3,IF(G1891="Medium",2,1))</f>
        <v>1</v>
      </c>
    </row>
    <row r="1892" spans="1:12">
      <c r="A1892" t="s">
        <v>3918</v>
      </c>
      <c r="B1892" t="s">
        <v>1297</v>
      </c>
      <c r="C1892" t="s">
        <v>1985</v>
      </c>
      <c r="D1892" t="s">
        <v>2028</v>
      </c>
      <c r="E1892" t="s">
        <v>47</v>
      </c>
      <c r="F1892" t="s">
        <v>47</v>
      </c>
      <c r="G1892" t="str">
        <f>INDEX(Risk_Matrix!$B$2:$D$4,MATCH(E1892,Risk_Matrix!$A$2:$A$4,0),MATCH(F1892,Risk_Matrix!$B$1:$D$1,0))</f>
        <v>High</v>
      </c>
      <c r="H1892" s="1">
        <v>46174</v>
      </c>
      <c r="I1892" t="s">
        <v>2015</v>
      </c>
      <c r="J1892" t="s">
        <v>2016</v>
      </c>
      <c r="K1892" t="s">
        <v>1989</v>
      </c>
      <c r="L1892">
        <f>IF(G1892="High",3,IF(G1892="Medium",2,1))</f>
        <v>3</v>
      </c>
    </row>
    <row r="1893" spans="1:12">
      <c r="A1893" t="s">
        <v>3919</v>
      </c>
      <c r="B1893" t="s">
        <v>1297</v>
      </c>
      <c r="C1893" t="s">
        <v>1991</v>
      </c>
      <c r="D1893" t="s">
        <v>2031</v>
      </c>
      <c r="E1893" t="s">
        <v>57</v>
      </c>
      <c r="F1893" t="s">
        <v>1971</v>
      </c>
      <c r="G1893" t="str">
        <f>INDEX(Risk_Matrix!$B$2:$D$4,MATCH(E1893,Risk_Matrix!$A$2:$A$4,0),MATCH(F1893,Risk_Matrix!$B$1:$D$1,0))</f>
        <v>Low</v>
      </c>
      <c r="H1893" s="1">
        <v>46179</v>
      </c>
      <c r="I1893" t="s">
        <v>2025</v>
      </c>
      <c r="J1893" t="s">
        <v>2026</v>
      </c>
      <c r="K1893" t="s">
        <v>1993</v>
      </c>
      <c r="L1893">
        <f>IF(G1893="High",3,IF(G1893="Medium",2,1))</f>
        <v>1</v>
      </c>
    </row>
    <row r="1894" spans="1:12">
      <c r="A1894" t="s">
        <v>3920</v>
      </c>
      <c r="B1894" t="s">
        <v>1297</v>
      </c>
      <c r="C1894" t="s">
        <v>1995</v>
      </c>
      <c r="D1894" t="s">
        <v>2034</v>
      </c>
      <c r="E1894" t="s">
        <v>57</v>
      </c>
      <c r="F1894" t="s">
        <v>57</v>
      </c>
      <c r="G1894" t="str">
        <f>INDEX(Risk_Matrix!$B$2:$D$4,MATCH(E1894,Risk_Matrix!$A$2:$A$4,0),MATCH(F1894,Risk_Matrix!$B$1:$D$1,0))</f>
        <v>Low</v>
      </c>
      <c r="H1894" s="1">
        <v>46116</v>
      </c>
      <c r="I1894" t="s">
        <v>2025</v>
      </c>
      <c r="J1894" t="s">
        <v>2026</v>
      </c>
      <c r="K1894" t="s">
        <v>1998</v>
      </c>
      <c r="L1894">
        <f>IF(G1894="High",3,IF(G1894="Medium",2,1))</f>
        <v>1</v>
      </c>
    </row>
    <row r="1895" spans="1:12">
      <c r="A1895" t="s">
        <v>3921</v>
      </c>
      <c r="B1895" t="s">
        <v>1297</v>
      </c>
      <c r="C1895" t="s">
        <v>2000</v>
      </c>
      <c r="D1895" t="s">
        <v>2020</v>
      </c>
      <c r="E1895" t="s">
        <v>47</v>
      </c>
      <c r="F1895" t="s">
        <v>57</v>
      </c>
      <c r="G1895" t="str">
        <f>INDEX(Risk_Matrix!$B$2:$D$4,MATCH(E1895,Risk_Matrix!$A$2:$A$4,0),MATCH(F1895,Risk_Matrix!$B$1:$D$1,0))</f>
        <v>Medium</v>
      </c>
      <c r="H1895" s="1">
        <v>46154</v>
      </c>
      <c r="I1895" t="s">
        <v>2015</v>
      </c>
      <c r="J1895" t="s">
        <v>2032</v>
      </c>
      <c r="K1895" t="s">
        <v>1993</v>
      </c>
      <c r="L1895">
        <f>IF(G1895="High",3,IF(G1895="Medium",2,1))</f>
        <v>2</v>
      </c>
    </row>
    <row r="1896" spans="1:12">
      <c r="A1896" t="s">
        <v>3922</v>
      </c>
      <c r="B1896" t="s">
        <v>1297</v>
      </c>
      <c r="C1896" t="s">
        <v>2005</v>
      </c>
      <c r="D1896" t="s">
        <v>2039</v>
      </c>
      <c r="E1896" t="s">
        <v>47</v>
      </c>
      <c r="F1896" t="s">
        <v>1971</v>
      </c>
      <c r="G1896" t="str">
        <f>INDEX(Risk_Matrix!$B$2:$D$4,MATCH(E1896,Risk_Matrix!$A$2:$A$4,0),MATCH(F1896,Risk_Matrix!$B$1:$D$1,0))</f>
        <v>High</v>
      </c>
      <c r="H1896" s="1">
        <v>46232</v>
      </c>
      <c r="I1896" t="s">
        <v>2025</v>
      </c>
      <c r="J1896" t="s">
        <v>2035</v>
      </c>
      <c r="K1896" t="s">
        <v>1993</v>
      </c>
      <c r="L1896">
        <f>IF(G1896="High",3,IF(G1896="Medium",2,1))</f>
        <v>3</v>
      </c>
    </row>
    <row r="1897" spans="1:12">
      <c r="A1897" t="s">
        <v>3923</v>
      </c>
      <c r="B1897" t="s">
        <v>1297</v>
      </c>
      <c r="C1897" t="s">
        <v>2008</v>
      </c>
      <c r="D1897" t="s">
        <v>2024</v>
      </c>
      <c r="E1897" t="s">
        <v>47</v>
      </c>
      <c r="F1897" t="s">
        <v>57</v>
      </c>
      <c r="G1897" t="str">
        <f>INDEX(Risk_Matrix!$B$2:$D$4,MATCH(E1897,Risk_Matrix!$A$2:$A$4,0),MATCH(F1897,Risk_Matrix!$B$1:$D$1,0))</f>
        <v>Medium</v>
      </c>
      <c r="H1897" s="1">
        <v>46149</v>
      </c>
      <c r="I1897" t="s">
        <v>2002</v>
      </c>
      <c r="J1897" t="s">
        <v>2003</v>
      </c>
      <c r="K1897" t="s">
        <v>2010</v>
      </c>
      <c r="L1897">
        <f>IF(G1897="High",3,IF(G1897="Medium",2,1))</f>
        <v>2</v>
      </c>
    </row>
    <row r="1898" spans="1:12">
      <c r="A1898" t="s">
        <v>3924</v>
      </c>
      <c r="B1898" t="s">
        <v>1299</v>
      </c>
      <c r="C1898" t="s">
        <v>1985</v>
      </c>
      <c r="D1898" t="s">
        <v>2012</v>
      </c>
      <c r="E1898" t="s">
        <v>1971</v>
      </c>
      <c r="F1898" t="s">
        <v>57</v>
      </c>
      <c r="G1898" t="str">
        <f>INDEX(Risk_Matrix!$B$2:$D$4,MATCH(E1898,Risk_Matrix!$A$2:$A$4,0),MATCH(F1898,Risk_Matrix!$B$1:$D$1,0))</f>
        <v>Low</v>
      </c>
      <c r="H1898" s="1">
        <v>46099</v>
      </c>
      <c r="I1898" t="s">
        <v>1987</v>
      </c>
      <c r="J1898" t="s">
        <v>1997</v>
      </c>
      <c r="K1898" t="s">
        <v>1998</v>
      </c>
      <c r="L1898">
        <f>IF(G1898="High",3,IF(G1898="Medium",2,1))</f>
        <v>1</v>
      </c>
    </row>
    <row r="1899" spans="1:12">
      <c r="A1899" t="s">
        <v>3925</v>
      </c>
      <c r="B1899" t="s">
        <v>1299</v>
      </c>
      <c r="C1899" t="s">
        <v>1991</v>
      </c>
      <c r="D1899" t="s">
        <v>2064</v>
      </c>
      <c r="E1899" t="s">
        <v>47</v>
      </c>
      <c r="F1899" t="s">
        <v>47</v>
      </c>
      <c r="G1899" t="str">
        <f>INDEX(Risk_Matrix!$B$2:$D$4,MATCH(E1899,Risk_Matrix!$A$2:$A$4,0),MATCH(F1899,Risk_Matrix!$B$1:$D$1,0))</f>
        <v>High</v>
      </c>
      <c r="H1899" s="1">
        <v>46207</v>
      </c>
      <c r="I1899" t="s">
        <v>2015</v>
      </c>
      <c r="J1899" t="s">
        <v>2032</v>
      </c>
      <c r="K1899" t="s">
        <v>2010</v>
      </c>
      <c r="L1899">
        <f>IF(G1899="High",3,IF(G1899="Medium",2,1))</f>
        <v>3</v>
      </c>
    </row>
    <row r="1900" spans="1:12">
      <c r="A1900" t="s">
        <v>3926</v>
      </c>
      <c r="B1900" t="s">
        <v>1299</v>
      </c>
      <c r="C1900" t="s">
        <v>1995</v>
      </c>
      <c r="D1900" t="s">
        <v>1996</v>
      </c>
      <c r="E1900" t="s">
        <v>57</v>
      </c>
      <c r="F1900" t="s">
        <v>1971</v>
      </c>
      <c r="G1900" t="str">
        <f>INDEX(Risk_Matrix!$B$2:$D$4,MATCH(E1900,Risk_Matrix!$A$2:$A$4,0),MATCH(F1900,Risk_Matrix!$B$1:$D$1,0))</f>
        <v>Low</v>
      </c>
      <c r="H1900" s="1">
        <v>46191</v>
      </c>
      <c r="I1900" t="s">
        <v>2025</v>
      </c>
      <c r="J1900" t="s">
        <v>2035</v>
      </c>
      <c r="K1900" t="s">
        <v>2036</v>
      </c>
      <c r="L1900">
        <f>IF(G1900="High",3,IF(G1900="Medium",2,1))</f>
        <v>1</v>
      </c>
    </row>
    <row r="1901" spans="1:12">
      <c r="A1901" t="s">
        <v>3927</v>
      </c>
      <c r="B1901" t="s">
        <v>1299</v>
      </c>
      <c r="C1901" t="s">
        <v>2000</v>
      </c>
      <c r="D1901" t="s">
        <v>2001</v>
      </c>
      <c r="E1901" t="s">
        <v>1971</v>
      </c>
      <c r="F1901" t="s">
        <v>47</v>
      </c>
      <c r="G1901" t="str">
        <f>INDEX(Risk_Matrix!$B$2:$D$4,MATCH(E1901,Risk_Matrix!$A$2:$A$4,0),MATCH(F1901,Risk_Matrix!$B$1:$D$1,0))</f>
        <v>High</v>
      </c>
      <c r="H1901" s="1">
        <v>46206</v>
      </c>
      <c r="I1901" t="s">
        <v>2015</v>
      </c>
      <c r="J1901" t="s">
        <v>2016</v>
      </c>
      <c r="K1901" t="s">
        <v>1993</v>
      </c>
      <c r="L1901">
        <f>IF(G1901="High",3,IF(G1901="Medium",2,1))</f>
        <v>3</v>
      </c>
    </row>
    <row r="1902" spans="1:12">
      <c r="A1902" t="s">
        <v>3928</v>
      </c>
      <c r="B1902" t="s">
        <v>1299</v>
      </c>
      <c r="C1902" t="s">
        <v>2005</v>
      </c>
      <c r="D1902" t="s">
        <v>2022</v>
      </c>
      <c r="E1902" t="s">
        <v>47</v>
      </c>
      <c r="F1902" t="s">
        <v>1971</v>
      </c>
      <c r="G1902" t="str">
        <f>INDEX(Risk_Matrix!$B$2:$D$4,MATCH(E1902,Risk_Matrix!$A$2:$A$4,0),MATCH(F1902,Risk_Matrix!$B$1:$D$1,0))</f>
        <v>High</v>
      </c>
      <c r="H1902" s="1">
        <v>46225</v>
      </c>
      <c r="I1902" t="s">
        <v>2015</v>
      </c>
      <c r="J1902" t="s">
        <v>2032</v>
      </c>
      <c r="K1902" t="s">
        <v>1993</v>
      </c>
      <c r="L1902">
        <f>IF(G1902="High",3,IF(G1902="Medium",2,1))</f>
        <v>3</v>
      </c>
    </row>
    <row r="1903" spans="1:12">
      <c r="A1903" t="s">
        <v>3929</v>
      </c>
      <c r="B1903" t="s">
        <v>1299</v>
      </c>
      <c r="C1903" t="s">
        <v>2008</v>
      </c>
      <c r="D1903" t="s">
        <v>2024</v>
      </c>
      <c r="E1903" t="s">
        <v>47</v>
      </c>
      <c r="F1903" t="s">
        <v>1971</v>
      </c>
      <c r="G1903" t="str">
        <f>INDEX(Risk_Matrix!$B$2:$D$4,MATCH(E1903,Risk_Matrix!$A$2:$A$4,0),MATCH(F1903,Risk_Matrix!$B$1:$D$1,0))</f>
        <v>High</v>
      </c>
      <c r="H1903" s="1">
        <v>46220</v>
      </c>
      <c r="I1903" t="s">
        <v>2015</v>
      </c>
      <c r="J1903" t="s">
        <v>2016</v>
      </c>
      <c r="K1903" t="s">
        <v>2010</v>
      </c>
      <c r="L1903">
        <f>IF(G1903="High",3,IF(G1903="Medium",2,1))</f>
        <v>3</v>
      </c>
    </row>
    <row r="1904" spans="1:12">
      <c r="A1904" t="s">
        <v>3930</v>
      </c>
      <c r="B1904" t="s">
        <v>1301</v>
      </c>
      <c r="C1904" t="s">
        <v>1985</v>
      </c>
      <c r="D1904" t="s">
        <v>2028</v>
      </c>
      <c r="E1904" t="s">
        <v>1971</v>
      </c>
      <c r="F1904" t="s">
        <v>47</v>
      </c>
      <c r="G1904" t="str">
        <f>INDEX(Risk_Matrix!$B$2:$D$4,MATCH(E1904,Risk_Matrix!$A$2:$A$4,0),MATCH(F1904,Risk_Matrix!$B$1:$D$1,0))</f>
        <v>High</v>
      </c>
      <c r="H1904" s="1">
        <v>46144</v>
      </c>
      <c r="I1904" t="s">
        <v>2025</v>
      </c>
      <c r="J1904" t="s">
        <v>2035</v>
      </c>
      <c r="K1904" t="s">
        <v>1998</v>
      </c>
      <c r="L1904">
        <f>IF(G1904="High",3,IF(G1904="Medium",2,1))</f>
        <v>3</v>
      </c>
    </row>
    <row r="1905" spans="1:12">
      <c r="A1905" t="s">
        <v>3931</v>
      </c>
      <c r="B1905" t="s">
        <v>1301</v>
      </c>
      <c r="C1905" t="s">
        <v>1991</v>
      </c>
      <c r="D1905" t="s">
        <v>1992</v>
      </c>
      <c r="E1905" t="s">
        <v>47</v>
      </c>
      <c r="F1905" t="s">
        <v>47</v>
      </c>
      <c r="G1905" t="str">
        <f>INDEX(Risk_Matrix!$B$2:$D$4,MATCH(E1905,Risk_Matrix!$A$2:$A$4,0),MATCH(F1905,Risk_Matrix!$B$1:$D$1,0))</f>
        <v>High</v>
      </c>
      <c r="H1905" s="1">
        <v>46229</v>
      </c>
      <c r="I1905" t="s">
        <v>2015</v>
      </c>
      <c r="J1905" t="s">
        <v>2032</v>
      </c>
      <c r="K1905" t="s">
        <v>1993</v>
      </c>
      <c r="L1905">
        <f>IF(G1905="High",3,IF(G1905="Medium",2,1))</f>
        <v>3</v>
      </c>
    </row>
    <row r="1906" spans="1:12">
      <c r="A1906" t="s">
        <v>3932</v>
      </c>
      <c r="B1906" t="s">
        <v>1301</v>
      </c>
      <c r="C1906" t="s">
        <v>1995</v>
      </c>
      <c r="D1906" t="s">
        <v>2018</v>
      </c>
      <c r="E1906" t="s">
        <v>47</v>
      </c>
      <c r="F1906" t="s">
        <v>47</v>
      </c>
      <c r="G1906" t="str">
        <f>INDEX(Risk_Matrix!$B$2:$D$4,MATCH(E1906,Risk_Matrix!$A$2:$A$4,0),MATCH(F1906,Risk_Matrix!$B$1:$D$1,0))</f>
        <v>High</v>
      </c>
      <c r="H1906" s="1">
        <v>46132</v>
      </c>
      <c r="I1906" t="s">
        <v>2025</v>
      </c>
      <c r="J1906" t="s">
        <v>2026</v>
      </c>
      <c r="K1906" t="s">
        <v>1998</v>
      </c>
      <c r="L1906">
        <f>IF(G1906="High",3,IF(G1906="Medium",2,1))</f>
        <v>3</v>
      </c>
    </row>
    <row r="1907" spans="1:12">
      <c r="A1907" t="s">
        <v>3933</v>
      </c>
      <c r="B1907" t="s">
        <v>1301</v>
      </c>
      <c r="C1907" t="s">
        <v>2000</v>
      </c>
      <c r="D1907" t="s">
        <v>2001</v>
      </c>
      <c r="E1907" t="s">
        <v>57</v>
      </c>
      <c r="F1907" t="s">
        <v>1971</v>
      </c>
      <c r="G1907" t="str">
        <f>INDEX(Risk_Matrix!$B$2:$D$4,MATCH(E1907,Risk_Matrix!$A$2:$A$4,0),MATCH(F1907,Risk_Matrix!$B$1:$D$1,0))</f>
        <v>Low</v>
      </c>
      <c r="H1907" s="1">
        <v>46091</v>
      </c>
      <c r="I1907" t="s">
        <v>2025</v>
      </c>
      <c r="J1907" t="s">
        <v>2026</v>
      </c>
      <c r="K1907" t="s">
        <v>1993</v>
      </c>
      <c r="L1907">
        <f>IF(G1907="High",3,IF(G1907="Medium",2,1))</f>
        <v>1</v>
      </c>
    </row>
    <row r="1908" spans="1:12">
      <c r="A1908" t="s">
        <v>3934</v>
      </c>
      <c r="B1908" t="s">
        <v>1301</v>
      </c>
      <c r="C1908" t="s">
        <v>2005</v>
      </c>
      <c r="D1908" t="s">
        <v>2022</v>
      </c>
      <c r="E1908" t="s">
        <v>47</v>
      </c>
      <c r="F1908" t="s">
        <v>1971</v>
      </c>
      <c r="G1908" t="str">
        <f>INDEX(Risk_Matrix!$B$2:$D$4,MATCH(E1908,Risk_Matrix!$A$2:$A$4,0),MATCH(F1908,Risk_Matrix!$B$1:$D$1,0))</f>
        <v>High</v>
      </c>
      <c r="H1908" s="1">
        <v>46184</v>
      </c>
      <c r="I1908" t="s">
        <v>2025</v>
      </c>
      <c r="J1908" t="s">
        <v>2026</v>
      </c>
      <c r="K1908" t="s">
        <v>1993</v>
      </c>
      <c r="L1908">
        <f>IF(G1908="High",3,IF(G1908="Medium",2,1))</f>
        <v>3</v>
      </c>
    </row>
    <row r="1909" spans="1:12">
      <c r="A1909" t="s">
        <v>3935</v>
      </c>
      <c r="B1909" t="s">
        <v>1301</v>
      </c>
      <c r="C1909" t="s">
        <v>2008</v>
      </c>
      <c r="D1909" t="s">
        <v>2054</v>
      </c>
      <c r="E1909" t="s">
        <v>1971</v>
      </c>
      <c r="F1909" t="s">
        <v>47</v>
      </c>
      <c r="G1909" t="str">
        <f>INDEX(Risk_Matrix!$B$2:$D$4,MATCH(E1909,Risk_Matrix!$A$2:$A$4,0),MATCH(F1909,Risk_Matrix!$B$1:$D$1,0))</f>
        <v>High</v>
      </c>
      <c r="H1909" s="1">
        <v>46217</v>
      </c>
      <c r="I1909" t="s">
        <v>2025</v>
      </c>
      <c r="J1909" t="s">
        <v>2026</v>
      </c>
      <c r="K1909" t="s">
        <v>2010</v>
      </c>
      <c r="L1909">
        <f>IF(G1909="High",3,IF(G1909="Medium",2,1))</f>
        <v>3</v>
      </c>
    </row>
    <row r="1910" spans="1:12">
      <c r="A1910" t="s">
        <v>3936</v>
      </c>
      <c r="B1910" t="s">
        <v>1303</v>
      </c>
      <c r="C1910" t="s">
        <v>1985</v>
      </c>
      <c r="D1910" t="s">
        <v>2028</v>
      </c>
      <c r="E1910" t="s">
        <v>47</v>
      </c>
      <c r="F1910" t="s">
        <v>57</v>
      </c>
      <c r="G1910" t="str">
        <f>INDEX(Risk_Matrix!$B$2:$D$4,MATCH(E1910,Risk_Matrix!$A$2:$A$4,0),MATCH(F1910,Risk_Matrix!$B$1:$D$1,0))</f>
        <v>Medium</v>
      </c>
      <c r="H1910" s="1">
        <v>46145</v>
      </c>
      <c r="I1910" t="s">
        <v>1987</v>
      </c>
      <c r="J1910" t="s">
        <v>1997</v>
      </c>
      <c r="K1910" t="s">
        <v>1998</v>
      </c>
      <c r="L1910">
        <f>IF(G1910="High",3,IF(G1910="Medium",2,1))</f>
        <v>2</v>
      </c>
    </row>
    <row r="1911" spans="1:12">
      <c r="A1911" t="s">
        <v>3937</v>
      </c>
      <c r="B1911" t="s">
        <v>1303</v>
      </c>
      <c r="C1911" t="s">
        <v>1991</v>
      </c>
      <c r="D1911" t="s">
        <v>2014</v>
      </c>
      <c r="E1911" t="s">
        <v>57</v>
      </c>
      <c r="F1911" t="s">
        <v>47</v>
      </c>
      <c r="G1911" t="str">
        <f>INDEX(Risk_Matrix!$B$2:$D$4,MATCH(E1911,Risk_Matrix!$A$2:$A$4,0),MATCH(F1911,Risk_Matrix!$B$1:$D$1,0))</f>
        <v>Medium</v>
      </c>
      <c r="H1911" s="1">
        <v>46199</v>
      </c>
      <c r="I1911" t="s">
        <v>2002</v>
      </c>
      <c r="J1911" t="s">
        <v>2003</v>
      </c>
      <c r="K1911" t="s">
        <v>1993</v>
      </c>
      <c r="L1911">
        <f>IF(G1911="High",3,IF(G1911="Medium",2,1))</f>
        <v>2</v>
      </c>
    </row>
    <row r="1912" spans="1:12">
      <c r="A1912" t="s">
        <v>3938</v>
      </c>
      <c r="B1912" t="s">
        <v>1303</v>
      </c>
      <c r="C1912" t="s">
        <v>1995</v>
      </c>
      <c r="D1912" t="s">
        <v>2150</v>
      </c>
      <c r="E1912" t="s">
        <v>47</v>
      </c>
      <c r="F1912" t="s">
        <v>47</v>
      </c>
      <c r="G1912" t="str">
        <f>INDEX(Risk_Matrix!$B$2:$D$4,MATCH(E1912,Risk_Matrix!$A$2:$A$4,0),MATCH(F1912,Risk_Matrix!$B$1:$D$1,0))</f>
        <v>High</v>
      </c>
      <c r="H1912" s="1">
        <v>46070</v>
      </c>
      <c r="I1912" t="s">
        <v>2025</v>
      </c>
      <c r="J1912" t="s">
        <v>2035</v>
      </c>
      <c r="K1912" t="s">
        <v>2036</v>
      </c>
      <c r="L1912">
        <f>IF(G1912="High",3,IF(G1912="Medium",2,1))</f>
        <v>3</v>
      </c>
    </row>
    <row r="1913" spans="1:12">
      <c r="A1913" t="s">
        <v>3939</v>
      </c>
      <c r="B1913" t="s">
        <v>1303</v>
      </c>
      <c r="C1913" t="s">
        <v>2000</v>
      </c>
      <c r="D1913" t="s">
        <v>2001</v>
      </c>
      <c r="E1913" t="s">
        <v>57</v>
      </c>
      <c r="F1913" t="s">
        <v>57</v>
      </c>
      <c r="G1913" t="str">
        <f>INDEX(Risk_Matrix!$B$2:$D$4,MATCH(E1913,Risk_Matrix!$A$2:$A$4,0),MATCH(F1913,Risk_Matrix!$B$1:$D$1,0))</f>
        <v>Low</v>
      </c>
      <c r="H1913" s="1">
        <v>46218</v>
      </c>
      <c r="I1913" t="s">
        <v>2015</v>
      </c>
      <c r="J1913" t="s">
        <v>2032</v>
      </c>
      <c r="K1913" t="s">
        <v>1989</v>
      </c>
      <c r="L1913">
        <f>IF(G1913="High",3,IF(G1913="Medium",2,1))</f>
        <v>1</v>
      </c>
    </row>
    <row r="1914" spans="1:12">
      <c r="A1914" t="s">
        <v>3940</v>
      </c>
      <c r="B1914" t="s">
        <v>1303</v>
      </c>
      <c r="C1914" t="s">
        <v>2005</v>
      </c>
      <c r="D1914" t="s">
        <v>2022</v>
      </c>
      <c r="E1914" t="s">
        <v>1971</v>
      </c>
      <c r="F1914" t="s">
        <v>57</v>
      </c>
      <c r="G1914" t="str">
        <f>INDEX(Risk_Matrix!$B$2:$D$4,MATCH(E1914,Risk_Matrix!$A$2:$A$4,0),MATCH(F1914,Risk_Matrix!$B$1:$D$1,0))</f>
        <v>Low</v>
      </c>
      <c r="H1914" s="1">
        <v>46114</v>
      </c>
      <c r="I1914" t="s">
        <v>2002</v>
      </c>
      <c r="J1914" t="s">
        <v>2003</v>
      </c>
      <c r="K1914" t="s">
        <v>1993</v>
      </c>
      <c r="L1914">
        <f>IF(G1914="High",3,IF(G1914="Medium",2,1))</f>
        <v>1</v>
      </c>
    </row>
    <row r="1915" spans="1:12">
      <c r="A1915" t="s">
        <v>3941</v>
      </c>
      <c r="B1915" t="s">
        <v>1303</v>
      </c>
      <c r="C1915" t="s">
        <v>2008</v>
      </c>
      <c r="D1915" t="s">
        <v>2054</v>
      </c>
      <c r="E1915" t="s">
        <v>1971</v>
      </c>
      <c r="F1915" t="s">
        <v>57</v>
      </c>
      <c r="G1915" t="str">
        <f>INDEX(Risk_Matrix!$B$2:$D$4,MATCH(E1915,Risk_Matrix!$A$2:$A$4,0),MATCH(F1915,Risk_Matrix!$B$1:$D$1,0))</f>
        <v>Low</v>
      </c>
      <c r="H1915" s="1">
        <v>46126</v>
      </c>
      <c r="I1915" t="s">
        <v>1987</v>
      </c>
      <c r="J1915" t="s">
        <v>1997</v>
      </c>
      <c r="K1915" t="s">
        <v>2010</v>
      </c>
      <c r="L1915">
        <f>IF(G1915="High",3,IF(G1915="Medium",2,1))</f>
        <v>1</v>
      </c>
    </row>
    <row r="1916" spans="1:12">
      <c r="A1916" t="s">
        <v>3942</v>
      </c>
      <c r="B1916" t="s">
        <v>1305</v>
      </c>
      <c r="C1916" t="s">
        <v>1985</v>
      </c>
      <c r="D1916" t="s">
        <v>1986</v>
      </c>
      <c r="E1916" t="s">
        <v>47</v>
      </c>
      <c r="F1916" t="s">
        <v>47</v>
      </c>
      <c r="G1916" t="str">
        <f>INDEX(Risk_Matrix!$B$2:$D$4,MATCH(E1916,Risk_Matrix!$A$2:$A$4,0),MATCH(F1916,Risk_Matrix!$B$1:$D$1,0))</f>
        <v>High</v>
      </c>
      <c r="H1916" s="1">
        <v>46224</v>
      </c>
      <c r="I1916" t="s">
        <v>2015</v>
      </c>
      <c r="J1916" t="s">
        <v>2032</v>
      </c>
      <c r="K1916" t="s">
        <v>1989</v>
      </c>
      <c r="L1916">
        <f>IF(G1916="High",3,IF(G1916="Medium",2,1))</f>
        <v>3</v>
      </c>
    </row>
    <row r="1917" spans="1:12">
      <c r="A1917" t="s">
        <v>3943</v>
      </c>
      <c r="B1917" t="s">
        <v>1305</v>
      </c>
      <c r="C1917" t="s">
        <v>1991</v>
      </c>
      <c r="D1917" t="s">
        <v>2064</v>
      </c>
      <c r="E1917" t="s">
        <v>47</v>
      </c>
      <c r="F1917" t="s">
        <v>1971</v>
      </c>
      <c r="G1917" t="str">
        <f>INDEX(Risk_Matrix!$B$2:$D$4,MATCH(E1917,Risk_Matrix!$A$2:$A$4,0),MATCH(F1917,Risk_Matrix!$B$1:$D$1,0))</f>
        <v>High</v>
      </c>
      <c r="H1917" s="1">
        <v>46171</v>
      </c>
      <c r="I1917" t="s">
        <v>2025</v>
      </c>
      <c r="J1917" t="s">
        <v>2026</v>
      </c>
      <c r="K1917" t="s">
        <v>1993</v>
      </c>
      <c r="L1917">
        <f>IF(G1917="High",3,IF(G1917="Medium",2,1))</f>
        <v>3</v>
      </c>
    </row>
    <row r="1918" spans="1:12">
      <c r="A1918" t="s">
        <v>3944</v>
      </c>
      <c r="B1918" t="s">
        <v>1305</v>
      </c>
      <c r="C1918" t="s">
        <v>1995</v>
      </c>
      <c r="D1918" t="s">
        <v>2034</v>
      </c>
      <c r="E1918" t="s">
        <v>57</v>
      </c>
      <c r="F1918" t="s">
        <v>57</v>
      </c>
      <c r="G1918" t="str">
        <f>INDEX(Risk_Matrix!$B$2:$D$4,MATCH(E1918,Risk_Matrix!$A$2:$A$4,0),MATCH(F1918,Risk_Matrix!$B$1:$D$1,0))</f>
        <v>Low</v>
      </c>
      <c r="H1918" s="1">
        <v>46055</v>
      </c>
      <c r="I1918" t="s">
        <v>1987</v>
      </c>
      <c r="J1918" t="s">
        <v>1997</v>
      </c>
      <c r="K1918" t="s">
        <v>1998</v>
      </c>
      <c r="L1918">
        <f>IF(G1918="High",3,IF(G1918="Medium",2,1))</f>
        <v>1</v>
      </c>
    </row>
    <row r="1919" spans="1:12">
      <c r="A1919" t="s">
        <v>3945</v>
      </c>
      <c r="B1919" t="s">
        <v>1305</v>
      </c>
      <c r="C1919" t="s">
        <v>2000</v>
      </c>
      <c r="D1919" t="s">
        <v>2020</v>
      </c>
      <c r="E1919" t="s">
        <v>1971</v>
      </c>
      <c r="F1919" t="s">
        <v>1971</v>
      </c>
      <c r="G1919" t="str">
        <f>INDEX(Risk_Matrix!$B$2:$D$4,MATCH(E1919,Risk_Matrix!$A$2:$A$4,0),MATCH(F1919,Risk_Matrix!$B$1:$D$1,0))</f>
        <v>Medium</v>
      </c>
      <c r="H1919" s="1">
        <v>46202</v>
      </c>
      <c r="I1919" t="s">
        <v>2015</v>
      </c>
      <c r="J1919" t="s">
        <v>2016</v>
      </c>
      <c r="K1919" t="s">
        <v>1993</v>
      </c>
      <c r="L1919">
        <f>IF(G1919="High",3,IF(G1919="Medium",2,1))</f>
        <v>2</v>
      </c>
    </row>
    <row r="1920" spans="1:12">
      <c r="A1920" t="s">
        <v>3946</v>
      </c>
      <c r="B1920" t="s">
        <v>1305</v>
      </c>
      <c r="C1920" t="s">
        <v>2005</v>
      </c>
      <c r="D1920" t="s">
        <v>2022</v>
      </c>
      <c r="E1920" t="s">
        <v>1971</v>
      </c>
      <c r="F1920" t="s">
        <v>47</v>
      </c>
      <c r="G1920" t="str">
        <f>INDEX(Risk_Matrix!$B$2:$D$4,MATCH(E1920,Risk_Matrix!$A$2:$A$4,0),MATCH(F1920,Risk_Matrix!$B$1:$D$1,0))</f>
        <v>High</v>
      </c>
      <c r="H1920" s="1">
        <v>46145</v>
      </c>
      <c r="I1920" t="s">
        <v>1987</v>
      </c>
      <c r="J1920" t="s">
        <v>1988</v>
      </c>
      <c r="K1920" t="s">
        <v>1993</v>
      </c>
      <c r="L1920">
        <f>IF(G1920="High",3,IF(G1920="Medium",2,1))</f>
        <v>3</v>
      </c>
    </row>
    <row r="1921" spans="1:12">
      <c r="A1921" t="s">
        <v>3947</v>
      </c>
      <c r="B1921" t="s">
        <v>1305</v>
      </c>
      <c r="C1921" t="s">
        <v>2008</v>
      </c>
      <c r="D1921" t="s">
        <v>2024</v>
      </c>
      <c r="E1921" t="s">
        <v>47</v>
      </c>
      <c r="F1921" t="s">
        <v>57</v>
      </c>
      <c r="G1921" t="str">
        <f>INDEX(Risk_Matrix!$B$2:$D$4,MATCH(E1921,Risk_Matrix!$A$2:$A$4,0),MATCH(F1921,Risk_Matrix!$B$1:$D$1,0))</f>
        <v>Medium</v>
      </c>
      <c r="H1921" s="1">
        <v>46202</v>
      </c>
      <c r="I1921" t="s">
        <v>2015</v>
      </c>
      <c r="J1921" t="s">
        <v>2016</v>
      </c>
      <c r="K1921" t="s">
        <v>2010</v>
      </c>
      <c r="L1921">
        <f>IF(G1921="High",3,IF(G1921="Medium",2,1))</f>
        <v>2</v>
      </c>
    </row>
    <row r="1922" spans="1:12">
      <c r="A1922" t="s">
        <v>3948</v>
      </c>
      <c r="B1922" t="s">
        <v>1307</v>
      </c>
      <c r="C1922" t="s">
        <v>1985</v>
      </c>
      <c r="D1922" t="s">
        <v>2062</v>
      </c>
      <c r="E1922" t="s">
        <v>47</v>
      </c>
      <c r="F1922" t="s">
        <v>1971</v>
      </c>
      <c r="G1922" t="str">
        <f>INDEX(Risk_Matrix!$B$2:$D$4,MATCH(E1922,Risk_Matrix!$A$2:$A$4,0),MATCH(F1922,Risk_Matrix!$B$1:$D$1,0))</f>
        <v>High</v>
      </c>
      <c r="H1922" s="1">
        <v>46218</v>
      </c>
      <c r="I1922" t="s">
        <v>2015</v>
      </c>
      <c r="J1922" t="s">
        <v>2032</v>
      </c>
      <c r="K1922" t="s">
        <v>1998</v>
      </c>
      <c r="L1922">
        <f>IF(G1922="High",3,IF(G1922="Medium",2,1))</f>
        <v>3</v>
      </c>
    </row>
    <row r="1923" spans="1:12">
      <c r="A1923" t="s">
        <v>3949</v>
      </c>
      <c r="B1923" t="s">
        <v>1307</v>
      </c>
      <c r="C1923" t="s">
        <v>1991</v>
      </c>
      <c r="D1923" t="s">
        <v>2064</v>
      </c>
      <c r="E1923" t="s">
        <v>47</v>
      </c>
      <c r="F1923" t="s">
        <v>57</v>
      </c>
      <c r="G1923" t="str">
        <f>INDEX(Risk_Matrix!$B$2:$D$4,MATCH(E1923,Risk_Matrix!$A$2:$A$4,0),MATCH(F1923,Risk_Matrix!$B$1:$D$1,0))</f>
        <v>Medium</v>
      </c>
      <c r="H1923" s="1">
        <v>46160</v>
      </c>
      <c r="I1923" t="s">
        <v>2002</v>
      </c>
      <c r="J1923" t="s">
        <v>2029</v>
      </c>
      <c r="K1923" t="s">
        <v>1993</v>
      </c>
      <c r="L1923">
        <f>IF(G1923="High",3,IF(G1923="Medium",2,1))</f>
        <v>2</v>
      </c>
    </row>
    <row r="1924" spans="1:12">
      <c r="A1924" t="s">
        <v>3950</v>
      </c>
      <c r="B1924" t="s">
        <v>1307</v>
      </c>
      <c r="C1924" t="s">
        <v>1995</v>
      </c>
      <c r="D1924" t="s">
        <v>2034</v>
      </c>
      <c r="E1924" t="s">
        <v>1971</v>
      </c>
      <c r="F1924" t="s">
        <v>1971</v>
      </c>
      <c r="G1924" t="str">
        <f>INDEX(Risk_Matrix!$B$2:$D$4,MATCH(E1924,Risk_Matrix!$A$2:$A$4,0),MATCH(F1924,Risk_Matrix!$B$1:$D$1,0))</f>
        <v>Medium</v>
      </c>
      <c r="H1924" s="1">
        <v>46190</v>
      </c>
      <c r="I1924" t="s">
        <v>2015</v>
      </c>
      <c r="J1924" t="s">
        <v>2032</v>
      </c>
      <c r="K1924" t="s">
        <v>1998</v>
      </c>
      <c r="L1924">
        <f>IF(G1924="High",3,IF(G1924="Medium",2,1))</f>
        <v>2</v>
      </c>
    </row>
    <row r="1925" spans="1:12">
      <c r="A1925" t="s">
        <v>3951</v>
      </c>
      <c r="B1925" t="s">
        <v>1307</v>
      </c>
      <c r="C1925" t="s">
        <v>2000</v>
      </c>
      <c r="D1925" t="s">
        <v>2020</v>
      </c>
      <c r="E1925" t="s">
        <v>47</v>
      </c>
      <c r="F1925" t="s">
        <v>57</v>
      </c>
      <c r="G1925" t="str">
        <f>INDEX(Risk_Matrix!$B$2:$D$4,MATCH(E1925,Risk_Matrix!$A$2:$A$4,0),MATCH(F1925,Risk_Matrix!$B$1:$D$1,0))</f>
        <v>Medium</v>
      </c>
      <c r="H1925" s="1">
        <v>46197</v>
      </c>
      <c r="I1925" t="s">
        <v>2015</v>
      </c>
      <c r="J1925" t="s">
        <v>2016</v>
      </c>
      <c r="K1925" t="s">
        <v>1993</v>
      </c>
      <c r="L1925">
        <f>IF(G1925="High",3,IF(G1925="Medium",2,1))</f>
        <v>2</v>
      </c>
    </row>
    <row r="1926" spans="1:12">
      <c r="A1926" t="s">
        <v>3952</v>
      </c>
      <c r="B1926" t="s">
        <v>1307</v>
      </c>
      <c r="C1926" t="s">
        <v>2005</v>
      </c>
      <c r="D1926" t="s">
        <v>2006</v>
      </c>
      <c r="E1926" t="s">
        <v>1971</v>
      </c>
      <c r="F1926" t="s">
        <v>47</v>
      </c>
      <c r="G1926" t="str">
        <f>INDEX(Risk_Matrix!$B$2:$D$4,MATCH(E1926,Risk_Matrix!$A$2:$A$4,0),MATCH(F1926,Risk_Matrix!$B$1:$D$1,0))</f>
        <v>High</v>
      </c>
      <c r="H1926" s="1">
        <v>46090</v>
      </c>
      <c r="I1926" t="s">
        <v>2025</v>
      </c>
      <c r="J1926" t="s">
        <v>2026</v>
      </c>
      <c r="K1926" t="s">
        <v>1993</v>
      </c>
      <c r="L1926">
        <f>IF(G1926="High",3,IF(G1926="Medium",2,1))</f>
        <v>3</v>
      </c>
    </row>
    <row r="1927" spans="1:12">
      <c r="A1927" t="s">
        <v>3953</v>
      </c>
      <c r="B1927" t="s">
        <v>1307</v>
      </c>
      <c r="C1927" t="s">
        <v>2008</v>
      </c>
      <c r="D1927" t="s">
        <v>2009</v>
      </c>
      <c r="E1927" t="s">
        <v>57</v>
      </c>
      <c r="F1927" t="s">
        <v>57</v>
      </c>
      <c r="G1927" t="str">
        <f>INDEX(Risk_Matrix!$B$2:$D$4,MATCH(E1927,Risk_Matrix!$A$2:$A$4,0),MATCH(F1927,Risk_Matrix!$B$1:$D$1,0))</f>
        <v>Low</v>
      </c>
      <c r="H1927" s="1">
        <v>46067</v>
      </c>
      <c r="I1927" t="s">
        <v>2025</v>
      </c>
      <c r="J1927" t="s">
        <v>2035</v>
      </c>
      <c r="K1927" t="s">
        <v>2010</v>
      </c>
      <c r="L1927">
        <f>IF(G1927="High",3,IF(G1927="Medium",2,1))</f>
        <v>1</v>
      </c>
    </row>
    <row r="1928" spans="1:12">
      <c r="A1928" t="s">
        <v>3954</v>
      </c>
      <c r="B1928" t="s">
        <v>1309</v>
      </c>
      <c r="C1928" t="s">
        <v>1985</v>
      </c>
      <c r="D1928" t="s">
        <v>2028</v>
      </c>
      <c r="E1928" t="s">
        <v>47</v>
      </c>
      <c r="F1928" t="s">
        <v>57</v>
      </c>
      <c r="G1928" t="str">
        <f>INDEX(Risk_Matrix!$B$2:$D$4,MATCH(E1928,Risk_Matrix!$A$2:$A$4,0),MATCH(F1928,Risk_Matrix!$B$1:$D$1,0))</f>
        <v>Medium</v>
      </c>
      <c r="H1928" s="1">
        <v>46159</v>
      </c>
      <c r="I1928" t="s">
        <v>2015</v>
      </c>
      <c r="J1928" t="s">
        <v>2016</v>
      </c>
      <c r="K1928" t="s">
        <v>1989</v>
      </c>
      <c r="L1928">
        <f>IF(G1928="High",3,IF(G1928="Medium",2,1))</f>
        <v>2</v>
      </c>
    </row>
    <row r="1929" spans="1:12">
      <c r="A1929" t="s">
        <v>3955</v>
      </c>
      <c r="B1929" t="s">
        <v>1309</v>
      </c>
      <c r="C1929" t="s">
        <v>1991</v>
      </c>
      <c r="D1929" t="s">
        <v>2031</v>
      </c>
      <c r="E1929" t="s">
        <v>1971</v>
      </c>
      <c r="F1929" t="s">
        <v>1971</v>
      </c>
      <c r="G1929" t="str">
        <f>INDEX(Risk_Matrix!$B$2:$D$4,MATCH(E1929,Risk_Matrix!$A$2:$A$4,0),MATCH(F1929,Risk_Matrix!$B$1:$D$1,0))</f>
        <v>Medium</v>
      </c>
      <c r="H1929" s="1">
        <v>46120</v>
      </c>
      <c r="I1929" t="s">
        <v>2025</v>
      </c>
      <c r="J1929" t="s">
        <v>2026</v>
      </c>
      <c r="K1929" t="s">
        <v>1993</v>
      </c>
      <c r="L1929">
        <f>IF(G1929="High",3,IF(G1929="Medium",2,1))</f>
        <v>2</v>
      </c>
    </row>
    <row r="1930" spans="1:12">
      <c r="A1930" t="s">
        <v>3956</v>
      </c>
      <c r="B1930" t="s">
        <v>1309</v>
      </c>
      <c r="C1930" t="s">
        <v>1995</v>
      </c>
      <c r="D1930" t="s">
        <v>2018</v>
      </c>
      <c r="E1930" t="s">
        <v>1971</v>
      </c>
      <c r="F1930" t="s">
        <v>47</v>
      </c>
      <c r="G1930" t="str">
        <f>INDEX(Risk_Matrix!$B$2:$D$4,MATCH(E1930,Risk_Matrix!$A$2:$A$4,0),MATCH(F1930,Risk_Matrix!$B$1:$D$1,0))</f>
        <v>High</v>
      </c>
      <c r="H1930" s="1">
        <v>46155</v>
      </c>
      <c r="I1930" t="s">
        <v>2015</v>
      </c>
      <c r="J1930" t="s">
        <v>2016</v>
      </c>
      <c r="K1930" t="s">
        <v>1998</v>
      </c>
      <c r="L1930">
        <f>IF(G1930="High",3,IF(G1930="Medium",2,1))</f>
        <v>3</v>
      </c>
    </row>
    <row r="1931" spans="1:12">
      <c r="A1931" t="s">
        <v>3957</v>
      </c>
      <c r="B1931" t="s">
        <v>1309</v>
      </c>
      <c r="C1931" t="s">
        <v>2000</v>
      </c>
      <c r="D1931" t="s">
        <v>2020</v>
      </c>
      <c r="E1931" t="s">
        <v>1971</v>
      </c>
      <c r="F1931" t="s">
        <v>57</v>
      </c>
      <c r="G1931" t="str">
        <f>INDEX(Risk_Matrix!$B$2:$D$4,MATCH(E1931,Risk_Matrix!$A$2:$A$4,0),MATCH(F1931,Risk_Matrix!$B$1:$D$1,0))</f>
        <v>Low</v>
      </c>
      <c r="H1931" s="1">
        <v>46138</v>
      </c>
      <c r="I1931" t="s">
        <v>2025</v>
      </c>
      <c r="J1931" t="s">
        <v>2035</v>
      </c>
      <c r="K1931" t="s">
        <v>1993</v>
      </c>
      <c r="L1931">
        <f>IF(G1931="High",3,IF(G1931="Medium",2,1))</f>
        <v>1</v>
      </c>
    </row>
    <row r="1932" spans="1:12">
      <c r="A1932" t="s">
        <v>3958</v>
      </c>
      <c r="B1932" t="s">
        <v>1309</v>
      </c>
      <c r="C1932" t="s">
        <v>2005</v>
      </c>
      <c r="D1932" t="s">
        <v>2039</v>
      </c>
      <c r="E1932" t="s">
        <v>57</v>
      </c>
      <c r="F1932" t="s">
        <v>1971</v>
      </c>
      <c r="G1932" t="str">
        <f>INDEX(Risk_Matrix!$B$2:$D$4,MATCH(E1932,Risk_Matrix!$A$2:$A$4,0),MATCH(F1932,Risk_Matrix!$B$1:$D$1,0))</f>
        <v>Low</v>
      </c>
      <c r="H1932" s="1">
        <v>46158</v>
      </c>
      <c r="I1932" t="s">
        <v>2015</v>
      </c>
      <c r="J1932" t="s">
        <v>2032</v>
      </c>
      <c r="K1932" t="s">
        <v>1993</v>
      </c>
      <c r="L1932">
        <f>IF(G1932="High",3,IF(G1932="Medium",2,1))</f>
        <v>1</v>
      </c>
    </row>
    <row r="1933" spans="1:12">
      <c r="A1933" t="s">
        <v>3959</v>
      </c>
      <c r="B1933" t="s">
        <v>1309</v>
      </c>
      <c r="C1933" t="s">
        <v>2008</v>
      </c>
      <c r="D1933" t="s">
        <v>2024</v>
      </c>
      <c r="E1933" t="s">
        <v>47</v>
      </c>
      <c r="F1933" t="s">
        <v>47</v>
      </c>
      <c r="G1933" t="str">
        <f>INDEX(Risk_Matrix!$B$2:$D$4,MATCH(E1933,Risk_Matrix!$A$2:$A$4,0),MATCH(F1933,Risk_Matrix!$B$1:$D$1,0))</f>
        <v>High</v>
      </c>
      <c r="H1933" s="1">
        <v>46203</v>
      </c>
      <c r="I1933" t="s">
        <v>2025</v>
      </c>
      <c r="J1933" t="s">
        <v>2035</v>
      </c>
      <c r="K1933" t="s">
        <v>2010</v>
      </c>
      <c r="L1933">
        <f>IF(G1933="High",3,IF(G1933="Medium",2,1))</f>
        <v>3</v>
      </c>
    </row>
    <row r="1934" spans="1:12">
      <c r="A1934" t="s">
        <v>3960</v>
      </c>
      <c r="B1934" t="s">
        <v>1311</v>
      </c>
      <c r="C1934" t="s">
        <v>1985</v>
      </c>
      <c r="D1934" t="s">
        <v>2028</v>
      </c>
      <c r="E1934" t="s">
        <v>1971</v>
      </c>
      <c r="F1934" t="s">
        <v>47</v>
      </c>
      <c r="G1934" t="str">
        <f>INDEX(Risk_Matrix!$B$2:$D$4,MATCH(E1934,Risk_Matrix!$A$2:$A$4,0),MATCH(F1934,Risk_Matrix!$B$1:$D$1,0))</f>
        <v>High</v>
      </c>
      <c r="H1934" s="1">
        <v>46191</v>
      </c>
      <c r="I1934" t="s">
        <v>2015</v>
      </c>
      <c r="J1934" t="s">
        <v>2016</v>
      </c>
      <c r="K1934" t="s">
        <v>1998</v>
      </c>
      <c r="L1934">
        <f>IF(G1934="High",3,IF(G1934="Medium",2,1))</f>
        <v>3</v>
      </c>
    </row>
    <row r="1935" spans="1:12">
      <c r="A1935" t="s">
        <v>3961</v>
      </c>
      <c r="B1935" t="s">
        <v>1311</v>
      </c>
      <c r="C1935" t="s">
        <v>1991</v>
      </c>
      <c r="D1935" t="s">
        <v>2064</v>
      </c>
      <c r="E1935" t="s">
        <v>47</v>
      </c>
      <c r="F1935" t="s">
        <v>1971</v>
      </c>
      <c r="G1935" t="str">
        <f>INDEX(Risk_Matrix!$B$2:$D$4,MATCH(E1935,Risk_Matrix!$A$2:$A$4,0),MATCH(F1935,Risk_Matrix!$B$1:$D$1,0))</f>
        <v>High</v>
      </c>
      <c r="H1935" s="1">
        <v>46193</v>
      </c>
      <c r="I1935" t="s">
        <v>2015</v>
      </c>
      <c r="J1935" t="s">
        <v>2032</v>
      </c>
      <c r="K1935" t="s">
        <v>1993</v>
      </c>
      <c r="L1935">
        <f>IF(G1935="High",3,IF(G1935="Medium",2,1))</f>
        <v>3</v>
      </c>
    </row>
    <row r="1936" spans="1:12">
      <c r="A1936" t="s">
        <v>3962</v>
      </c>
      <c r="B1936" t="s">
        <v>1311</v>
      </c>
      <c r="C1936" t="s">
        <v>1995</v>
      </c>
      <c r="D1936" t="s">
        <v>1996</v>
      </c>
      <c r="E1936" t="s">
        <v>1971</v>
      </c>
      <c r="F1936" t="s">
        <v>57</v>
      </c>
      <c r="G1936" t="str">
        <f>INDEX(Risk_Matrix!$B$2:$D$4,MATCH(E1936,Risk_Matrix!$A$2:$A$4,0),MATCH(F1936,Risk_Matrix!$B$1:$D$1,0))</f>
        <v>Low</v>
      </c>
      <c r="H1936" s="1">
        <v>46094</v>
      </c>
      <c r="I1936" t="s">
        <v>2002</v>
      </c>
      <c r="J1936" t="s">
        <v>2029</v>
      </c>
      <c r="K1936" t="s">
        <v>1998</v>
      </c>
      <c r="L1936">
        <f>IF(G1936="High",3,IF(G1936="Medium",2,1))</f>
        <v>1</v>
      </c>
    </row>
    <row r="1937" spans="1:12">
      <c r="A1937" t="s">
        <v>3963</v>
      </c>
      <c r="B1937" t="s">
        <v>1311</v>
      </c>
      <c r="C1937" t="s">
        <v>2000</v>
      </c>
      <c r="D1937" t="s">
        <v>2001</v>
      </c>
      <c r="E1937" t="s">
        <v>57</v>
      </c>
      <c r="F1937" t="s">
        <v>1971</v>
      </c>
      <c r="G1937" t="str">
        <f>INDEX(Risk_Matrix!$B$2:$D$4,MATCH(E1937,Risk_Matrix!$A$2:$A$4,0),MATCH(F1937,Risk_Matrix!$B$1:$D$1,0))</f>
        <v>Low</v>
      </c>
      <c r="H1937" s="1">
        <v>46149</v>
      </c>
      <c r="I1937" t="s">
        <v>2002</v>
      </c>
      <c r="J1937" t="s">
        <v>2003</v>
      </c>
      <c r="K1937" t="s">
        <v>1989</v>
      </c>
      <c r="L1937">
        <f>IF(G1937="High",3,IF(G1937="Medium",2,1))</f>
        <v>1</v>
      </c>
    </row>
    <row r="1938" spans="1:12">
      <c r="A1938" t="s">
        <v>3964</v>
      </c>
      <c r="B1938" t="s">
        <v>1311</v>
      </c>
      <c r="C1938" t="s">
        <v>2005</v>
      </c>
      <c r="D1938" t="s">
        <v>2039</v>
      </c>
      <c r="E1938" t="s">
        <v>57</v>
      </c>
      <c r="F1938" t="s">
        <v>57</v>
      </c>
      <c r="G1938" t="str">
        <f>INDEX(Risk_Matrix!$B$2:$D$4,MATCH(E1938,Risk_Matrix!$A$2:$A$4,0),MATCH(F1938,Risk_Matrix!$B$1:$D$1,0))</f>
        <v>Low</v>
      </c>
      <c r="H1938" s="1">
        <v>46107</v>
      </c>
      <c r="I1938" t="s">
        <v>1987</v>
      </c>
      <c r="J1938" t="s">
        <v>1988</v>
      </c>
      <c r="K1938" t="s">
        <v>1993</v>
      </c>
      <c r="L1938">
        <f>IF(G1938="High",3,IF(G1938="Medium",2,1))</f>
        <v>1</v>
      </c>
    </row>
    <row r="1939" spans="1:12">
      <c r="A1939" t="s">
        <v>3965</v>
      </c>
      <c r="B1939" t="s">
        <v>1311</v>
      </c>
      <c r="C1939" t="s">
        <v>2008</v>
      </c>
      <c r="D1939" t="s">
        <v>2024</v>
      </c>
      <c r="E1939" t="s">
        <v>57</v>
      </c>
      <c r="F1939" t="s">
        <v>1971</v>
      </c>
      <c r="G1939" t="str">
        <f>INDEX(Risk_Matrix!$B$2:$D$4,MATCH(E1939,Risk_Matrix!$A$2:$A$4,0),MATCH(F1939,Risk_Matrix!$B$1:$D$1,0))</f>
        <v>Low</v>
      </c>
      <c r="H1939" s="1">
        <v>46085</v>
      </c>
      <c r="I1939" t="s">
        <v>1987</v>
      </c>
      <c r="J1939" t="s">
        <v>1997</v>
      </c>
      <c r="K1939" t="s">
        <v>2010</v>
      </c>
      <c r="L1939">
        <f>IF(G1939="High",3,IF(G1939="Medium",2,1))</f>
        <v>1</v>
      </c>
    </row>
    <row r="1940" spans="1:12">
      <c r="A1940" t="s">
        <v>3966</v>
      </c>
      <c r="B1940" t="s">
        <v>1313</v>
      </c>
      <c r="C1940" t="s">
        <v>1985</v>
      </c>
      <c r="D1940" t="s">
        <v>1986</v>
      </c>
      <c r="E1940" t="s">
        <v>1971</v>
      </c>
      <c r="F1940" t="s">
        <v>1971</v>
      </c>
      <c r="G1940" t="str">
        <f>INDEX(Risk_Matrix!$B$2:$D$4,MATCH(E1940,Risk_Matrix!$A$2:$A$4,0),MATCH(F1940,Risk_Matrix!$B$1:$D$1,0))</f>
        <v>Medium</v>
      </c>
      <c r="H1940" s="1">
        <v>46140</v>
      </c>
      <c r="I1940" t="s">
        <v>1987</v>
      </c>
      <c r="J1940" t="s">
        <v>1997</v>
      </c>
      <c r="K1940" t="s">
        <v>1989</v>
      </c>
      <c r="L1940">
        <f>IF(G1940="High",3,IF(G1940="Medium",2,1))</f>
        <v>2</v>
      </c>
    </row>
    <row r="1941" spans="1:12">
      <c r="A1941" t="s">
        <v>3967</v>
      </c>
      <c r="B1941" t="s">
        <v>1313</v>
      </c>
      <c r="C1941" t="s">
        <v>1991</v>
      </c>
      <c r="D1941" t="s">
        <v>1992</v>
      </c>
      <c r="E1941" t="s">
        <v>57</v>
      </c>
      <c r="F1941" t="s">
        <v>1971</v>
      </c>
      <c r="G1941" t="str">
        <f>INDEX(Risk_Matrix!$B$2:$D$4,MATCH(E1941,Risk_Matrix!$A$2:$A$4,0),MATCH(F1941,Risk_Matrix!$B$1:$D$1,0))</f>
        <v>Low</v>
      </c>
      <c r="H1941" s="1">
        <v>46162</v>
      </c>
      <c r="I1941" t="s">
        <v>2025</v>
      </c>
      <c r="J1941" t="s">
        <v>2026</v>
      </c>
      <c r="K1941" t="s">
        <v>1993</v>
      </c>
      <c r="L1941">
        <f>IF(G1941="High",3,IF(G1941="Medium",2,1))</f>
        <v>1</v>
      </c>
    </row>
    <row r="1942" spans="1:12">
      <c r="A1942" t="s">
        <v>3968</v>
      </c>
      <c r="B1942" t="s">
        <v>1313</v>
      </c>
      <c r="C1942" t="s">
        <v>1995</v>
      </c>
      <c r="D1942" t="s">
        <v>2018</v>
      </c>
      <c r="E1942" t="s">
        <v>1971</v>
      </c>
      <c r="F1942" t="s">
        <v>1971</v>
      </c>
      <c r="G1942" t="str">
        <f>INDEX(Risk_Matrix!$B$2:$D$4,MATCH(E1942,Risk_Matrix!$A$2:$A$4,0),MATCH(F1942,Risk_Matrix!$B$1:$D$1,0))</f>
        <v>Medium</v>
      </c>
      <c r="H1942" s="1">
        <v>46097</v>
      </c>
      <c r="I1942" t="s">
        <v>2025</v>
      </c>
      <c r="J1942" t="s">
        <v>2026</v>
      </c>
      <c r="K1942" t="s">
        <v>2036</v>
      </c>
      <c r="L1942">
        <f>IF(G1942="High",3,IF(G1942="Medium",2,1))</f>
        <v>2</v>
      </c>
    </row>
    <row r="1943" spans="1:12">
      <c r="A1943" t="s">
        <v>3969</v>
      </c>
      <c r="B1943" t="s">
        <v>1313</v>
      </c>
      <c r="C1943" t="s">
        <v>2000</v>
      </c>
      <c r="D1943" t="s">
        <v>2045</v>
      </c>
      <c r="E1943" t="s">
        <v>57</v>
      </c>
      <c r="F1943" t="s">
        <v>1971</v>
      </c>
      <c r="G1943" t="str">
        <f>INDEX(Risk_Matrix!$B$2:$D$4,MATCH(E1943,Risk_Matrix!$A$2:$A$4,0),MATCH(F1943,Risk_Matrix!$B$1:$D$1,0))</f>
        <v>Low</v>
      </c>
      <c r="H1943" s="1">
        <v>46201</v>
      </c>
      <c r="I1943" t="s">
        <v>2025</v>
      </c>
      <c r="J1943" t="s">
        <v>2035</v>
      </c>
      <c r="K1943" t="s">
        <v>1993</v>
      </c>
      <c r="L1943">
        <f>IF(G1943="High",3,IF(G1943="Medium",2,1))</f>
        <v>1</v>
      </c>
    </row>
    <row r="1944" spans="1:12">
      <c r="A1944" t="s">
        <v>3970</v>
      </c>
      <c r="B1944" t="s">
        <v>1313</v>
      </c>
      <c r="C1944" t="s">
        <v>2005</v>
      </c>
      <c r="D1944" t="s">
        <v>2006</v>
      </c>
      <c r="E1944" t="s">
        <v>47</v>
      </c>
      <c r="F1944" t="s">
        <v>47</v>
      </c>
      <c r="G1944" t="str">
        <f>INDEX(Risk_Matrix!$B$2:$D$4,MATCH(E1944,Risk_Matrix!$A$2:$A$4,0),MATCH(F1944,Risk_Matrix!$B$1:$D$1,0))</f>
        <v>High</v>
      </c>
      <c r="H1944" s="1">
        <v>46177</v>
      </c>
      <c r="I1944" t="s">
        <v>1987</v>
      </c>
      <c r="J1944" t="s">
        <v>1988</v>
      </c>
      <c r="K1944" t="s">
        <v>1993</v>
      </c>
      <c r="L1944">
        <f>IF(G1944="High",3,IF(G1944="Medium",2,1))</f>
        <v>3</v>
      </c>
    </row>
    <row r="1945" spans="1:12">
      <c r="A1945" t="s">
        <v>3971</v>
      </c>
      <c r="B1945" t="s">
        <v>1313</v>
      </c>
      <c r="C1945" t="s">
        <v>2008</v>
      </c>
      <c r="D1945" t="s">
        <v>2024</v>
      </c>
      <c r="E1945" t="s">
        <v>1971</v>
      </c>
      <c r="F1945" t="s">
        <v>57</v>
      </c>
      <c r="G1945" t="str">
        <f>INDEX(Risk_Matrix!$B$2:$D$4,MATCH(E1945,Risk_Matrix!$A$2:$A$4,0),MATCH(F1945,Risk_Matrix!$B$1:$D$1,0))</f>
        <v>Low</v>
      </c>
      <c r="H1945" s="1">
        <v>46095</v>
      </c>
      <c r="I1945" t="s">
        <v>1987</v>
      </c>
      <c r="J1945" t="s">
        <v>1988</v>
      </c>
      <c r="K1945" t="s">
        <v>2010</v>
      </c>
      <c r="L1945">
        <f>IF(G1945="High",3,IF(G1945="Medium",2,1))</f>
        <v>1</v>
      </c>
    </row>
    <row r="1946" spans="1:12">
      <c r="A1946" t="s">
        <v>3972</v>
      </c>
      <c r="B1946" t="s">
        <v>1315</v>
      </c>
      <c r="C1946" t="s">
        <v>1985</v>
      </c>
      <c r="D1946" t="s">
        <v>2028</v>
      </c>
      <c r="E1946" t="s">
        <v>1971</v>
      </c>
      <c r="F1946" t="s">
        <v>47</v>
      </c>
      <c r="G1946" t="str">
        <f>INDEX(Risk_Matrix!$B$2:$D$4,MATCH(E1946,Risk_Matrix!$A$2:$A$4,0),MATCH(F1946,Risk_Matrix!$B$1:$D$1,0))</f>
        <v>High</v>
      </c>
      <c r="H1946" s="1">
        <v>46121</v>
      </c>
      <c r="I1946" t="s">
        <v>2025</v>
      </c>
      <c r="J1946" t="s">
        <v>2035</v>
      </c>
      <c r="K1946" t="s">
        <v>1998</v>
      </c>
      <c r="L1946">
        <f>IF(G1946="High",3,IF(G1946="Medium",2,1))</f>
        <v>3</v>
      </c>
    </row>
    <row r="1947" spans="1:12">
      <c r="A1947" t="s">
        <v>3973</v>
      </c>
      <c r="B1947" t="s">
        <v>1315</v>
      </c>
      <c r="C1947" t="s">
        <v>1991</v>
      </c>
      <c r="D1947" t="s">
        <v>2031</v>
      </c>
      <c r="E1947" t="s">
        <v>57</v>
      </c>
      <c r="F1947" t="s">
        <v>1971</v>
      </c>
      <c r="G1947" t="str">
        <f>INDEX(Risk_Matrix!$B$2:$D$4,MATCH(E1947,Risk_Matrix!$A$2:$A$4,0),MATCH(F1947,Risk_Matrix!$B$1:$D$1,0))</f>
        <v>Low</v>
      </c>
      <c r="H1947" s="1">
        <v>46208</v>
      </c>
      <c r="I1947" t="s">
        <v>2015</v>
      </c>
      <c r="J1947" t="s">
        <v>2032</v>
      </c>
      <c r="K1947" t="s">
        <v>1993</v>
      </c>
      <c r="L1947">
        <f>IF(G1947="High",3,IF(G1947="Medium",2,1))</f>
        <v>1</v>
      </c>
    </row>
    <row r="1948" spans="1:12">
      <c r="A1948" t="s">
        <v>3974</v>
      </c>
      <c r="B1948" t="s">
        <v>1315</v>
      </c>
      <c r="C1948" t="s">
        <v>1995</v>
      </c>
      <c r="D1948" t="s">
        <v>2150</v>
      </c>
      <c r="E1948" t="s">
        <v>57</v>
      </c>
      <c r="F1948" t="s">
        <v>1971</v>
      </c>
      <c r="G1948" t="str">
        <f>INDEX(Risk_Matrix!$B$2:$D$4,MATCH(E1948,Risk_Matrix!$A$2:$A$4,0),MATCH(F1948,Risk_Matrix!$B$1:$D$1,0))</f>
        <v>Low</v>
      </c>
      <c r="H1948" s="1">
        <v>46110</v>
      </c>
      <c r="I1948" t="s">
        <v>1987</v>
      </c>
      <c r="J1948" t="s">
        <v>1988</v>
      </c>
      <c r="K1948" t="s">
        <v>2036</v>
      </c>
      <c r="L1948">
        <f>IF(G1948="High",3,IF(G1948="Medium",2,1))</f>
        <v>1</v>
      </c>
    </row>
    <row r="1949" spans="1:12">
      <c r="A1949" t="s">
        <v>3975</v>
      </c>
      <c r="B1949" t="s">
        <v>1315</v>
      </c>
      <c r="C1949" t="s">
        <v>2000</v>
      </c>
      <c r="D1949" t="s">
        <v>2045</v>
      </c>
      <c r="E1949" t="s">
        <v>1971</v>
      </c>
      <c r="F1949" t="s">
        <v>1971</v>
      </c>
      <c r="G1949" t="str">
        <f>INDEX(Risk_Matrix!$B$2:$D$4,MATCH(E1949,Risk_Matrix!$A$2:$A$4,0),MATCH(F1949,Risk_Matrix!$B$1:$D$1,0))</f>
        <v>Medium</v>
      </c>
      <c r="H1949" s="1">
        <v>46129</v>
      </c>
      <c r="I1949" t="s">
        <v>1987</v>
      </c>
      <c r="J1949" t="s">
        <v>1997</v>
      </c>
      <c r="K1949" t="s">
        <v>1993</v>
      </c>
      <c r="L1949">
        <f>IF(G1949="High",3,IF(G1949="Medium",2,1))</f>
        <v>2</v>
      </c>
    </row>
    <row r="1950" spans="1:12">
      <c r="A1950" t="s">
        <v>3976</v>
      </c>
      <c r="B1950" t="s">
        <v>1315</v>
      </c>
      <c r="C1950" t="s">
        <v>2005</v>
      </c>
      <c r="D1950" t="s">
        <v>2039</v>
      </c>
      <c r="E1950" t="s">
        <v>57</v>
      </c>
      <c r="F1950" t="s">
        <v>57</v>
      </c>
      <c r="G1950" t="str">
        <f>INDEX(Risk_Matrix!$B$2:$D$4,MATCH(E1950,Risk_Matrix!$A$2:$A$4,0),MATCH(F1950,Risk_Matrix!$B$1:$D$1,0))</f>
        <v>Low</v>
      </c>
      <c r="H1950" s="1">
        <v>46217</v>
      </c>
      <c r="I1950" t="s">
        <v>2025</v>
      </c>
      <c r="J1950" t="s">
        <v>2035</v>
      </c>
      <c r="K1950" t="s">
        <v>1993</v>
      </c>
      <c r="L1950">
        <f>IF(G1950="High",3,IF(G1950="Medium",2,1))</f>
        <v>1</v>
      </c>
    </row>
    <row r="1951" spans="1:12">
      <c r="A1951" t="s">
        <v>3977</v>
      </c>
      <c r="B1951" t="s">
        <v>1315</v>
      </c>
      <c r="C1951" t="s">
        <v>2008</v>
      </c>
      <c r="D1951" t="s">
        <v>2024</v>
      </c>
      <c r="E1951" t="s">
        <v>1971</v>
      </c>
      <c r="F1951" t="s">
        <v>47</v>
      </c>
      <c r="G1951" t="str">
        <f>INDEX(Risk_Matrix!$B$2:$D$4,MATCH(E1951,Risk_Matrix!$A$2:$A$4,0),MATCH(F1951,Risk_Matrix!$B$1:$D$1,0))</f>
        <v>High</v>
      </c>
      <c r="H1951" s="1">
        <v>46191</v>
      </c>
      <c r="I1951" t="s">
        <v>2015</v>
      </c>
      <c r="J1951" t="s">
        <v>2016</v>
      </c>
      <c r="K1951" t="s">
        <v>2010</v>
      </c>
      <c r="L1951">
        <f>IF(G1951="High",3,IF(G1951="Medium",2,1))</f>
        <v>3</v>
      </c>
    </row>
    <row r="1952" spans="1:12">
      <c r="A1952" t="s">
        <v>3978</v>
      </c>
      <c r="B1952" t="s">
        <v>1318</v>
      </c>
      <c r="C1952" t="s">
        <v>1985</v>
      </c>
      <c r="D1952" t="s">
        <v>2012</v>
      </c>
      <c r="E1952" t="s">
        <v>1971</v>
      </c>
      <c r="F1952" t="s">
        <v>1971</v>
      </c>
      <c r="G1952" t="str">
        <f>INDEX(Risk_Matrix!$B$2:$D$4,MATCH(E1952,Risk_Matrix!$A$2:$A$4,0),MATCH(F1952,Risk_Matrix!$B$1:$D$1,0))</f>
        <v>Medium</v>
      </c>
      <c r="H1952" s="1">
        <v>46186</v>
      </c>
      <c r="I1952" t="s">
        <v>2015</v>
      </c>
      <c r="J1952" t="s">
        <v>2016</v>
      </c>
      <c r="K1952" t="s">
        <v>1998</v>
      </c>
      <c r="L1952">
        <f>IF(G1952="High",3,IF(G1952="Medium",2,1))</f>
        <v>2</v>
      </c>
    </row>
    <row r="1953" spans="1:12">
      <c r="A1953" t="s">
        <v>3979</v>
      </c>
      <c r="B1953" t="s">
        <v>1318</v>
      </c>
      <c r="C1953" t="s">
        <v>1991</v>
      </c>
      <c r="D1953" t="s">
        <v>1992</v>
      </c>
      <c r="E1953" t="s">
        <v>57</v>
      </c>
      <c r="F1953" t="s">
        <v>57</v>
      </c>
      <c r="G1953" t="str">
        <f>INDEX(Risk_Matrix!$B$2:$D$4,MATCH(E1953,Risk_Matrix!$A$2:$A$4,0),MATCH(F1953,Risk_Matrix!$B$1:$D$1,0))</f>
        <v>Low</v>
      </c>
      <c r="H1953" s="1">
        <v>46086</v>
      </c>
      <c r="I1953" t="s">
        <v>2025</v>
      </c>
      <c r="J1953" t="s">
        <v>2026</v>
      </c>
      <c r="K1953" t="s">
        <v>2010</v>
      </c>
      <c r="L1953">
        <f>IF(G1953="High",3,IF(G1953="Medium",2,1))</f>
        <v>1</v>
      </c>
    </row>
    <row r="1954" spans="1:12">
      <c r="A1954" t="s">
        <v>3980</v>
      </c>
      <c r="B1954" t="s">
        <v>1318</v>
      </c>
      <c r="C1954" t="s">
        <v>1995</v>
      </c>
      <c r="D1954" t="s">
        <v>2018</v>
      </c>
      <c r="E1954" t="s">
        <v>47</v>
      </c>
      <c r="F1954" t="s">
        <v>1971</v>
      </c>
      <c r="G1954" t="str">
        <f>INDEX(Risk_Matrix!$B$2:$D$4,MATCH(E1954,Risk_Matrix!$A$2:$A$4,0),MATCH(F1954,Risk_Matrix!$B$1:$D$1,0))</f>
        <v>High</v>
      </c>
      <c r="H1954" s="1">
        <v>46209</v>
      </c>
      <c r="I1954" t="s">
        <v>2025</v>
      </c>
      <c r="J1954" t="s">
        <v>2035</v>
      </c>
      <c r="K1954" t="s">
        <v>1998</v>
      </c>
      <c r="L1954">
        <f>IF(G1954="High",3,IF(G1954="Medium",2,1))</f>
        <v>3</v>
      </c>
    </row>
    <row r="1955" spans="1:12">
      <c r="A1955" t="s">
        <v>3981</v>
      </c>
      <c r="B1955" t="s">
        <v>1318</v>
      </c>
      <c r="C1955" t="s">
        <v>2000</v>
      </c>
      <c r="D1955" t="s">
        <v>2001</v>
      </c>
      <c r="E1955" t="s">
        <v>57</v>
      </c>
      <c r="F1955" t="s">
        <v>57</v>
      </c>
      <c r="G1955" t="str">
        <f>INDEX(Risk_Matrix!$B$2:$D$4,MATCH(E1955,Risk_Matrix!$A$2:$A$4,0),MATCH(F1955,Risk_Matrix!$B$1:$D$1,0))</f>
        <v>Low</v>
      </c>
      <c r="H1955" s="1">
        <v>46230</v>
      </c>
      <c r="I1955" t="s">
        <v>1987</v>
      </c>
      <c r="J1955" t="s">
        <v>1988</v>
      </c>
      <c r="K1955" t="s">
        <v>1993</v>
      </c>
      <c r="L1955">
        <f>IF(G1955="High",3,IF(G1955="Medium",2,1))</f>
        <v>1</v>
      </c>
    </row>
    <row r="1956" spans="1:12">
      <c r="A1956" t="s">
        <v>3982</v>
      </c>
      <c r="B1956" t="s">
        <v>1318</v>
      </c>
      <c r="C1956" t="s">
        <v>2005</v>
      </c>
      <c r="D1956" t="s">
        <v>2022</v>
      </c>
      <c r="E1956" t="s">
        <v>47</v>
      </c>
      <c r="F1956" t="s">
        <v>57</v>
      </c>
      <c r="G1956" t="str">
        <f>INDEX(Risk_Matrix!$B$2:$D$4,MATCH(E1956,Risk_Matrix!$A$2:$A$4,0),MATCH(F1956,Risk_Matrix!$B$1:$D$1,0))</f>
        <v>Medium</v>
      </c>
      <c r="H1956" s="1">
        <v>46071</v>
      </c>
      <c r="I1956" t="s">
        <v>1987</v>
      </c>
      <c r="J1956" t="s">
        <v>1988</v>
      </c>
      <c r="K1956" t="s">
        <v>1993</v>
      </c>
      <c r="L1956">
        <f>IF(G1956="High",3,IF(G1956="Medium",2,1))</f>
        <v>2</v>
      </c>
    </row>
    <row r="1957" spans="1:12">
      <c r="A1957" t="s">
        <v>3983</v>
      </c>
      <c r="B1957" t="s">
        <v>1318</v>
      </c>
      <c r="C1957" t="s">
        <v>2008</v>
      </c>
      <c r="D1957" t="s">
        <v>2054</v>
      </c>
      <c r="E1957" t="s">
        <v>57</v>
      </c>
      <c r="F1957" t="s">
        <v>57</v>
      </c>
      <c r="G1957" t="str">
        <f>INDEX(Risk_Matrix!$B$2:$D$4,MATCH(E1957,Risk_Matrix!$A$2:$A$4,0),MATCH(F1957,Risk_Matrix!$B$1:$D$1,0))</f>
        <v>Low</v>
      </c>
      <c r="H1957" s="1">
        <v>46201</v>
      </c>
      <c r="I1957" t="s">
        <v>2015</v>
      </c>
      <c r="J1957" t="s">
        <v>2032</v>
      </c>
      <c r="K1957" t="s">
        <v>2010</v>
      </c>
      <c r="L1957">
        <f>IF(G1957="High",3,IF(G1957="Medium",2,1))</f>
        <v>1</v>
      </c>
    </row>
    <row r="1958" spans="1:12">
      <c r="A1958" t="s">
        <v>3984</v>
      </c>
      <c r="B1958" t="s">
        <v>1320</v>
      </c>
      <c r="C1958" t="s">
        <v>1985</v>
      </c>
      <c r="D1958" t="s">
        <v>2062</v>
      </c>
      <c r="E1958" t="s">
        <v>47</v>
      </c>
      <c r="F1958" t="s">
        <v>1971</v>
      </c>
      <c r="G1958" t="str">
        <f>INDEX(Risk_Matrix!$B$2:$D$4,MATCH(E1958,Risk_Matrix!$A$2:$A$4,0),MATCH(F1958,Risk_Matrix!$B$1:$D$1,0))</f>
        <v>High</v>
      </c>
      <c r="H1958" s="1">
        <v>46167</v>
      </c>
      <c r="I1958" t="s">
        <v>2015</v>
      </c>
      <c r="J1958" t="s">
        <v>2016</v>
      </c>
      <c r="K1958" t="s">
        <v>1998</v>
      </c>
      <c r="L1958">
        <f>IF(G1958="High",3,IF(G1958="Medium",2,1))</f>
        <v>3</v>
      </c>
    </row>
    <row r="1959" spans="1:12">
      <c r="A1959" t="s">
        <v>3985</v>
      </c>
      <c r="B1959" t="s">
        <v>1320</v>
      </c>
      <c r="C1959" t="s">
        <v>1991</v>
      </c>
      <c r="D1959" t="s">
        <v>2031</v>
      </c>
      <c r="E1959" t="s">
        <v>57</v>
      </c>
      <c r="F1959" t="s">
        <v>57</v>
      </c>
      <c r="G1959" t="str">
        <f>INDEX(Risk_Matrix!$B$2:$D$4,MATCH(E1959,Risk_Matrix!$A$2:$A$4,0),MATCH(F1959,Risk_Matrix!$B$1:$D$1,0))</f>
        <v>Low</v>
      </c>
      <c r="H1959" s="1">
        <v>46105</v>
      </c>
      <c r="I1959" t="s">
        <v>2025</v>
      </c>
      <c r="J1959" t="s">
        <v>2035</v>
      </c>
      <c r="K1959" t="s">
        <v>1993</v>
      </c>
      <c r="L1959">
        <f>IF(G1959="High",3,IF(G1959="Medium",2,1))</f>
        <v>1</v>
      </c>
    </row>
    <row r="1960" spans="1:12">
      <c r="A1960" t="s">
        <v>3986</v>
      </c>
      <c r="B1960" t="s">
        <v>1320</v>
      </c>
      <c r="C1960" t="s">
        <v>1995</v>
      </c>
      <c r="D1960" t="s">
        <v>2018</v>
      </c>
      <c r="E1960" t="s">
        <v>1971</v>
      </c>
      <c r="F1960" t="s">
        <v>47</v>
      </c>
      <c r="G1960" t="str">
        <f>INDEX(Risk_Matrix!$B$2:$D$4,MATCH(E1960,Risk_Matrix!$A$2:$A$4,0),MATCH(F1960,Risk_Matrix!$B$1:$D$1,0))</f>
        <v>High</v>
      </c>
      <c r="H1960" s="1">
        <v>46231</v>
      </c>
      <c r="I1960" t="s">
        <v>1987</v>
      </c>
      <c r="J1960" t="s">
        <v>1988</v>
      </c>
      <c r="K1960" t="s">
        <v>1998</v>
      </c>
      <c r="L1960">
        <f>IF(G1960="High",3,IF(G1960="Medium",2,1))</f>
        <v>3</v>
      </c>
    </row>
    <row r="1961" spans="1:12">
      <c r="A1961" t="s">
        <v>3987</v>
      </c>
      <c r="B1961" t="s">
        <v>1320</v>
      </c>
      <c r="C1961" t="s">
        <v>2000</v>
      </c>
      <c r="D1961" t="s">
        <v>2020</v>
      </c>
      <c r="E1961" t="s">
        <v>57</v>
      </c>
      <c r="F1961" t="s">
        <v>1971</v>
      </c>
      <c r="G1961" t="str">
        <f>INDEX(Risk_Matrix!$B$2:$D$4,MATCH(E1961,Risk_Matrix!$A$2:$A$4,0),MATCH(F1961,Risk_Matrix!$B$1:$D$1,0))</f>
        <v>Low</v>
      </c>
      <c r="H1961" s="1">
        <v>46136</v>
      </c>
      <c r="I1961" t="s">
        <v>2002</v>
      </c>
      <c r="J1961" t="s">
        <v>2029</v>
      </c>
      <c r="K1961" t="s">
        <v>1993</v>
      </c>
      <c r="L1961">
        <f>IF(G1961="High",3,IF(G1961="Medium",2,1))</f>
        <v>1</v>
      </c>
    </row>
    <row r="1962" spans="1:12">
      <c r="A1962" t="s">
        <v>3988</v>
      </c>
      <c r="B1962" t="s">
        <v>1320</v>
      </c>
      <c r="C1962" t="s">
        <v>2005</v>
      </c>
      <c r="D1962" t="s">
        <v>2022</v>
      </c>
      <c r="E1962" t="s">
        <v>57</v>
      </c>
      <c r="F1962" t="s">
        <v>57</v>
      </c>
      <c r="G1962" t="str">
        <f>INDEX(Risk_Matrix!$B$2:$D$4,MATCH(E1962,Risk_Matrix!$A$2:$A$4,0),MATCH(F1962,Risk_Matrix!$B$1:$D$1,0))</f>
        <v>Low</v>
      </c>
      <c r="H1962" s="1">
        <v>46135</v>
      </c>
      <c r="I1962" t="s">
        <v>2025</v>
      </c>
      <c r="J1962" t="s">
        <v>2035</v>
      </c>
      <c r="K1962" t="s">
        <v>1993</v>
      </c>
      <c r="L1962">
        <f>IF(G1962="High",3,IF(G1962="Medium",2,1))</f>
        <v>1</v>
      </c>
    </row>
    <row r="1963" spans="1:12">
      <c r="A1963" t="s">
        <v>3989</v>
      </c>
      <c r="B1963" t="s">
        <v>1320</v>
      </c>
      <c r="C1963" t="s">
        <v>2008</v>
      </c>
      <c r="D1963" t="s">
        <v>2024</v>
      </c>
      <c r="E1963" t="s">
        <v>57</v>
      </c>
      <c r="F1963" t="s">
        <v>1971</v>
      </c>
      <c r="G1963" t="str">
        <f>INDEX(Risk_Matrix!$B$2:$D$4,MATCH(E1963,Risk_Matrix!$A$2:$A$4,0),MATCH(F1963,Risk_Matrix!$B$1:$D$1,0))</f>
        <v>Low</v>
      </c>
      <c r="H1963" s="1">
        <v>46065</v>
      </c>
      <c r="I1963" t="s">
        <v>2002</v>
      </c>
      <c r="J1963" t="s">
        <v>2003</v>
      </c>
      <c r="K1963" t="s">
        <v>2010</v>
      </c>
      <c r="L1963">
        <f>IF(G1963="High",3,IF(G1963="Medium",2,1))</f>
        <v>1</v>
      </c>
    </row>
    <row r="1964" spans="1:12">
      <c r="A1964" t="s">
        <v>3990</v>
      </c>
      <c r="B1964" t="s">
        <v>1322</v>
      </c>
      <c r="C1964" t="s">
        <v>1985</v>
      </c>
      <c r="D1964" t="s">
        <v>2012</v>
      </c>
      <c r="E1964" t="s">
        <v>1971</v>
      </c>
      <c r="F1964" t="s">
        <v>47</v>
      </c>
      <c r="G1964" t="str">
        <f>INDEX(Risk_Matrix!$B$2:$D$4,MATCH(E1964,Risk_Matrix!$A$2:$A$4,0),MATCH(F1964,Risk_Matrix!$B$1:$D$1,0))</f>
        <v>High</v>
      </c>
      <c r="H1964" s="1">
        <v>46134</v>
      </c>
      <c r="I1964" t="s">
        <v>2025</v>
      </c>
      <c r="J1964" t="s">
        <v>2026</v>
      </c>
      <c r="K1964" t="s">
        <v>1998</v>
      </c>
      <c r="L1964">
        <f>IF(G1964="High",3,IF(G1964="Medium",2,1))</f>
        <v>3</v>
      </c>
    </row>
    <row r="1965" spans="1:12">
      <c r="A1965" t="s">
        <v>3991</v>
      </c>
      <c r="B1965" t="s">
        <v>1322</v>
      </c>
      <c r="C1965" t="s">
        <v>1991</v>
      </c>
      <c r="D1965" t="s">
        <v>2064</v>
      </c>
      <c r="E1965" t="s">
        <v>47</v>
      </c>
      <c r="F1965" t="s">
        <v>1971</v>
      </c>
      <c r="G1965" t="str">
        <f>INDEX(Risk_Matrix!$B$2:$D$4,MATCH(E1965,Risk_Matrix!$A$2:$A$4,0),MATCH(F1965,Risk_Matrix!$B$1:$D$1,0))</f>
        <v>High</v>
      </c>
      <c r="H1965" s="1">
        <v>46217</v>
      </c>
      <c r="I1965" t="s">
        <v>2015</v>
      </c>
      <c r="J1965" t="s">
        <v>2016</v>
      </c>
      <c r="K1965" t="s">
        <v>2010</v>
      </c>
      <c r="L1965">
        <f>IF(G1965="High",3,IF(G1965="Medium",2,1))</f>
        <v>3</v>
      </c>
    </row>
    <row r="1966" spans="1:12">
      <c r="A1966" t="s">
        <v>3992</v>
      </c>
      <c r="B1966" t="s">
        <v>1322</v>
      </c>
      <c r="C1966" t="s">
        <v>1995</v>
      </c>
      <c r="D1966" t="s">
        <v>2018</v>
      </c>
      <c r="E1966" t="s">
        <v>47</v>
      </c>
      <c r="F1966" t="s">
        <v>47</v>
      </c>
      <c r="G1966" t="str">
        <f>INDEX(Risk_Matrix!$B$2:$D$4,MATCH(E1966,Risk_Matrix!$A$2:$A$4,0),MATCH(F1966,Risk_Matrix!$B$1:$D$1,0))</f>
        <v>High</v>
      </c>
      <c r="H1966" s="1">
        <v>46197</v>
      </c>
      <c r="I1966" t="s">
        <v>2015</v>
      </c>
      <c r="J1966" t="s">
        <v>2016</v>
      </c>
      <c r="K1966" t="s">
        <v>2036</v>
      </c>
      <c r="L1966">
        <f>IF(G1966="High",3,IF(G1966="Medium",2,1))</f>
        <v>3</v>
      </c>
    </row>
    <row r="1967" spans="1:12">
      <c r="A1967" t="s">
        <v>3993</v>
      </c>
      <c r="B1967" t="s">
        <v>1322</v>
      </c>
      <c r="C1967" t="s">
        <v>2000</v>
      </c>
      <c r="D1967" t="s">
        <v>2020</v>
      </c>
      <c r="E1967" t="s">
        <v>1971</v>
      </c>
      <c r="F1967" t="s">
        <v>1971</v>
      </c>
      <c r="G1967" t="str">
        <f>INDEX(Risk_Matrix!$B$2:$D$4,MATCH(E1967,Risk_Matrix!$A$2:$A$4,0),MATCH(F1967,Risk_Matrix!$B$1:$D$1,0))</f>
        <v>Medium</v>
      </c>
      <c r="H1967" s="1">
        <v>46213</v>
      </c>
      <c r="I1967" t="s">
        <v>2025</v>
      </c>
      <c r="J1967" t="s">
        <v>2026</v>
      </c>
      <c r="K1967" t="s">
        <v>1989</v>
      </c>
      <c r="L1967">
        <f>IF(G1967="High",3,IF(G1967="Medium",2,1))</f>
        <v>2</v>
      </c>
    </row>
    <row r="1968" spans="1:12">
      <c r="A1968" t="s">
        <v>3994</v>
      </c>
      <c r="B1968" t="s">
        <v>1322</v>
      </c>
      <c r="C1968" t="s">
        <v>2005</v>
      </c>
      <c r="D1968" t="s">
        <v>2022</v>
      </c>
      <c r="E1968" t="s">
        <v>47</v>
      </c>
      <c r="F1968" t="s">
        <v>1971</v>
      </c>
      <c r="G1968" t="str">
        <f>INDEX(Risk_Matrix!$B$2:$D$4,MATCH(E1968,Risk_Matrix!$A$2:$A$4,0),MATCH(F1968,Risk_Matrix!$B$1:$D$1,0))</f>
        <v>High</v>
      </c>
      <c r="H1968" s="1">
        <v>46160</v>
      </c>
      <c r="I1968" t="s">
        <v>2025</v>
      </c>
      <c r="J1968" t="s">
        <v>2026</v>
      </c>
      <c r="K1968" t="s">
        <v>2036</v>
      </c>
      <c r="L1968">
        <f>IF(G1968="High",3,IF(G1968="Medium",2,1))</f>
        <v>3</v>
      </c>
    </row>
    <row r="1969" spans="1:12">
      <c r="A1969" t="s">
        <v>3995</v>
      </c>
      <c r="B1969" t="s">
        <v>1322</v>
      </c>
      <c r="C1969" t="s">
        <v>2008</v>
      </c>
      <c r="D1969" t="s">
        <v>2054</v>
      </c>
      <c r="E1969" t="s">
        <v>47</v>
      </c>
      <c r="F1969" t="s">
        <v>1971</v>
      </c>
      <c r="G1969" t="str">
        <f>INDEX(Risk_Matrix!$B$2:$D$4,MATCH(E1969,Risk_Matrix!$A$2:$A$4,0),MATCH(F1969,Risk_Matrix!$B$1:$D$1,0))</f>
        <v>High</v>
      </c>
      <c r="H1969" s="1">
        <v>46117</v>
      </c>
      <c r="I1969" t="s">
        <v>2002</v>
      </c>
      <c r="J1969" t="s">
        <v>2029</v>
      </c>
      <c r="K1969" t="s">
        <v>2010</v>
      </c>
      <c r="L1969">
        <f>IF(G1969="High",3,IF(G1969="Medium",2,1))</f>
        <v>3</v>
      </c>
    </row>
    <row r="1970" spans="1:12">
      <c r="A1970" t="s">
        <v>3996</v>
      </c>
      <c r="B1970" t="s">
        <v>1324</v>
      </c>
      <c r="C1970" t="s">
        <v>1985</v>
      </c>
      <c r="D1970" t="s">
        <v>2062</v>
      </c>
      <c r="E1970" t="s">
        <v>1971</v>
      </c>
      <c r="F1970" t="s">
        <v>57</v>
      </c>
      <c r="G1970" t="str">
        <f>INDEX(Risk_Matrix!$B$2:$D$4,MATCH(E1970,Risk_Matrix!$A$2:$A$4,0),MATCH(F1970,Risk_Matrix!$B$1:$D$1,0))</f>
        <v>Low</v>
      </c>
      <c r="H1970" s="1">
        <v>46161</v>
      </c>
      <c r="I1970" t="s">
        <v>1987</v>
      </c>
      <c r="J1970" t="s">
        <v>1988</v>
      </c>
      <c r="K1970" t="s">
        <v>1989</v>
      </c>
      <c r="L1970">
        <f>IF(G1970="High",3,IF(G1970="Medium",2,1))</f>
        <v>1</v>
      </c>
    </row>
    <row r="1971" spans="1:12">
      <c r="A1971" t="s">
        <v>3997</v>
      </c>
      <c r="B1971" t="s">
        <v>1324</v>
      </c>
      <c r="C1971" t="s">
        <v>1991</v>
      </c>
      <c r="D1971" t="s">
        <v>2031</v>
      </c>
      <c r="E1971" t="s">
        <v>47</v>
      </c>
      <c r="F1971" t="s">
        <v>1971</v>
      </c>
      <c r="G1971" t="str">
        <f>INDEX(Risk_Matrix!$B$2:$D$4,MATCH(E1971,Risk_Matrix!$A$2:$A$4,0),MATCH(F1971,Risk_Matrix!$B$1:$D$1,0))</f>
        <v>High</v>
      </c>
      <c r="H1971" s="1">
        <v>46198</v>
      </c>
      <c r="I1971" t="s">
        <v>2015</v>
      </c>
      <c r="J1971" t="s">
        <v>2032</v>
      </c>
      <c r="K1971" t="s">
        <v>2010</v>
      </c>
      <c r="L1971">
        <f>IF(G1971="High",3,IF(G1971="Medium",2,1))</f>
        <v>3</v>
      </c>
    </row>
    <row r="1972" spans="1:12">
      <c r="A1972" t="s">
        <v>3998</v>
      </c>
      <c r="B1972" t="s">
        <v>1324</v>
      </c>
      <c r="C1972" t="s">
        <v>1995</v>
      </c>
      <c r="D1972" t="s">
        <v>2034</v>
      </c>
      <c r="E1972" t="s">
        <v>57</v>
      </c>
      <c r="F1972" t="s">
        <v>57</v>
      </c>
      <c r="G1972" t="str">
        <f>INDEX(Risk_Matrix!$B$2:$D$4,MATCH(E1972,Risk_Matrix!$A$2:$A$4,0),MATCH(F1972,Risk_Matrix!$B$1:$D$1,0))</f>
        <v>Low</v>
      </c>
      <c r="H1972" s="1">
        <v>46097</v>
      </c>
      <c r="I1972" t="s">
        <v>2025</v>
      </c>
      <c r="J1972" t="s">
        <v>2035</v>
      </c>
      <c r="K1972" t="s">
        <v>1998</v>
      </c>
      <c r="L1972">
        <f>IF(G1972="High",3,IF(G1972="Medium",2,1))</f>
        <v>1</v>
      </c>
    </row>
    <row r="1973" spans="1:12">
      <c r="A1973" t="s">
        <v>3999</v>
      </c>
      <c r="B1973" t="s">
        <v>1324</v>
      </c>
      <c r="C1973" t="s">
        <v>2000</v>
      </c>
      <c r="D1973" t="s">
        <v>2001</v>
      </c>
      <c r="E1973" t="s">
        <v>47</v>
      </c>
      <c r="F1973" t="s">
        <v>47</v>
      </c>
      <c r="G1973" t="str">
        <f>INDEX(Risk_Matrix!$B$2:$D$4,MATCH(E1973,Risk_Matrix!$A$2:$A$4,0),MATCH(F1973,Risk_Matrix!$B$1:$D$1,0))</f>
        <v>High</v>
      </c>
      <c r="H1973" s="1">
        <v>46213</v>
      </c>
      <c r="I1973" t="s">
        <v>2015</v>
      </c>
      <c r="J1973" t="s">
        <v>2032</v>
      </c>
      <c r="K1973" t="s">
        <v>1989</v>
      </c>
      <c r="L1973">
        <f>IF(G1973="High",3,IF(G1973="Medium",2,1))</f>
        <v>3</v>
      </c>
    </row>
    <row r="1974" spans="1:12">
      <c r="A1974" t="s">
        <v>4000</v>
      </c>
      <c r="B1974" t="s">
        <v>1324</v>
      </c>
      <c r="C1974" t="s">
        <v>2005</v>
      </c>
      <c r="D1974" t="s">
        <v>2006</v>
      </c>
      <c r="E1974" t="s">
        <v>57</v>
      </c>
      <c r="F1974" t="s">
        <v>57</v>
      </c>
      <c r="G1974" t="str">
        <f>INDEX(Risk_Matrix!$B$2:$D$4,MATCH(E1974,Risk_Matrix!$A$2:$A$4,0),MATCH(F1974,Risk_Matrix!$B$1:$D$1,0))</f>
        <v>Low</v>
      </c>
      <c r="H1974" s="1">
        <v>46211</v>
      </c>
      <c r="I1974" t="s">
        <v>2015</v>
      </c>
      <c r="J1974" t="s">
        <v>2016</v>
      </c>
      <c r="K1974" t="s">
        <v>1993</v>
      </c>
      <c r="L1974">
        <f>IF(G1974="High",3,IF(G1974="Medium",2,1))</f>
        <v>1</v>
      </c>
    </row>
    <row r="1975" spans="1:12">
      <c r="A1975" t="s">
        <v>4001</v>
      </c>
      <c r="B1975" t="s">
        <v>1324</v>
      </c>
      <c r="C1975" t="s">
        <v>2008</v>
      </c>
      <c r="D1975" t="s">
        <v>2024</v>
      </c>
      <c r="E1975" t="s">
        <v>57</v>
      </c>
      <c r="F1975" t="s">
        <v>47</v>
      </c>
      <c r="G1975" t="str">
        <f>INDEX(Risk_Matrix!$B$2:$D$4,MATCH(E1975,Risk_Matrix!$A$2:$A$4,0),MATCH(F1975,Risk_Matrix!$B$1:$D$1,0))</f>
        <v>Medium</v>
      </c>
      <c r="H1975" s="1">
        <v>46232</v>
      </c>
      <c r="I1975" t="s">
        <v>1987</v>
      </c>
      <c r="J1975" t="s">
        <v>1997</v>
      </c>
      <c r="K1975" t="s">
        <v>2010</v>
      </c>
      <c r="L1975">
        <f>IF(G1975="High",3,IF(G1975="Medium",2,1))</f>
        <v>2</v>
      </c>
    </row>
    <row r="1976" spans="1:12">
      <c r="A1976" t="s">
        <v>4002</v>
      </c>
      <c r="B1976" t="s">
        <v>1326</v>
      </c>
      <c r="C1976" t="s">
        <v>1985</v>
      </c>
      <c r="D1976" t="s">
        <v>1986</v>
      </c>
      <c r="E1976" t="s">
        <v>1971</v>
      </c>
      <c r="F1976" t="s">
        <v>57</v>
      </c>
      <c r="G1976" t="str">
        <f>INDEX(Risk_Matrix!$B$2:$D$4,MATCH(E1976,Risk_Matrix!$A$2:$A$4,0),MATCH(F1976,Risk_Matrix!$B$1:$D$1,0))</f>
        <v>Low</v>
      </c>
      <c r="H1976" s="1">
        <v>46207</v>
      </c>
      <c r="I1976" t="s">
        <v>2025</v>
      </c>
      <c r="J1976" t="s">
        <v>2026</v>
      </c>
      <c r="K1976" t="s">
        <v>1998</v>
      </c>
      <c r="L1976">
        <f>IF(G1976="High",3,IF(G1976="Medium",2,1))</f>
        <v>1</v>
      </c>
    </row>
    <row r="1977" spans="1:12">
      <c r="A1977" t="s">
        <v>4003</v>
      </c>
      <c r="B1977" t="s">
        <v>1326</v>
      </c>
      <c r="C1977" t="s">
        <v>1991</v>
      </c>
      <c r="D1977" t="s">
        <v>1992</v>
      </c>
      <c r="E1977" t="s">
        <v>1971</v>
      </c>
      <c r="F1977" t="s">
        <v>1971</v>
      </c>
      <c r="G1977" t="str">
        <f>INDEX(Risk_Matrix!$B$2:$D$4,MATCH(E1977,Risk_Matrix!$A$2:$A$4,0),MATCH(F1977,Risk_Matrix!$B$1:$D$1,0))</f>
        <v>Medium</v>
      </c>
      <c r="H1977" s="1">
        <v>46198</v>
      </c>
      <c r="I1977" t="s">
        <v>2015</v>
      </c>
      <c r="J1977" t="s">
        <v>2032</v>
      </c>
      <c r="K1977" t="s">
        <v>2010</v>
      </c>
      <c r="L1977">
        <f>IF(G1977="High",3,IF(G1977="Medium",2,1))</f>
        <v>2</v>
      </c>
    </row>
    <row r="1978" spans="1:12">
      <c r="A1978" t="s">
        <v>4004</v>
      </c>
      <c r="B1978" t="s">
        <v>1326</v>
      </c>
      <c r="C1978" t="s">
        <v>1995</v>
      </c>
      <c r="D1978" t="s">
        <v>2034</v>
      </c>
      <c r="E1978" t="s">
        <v>1971</v>
      </c>
      <c r="F1978" t="s">
        <v>47</v>
      </c>
      <c r="G1978" t="str">
        <f>INDEX(Risk_Matrix!$B$2:$D$4,MATCH(E1978,Risk_Matrix!$A$2:$A$4,0),MATCH(F1978,Risk_Matrix!$B$1:$D$1,0))</f>
        <v>High</v>
      </c>
      <c r="H1978" s="1">
        <v>46067</v>
      </c>
      <c r="I1978" t="s">
        <v>2002</v>
      </c>
      <c r="J1978" t="s">
        <v>2029</v>
      </c>
      <c r="K1978" t="s">
        <v>1998</v>
      </c>
      <c r="L1978">
        <f>IF(G1978="High",3,IF(G1978="Medium",2,1))</f>
        <v>3</v>
      </c>
    </row>
    <row r="1979" spans="1:12">
      <c r="A1979" t="s">
        <v>4005</v>
      </c>
      <c r="B1979" t="s">
        <v>1326</v>
      </c>
      <c r="C1979" t="s">
        <v>2000</v>
      </c>
      <c r="D1979" t="s">
        <v>2045</v>
      </c>
      <c r="E1979" t="s">
        <v>1971</v>
      </c>
      <c r="F1979" t="s">
        <v>57</v>
      </c>
      <c r="G1979" t="str">
        <f>INDEX(Risk_Matrix!$B$2:$D$4,MATCH(E1979,Risk_Matrix!$A$2:$A$4,0),MATCH(F1979,Risk_Matrix!$B$1:$D$1,0))</f>
        <v>Low</v>
      </c>
      <c r="H1979" s="1">
        <v>46202</v>
      </c>
      <c r="I1979" t="s">
        <v>2002</v>
      </c>
      <c r="J1979" t="s">
        <v>2029</v>
      </c>
      <c r="K1979" t="s">
        <v>1993</v>
      </c>
      <c r="L1979">
        <f>IF(G1979="High",3,IF(G1979="Medium",2,1))</f>
        <v>1</v>
      </c>
    </row>
    <row r="1980" spans="1:12">
      <c r="A1980" t="s">
        <v>4006</v>
      </c>
      <c r="B1980" t="s">
        <v>1326</v>
      </c>
      <c r="C1980" t="s">
        <v>2005</v>
      </c>
      <c r="D1980" t="s">
        <v>2006</v>
      </c>
      <c r="E1980" t="s">
        <v>1971</v>
      </c>
      <c r="F1980" t="s">
        <v>57</v>
      </c>
      <c r="G1980" t="str">
        <f>INDEX(Risk_Matrix!$B$2:$D$4,MATCH(E1980,Risk_Matrix!$A$2:$A$4,0),MATCH(F1980,Risk_Matrix!$B$1:$D$1,0))</f>
        <v>Low</v>
      </c>
      <c r="H1980" s="1">
        <v>46204</v>
      </c>
      <c r="I1980" t="s">
        <v>2015</v>
      </c>
      <c r="J1980" t="s">
        <v>2016</v>
      </c>
      <c r="K1980" t="s">
        <v>1993</v>
      </c>
      <c r="L1980">
        <f>IF(G1980="High",3,IF(G1980="Medium",2,1))</f>
        <v>1</v>
      </c>
    </row>
    <row r="1981" spans="1:12">
      <c r="A1981" t="s">
        <v>4007</v>
      </c>
      <c r="B1981" t="s">
        <v>1326</v>
      </c>
      <c r="C1981" t="s">
        <v>2008</v>
      </c>
      <c r="D1981" t="s">
        <v>2009</v>
      </c>
      <c r="E1981" t="s">
        <v>1971</v>
      </c>
      <c r="F1981" t="s">
        <v>57</v>
      </c>
      <c r="G1981" t="str">
        <f>INDEX(Risk_Matrix!$B$2:$D$4,MATCH(E1981,Risk_Matrix!$A$2:$A$4,0),MATCH(F1981,Risk_Matrix!$B$1:$D$1,0))</f>
        <v>Low</v>
      </c>
      <c r="H1981" s="1">
        <v>46139</v>
      </c>
      <c r="I1981" t="s">
        <v>2025</v>
      </c>
      <c r="J1981" t="s">
        <v>2035</v>
      </c>
      <c r="K1981" t="s">
        <v>2010</v>
      </c>
      <c r="L1981">
        <f>IF(G1981="High",3,IF(G1981="Medium",2,1))</f>
        <v>1</v>
      </c>
    </row>
    <row r="1982" spans="1:12">
      <c r="A1982" t="s">
        <v>4008</v>
      </c>
      <c r="B1982" t="s">
        <v>1329</v>
      </c>
      <c r="C1982" t="s">
        <v>1985</v>
      </c>
      <c r="D1982" t="s">
        <v>2062</v>
      </c>
      <c r="E1982" t="s">
        <v>47</v>
      </c>
      <c r="F1982" t="s">
        <v>57</v>
      </c>
      <c r="G1982" t="str">
        <f>INDEX(Risk_Matrix!$B$2:$D$4,MATCH(E1982,Risk_Matrix!$A$2:$A$4,0),MATCH(F1982,Risk_Matrix!$B$1:$D$1,0))</f>
        <v>Medium</v>
      </c>
      <c r="H1982" s="1">
        <v>46138</v>
      </c>
      <c r="I1982" t="s">
        <v>2002</v>
      </c>
      <c r="J1982" t="s">
        <v>2029</v>
      </c>
      <c r="K1982" t="s">
        <v>1998</v>
      </c>
      <c r="L1982">
        <f>IF(G1982="High",3,IF(G1982="Medium",2,1))</f>
        <v>2</v>
      </c>
    </row>
    <row r="1983" spans="1:12">
      <c r="A1983" t="s">
        <v>4009</v>
      </c>
      <c r="B1983" t="s">
        <v>1329</v>
      </c>
      <c r="C1983" t="s">
        <v>1991</v>
      </c>
      <c r="D1983" t="s">
        <v>2031</v>
      </c>
      <c r="E1983" t="s">
        <v>57</v>
      </c>
      <c r="F1983" t="s">
        <v>57</v>
      </c>
      <c r="G1983" t="str">
        <f>INDEX(Risk_Matrix!$B$2:$D$4,MATCH(E1983,Risk_Matrix!$A$2:$A$4,0),MATCH(F1983,Risk_Matrix!$B$1:$D$1,0))</f>
        <v>Low</v>
      </c>
      <c r="H1983" s="1">
        <v>46162</v>
      </c>
      <c r="I1983" t="s">
        <v>2015</v>
      </c>
      <c r="J1983" t="s">
        <v>2016</v>
      </c>
      <c r="K1983" t="s">
        <v>1993</v>
      </c>
      <c r="L1983">
        <f>IF(G1983="High",3,IF(G1983="Medium",2,1))</f>
        <v>1</v>
      </c>
    </row>
    <row r="1984" spans="1:12">
      <c r="A1984" t="s">
        <v>4010</v>
      </c>
      <c r="B1984" t="s">
        <v>1329</v>
      </c>
      <c r="C1984" t="s">
        <v>1995</v>
      </c>
      <c r="D1984" t="s">
        <v>2034</v>
      </c>
      <c r="E1984" t="s">
        <v>57</v>
      </c>
      <c r="F1984" t="s">
        <v>47</v>
      </c>
      <c r="G1984" t="str">
        <f>INDEX(Risk_Matrix!$B$2:$D$4,MATCH(E1984,Risk_Matrix!$A$2:$A$4,0),MATCH(F1984,Risk_Matrix!$B$1:$D$1,0))</f>
        <v>Medium</v>
      </c>
      <c r="H1984" s="1">
        <v>46060</v>
      </c>
      <c r="I1984" t="s">
        <v>1987</v>
      </c>
      <c r="J1984" t="s">
        <v>1988</v>
      </c>
      <c r="K1984" t="s">
        <v>2036</v>
      </c>
      <c r="L1984">
        <f>IF(G1984="High",3,IF(G1984="Medium",2,1))</f>
        <v>2</v>
      </c>
    </row>
    <row r="1985" spans="1:12">
      <c r="A1985" t="s">
        <v>4011</v>
      </c>
      <c r="B1985" t="s">
        <v>1329</v>
      </c>
      <c r="C1985" t="s">
        <v>2000</v>
      </c>
      <c r="D1985" t="s">
        <v>2020</v>
      </c>
      <c r="E1985" t="s">
        <v>1971</v>
      </c>
      <c r="F1985" t="s">
        <v>1971</v>
      </c>
      <c r="G1985" t="str">
        <f>INDEX(Risk_Matrix!$B$2:$D$4,MATCH(E1985,Risk_Matrix!$A$2:$A$4,0),MATCH(F1985,Risk_Matrix!$B$1:$D$1,0))</f>
        <v>Medium</v>
      </c>
      <c r="H1985" s="1">
        <v>46173</v>
      </c>
      <c r="I1985" t="s">
        <v>1987</v>
      </c>
      <c r="J1985" t="s">
        <v>1988</v>
      </c>
      <c r="K1985" t="s">
        <v>1993</v>
      </c>
      <c r="L1985">
        <f>IF(G1985="High",3,IF(G1985="Medium",2,1))</f>
        <v>2</v>
      </c>
    </row>
    <row r="1986" spans="1:12">
      <c r="A1986" t="s">
        <v>4012</v>
      </c>
      <c r="B1986" t="s">
        <v>1329</v>
      </c>
      <c r="C1986" t="s">
        <v>2005</v>
      </c>
      <c r="D1986" t="s">
        <v>2039</v>
      </c>
      <c r="E1986" t="s">
        <v>57</v>
      </c>
      <c r="F1986" t="s">
        <v>47</v>
      </c>
      <c r="G1986" t="str">
        <f>INDEX(Risk_Matrix!$B$2:$D$4,MATCH(E1986,Risk_Matrix!$A$2:$A$4,0),MATCH(F1986,Risk_Matrix!$B$1:$D$1,0))</f>
        <v>Medium</v>
      </c>
      <c r="H1986" s="1">
        <v>46126</v>
      </c>
      <c r="I1986" t="s">
        <v>2025</v>
      </c>
      <c r="J1986" t="s">
        <v>2035</v>
      </c>
      <c r="K1986" t="s">
        <v>1993</v>
      </c>
      <c r="L1986">
        <f>IF(G1986="High",3,IF(G1986="Medium",2,1))</f>
        <v>2</v>
      </c>
    </row>
    <row r="1987" spans="1:12">
      <c r="A1987" t="s">
        <v>4013</v>
      </c>
      <c r="B1987" t="s">
        <v>1329</v>
      </c>
      <c r="C1987" t="s">
        <v>2008</v>
      </c>
      <c r="D1987" t="s">
        <v>2009</v>
      </c>
      <c r="E1987" t="s">
        <v>57</v>
      </c>
      <c r="F1987" t="s">
        <v>57</v>
      </c>
      <c r="G1987" t="str">
        <f>INDEX(Risk_Matrix!$B$2:$D$4,MATCH(E1987,Risk_Matrix!$A$2:$A$4,0),MATCH(F1987,Risk_Matrix!$B$1:$D$1,0))</f>
        <v>Low</v>
      </c>
      <c r="H1987" s="1">
        <v>46203</v>
      </c>
      <c r="I1987" t="s">
        <v>1987</v>
      </c>
      <c r="J1987" t="s">
        <v>1997</v>
      </c>
      <c r="K1987" t="s">
        <v>2010</v>
      </c>
      <c r="L1987">
        <f>IF(G1987="High",3,IF(G1987="Medium",2,1))</f>
        <v>1</v>
      </c>
    </row>
    <row r="1988" spans="1:12">
      <c r="A1988" t="s">
        <v>4014</v>
      </c>
      <c r="B1988" t="s">
        <v>1331</v>
      </c>
      <c r="C1988" t="s">
        <v>1985</v>
      </c>
      <c r="D1988" t="s">
        <v>2062</v>
      </c>
      <c r="E1988" t="s">
        <v>47</v>
      </c>
      <c r="F1988" t="s">
        <v>57</v>
      </c>
      <c r="G1988" t="str">
        <f>INDEX(Risk_Matrix!$B$2:$D$4,MATCH(E1988,Risk_Matrix!$A$2:$A$4,0),MATCH(F1988,Risk_Matrix!$B$1:$D$1,0))</f>
        <v>Medium</v>
      </c>
      <c r="H1988" s="1">
        <v>46208</v>
      </c>
      <c r="I1988" t="s">
        <v>1987</v>
      </c>
      <c r="J1988" t="s">
        <v>1997</v>
      </c>
      <c r="K1988" t="s">
        <v>1989</v>
      </c>
      <c r="L1988">
        <f>IF(G1988="High",3,IF(G1988="Medium",2,1))</f>
        <v>2</v>
      </c>
    </row>
    <row r="1989" spans="1:12">
      <c r="A1989" t="s">
        <v>4015</v>
      </c>
      <c r="B1989" t="s">
        <v>1331</v>
      </c>
      <c r="C1989" t="s">
        <v>1991</v>
      </c>
      <c r="D1989" t="s">
        <v>1992</v>
      </c>
      <c r="E1989" t="s">
        <v>57</v>
      </c>
      <c r="F1989" t="s">
        <v>47</v>
      </c>
      <c r="G1989" t="str">
        <f>INDEX(Risk_Matrix!$B$2:$D$4,MATCH(E1989,Risk_Matrix!$A$2:$A$4,0),MATCH(F1989,Risk_Matrix!$B$1:$D$1,0))</f>
        <v>Medium</v>
      </c>
      <c r="H1989" s="1">
        <v>46169</v>
      </c>
      <c r="I1989" t="s">
        <v>2025</v>
      </c>
      <c r="J1989" t="s">
        <v>2026</v>
      </c>
      <c r="K1989" t="s">
        <v>1993</v>
      </c>
      <c r="L1989">
        <f>IF(G1989="High",3,IF(G1989="Medium",2,1))</f>
        <v>2</v>
      </c>
    </row>
    <row r="1990" spans="1:12">
      <c r="A1990" t="s">
        <v>4016</v>
      </c>
      <c r="B1990" t="s">
        <v>1331</v>
      </c>
      <c r="C1990" t="s">
        <v>1995</v>
      </c>
      <c r="D1990" t="s">
        <v>2034</v>
      </c>
      <c r="E1990" t="s">
        <v>1971</v>
      </c>
      <c r="F1990" t="s">
        <v>57</v>
      </c>
      <c r="G1990" t="str">
        <f>INDEX(Risk_Matrix!$B$2:$D$4,MATCH(E1990,Risk_Matrix!$A$2:$A$4,0),MATCH(F1990,Risk_Matrix!$B$1:$D$1,0))</f>
        <v>Low</v>
      </c>
      <c r="H1990" s="1">
        <v>46106</v>
      </c>
      <c r="I1990" t="s">
        <v>2025</v>
      </c>
      <c r="J1990" t="s">
        <v>2026</v>
      </c>
      <c r="K1990" t="s">
        <v>2036</v>
      </c>
      <c r="L1990">
        <f>IF(G1990="High",3,IF(G1990="Medium",2,1))</f>
        <v>1</v>
      </c>
    </row>
    <row r="1991" spans="1:12">
      <c r="A1991" t="s">
        <v>4017</v>
      </c>
      <c r="B1991" t="s">
        <v>1331</v>
      </c>
      <c r="C1991" t="s">
        <v>2000</v>
      </c>
      <c r="D1991" t="s">
        <v>2001</v>
      </c>
      <c r="E1991" t="s">
        <v>1971</v>
      </c>
      <c r="F1991" t="s">
        <v>47</v>
      </c>
      <c r="G1991" t="str">
        <f>INDEX(Risk_Matrix!$B$2:$D$4,MATCH(E1991,Risk_Matrix!$A$2:$A$4,0),MATCH(F1991,Risk_Matrix!$B$1:$D$1,0))</f>
        <v>High</v>
      </c>
      <c r="H1991" s="1">
        <v>46230</v>
      </c>
      <c r="I1991" t="s">
        <v>2015</v>
      </c>
      <c r="J1991" t="s">
        <v>2016</v>
      </c>
      <c r="K1991" t="s">
        <v>1989</v>
      </c>
      <c r="L1991">
        <f>IF(G1991="High",3,IF(G1991="Medium",2,1))</f>
        <v>3</v>
      </c>
    </row>
    <row r="1992" spans="1:12">
      <c r="A1992" t="s">
        <v>4018</v>
      </c>
      <c r="B1992" t="s">
        <v>1331</v>
      </c>
      <c r="C1992" t="s">
        <v>2005</v>
      </c>
      <c r="D1992" t="s">
        <v>2006</v>
      </c>
      <c r="E1992" t="s">
        <v>57</v>
      </c>
      <c r="F1992" t="s">
        <v>57</v>
      </c>
      <c r="G1992" t="str">
        <f>INDEX(Risk_Matrix!$B$2:$D$4,MATCH(E1992,Risk_Matrix!$A$2:$A$4,0),MATCH(F1992,Risk_Matrix!$B$1:$D$1,0))</f>
        <v>Low</v>
      </c>
      <c r="H1992" s="1">
        <v>46202</v>
      </c>
      <c r="I1992" t="s">
        <v>2015</v>
      </c>
      <c r="J1992" t="s">
        <v>2032</v>
      </c>
      <c r="K1992" t="s">
        <v>1993</v>
      </c>
      <c r="L1992">
        <f>IF(G1992="High",3,IF(G1992="Medium",2,1))</f>
        <v>1</v>
      </c>
    </row>
    <row r="1993" spans="1:12">
      <c r="A1993" t="s">
        <v>4019</v>
      </c>
      <c r="B1993" t="s">
        <v>1331</v>
      </c>
      <c r="C1993" t="s">
        <v>2008</v>
      </c>
      <c r="D1993" t="s">
        <v>2009</v>
      </c>
      <c r="E1993" t="s">
        <v>57</v>
      </c>
      <c r="F1993" t="s">
        <v>1971</v>
      </c>
      <c r="G1993" t="str">
        <f>INDEX(Risk_Matrix!$B$2:$D$4,MATCH(E1993,Risk_Matrix!$A$2:$A$4,0),MATCH(F1993,Risk_Matrix!$B$1:$D$1,0))</f>
        <v>Low</v>
      </c>
      <c r="H1993" s="1">
        <v>46234</v>
      </c>
      <c r="I1993" t="s">
        <v>1987</v>
      </c>
      <c r="J1993" t="s">
        <v>1997</v>
      </c>
      <c r="K1993" t="s">
        <v>2010</v>
      </c>
      <c r="L1993">
        <f>IF(G1993="High",3,IF(G1993="Medium",2,1))</f>
        <v>1</v>
      </c>
    </row>
    <row r="1994" spans="1:12">
      <c r="A1994" t="s">
        <v>4020</v>
      </c>
      <c r="B1994" t="s">
        <v>1332</v>
      </c>
      <c r="C1994" t="s">
        <v>1985</v>
      </c>
      <c r="D1994" t="s">
        <v>1986</v>
      </c>
      <c r="E1994" t="s">
        <v>57</v>
      </c>
      <c r="F1994" t="s">
        <v>57</v>
      </c>
      <c r="G1994" t="str">
        <f>INDEX(Risk_Matrix!$B$2:$D$4,MATCH(E1994,Risk_Matrix!$A$2:$A$4,0),MATCH(F1994,Risk_Matrix!$B$1:$D$1,0))</f>
        <v>Low</v>
      </c>
      <c r="H1994" s="1">
        <v>46163</v>
      </c>
      <c r="I1994" t="s">
        <v>1987</v>
      </c>
      <c r="J1994" t="s">
        <v>1997</v>
      </c>
      <c r="K1994" t="s">
        <v>1989</v>
      </c>
      <c r="L1994">
        <f>IF(G1994="High",3,IF(G1994="Medium",2,1))</f>
        <v>1</v>
      </c>
    </row>
    <row r="1995" spans="1:12">
      <c r="A1995" t="s">
        <v>4021</v>
      </c>
      <c r="B1995" t="s">
        <v>1332</v>
      </c>
      <c r="C1995" t="s">
        <v>1991</v>
      </c>
      <c r="D1995" t="s">
        <v>2064</v>
      </c>
      <c r="E1995" t="s">
        <v>1971</v>
      </c>
      <c r="F1995" t="s">
        <v>47</v>
      </c>
      <c r="G1995" t="str">
        <f>INDEX(Risk_Matrix!$B$2:$D$4,MATCH(E1995,Risk_Matrix!$A$2:$A$4,0),MATCH(F1995,Risk_Matrix!$B$1:$D$1,0))</f>
        <v>High</v>
      </c>
      <c r="H1995" s="1">
        <v>46228</v>
      </c>
      <c r="I1995" t="s">
        <v>2015</v>
      </c>
      <c r="J1995" t="s">
        <v>2032</v>
      </c>
      <c r="K1995" t="s">
        <v>1993</v>
      </c>
      <c r="L1995">
        <f>IF(G1995="High",3,IF(G1995="Medium",2,1))</f>
        <v>3</v>
      </c>
    </row>
    <row r="1996" spans="1:12">
      <c r="A1996" t="s">
        <v>4022</v>
      </c>
      <c r="B1996" t="s">
        <v>1332</v>
      </c>
      <c r="C1996" t="s">
        <v>1995</v>
      </c>
      <c r="D1996" t="s">
        <v>2150</v>
      </c>
      <c r="E1996" t="s">
        <v>57</v>
      </c>
      <c r="F1996" t="s">
        <v>57</v>
      </c>
      <c r="G1996" t="str">
        <f>INDEX(Risk_Matrix!$B$2:$D$4,MATCH(E1996,Risk_Matrix!$A$2:$A$4,0),MATCH(F1996,Risk_Matrix!$B$1:$D$1,0))</f>
        <v>Low</v>
      </c>
      <c r="H1996" s="1">
        <v>46079</v>
      </c>
      <c r="I1996" t="s">
        <v>2025</v>
      </c>
      <c r="J1996" t="s">
        <v>2035</v>
      </c>
      <c r="K1996" t="s">
        <v>2036</v>
      </c>
      <c r="L1996">
        <f>IF(G1996="High",3,IF(G1996="Medium",2,1))</f>
        <v>1</v>
      </c>
    </row>
    <row r="1997" spans="1:12">
      <c r="A1997" t="s">
        <v>4023</v>
      </c>
      <c r="B1997" t="s">
        <v>1332</v>
      </c>
      <c r="C1997" t="s">
        <v>2000</v>
      </c>
      <c r="D1997" t="s">
        <v>2020</v>
      </c>
      <c r="E1997" t="s">
        <v>47</v>
      </c>
      <c r="F1997" t="s">
        <v>57</v>
      </c>
      <c r="G1997" t="str">
        <f>INDEX(Risk_Matrix!$B$2:$D$4,MATCH(E1997,Risk_Matrix!$A$2:$A$4,0),MATCH(F1997,Risk_Matrix!$B$1:$D$1,0))</f>
        <v>Medium</v>
      </c>
      <c r="H1997" s="1">
        <v>46162</v>
      </c>
      <c r="I1997" t="s">
        <v>2015</v>
      </c>
      <c r="J1997" t="s">
        <v>2032</v>
      </c>
      <c r="K1997" t="s">
        <v>1989</v>
      </c>
      <c r="L1997">
        <f>IF(G1997="High",3,IF(G1997="Medium",2,1))</f>
        <v>2</v>
      </c>
    </row>
    <row r="1998" spans="1:12">
      <c r="A1998" t="s">
        <v>4024</v>
      </c>
      <c r="B1998" t="s">
        <v>1332</v>
      </c>
      <c r="C1998" t="s">
        <v>2005</v>
      </c>
      <c r="D1998" t="s">
        <v>2039</v>
      </c>
      <c r="E1998" t="s">
        <v>57</v>
      </c>
      <c r="F1998" t="s">
        <v>1971</v>
      </c>
      <c r="G1998" t="str">
        <f>INDEX(Risk_Matrix!$B$2:$D$4,MATCH(E1998,Risk_Matrix!$A$2:$A$4,0),MATCH(F1998,Risk_Matrix!$B$1:$D$1,0))</f>
        <v>Low</v>
      </c>
      <c r="H1998" s="1">
        <v>46157</v>
      </c>
      <c r="I1998" t="s">
        <v>2015</v>
      </c>
      <c r="J1998" t="s">
        <v>2016</v>
      </c>
      <c r="K1998" t="s">
        <v>1993</v>
      </c>
      <c r="L1998">
        <f>IF(G1998="High",3,IF(G1998="Medium",2,1))</f>
        <v>1</v>
      </c>
    </row>
    <row r="1999" spans="1:12">
      <c r="A1999" t="s">
        <v>4025</v>
      </c>
      <c r="B1999" t="s">
        <v>1332</v>
      </c>
      <c r="C1999" t="s">
        <v>2008</v>
      </c>
      <c r="D1999" t="s">
        <v>2054</v>
      </c>
      <c r="E1999" t="s">
        <v>57</v>
      </c>
      <c r="F1999" t="s">
        <v>57</v>
      </c>
      <c r="G1999" t="str">
        <f>INDEX(Risk_Matrix!$B$2:$D$4,MATCH(E1999,Risk_Matrix!$A$2:$A$4,0),MATCH(F1999,Risk_Matrix!$B$1:$D$1,0))</f>
        <v>Low</v>
      </c>
      <c r="H1999" s="1">
        <v>46191</v>
      </c>
      <c r="I1999" t="s">
        <v>1987</v>
      </c>
      <c r="J1999" t="s">
        <v>1997</v>
      </c>
      <c r="K1999" t="s">
        <v>2010</v>
      </c>
      <c r="L1999">
        <f>IF(G1999="High",3,IF(G1999="Medium",2,1))</f>
        <v>1</v>
      </c>
    </row>
    <row r="2000" spans="1:12">
      <c r="A2000" t="s">
        <v>4026</v>
      </c>
      <c r="B2000" t="s">
        <v>1334</v>
      </c>
      <c r="C2000" t="s">
        <v>1985</v>
      </c>
      <c r="D2000" t="s">
        <v>1986</v>
      </c>
      <c r="E2000" t="s">
        <v>47</v>
      </c>
      <c r="F2000" t="s">
        <v>1971</v>
      </c>
      <c r="G2000" t="str">
        <f>INDEX(Risk_Matrix!$B$2:$D$4,MATCH(E2000,Risk_Matrix!$A$2:$A$4,0),MATCH(F2000,Risk_Matrix!$B$1:$D$1,0))</f>
        <v>High</v>
      </c>
      <c r="H2000" s="1">
        <v>46214</v>
      </c>
      <c r="I2000" t="s">
        <v>2025</v>
      </c>
      <c r="J2000" t="s">
        <v>2035</v>
      </c>
      <c r="K2000" t="s">
        <v>1989</v>
      </c>
      <c r="L2000">
        <f>IF(G2000="High",3,IF(G2000="Medium",2,1))</f>
        <v>3</v>
      </c>
    </row>
    <row r="2001" spans="1:12">
      <c r="A2001" t="s">
        <v>4027</v>
      </c>
      <c r="B2001" t="s">
        <v>1334</v>
      </c>
      <c r="C2001" t="s">
        <v>1991</v>
      </c>
      <c r="D2001" t="s">
        <v>2031</v>
      </c>
      <c r="E2001" t="s">
        <v>47</v>
      </c>
      <c r="F2001" t="s">
        <v>47</v>
      </c>
      <c r="G2001" t="str">
        <f>INDEX(Risk_Matrix!$B$2:$D$4,MATCH(E2001,Risk_Matrix!$A$2:$A$4,0),MATCH(F2001,Risk_Matrix!$B$1:$D$1,0))</f>
        <v>High</v>
      </c>
      <c r="H2001" s="1">
        <v>46195</v>
      </c>
      <c r="I2001" t="s">
        <v>2015</v>
      </c>
      <c r="J2001" t="s">
        <v>2032</v>
      </c>
      <c r="K2001" t="s">
        <v>1993</v>
      </c>
      <c r="L2001">
        <f>IF(G2001="High",3,IF(G2001="Medium",2,1))</f>
        <v>3</v>
      </c>
    </row>
    <row r="2002" spans="1:12">
      <c r="A2002" t="s">
        <v>4028</v>
      </c>
      <c r="B2002" t="s">
        <v>1334</v>
      </c>
      <c r="C2002" t="s">
        <v>1995</v>
      </c>
      <c r="D2002" t="s">
        <v>1996</v>
      </c>
      <c r="E2002" t="s">
        <v>57</v>
      </c>
      <c r="F2002" t="s">
        <v>57</v>
      </c>
      <c r="G2002" t="str">
        <f>INDEX(Risk_Matrix!$B$2:$D$4,MATCH(E2002,Risk_Matrix!$A$2:$A$4,0),MATCH(F2002,Risk_Matrix!$B$1:$D$1,0))</f>
        <v>Low</v>
      </c>
      <c r="H2002" s="1">
        <v>46095</v>
      </c>
      <c r="I2002" t="s">
        <v>2025</v>
      </c>
      <c r="J2002" t="s">
        <v>2035</v>
      </c>
      <c r="K2002" t="s">
        <v>1998</v>
      </c>
      <c r="L2002">
        <f>IF(G2002="High",3,IF(G2002="Medium",2,1))</f>
        <v>1</v>
      </c>
    </row>
    <row r="2003" spans="1:12">
      <c r="A2003" t="s">
        <v>4029</v>
      </c>
      <c r="B2003" t="s">
        <v>1334</v>
      </c>
      <c r="C2003" t="s">
        <v>2000</v>
      </c>
      <c r="D2003" t="s">
        <v>2020</v>
      </c>
      <c r="E2003" t="s">
        <v>57</v>
      </c>
      <c r="F2003" t="s">
        <v>1971</v>
      </c>
      <c r="G2003" t="str">
        <f>INDEX(Risk_Matrix!$B$2:$D$4,MATCH(E2003,Risk_Matrix!$A$2:$A$4,0),MATCH(F2003,Risk_Matrix!$B$1:$D$1,0))</f>
        <v>Low</v>
      </c>
      <c r="H2003" s="1">
        <v>46139</v>
      </c>
      <c r="I2003" t="s">
        <v>2002</v>
      </c>
      <c r="J2003" t="s">
        <v>2003</v>
      </c>
      <c r="K2003" t="s">
        <v>1993</v>
      </c>
      <c r="L2003">
        <f>IF(G2003="High",3,IF(G2003="Medium",2,1))</f>
        <v>1</v>
      </c>
    </row>
    <row r="2004" spans="1:12">
      <c r="A2004" t="s">
        <v>4030</v>
      </c>
      <c r="B2004" t="s">
        <v>1334</v>
      </c>
      <c r="C2004" t="s">
        <v>2005</v>
      </c>
      <c r="D2004" t="s">
        <v>2006</v>
      </c>
      <c r="E2004" t="s">
        <v>1971</v>
      </c>
      <c r="F2004" t="s">
        <v>47</v>
      </c>
      <c r="G2004" t="str">
        <f>INDEX(Risk_Matrix!$B$2:$D$4,MATCH(E2004,Risk_Matrix!$A$2:$A$4,0),MATCH(F2004,Risk_Matrix!$B$1:$D$1,0))</f>
        <v>High</v>
      </c>
      <c r="H2004" s="1">
        <v>46080</v>
      </c>
      <c r="I2004" t="s">
        <v>2025</v>
      </c>
      <c r="J2004" t="s">
        <v>2035</v>
      </c>
      <c r="K2004" t="s">
        <v>1993</v>
      </c>
      <c r="L2004">
        <f>IF(G2004="High",3,IF(G2004="Medium",2,1))</f>
        <v>3</v>
      </c>
    </row>
    <row r="2005" spans="1:12">
      <c r="A2005" t="s">
        <v>4031</v>
      </c>
      <c r="B2005" t="s">
        <v>1334</v>
      </c>
      <c r="C2005" t="s">
        <v>2008</v>
      </c>
      <c r="D2005" t="s">
        <v>2024</v>
      </c>
      <c r="E2005" t="s">
        <v>47</v>
      </c>
      <c r="F2005" t="s">
        <v>57</v>
      </c>
      <c r="G2005" t="str">
        <f>INDEX(Risk_Matrix!$B$2:$D$4,MATCH(E2005,Risk_Matrix!$A$2:$A$4,0),MATCH(F2005,Risk_Matrix!$B$1:$D$1,0))</f>
        <v>Medium</v>
      </c>
      <c r="H2005" s="1">
        <v>46102</v>
      </c>
      <c r="I2005" t="s">
        <v>2025</v>
      </c>
      <c r="J2005" t="s">
        <v>2026</v>
      </c>
      <c r="K2005" t="s">
        <v>2010</v>
      </c>
      <c r="L2005">
        <f>IF(G2005="High",3,IF(G2005="Medium",2,1))</f>
        <v>2</v>
      </c>
    </row>
    <row r="2006" spans="1:12">
      <c r="A2006" t="s">
        <v>4032</v>
      </c>
      <c r="B2006" t="s">
        <v>1336</v>
      </c>
      <c r="C2006" t="s">
        <v>1985</v>
      </c>
      <c r="D2006" t="s">
        <v>2028</v>
      </c>
      <c r="E2006" t="s">
        <v>57</v>
      </c>
      <c r="F2006" t="s">
        <v>47</v>
      </c>
      <c r="G2006" t="str">
        <f>INDEX(Risk_Matrix!$B$2:$D$4,MATCH(E2006,Risk_Matrix!$A$2:$A$4,0),MATCH(F2006,Risk_Matrix!$B$1:$D$1,0))</f>
        <v>Medium</v>
      </c>
      <c r="H2006" s="1">
        <v>46185</v>
      </c>
      <c r="I2006" t="s">
        <v>2025</v>
      </c>
      <c r="J2006" t="s">
        <v>2035</v>
      </c>
      <c r="K2006" t="s">
        <v>1989</v>
      </c>
      <c r="L2006">
        <f>IF(G2006="High",3,IF(G2006="Medium",2,1))</f>
        <v>2</v>
      </c>
    </row>
    <row r="2007" spans="1:12">
      <c r="A2007" t="s">
        <v>4033</v>
      </c>
      <c r="B2007" t="s">
        <v>1336</v>
      </c>
      <c r="C2007" t="s">
        <v>1991</v>
      </c>
      <c r="D2007" t="s">
        <v>2031</v>
      </c>
      <c r="E2007" t="s">
        <v>1971</v>
      </c>
      <c r="F2007" t="s">
        <v>47</v>
      </c>
      <c r="G2007" t="str">
        <f>INDEX(Risk_Matrix!$B$2:$D$4,MATCH(E2007,Risk_Matrix!$A$2:$A$4,0),MATCH(F2007,Risk_Matrix!$B$1:$D$1,0))</f>
        <v>High</v>
      </c>
      <c r="H2007" s="1">
        <v>46121</v>
      </c>
      <c r="I2007" t="s">
        <v>2025</v>
      </c>
      <c r="J2007" t="s">
        <v>2026</v>
      </c>
      <c r="K2007" t="s">
        <v>1993</v>
      </c>
      <c r="L2007">
        <f>IF(G2007="High",3,IF(G2007="Medium",2,1))</f>
        <v>3</v>
      </c>
    </row>
    <row r="2008" spans="1:12">
      <c r="A2008" t="s">
        <v>4034</v>
      </c>
      <c r="B2008" t="s">
        <v>1336</v>
      </c>
      <c r="C2008" t="s">
        <v>1995</v>
      </c>
      <c r="D2008" t="s">
        <v>2018</v>
      </c>
      <c r="E2008" t="s">
        <v>57</v>
      </c>
      <c r="F2008" t="s">
        <v>57</v>
      </c>
      <c r="G2008" t="str">
        <f>INDEX(Risk_Matrix!$B$2:$D$4,MATCH(E2008,Risk_Matrix!$A$2:$A$4,0),MATCH(F2008,Risk_Matrix!$B$1:$D$1,0))</f>
        <v>Low</v>
      </c>
      <c r="H2008" s="1">
        <v>46148</v>
      </c>
      <c r="I2008" t="s">
        <v>2002</v>
      </c>
      <c r="J2008" t="s">
        <v>2029</v>
      </c>
      <c r="K2008" t="s">
        <v>2036</v>
      </c>
      <c r="L2008">
        <f>IF(G2008="High",3,IF(G2008="Medium",2,1))</f>
        <v>1</v>
      </c>
    </row>
    <row r="2009" spans="1:12">
      <c r="A2009" t="s">
        <v>4035</v>
      </c>
      <c r="B2009" t="s">
        <v>1336</v>
      </c>
      <c r="C2009" t="s">
        <v>2000</v>
      </c>
      <c r="D2009" t="s">
        <v>2001</v>
      </c>
      <c r="E2009" t="s">
        <v>57</v>
      </c>
      <c r="F2009" t="s">
        <v>57</v>
      </c>
      <c r="G2009" t="str">
        <f>INDEX(Risk_Matrix!$B$2:$D$4,MATCH(E2009,Risk_Matrix!$A$2:$A$4,0),MATCH(F2009,Risk_Matrix!$B$1:$D$1,0))</f>
        <v>Low</v>
      </c>
      <c r="H2009" s="1">
        <v>46175</v>
      </c>
      <c r="I2009" t="s">
        <v>2025</v>
      </c>
      <c r="J2009" t="s">
        <v>2035</v>
      </c>
      <c r="K2009" t="s">
        <v>1993</v>
      </c>
      <c r="L2009">
        <f>IF(G2009="High",3,IF(G2009="Medium",2,1))</f>
        <v>1</v>
      </c>
    </row>
    <row r="2010" spans="1:12">
      <c r="A2010" t="s">
        <v>4036</v>
      </c>
      <c r="B2010" t="s">
        <v>1336</v>
      </c>
      <c r="C2010" t="s">
        <v>2005</v>
      </c>
      <c r="D2010" t="s">
        <v>2022</v>
      </c>
      <c r="E2010" t="s">
        <v>1971</v>
      </c>
      <c r="F2010" t="s">
        <v>57</v>
      </c>
      <c r="G2010" t="str">
        <f>INDEX(Risk_Matrix!$B$2:$D$4,MATCH(E2010,Risk_Matrix!$A$2:$A$4,0),MATCH(F2010,Risk_Matrix!$B$1:$D$1,0))</f>
        <v>Low</v>
      </c>
      <c r="H2010" s="1">
        <v>46141</v>
      </c>
      <c r="I2010" t="s">
        <v>1987</v>
      </c>
      <c r="J2010" t="s">
        <v>1988</v>
      </c>
      <c r="K2010" t="s">
        <v>1993</v>
      </c>
      <c r="L2010">
        <f>IF(G2010="High",3,IF(G2010="Medium",2,1))</f>
        <v>1</v>
      </c>
    </row>
    <row r="2011" spans="1:12">
      <c r="A2011" t="s">
        <v>4037</v>
      </c>
      <c r="B2011" t="s">
        <v>1336</v>
      </c>
      <c r="C2011" t="s">
        <v>2008</v>
      </c>
      <c r="D2011" t="s">
        <v>2054</v>
      </c>
      <c r="E2011" t="s">
        <v>57</v>
      </c>
      <c r="F2011" t="s">
        <v>57</v>
      </c>
      <c r="G2011" t="str">
        <f>INDEX(Risk_Matrix!$B$2:$D$4,MATCH(E2011,Risk_Matrix!$A$2:$A$4,0),MATCH(F2011,Risk_Matrix!$B$1:$D$1,0))</f>
        <v>Low</v>
      </c>
      <c r="H2011" s="1">
        <v>46109</v>
      </c>
      <c r="I2011" t="s">
        <v>1987</v>
      </c>
      <c r="J2011" t="s">
        <v>1988</v>
      </c>
      <c r="K2011" t="s">
        <v>2010</v>
      </c>
      <c r="L2011">
        <f>IF(G2011="High",3,IF(G2011="Medium",2,1))</f>
        <v>1</v>
      </c>
    </row>
    <row r="2012" spans="1:12">
      <c r="A2012" t="s">
        <v>4038</v>
      </c>
      <c r="B2012" t="s">
        <v>1338</v>
      </c>
      <c r="C2012" t="s">
        <v>1985</v>
      </c>
      <c r="D2012" t="s">
        <v>2028</v>
      </c>
      <c r="E2012" t="s">
        <v>57</v>
      </c>
      <c r="F2012" t="s">
        <v>1971</v>
      </c>
      <c r="G2012" t="str">
        <f>INDEX(Risk_Matrix!$B$2:$D$4,MATCH(E2012,Risk_Matrix!$A$2:$A$4,0),MATCH(F2012,Risk_Matrix!$B$1:$D$1,0))</f>
        <v>Low</v>
      </c>
      <c r="H2012" s="1">
        <v>46201</v>
      </c>
      <c r="I2012" t="s">
        <v>1987</v>
      </c>
      <c r="J2012" t="s">
        <v>1997</v>
      </c>
      <c r="K2012" t="s">
        <v>1998</v>
      </c>
      <c r="L2012">
        <f>IF(G2012="High",3,IF(G2012="Medium",2,1))</f>
        <v>1</v>
      </c>
    </row>
    <row r="2013" spans="1:12">
      <c r="A2013" t="s">
        <v>4039</v>
      </c>
      <c r="B2013" t="s">
        <v>1338</v>
      </c>
      <c r="C2013" t="s">
        <v>1991</v>
      </c>
      <c r="D2013" t="s">
        <v>1992</v>
      </c>
      <c r="E2013" t="s">
        <v>57</v>
      </c>
      <c r="F2013" t="s">
        <v>57</v>
      </c>
      <c r="G2013" t="str">
        <f>INDEX(Risk_Matrix!$B$2:$D$4,MATCH(E2013,Risk_Matrix!$A$2:$A$4,0),MATCH(F2013,Risk_Matrix!$B$1:$D$1,0))</f>
        <v>Low</v>
      </c>
      <c r="H2013" s="1">
        <v>46092</v>
      </c>
      <c r="I2013" t="s">
        <v>2025</v>
      </c>
      <c r="J2013" t="s">
        <v>2035</v>
      </c>
      <c r="K2013" t="s">
        <v>1993</v>
      </c>
      <c r="L2013">
        <f>IF(G2013="High",3,IF(G2013="Medium",2,1))</f>
        <v>1</v>
      </c>
    </row>
    <row r="2014" spans="1:12">
      <c r="A2014" t="s">
        <v>4040</v>
      </c>
      <c r="B2014" t="s">
        <v>1338</v>
      </c>
      <c r="C2014" t="s">
        <v>1995</v>
      </c>
      <c r="D2014" t="s">
        <v>2150</v>
      </c>
      <c r="E2014" t="s">
        <v>57</v>
      </c>
      <c r="F2014" t="s">
        <v>47</v>
      </c>
      <c r="G2014" t="str">
        <f>INDEX(Risk_Matrix!$B$2:$D$4,MATCH(E2014,Risk_Matrix!$A$2:$A$4,0),MATCH(F2014,Risk_Matrix!$B$1:$D$1,0))</f>
        <v>Medium</v>
      </c>
      <c r="H2014" s="1">
        <v>46174</v>
      </c>
      <c r="I2014" t="s">
        <v>2025</v>
      </c>
      <c r="J2014" t="s">
        <v>2035</v>
      </c>
      <c r="K2014" t="s">
        <v>1998</v>
      </c>
      <c r="L2014">
        <f>IF(G2014="High",3,IF(G2014="Medium",2,1))</f>
        <v>2</v>
      </c>
    </row>
    <row r="2015" spans="1:12">
      <c r="A2015" t="s">
        <v>4041</v>
      </c>
      <c r="B2015" t="s">
        <v>1338</v>
      </c>
      <c r="C2015" t="s">
        <v>2000</v>
      </c>
      <c r="D2015" t="s">
        <v>2045</v>
      </c>
      <c r="E2015" t="s">
        <v>47</v>
      </c>
      <c r="F2015" t="s">
        <v>47</v>
      </c>
      <c r="G2015" t="str">
        <f>INDEX(Risk_Matrix!$B$2:$D$4,MATCH(E2015,Risk_Matrix!$A$2:$A$4,0),MATCH(F2015,Risk_Matrix!$B$1:$D$1,0))</f>
        <v>High</v>
      </c>
      <c r="H2015" s="1">
        <v>46090</v>
      </c>
      <c r="I2015" t="s">
        <v>2025</v>
      </c>
      <c r="J2015" t="s">
        <v>2026</v>
      </c>
      <c r="K2015" t="s">
        <v>1989</v>
      </c>
      <c r="L2015">
        <f>IF(G2015="High",3,IF(G2015="Medium",2,1))</f>
        <v>3</v>
      </c>
    </row>
    <row r="2016" spans="1:12">
      <c r="A2016" t="s">
        <v>4042</v>
      </c>
      <c r="B2016" t="s">
        <v>1338</v>
      </c>
      <c r="C2016" t="s">
        <v>2005</v>
      </c>
      <c r="D2016" t="s">
        <v>2022</v>
      </c>
      <c r="E2016" t="s">
        <v>47</v>
      </c>
      <c r="F2016" t="s">
        <v>47</v>
      </c>
      <c r="G2016" t="str">
        <f>INDEX(Risk_Matrix!$B$2:$D$4,MATCH(E2016,Risk_Matrix!$A$2:$A$4,0),MATCH(F2016,Risk_Matrix!$B$1:$D$1,0))</f>
        <v>High</v>
      </c>
      <c r="H2016" s="1">
        <v>46167</v>
      </c>
      <c r="I2016" t="s">
        <v>1987</v>
      </c>
      <c r="J2016" t="s">
        <v>1997</v>
      </c>
      <c r="K2016" t="s">
        <v>1993</v>
      </c>
      <c r="L2016">
        <f>IF(G2016="High",3,IF(G2016="Medium",2,1))</f>
        <v>3</v>
      </c>
    </row>
    <row r="2017" spans="1:12">
      <c r="A2017" t="s">
        <v>4043</v>
      </c>
      <c r="B2017" t="s">
        <v>1338</v>
      </c>
      <c r="C2017" t="s">
        <v>2008</v>
      </c>
      <c r="D2017" t="s">
        <v>2009</v>
      </c>
      <c r="E2017" t="s">
        <v>57</v>
      </c>
      <c r="F2017" t="s">
        <v>57</v>
      </c>
      <c r="G2017" t="str">
        <f>INDEX(Risk_Matrix!$B$2:$D$4,MATCH(E2017,Risk_Matrix!$A$2:$A$4,0),MATCH(F2017,Risk_Matrix!$B$1:$D$1,0))</f>
        <v>Low</v>
      </c>
      <c r="H2017" s="1">
        <v>46151</v>
      </c>
      <c r="I2017" t="s">
        <v>2002</v>
      </c>
      <c r="J2017" t="s">
        <v>2003</v>
      </c>
      <c r="K2017" t="s">
        <v>2010</v>
      </c>
      <c r="L2017">
        <f>IF(G2017="High",3,IF(G2017="Medium",2,1))</f>
        <v>1</v>
      </c>
    </row>
    <row r="2018" spans="1:12">
      <c r="A2018" t="s">
        <v>4044</v>
      </c>
      <c r="B2018" t="s">
        <v>1341</v>
      </c>
      <c r="C2018" t="s">
        <v>1985</v>
      </c>
      <c r="D2018" t="s">
        <v>2062</v>
      </c>
      <c r="E2018" t="s">
        <v>57</v>
      </c>
      <c r="F2018" t="s">
        <v>57</v>
      </c>
      <c r="G2018" t="str">
        <f>INDEX(Risk_Matrix!$B$2:$D$4,MATCH(E2018,Risk_Matrix!$A$2:$A$4,0),MATCH(F2018,Risk_Matrix!$B$1:$D$1,0))</f>
        <v>Low</v>
      </c>
      <c r="H2018" s="1">
        <v>46079</v>
      </c>
      <c r="I2018" t="s">
        <v>2025</v>
      </c>
      <c r="J2018" t="s">
        <v>2026</v>
      </c>
      <c r="K2018" t="s">
        <v>1998</v>
      </c>
      <c r="L2018">
        <f>IF(G2018="High",3,IF(G2018="Medium",2,1))</f>
        <v>1</v>
      </c>
    </row>
    <row r="2019" spans="1:12">
      <c r="A2019" t="s">
        <v>4045</v>
      </c>
      <c r="B2019" t="s">
        <v>1341</v>
      </c>
      <c r="C2019" t="s">
        <v>1991</v>
      </c>
      <c r="D2019" t="s">
        <v>2031</v>
      </c>
      <c r="E2019" t="s">
        <v>47</v>
      </c>
      <c r="F2019" t="s">
        <v>57</v>
      </c>
      <c r="G2019" t="str">
        <f>INDEX(Risk_Matrix!$B$2:$D$4,MATCH(E2019,Risk_Matrix!$A$2:$A$4,0),MATCH(F2019,Risk_Matrix!$B$1:$D$1,0))</f>
        <v>Medium</v>
      </c>
      <c r="H2019" s="1">
        <v>46175</v>
      </c>
      <c r="I2019" t="s">
        <v>2015</v>
      </c>
      <c r="J2019" t="s">
        <v>2032</v>
      </c>
      <c r="K2019" t="s">
        <v>2010</v>
      </c>
      <c r="L2019">
        <f>IF(G2019="High",3,IF(G2019="Medium",2,1))</f>
        <v>2</v>
      </c>
    </row>
    <row r="2020" spans="1:12">
      <c r="A2020" t="s">
        <v>4046</v>
      </c>
      <c r="B2020" t="s">
        <v>1341</v>
      </c>
      <c r="C2020" t="s">
        <v>1995</v>
      </c>
      <c r="D2020" t="s">
        <v>2034</v>
      </c>
      <c r="E2020" t="s">
        <v>1971</v>
      </c>
      <c r="F2020" t="s">
        <v>57</v>
      </c>
      <c r="G2020" t="str">
        <f>INDEX(Risk_Matrix!$B$2:$D$4,MATCH(E2020,Risk_Matrix!$A$2:$A$4,0),MATCH(F2020,Risk_Matrix!$B$1:$D$1,0))</f>
        <v>Low</v>
      </c>
      <c r="H2020" s="1">
        <v>46079</v>
      </c>
      <c r="I2020" t="s">
        <v>2025</v>
      </c>
      <c r="J2020" t="s">
        <v>2035</v>
      </c>
      <c r="K2020" t="s">
        <v>1998</v>
      </c>
      <c r="L2020">
        <f>IF(G2020="High",3,IF(G2020="Medium",2,1))</f>
        <v>1</v>
      </c>
    </row>
    <row r="2021" spans="1:12">
      <c r="A2021" t="s">
        <v>4047</v>
      </c>
      <c r="B2021" t="s">
        <v>1341</v>
      </c>
      <c r="C2021" t="s">
        <v>2000</v>
      </c>
      <c r="D2021" t="s">
        <v>2001</v>
      </c>
      <c r="E2021" t="s">
        <v>57</v>
      </c>
      <c r="F2021" t="s">
        <v>47</v>
      </c>
      <c r="G2021" t="str">
        <f>INDEX(Risk_Matrix!$B$2:$D$4,MATCH(E2021,Risk_Matrix!$A$2:$A$4,0),MATCH(F2021,Risk_Matrix!$B$1:$D$1,0))</f>
        <v>Medium</v>
      </c>
      <c r="H2021" s="1">
        <v>46065</v>
      </c>
      <c r="I2021" t="s">
        <v>2025</v>
      </c>
      <c r="J2021" t="s">
        <v>2026</v>
      </c>
      <c r="K2021" t="s">
        <v>1993</v>
      </c>
      <c r="L2021">
        <f>IF(G2021="High",3,IF(G2021="Medium",2,1))</f>
        <v>2</v>
      </c>
    </row>
    <row r="2022" spans="1:12">
      <c r="A2022" t="s">
        <v>4048</v>
      </c>
      <c r="B2022" t="s">
        <v>1341</v>
      </c>
      <c r="C2022" t="s">
        <v>2005</v>
      </c>
      <c r="D2022" t="s">
        <v>2006</v>
      </c>
      <c r="E2022" t="s">
        <v>57</v>
      </c>
      <c r="F2022" t="s">
        <v>57</v>
      </c>
      <c r="G2022" t="str">
        <f>INDEX(Risk_Matrix!$B$2:$D$4,MATCH(E2022,Risk_Matrix!$A$2:$A$4,0),MATCH(F2022,Risk_Matrix!$B$1:$D$1,0))</f>
        <v>Low</v>
      </c>
      <c r="H2022" s="1">
        <v>46157</v>
      </c>
      <c r="I2022" t="s">
        <v>2025</v>
      </c>
      <c r="J2022" t="s">
        <v>2035</v>
      </c>
      <c r="K2022" t="s">
        <v>2036</v>
      </c>
      <c r="L2022">
        <f>IF(G2022="High",3,IF(G2022="Medium",2,1))</f>
        <v>1</v>
      </c>
    </row>
    <row r="2023" spans="1:12">
      <c r="A2023" t="s">
        <v>4049</v>
      </c>
      <c r="B2023" t="s">
        <v>1341</v>
      </c>
      <c r="C2023" t="s">
        <v>2008</v>
      </c>
      <c r="D2023" t="s">
        <v>2009</v>
      </c>
      <c r="E2023" t="s">
        <v>57</v>
      </c>
      <c r="F2023" t="s">
        <v>1971</v>
      </c>
      <c r="G2023" t="str">
        <f>INDEX(Risk_Matrix!$B$2:$D$4,MATCH(E2023,Risk_Matrix!$A$2:$A$4,0),MATCH(F2023,Risk_Matrix!$B$1:$D$1,0))</f>
        <v>Low</v>
      </c>
      <c r="H2023" s="1">
        <v>46073</v>
      </c>
      <c r="I2023" t="s">
        <v>2025</v>
      </c>
      <c r="J2023" t="s">
        <v>2035</v>
      </c>
      <c r="K2023" t="s">
        <v>2010</v>
      </c>
      <c r="L2023">
        <f>IF(G2023="High",3,IF(G2023="Medium",2,1))</f>
        <v>1</v>
      </c>
    </row>
    <row r="2024" spans="1:12">
      <c r="A2024" t="s">
        <v>4050</v>
      </c>
      <c r="B2024" t="s">
        <v>1342</v>
      </c>
      <c r="C2024" t="s">
        <v>1985</v>
      </c>
      <c r="D2024" t="s">
        <v>2062</v>
      </c>
      <c r="E2024" t="s">
        <v>57</v>
      </c>
      <c r="F2024" t="s">
        <v>57</v>
      </c>
      <c r="G2024" t="str">
        <f>INDEX(Risk_Matrix!$B$2:$D$4,MATCH(E2024,Risk_Matrix!$A$2:$A$4,0),MATCH(F2024,Risk_Matrix!$B$1:$D$1,0))</f>
        <v>Low</v>
      </c>
      <c r="H2024" s="1">
        <v>46171</v>
      </c>
      <c r="I2024" t="s">
        <v>2015</v>
      </c>
      <c r="J2024" t="s">
        <v>2016</v>
      </c>
      <c r="K2024" t="s">
        <v>1989</v>
      </c>
      <c r="L2024">
        <f>IF(G2024="High",3,IF(G2024="Medium",2,1))</f>
        <v>1</v>
      </c>
    </row>
    <row r="2025" spans="1:12">
      <c r="A2025" t="s">
        <v>4051</v>
      </c>
      <c r="B2025" t="s">
        <v>1342</v>
      </c>
      <c r="C2025" t="s">
        <v>1991</v>
      </c>
      <c r="D2025" t="s">
        <v>2014</v>
      </c>
      <c r="E2025" t="s">
        <v>57</v>
      </c>
      <c r="F2025" t="s">
        <v>47</v>
      </c>
      <c r="G2025" t="str">
        <f>INDEX(Risk_Matrix!$B$2:$D$4,MATCH(E2025,Risk_Matrix!$A$2:$A$4,0),MATCH(F2025,Risk_Matrix!$B$1:$D$1,0))</f>
        <v>Medium</v>
      </c>
      <c r="H2025" s="1">
        <v>46176</v>
      </c>
      <c r="I2025" t="s">
        <v>2025</v>
      </c>
      <c r="J2025" t="s">
        <v>2035</v>
      </c>
      <c r="K2025" t="s">
        <v>1993</v>
      </c>
      <c r="L2025">
        <f>IF(G2025="High",3,IF(G2025="Medium",2,1))</f>
        <v>2</v>
      </c>
    </row>
    <row r="2026" spans="1:12">
      <c r="A2026" t="s">
        <v>4052</v>
      </c>
      <c r="B2026" t="s">
        <v>1342</v>
      </c>
      <c r="C2026" t="s">
        <v>1995</v>
      </c>
      <c r="D2026" t="s">
        <v>2034</v>
      </c>
      <c r="E2026" t="s">
        <v>57</v>
      </c>
      <c r="F2026" t="s">
        <v>57</v>
      </c>
      <c r="G2026" t="str">
        <f>INDEX(Risk_Matrix!$B$2:$D$4,MATCH(E2026,Risk_Matrix!$A$2:$A$4,0),MATCH(F2026,Risk_Matrix!$B$1:$D$1,0))</f>
        <v>Low</v>
      </c>
      <c r="H2026" s="1">
        <v>46197</v>
      </c>
      <c r="I2026" t="s">
        <v>2002</v>
      </c>
      <c r="J2026" t="s">
        <v>2029</v>
      </c>
      <c r="K2026" t="s">
        <v>2036</v>
      </c>
      <c r="L2026">
        <f>IF(G2026="High",3,IF(G2026="Medium",2,1))</f>
        <v>1</v>
      </c>
    </row>
    <row r="2027" spans="1:12">
      <c r="A2027" t="s">
        <v>4053</v>
      </c>
      <c r="B2027" t="s">
        <v>1342</v>
      </c>
      <c r="C2027" t="s">
        <v>2000</v>
      </c>
      <c r="D2027" t="s">
        <v>2001</v>
      </c>
      <c r="E2027" t="s">
        <v>57</v>
      </c>
      <c r="F2027" t="s">
        <v>57</v>
      </c>
      <c r="G2027" t="str">
        <f>INDEX(Risk_Matrix!$B$2:$D$4,MATCH(E2027,Risk_Matrix!$A$2:$A$4,0),MATCH(F2027,Risk_Matrix!$B$1:$D$1,0))</f>
        <v>Low</v>
      </c>
      <c r="H2027" s="1">
        <v>46215</v>
      </c>
      <c r="I2027" t="s">
        <v>1987</v>
      </c>
      <c r="J2027" t="s">
        <v>1988</v>
      </c>
      <c r="K2027" t="s">
        <v>1989</v>
      </c>
      <c r="L2027">
        <f>IF(G2027="High",3,IF(G2027="Medium",2,1))</f>
        <v>1</v>
      </c>
    </row>
    <row r="2028" spans="1:12">
      <c r="A2028" t="s">
        <v>4054</v>
      </c>
      <c r="B2028" t="s">
        <v>1342</v>
      </c>
      <c r="C2028" t="s">
        <v>2005</v>
      </c>
      <c r="D2028" t="s">
        <v>2006</v>
      </c>
      <c r="E2028" t="s">
        <v>57</v>
      </c>
      <c r="F2028" t="s">
        <v>47</v>
      </c>
      <c r="G2028" t="str">
        <f>INDEX(Risk_Matrix!$B$2:$D$4,MATCH(E2028,Risk_Matrix!$A$2:$A$4,0),MATCH(F2028,Risk_Matrix!$B$1:$D$1,0))</f>
        <v>Medium</v>
      </c>
      <c r="H2028" s="1">
        <v>46150</v>
      </c>
      <c r="I2028" t="s">
        <v>2015</v>
      </c>
      <c r="J2028" t="s">
        <v>2016</v>
      </c>
      <c r="K2028" t="s">
        <v>1993</v>
      </c>
      <c r="L2028">
        <f>IF(G2028="High",3,IF(G2028="Medium",2,1))</f>
        <v>2</v>
      </c>
    </row>
    <row r="2029" spans="1:12">
      <c r="A2029" t="s">
        <v>4055</v>
      </c>
      <c r="B2029" t="s">
        <v>1342</v>
      </c>
      <c r="C2029" t="s">
        <v>2008</v>
      </c>
      <c r="D2029" t="s">
        <v>2024</v>
      </c>
      <c r="E2029" t="s">
        <v>57</v>
      </c>
      <c r="F2029" t="s">
        <v>57</v>
      </c>
      <c r="G2029" t="str">
        <f>INDEX(Risk_Matrix!$B$2:$D$4,MATCH(E2029,Risk_Matrix!$A$2:$A$4,0),MATCH(F2029,Risk_Matrix!$B$1:$D$1,0))</f>
        <v>Low</v>
      </c>
      <c r="H2029" s="1">
        <v>46185</v>
      </c>
      <c r="I2029" t="s">
        <v>1987</v>
      </c>
      <c r="J2029" t="s">
        <v>1988</v>
      </c>
      <c r="K2029" t="s">
        <v>2010</v>
      </c>
      <c r="L2029">
        <f>IF(G2029="High",3,IF(G2029="Medium",2,1))</f>
        <v>1</v>
      </c>
    </row>
    <row r="2030" spans="1:12">
      <c r="A2030" t="s">
        <v>4056</v>
      </c>
      <c r="B2030" t="s">
        <v>1344</v>
      </c>
      <c r="C2030" t="s">
        <v>1985</v>
      </c>
      <c r="D2030" t="s">
        <v>2012</v>
      </c>
      <c r="E2030" t="s">
        <v>47</v>
      </c>
      <c r="F2030" t="s">
        <v>47</v>
      </c>
      <c r="G2030" t="str">
        <f>INDEX(Risk_Matrix!$B$2:$D$4,MATCH(E2030,Risk_Matrix!$A$2:$A$4,0),MATCH(F2030,Risk_Matrix!$B$1:$D$1,0))</f>
        <v>High</v>
      </c>
      <c r="H2030" s="1">
        <v>46168</v>
      </c>
      <c r="I2030" t="s">
        <v>2015</v>
      </c>
      <c r="J2030" t="s">
        <v>2016</v>
      </c>
      <c r="K2030" t="s">
        <v>1998</v>
      </c>
      <c r="L2030">
        <f>IF(G2030="High",3,IF(G2030="Medium",2,1))</f>
        <v>3</v>
      </c>
    </row>
    <row r="2031" spans="1:12">
      <c r="A2031" t="s">
        <v>4057</v>
      </c>
      <c r="B2031" t="s">
        <v>1344</v>
      </c>
      <c r="C2031" t="s">
        <v>1991</v>
      </c>
      <c r="D2031" t="s">
        <v>2014</v>
      </c>
      <c r="E2031" t="s">
        <v>1971</v>
      </c>
      <c r="F2031" t="s">
        <v>1971</v>
      </c>
      <c r="G2031" t="str">
        <f>INDEX(Risk_Matrix!$B$2:$D$4,MATCH(E2031,Risk_Matrix!$A$2:$A$4,0),MATCH(F2031,Risk_Matrix!$B$1:$D$1,0))</f>
        <v>Medium</v>
      </c>
      <c r="H2031" s="1">
        <v>46186</v>
      </c>
      <c r="I2031" t="s">
        <v>2015</v>
      </c>
      <c r="J2031" t="s">
        <v>2032</v>
      </c>
      <c r="K2031" t="s">
        <v>2010</v>
      </c>
      <c r="L2031">
        <f>IF(G2031="High",3,IF(G2031="Medium",2,1))</f>
        <v>2</v>
      </c>
    </row>
    <row r="2032" spans="1:12">
      <c r="A2032" t="s">
        <v>4058</v>
      </c>
      <c r="B2032" t="s">
        <v>1344</v>
      </c>
      <c r="C2032" t="s">
        <v>1995</v>
      </c>
      <c r="D2032" t="s">
        <v>2034</v>
      </c>
      <c r="E2032" t="s">
        <v>47</v>
      </c>
      <c r="F2032" t="s">
        <v>47</v>
      </c>
      <c r="G2032" t="str">
        <f>INDEX(Risk_Matrix!$B$2:$D$4,MATCH(E2032,Risk_Matrix!$A$2:$A$4,0),MATCH(F2032,Risk_Matrix!$B$1:$D$1,0))</f>
        <v>High</v>
      </c>
      <c r="H2032" s="1">
        <v>46233</v>
      </c>
      <c r="I2032" t="s">
        <v>2025</v>
      </c>
      <c r="J2032" t="s">
        <v>2035</v>
      </c>
      <c r="K2032" t="s">
        <v>2036</v>
      </c>
      <c r="L2032">
        <f>IF(G2032="High",3,IF(G2032="Medium",2,1))</f>
        <v>3</v>
      </c>
    </row>
    <row r="2033" spans="1:12">
      <c r="A2033" t="s">
        <v>4059</v>
      </c>
      <c r="B2033" t="s">
        <v>1344</v>
      </c>
      <c r="C2033" t="s">
        <v>2000</v>
      </c>
      <c r="D2033" t="s">
        <v>2001</v>
      </c>
      <c r="E2033" t="s">
        <v>57</v>
      </c>
      <c r="F2033" t="s">
        <v>57</v>
      </c>
      <c r="G2033" t="str">
        <f>INDEX(Risk_Matrix!$B$2:$D$4,MATCH(E2033,Risk_Matrix!$A$2:$A$4,0),MATCH(F2033,Risk_Matrix!$B$1:$D$1,0))</f>
        <v>Low</v>
      </c>
      <c r="H2033" s="1">
        <v>46154</v>
      </c>
      <c r="I2033" t="s">
        <v>1987</v>
      </c>
      <c r="J2033" t="s">
        <v>1988</v>
      </c>
      <c r="K2033" t="s">
        <v>1993</v>
      </c>
      <c r="L2033">
        <f>IF(G2033="High",3,IF(G2033="Medium",2,1))</f>
        <v>1</v>
      </c>
    </row>
    <row r="2034" spans="1:12">
      <c r="A2034" t="s">
        <v>4060</v>
      </c>
      <c r="B2034" t="s">
        <v>1344</v>
      </c>
      <c r="C2034" t="s">
        <v>2005</v>
      </c>
      <c r="D2034" t="s">
        <v>2039</v>
      </c>
      <c r="E2034" t="s">
        <v>1971</v>
      </c>
      <c r="F2034" t="s">
        <v>57</v>
      </c>
      <c r="G2034" t="str">
        <f>INDEX(Risk_Matrix!$B$2:$D$4,MATCH(E2034,Risk_Matrix!$A$2:$A$4,0),MATCH(F2034,Risk_Matrix!$B$1:$D$1,0))</f>
        <v>Low</v>
      </c>
      <c r="H2034" s="1">
        <v>46146</v>
      </c>
      <c r="I2034" t="s">
        <v>2025</v>
      </c>
      <c r="J2034" t="s">
        <v>2026</v>
      </c>
      <c r="K2034" t="s">
        <v>2036</v>
      </c>
      <c r="L2034">
        <f>IF(G2034="High",3,IF(G2034="Medium",2,1))</f>
        <v>1</v>
      </c>
    </row>
    <row r="2035" spans="1:12">
      <c r="A2035" t="s">
        <v>4061</v>
      </c>
      <c r="B2035" t="s">
        <v>1344</v>
      </c>
      <c r="C2035" t="s">
        <v>2008</v>
      </c>
      <c r="D2035" t="s">
        <v>2054</v>
      </c>
      <c r="E2035" t="s">
        <v>57</v>
      </c>
      <c r="F2035" t="s">
        <v>57</v>
      </c>
      <c r="G2035" t="str">
        <f>INDEX(Risk_Matrix!$B$2:$D$4,MATCH(E2035,Risk_Matrix!$A$2:$A$4,0),MATCH(F2035,Risk_Matrix!$B$1:$D$1,0))</f>
        <v>Low</v>
      </c>
      <c r="H2035" s="1">
        <v>46232</v>
      </c>
      <c r="I2035" t="s">
        <v>1987</v>
      </c>
      <c r="J2035" t="s">
        <v>1988</v>
      </c>
      <c r="K2035" t="s">
        <v>2010</v>
      </c>
      <c r="L2035">
        <f>IF(G2035="High",3,IF(G2035="Medium",2,1))</f>
        <v>1</v>
      </c>
    </row>
    <row r="2036" spans="1:12">
      <c r="A2036" t="s">
        <v>4062</v>
      </c>
      <c r="B2036" t="s">
        <v>1346</v>
      </c>
      <c r="C2036" t="s">
        <v>1985</v>
      </c>
      <c r="D2036" t="s">
        <v>2062</v>
      </c>
      <c r="E2036" t="s">
        <v>47</v>
      </c>
      <c r="F2036" t="s">
        <v>1971</v>
      </c>
      <c r="G2036" t="str">
        <f>INDEX(Risk_Matrix!$B$2:$D$4,MATCH(E2036,Risk_Matrix!$A$2:$A$4,0),MATCH(F2036,Risk_Matrix!$B$1:$D$1,0))</f>
        <v>High</v>
      </c>
      <c r="H2036" s="1">
        <v>46183</v>
      </c>
      <c r="I2036" t="s">
        <v>2015</v>
      </c>
      <c r="J2036" t="s">
        <v>2016</v>
      </c>
      <c r="K2036" t="s">
        <v>1989</v>
      </c>
      <c r="L2036">
        <f>IF(G2036="High",3,IF(G2036="Medium",2,1))</f>
        <v>3</v>
      </c>
    </row>
    <row r="2037" spans="1:12">
      <c r="A2037" t="s">
        <v>4063</v>
      </c>
      <c r="B2037" t="s">
        <v>1346</v>
      </c>
      <c r="C2037" t="s">
        <v>1991</v>
      </c>
      <c r="D2037" t="s">
        <v>1992</v>
      </c>
      <c r="E2037" t="s">
        <v>57</v>
      </c>
      <c r="F2037" t="s">
        <v>1971</v>
      </c>
      <c r="G2037" t="str">
        <f>INDEX(Risk_Matrix!$B$2:$D$4,MATCH(E2037,Risk_Matrix!$A$2:$A$4,0),MATCH(F2037,Risk_Matrix!$B$1:$D$1,0))</f>
        <v>Low</v>
      </c>
      <c r="H2037" s="1">
        <v>46093</v>
      </c>
      <c r="I2037" t="s">
        <v>2025</v>
      </c>
      <c r="J2037" t="s">
        <v>2035</v>
      </c>
      <c r="K2037" t="s">
        <v>1993</v>
      </c>
      <c r="L2037">
        <f>IF(G2037="High",3,IF(G2037="Medium",2,1))</f>
        <v>1</v>
      </c>
    </row>
    <row r="2038" spans="1:12">
      <c r="A2038" t="s">
        <v>4064</v>
      </c>
      <c r="B2038" t="s">
        <v>1346</v>
      </c>
      <c r="C2038" t="s">
        <v>1995</v>
      </c>
      <c r="D2038" t="s">
        <v>2150</v>
      </c>
      <c r="E2038" t="s">
        <v>57</v>
      </c>
      <c r="F2038" t="s">
        <v>57</v>
      </c>
      <c r="G2038" t="str">
        <f>INDEX(Risk_Matrix!$B$2:$D$4,MATCH(E2038,Risk_Matrix!$A$2:$A$4,0),MATCH(F2038,Risk_Matrix!$B$1:$D$1,0))</f>
        <v>Low</v>
      </c>
      <c r="H2038" s="1">
        <v>46221</v>
      </c>
      <c r="I2038" t="s">
        <v>2015</v>
      </c>
      <c r="J2038" t="s">
        <v>2016</v>
      </c>
      <c r="K2038" t="s">
        <v>1998</v>
      </c>
      <c r="L2038">
        <f>IF(G2038="High",3,IF(G2038="Medium",2,1))</f>
        <v>1</v>
      </c>
    </row>
    <row r="2039" spans="1:12">
      <c r="A2039" t="s">
        <v>4065</v>
      </c>
      <c r="B2039" t="s">
        <v>1346</v>
      </c>
      <c r="C2039" t="s">
        <v>2000</v>
      </c>
      <c r="D2039" t="s">
        <v>2045</v>
      </c>
      <c r="E2039" t="s">
        <v>57</v>
      </c>
      <c r="F2039" t="s">
        <v>1971</v>
      </c>
      <c r="G2039" t="str">
        <f>INDEX(Risk_Matrix!$B$2:$D$4,MATCH(E2039,Risk_Matrix!$A$2:$A$4,0),MATCH(F2039,Risk_Matrix!$B$1:$D$1,0))</f>
        <v>Low</v>
      </c>
      <c r="H2039" s="1">
        <v>46210</v>
      </c>
      <c r="I2039" t="s">
        <v>2015</v>
      </c>
      <c r="J2039" t="s">
        <v>2016</v>
      </c>
      <c r="K2039" t="s">
        <v>1989</v>
      </c>
      <c r="L2039">
        <f>IF(G2039="High",3,IF(G2039="Medium",2,1))</f>
        <v>1</v>
      </c>
    </row>
    <row r="2040" spans="1:12">
      <c r="A2040" t="s">
        <v>4066</v>
      </c>
      <c r="B2040" t="s">
        <v>1346</v>
      </c>
      <c r="C2040" t="s">
        <v>2005</v>
      </c>
      <c r="D2040" t="s">
        <v>2006</v>
      </c>
      <c r="E2040" t="s">
        <v>47</v>
      </c>
      <c r="F2040" t="s">
        <v>1971</v>
      </c>
      <c r="G2040" t="str">
        <f>INDEX(Risk_Matrix!$B$2:$D$4,MATCH(E2040,Risk_Matrix!$A$2:$A$4,0),MATCH(F2040,Risk_Matrix!$B$1:$D$1,0))</f>
        <v>High</v>
      </c>
      <c r="H2040" s="1">
        <v>46104</v>
      </c>
      <c r="I2040" t="s">
        <v>2025</v>
      </c>
      <c r="J2040" t="s">
        <v>2026</v>
      </c>
      <c r="K2040" t="s">
        <v>1993</v>
      </c>
      <c r="L2040">
        <f>IF(G2040="High",3,IF(G2040="Medium",2,1))</f>
        <v>3</v>
      </c>
    </row>
    <row r="2041" spans="1:12">
      <c r="A2041" t="s">
        <v>4067</v>
      </c>
      <c r="B2041" t="s">
        <v>1346</v>
      </c>
      <c r="C2041" t="s">
        <v>2008</v>
      </c>
      <c r="D2041" t="s">
        <v>2054</v>
      </c>
      <c r="E2041" t="s">
        <v>1971</v>
      </c>
      <c r="F2041" t="s">
        <v>1971</v>
      </c>
      <c r="G2041" t="str">
        <f>INDEX(Risk_Matrix!$B$2:$D$4,MATCH(E2041,Risk_Matrix!$A$2:$A$4,0),MATCH(F2041,Risk_Matrix!$B$1:$D$1,0))</f>
        <v>Medium</v>
      </c>
      <c r="H2041" s="1">
        <v>46209</v>
      </c>
      <c r="I2041" t="s">
        <v>2015</v>
      </c>
      <c r="J2041" t="s">
        <v>2032</v>
      </c>
      <c r="K2041" t="s">
        <v>2010</v>
      </c>
      <c r="L2041">
        <f>IF(G2041="High",3,IF(G2041="Medium",2,1))</f>
        <v>2</v>
      </c>
    </row>
    <row r="2042" spans="1:12">
      <c r="A2042" t="s">
        <v>4068</v>
      </c>
      <c r="B2042" t="s">
        <v>1348</v>
      </c>
      <c r="C2042" t="s">
        <v>1985</v>
      </c>
      <c r="D2042" t="s">
        <v>2012</v>
      </c>
      <c r="E2042" t="s">
        <v>1971</v>
      </c>
      <c r="F2042" t="s">
        <v>57</v>
      </c>
      <c r="G2042" t="str">
        <f>INDEX(Risk_Matrix!$B$2:$D$4,MATCH(E2042,Risk_Matrix!$A$2:$A$4,0),MATCH(F2042,Risk_Matrix!$B$1:$D$1,0))</f>
        <v>Low</v>
      </c>
      <c r="H2042" s="1">
        <v>46127</v>
      </c>
      <c r="I2042" t="s">
        <v>1987</v>
      </c>
      <c r="J2042" t="s">
        <v>1988</v>
      </c>
      <c r="K2042" t="s">
        <v>1989</v>
      </c>
      <c r="L2042">
        <f>IF(G2042="High",3,IF(G2042="Medium",2,1))</f>
        <v>1</v>
      </c>
    </row>
    <row r="2043" spans="1:12">
      <c r="A2043" t="s">
        <v>4069</v>
      </c>
      <c r="B2043" t="s">
        <v>1348</v>
      </c>
      <c r="C2043" t="s">
        <v>1991</v>
      </c>
      <c r="D2043" t="s">
        <v>2031</v>
      </c>
      <c r="E2043" t="s">
        <v>1971</v>
      </c>
      <c r="F2043" t="s">
        <v>57</v>
      </c>
      <c r="G2043" t="str">
        <f>INDEX(Risk_Matrix!$B$2:$D$4,MATCH(E2043,Risk_Matrix!$A$2:$A$4,0),MATCH(F2043,Risk_Matrix!$B$1:$D$1,0))</f>
        <v>Low</v>
      </c>
      <c r="H2043" s="1">
        <v>46068</v>
      </c>
      <c r="I2043" t="s">
        <v>2002</v>
      </c>
      <c r="J2043" t="s">
        <v>2003</v>
      </c>
      <c r="K2043" t="s">
        <v>1993</v>
      </c>
      <c r="L2043">
        <f>IF(G2043="High",3,IF(G2043="Medium",2,1))</f>
        <v>1</v>
      </c>
    </row>
    <row r="2044" spans="1:12">
      <c r="A2044" t="s">
        <v>4070</v>
      </c>
      <c r="B2044" t="s">
        <v>1348</v>
      </c>
      <c r="C2044" t="s">
        <v>1995</v>
      </c>
      <c r="D2044" t="s">
        <v>1996</v>
      </c>
      <c r="E2044" t="s">
        <v>47</v>
      </c>
      <c r="F2044" t="s">
        <v>47</v>
      </c>
      <c r="G2044" t="str">
        <f>INDEX(Risk_Matrix!$B$2:$D$4,MATCH(E2044,Risk_Matrix!$A$2:$A$4,0),MATCH(F2044,Risk_Matrix!$B$1:$D$1,0))</f>
        <v>High</v>
      </c>
      <c r="H2044" s="1">
        <v>46155</v>
      </c>
      <c r="I2044" t="s">
        <v>2015</v>
      </c>
      <c r="J2044" t="s">
        <v>2016</v>
      </c>
      <c r="K2044" t="s">
        <v>1998</v>
      </c>
      <c r="L2044">
        <f>IF(G2044="High",3,IF(G2044="Medium",2,1))</f>
        <v>3</v>
      </c>
    </row>
    <row r="2045" spans="1:12">
      <c r="A2045" t="s">
        <v>4071</v>
      </c>
      <c r="B2045" t="s">
        <v>1348</v>
      </c>
      <c r="C2045" t="s">
        <v>2000</v>
      </c>
      <c r="D2045" t="s">
        <v>2020</v>
      </c>
      <c r="E2045" t="s">
        <v>57</v>
      </c>
      <c r="F2045" t="s">
        <v>1971</v>
      </c>
      <c r="G2045" t="str">
        <f>INDEX(Risk_Matrix!$B$2:$D$4,MATCH(E2045,Risk_Matrix!$A$2:$A$4,0),MATCH(F2045,Risk_Matrix!$B$1:$D$1,0))</f>
        <v>Low</v>
      </c>
      <c r="H2045" s="1">
        <v>46172</v>
      </c>
      <c r="I2045" t="s">
        <v>2002</v>
      </c>
      <c r="J2045" t="s">
        <v>2003</v>
      </c>
      <c r="K2045" t="s">
        <v>1989</v>
      </c>
      <c r="L2045">
        <f>IF(G2045="High",3,IF(G2045="Medium",2,1))</f>
        <v>1</v>
      </c>
    </row>
    <row r="2046" spans="1:12">
      <c r="A2046" t="s">
        <v>4072</v>
      </c>
      <c r="B2046" t="s">
        <v>1348</v>
      </c>
      <c r="C2046" t="s">
        <v>2005</v>
      </c>
      <c r="D2046" t="s">
        <v>2006</v>
      </c>
      <c r="E2046" t="s">
        <v>47</v>
      </c>
      <c r="F2046" t="s">
        <v>47</v>
      </c>
      <c r="G2046" t="str">
        <f>INDEX(Risk_Matrix!$B$2:$D$4,MATCH(E2046,Risk_Matrix!$A$2:$A$4,0),MATCH(F2046,Risk_Matrix!$B$1:$D$1,0))</f>
        <v>High</v>
      </c>
      <c r="H2046" s="1">
        <v>46203</v>
      </c>
      <c r="I2046" t="s">
        <v>2015</v>
      </c>
      <c r="J2046" t="s">
        <v>2016</v>
      </c>
      <c r="K2046" t="s">
        <v>1993</v>
      </c>
      <c r="L2046">
        <f>IF(G2046="High",3,IF(G2046="Medium",2,1))</f>
        <v>3</v>
      </c>
    </row>
    <row r="2047" spans="1:12">
      <c r="A2047" t="s">
        <v>4073</v>
      </c>
      <c r="B2047" t="s">
        <v>1348</v>
      </c>
      <c r="C2047" t="s">
        <v>2008</v>
      </c>
      <c r="D2047" t="s">
        <v>2009</v>
      </c>
      <c r="E2047" t="s">
        <v>1971</v>
      </c>
      <c r="F2047" t="s">
        <v>1971</v>
      </c>
      <c r="G2047" t="str">
        <f>INDEX(Risk_Matrix!$B$2:$D$4,MATCH(E2047,Risk_Matrix!$A$2:$A$4,0),MATCH(F2047,Risk_Matrix!$B$1:$D$1,0))</f>
        <v>Medium</v>
      </c>
      <c r="H2047" s="1">
        <v>46165</v>
      </c>
      <c r="I2047" t="s">
        <v>2015</v>
      </c>
      <c r="J2047" t="s">
        <v>2016</v>
      </c>
      <c r="K2047" t="s">
        <v>2010</v>
      </c>
      <c r="L2047">
        <f>IF(G2047="High",3,IF(G2047="Medium",2,1))</f>
        <v>2</v>
      </c>
    </row>
    <row r="2048" spans="1:12">
      <c r="A2048" t="s">
        <v>4074</v>
      </c>
      <c r="B2048" t="s">
        <v>1350</v>
      </c>
      <c r="C2048" t="s">
        <v>1985</v>
      </c>
      <c r="D2048" t="s">
        <v>2028</v>
      </c>
      <c r="E2048" t="s">
        <v>47</v>
      </c>
      <c r="F2048" t="s">
        <v>57</v>
      </c>
      <c r="G2048" t="str">
        <f>INDEX(Risk_Matrix!$B$2:$D$4,MATCH(E2048,Risk_Matrix!$A$2:$A$4,0),MATCH(F2048,Risk_Matrix!$B$1:$D$1,0))</f>
        <v>Medium</v>
      </c>
      <c r="H2048" s="1">
        <v>46202</v>
      </c>
      <c r="I2048" t="s">
        <v>1987</v>
      </c>
      <c r="J2048" t="s">
        <v>1988</v>
      </c>
      <c r="K2048" t="s">
        <v>1998</v>
      </c>
      <c r="L2048">
        <f>IF(G2048="High",3,IF(G2048="Medium",2,1))</f>
        <v>2</v>
      </c>
    </row>
    <row r="2049" spans="1:12">
      <c r="A2049" t="s">
        <v>4075</v>
      </c>
      <c r="B2049" t="s">
        <v>1350</v>
      </c>
      <c r="C2049" t="s">
        <v>1991</v>
      </c>
      <c r="D2049" t="s">
        <v>2064</v>
      </c>
      <c r="E2049" t="s">
        <v>57</v>
      </c>
      <c r="F2049" t="s">
        <v>47</v>
      </c>
      <c r="G2049" t="str">
        <f>INDEX(Risk_Matrix!$B$2:$D$4,MATCH(E2049,Risk_Matrix!$A$2:$A$4,0),MATCH(F2049,Risk_Matrix!$B$1:$D$1,0))</f>
        <v>Medium</v>
      </c>
      <c r="H2049" s="1">
        <v>46200</v>
      </c>
      <c r="I2049" t="s">
        <v>2015</v>
      </c>
      <c r="J2049" t="s">
        <v>2032</v>
      </c>
      <c r="K2049" t="s">
        <v>1993</v>
      </c>
      <c r="L2049">
        <f>IF(G2049="High",3,IF(G2049="Medium",2,1))</f>
        <v>2</v>
      </c>
    </row>
    <row r="2050" spans="1:12">
      <c r="A2050" t="s">
        <v>4076</v>
      </c>
      <c r="B2050" t="s">
        <v>1350</v>
      </c>
      <c r="C2050" t="s">
        <v>1995</v>
      </c>
      <c r="D2050" t="s">
        <v>2034</v>
      </c>
      <c r="E2050" t="s">
        <v>57</v>
      </c>
      <c r="F2050" t="s">
        <v>57</v>
      </c>
      <c r="G2050" t="str">
        <f>INDEX(Risk_Matrix!$B$2:$D$4,MATCH(E2050,Risk_Matrix!$A$2:$A$4,0),MATCH(F2050,Risk_Matrix!$B$1:$D$1,0))</f>
        <v>Low</v>
      </c>
      <c r="H2050" s="1">
        <v>46225</v>
      </c>
      <c r="I2050" t="s">
        <v>2025</v>
      </c>
      <c r="J2050" t="s">
        <v>2026</v>
      </c>
      <c r="K2050" t="s">
        <v>2036</v>
      </c>
      <c r="L2050">
        <f>IF(G2050="High",3,IF(G2050="Medium",2,1))</f>
        <v>1</v>
      </c>
    </row>
    <row r="2051" spans="1:12">
      <c r="A2051" t="s">
        <v>4077</v>
      </c>
      <c r="B2051" t="s">
        <v>1350</v>
      </c>
      <c r="C2051" t="s">
        <v>2000</v>
      </c>
      <c r="D2051" t="s">
        <v>2045</v>
      </c>
      <c r="E2051" t="s">
        <v>1971</v>
      </c>
      <c r="F2051" t="s">
        <v>57</v>
      </c>
      <c r="G2051" t="str">
        <f>INDEX(Risk_Matrix!$B$2:$D$4,MATCH(E2051,Risk_Matrix!$A$2:$A$4,0),MATCH(F2051,Risk_Matrix!$B$1:$D$1,0))</f>
        <v>Low</v>
      </c>
      <c r="H2051" s="1">
        <v>46203</v>
      </c>
      <c r="I2051" t="s">
        <v>2015</v>
      </c>
      <c r="J2051" t="s">
        <v>2032</v>
      </c>
      <c r="K2051" t="s">
        <v>1989</v>
      </c>
      <c r="L2051">
        <f>IF(G2051="High",3,IF(G2051="Medium",2,1))</f>
        <v>1</v>
      </c>
    </row>
    <row r="2052" spans="1:12">
      <c r="A2052" t="s">
        <v>4078</v>
      </c>
      <c r="B2052" t="s">
        <v>1350</v>
      </c>
      <c r="C2052" t="s">
        <v>2005</v>
      </c>
      <c r="D2052" t="s">
        <v>2006</v>
      </c>
      <c r="E2052" t="s">
        <v>47</v>
      </c>
      <c r="F2052" t="s">
        <v>1971</v>
      </c>
      <c r="G2052" t="str">
        <f>INDEX(Risk_Matrix!$B$2:$D$4,MATCH(E2052,Risk_Matrix!$A$2:$A$4,0),MATCH(F2052,Risk_Matrix!$B$1:$D$1,0))</f>
        <v>High</v>
      </c>
      <c r="H2052" s="1">
        <v>46151</v>
      </c>
      <c r="I2052" t="s">
        <v>2025</v>
      </c>
      <c r="J2052" t="s">
        <v>2026</v>
      </c>
      <c r="K2052" t="s">
        <v>2036</v>
      </c>
      <c r="L2052">
        <f>IF(G2052="High",3,IF(G2052="Medium",2,1))</f>
        <v>3</v>
      </c>
    </row>
    <row r="2053" spans="1:12">
      <c r="A2053" t="s">
        <v>4079</v>
      </c>
      <c r="B2053" t="s">
        <v>1350</v>
      </c>
      <c r="C2053" t="s">
        <v>2008</v>
      </c>
      <c r="D2053" t="s">
        <v>2009</v>
      </c>
      <c r="E2053" t="s">
        <v>1971</v>
      </c>
      <c r="F2053" t="s">
        <v>1971</v>
      </c>
      <c r="G2053" t="str">
        <f>INDEX(Risk_Matrix!$B$2:$D$4,MATCH(E2053,Risk_Matrix!$A$2:$A$4,0),MATCH(F2053,Risk_Matrix!$B$1:$D$1,0))</f>
        <v>Medium</v>
      </c>
      <c r="H2053" s="1">
        <v>46225</v>
      </c>
      <c r="I2053" t="s">
        <v>2025</v>
      </c>
      <c r="J2053" t="s">
        <v>2035</v>
      </c>
      <c r="K2053" t="s">
        <v>2010</v>
      </c>
      <c r="L2053">
        <f>IF(G2053="High",3,IF(G2053="Medium",2,1))</f>
        <v>2</v>
      </c>
    </row>
    <row r="2054" spans="1:12">
      <c r="A2054" t="s">
        <v>4080</v>
      </c>
      <c r="B2054" t="s">
        <v>1352</v>
      </c>
      <c r="C2054" t="s">
        <v>1985</v>
      </c>
      <c r="D2054" t="s">
        <v>2012</v>
      </c>
      <c r="E2054" t="s">
        <v>57</v>
      </c>
      <c r="F2054" t="s">
        <v>1971</v>
      </c>
      <c r="G2054" t="str">
        <f>INDEX(Risk_Matrix!$B$2:$D$4,MATCH(E2054,Risk_Matrix!$A$2:$A$4,0),MATCH(F2054,Risk_Matrix!$B$1:$D$1,0))</f>
        <v>Low</v>
      </c>
      <c r="H2054" s="1">
        <v>46118</v>
      </c>
      <c r="I2054" t="s">
        <v>1987</v>
      </c>
      <c r="J2054" t="s">
        <v>1997</v>
      </c>
      <c r="K2054" t="s">
        <v>1989</v>
      </c>
      <c r="L2054">
        <f>IF(G2054="High",3,IF(G2054="Medium",2,1))</f>
        <v>1</v>
      </c>
    </row>
    <row r="2055" spans="1:12">
      <c r="A2055" t="s">
        <v>4081</v>
      </c>
      <c r="B2055" t="s">
        <v>1352</v>
      </c>
      <c r="C2055" t="s">
        <v>1991</v>
      </c>
      <c r="D2055" t="s">
        <v>2014</v>
      </c>
      <c r="E2055" t="s">
        <v>1971</v>
      </c>
      <c r="F2055" t="s">
        <v>1971</v>
      </c>
      <c r="G2055" t="str">
        <f>INDEX(Risk_Matrix!$B$2:$D$4,MATCH(E2055,Risk_Matrix!$A$2:$A$4,0),MATCH(F2055,Risk_Matrix!$B$1:$D$1,0))</f>
        <v>Medium</v>
      </c>
      <c r="H2055" s="1">
        <v>46204</v>
      </c>
      <c r="I2055" t="s">
        <v>2025</v>
      </c>
      <c r="J2055" t="s">
        <v>2026</v>
      </c>
      <c r="K2055" t="s">
        <v>1993</v>
      </c>
      <c r="L2055">
        <f>IF(G2055="High",3,IF(G2055="Medium",2,1))</f>
        <v>2</v>
      </c>
    </row>
    <row r="2056" spans="1:12">
      <c r="A2056" t="s">
        <v>4082</v>
      </c>
      <c r="B2056" t="s">
        <v>1352</v>
      </c>
      <c r="C2056" t="s">
        <v>1995</v>
      </c>
      <c r="D2056" t="s">
        <v>2034</v>
      </c>
      <c r="E2056" t="s">
        <v>57</v>
      </c>
      <c r="F2056" t="s">
        <v>57</v>
      </c>
      <c r="G2056" t="str">
        <f>INDEX(Risk_Matrix!$B$2:$D$4,MATCH(E2056,Risk_Matrix!$A$2:$A$4,0),MATCH(F2056,Risk_Matrix!$B$1:$D$1,0))</f>
        <v>Low</v>
      </c>
      <c r="H2056" s="1">
        <v>46222</v>
      </c>
      <c r="I2056" t="s">
        <v>2002</v>
      </c>
      <c r="J2056" t="s">
        <v>2029</v>
      </c>
      <c r="K2056" t="s">
        <v>1998</v>
      </c>
      <c r="L2056">
        <f>IF(G2056="High",3,IF(G2056="Medium",2,1))</f>
        <v>1</v>
      </c>
    </row>
    <row r="2057" spans="1:12">
      <c r="A2057" t="s">
        <v>4083</v>
      </c>
      <c r="B2057" t="s">
        <v>1352</v>
      </c>
      <c r="C2057" t="s">
        <v>2000</v>
      </c>
      <c r="D2057" t="s">
        <v>2045</v>
      </c>
      <c r="E2057" t="s">
        <v>47</v>
      </c>
      <c r="F2057" t="s">
        <v>57</v>
      </c>
      <c r="G2057" t="str">
        <f>INDEX(Risk_Matrix!$B$2:$D$4,MATCH(E2057,Risk_Matrix!$A$2:$A$4,0),MATCH(F2057,Risk_Matrix!$B$1:$D$1,0))</f>
        <v>Medium</v>
      </c>
      <c r="H2057" s="1">
        <v>46158</v>
      </c>
      <c r="I2057" t="s">
        <v>2025</v>
      </c>
      <c r="J2057" t="s">
        <v>2026</v>
      </c>
      <c r="K2057" t="s">
        <v>1993</v>
      </c>
      <c r="L2057">
        <f>IF(G2057="High",3,IF(G2057="Medium",2,1))</f>
        <v>2</v>
      </c>
    </row>
    <row r="2058" spans="1:12">
      <c r="A2058" t="s">
        <v>4084</v>
      </c>
      <c r="B2058" t="s">
        <v>1352</v>
      </c>
      <c r="C2058" t="s">
        <v>2005</v>
      </c>
      <c r="D2058" t="s">
        <v>2006</v>
      </c>
      <c r="E2058" t="s">
        <v>1971</v>
      </c>
      <c r="F2058" t="s">
        <v>57</v>
      </c>
      <c r="G2058" t="str">
        <f>INDEX(Risk_Matrix!$B$2:$D$4,MATCH(E2058,Risk_Matrix!$A$2:$A$4,0),MATCH(F2058,Risk_Matrix!$B$1:$D$1,0))</f>
        <v>Low</v>
      </c>
      <c r="H2058" s="1">
        <v>46157</v>
      </c>
      <c r="I2058" t="s">
        <v>2002</v>
      </c>
      <c r="J2058" t="s">
        <v>2003</v>
      </c>
      <c r="K2058" t="s">
        <v>1993</v>
      </c>
      <c r="L2058">
        <f>IF(G2058="High",3,IF(G2058="Medium",2,1))</f>
        <v>1</v>
      </c>
    </row>
    <row r="2059" spans="1:12">
      <c r="A2059" t="s">
        <v>4085</v>
      </c>
      <c r="B2059" t="s">
        <v>1352</v>
      </c>
      <c r="C2059" t="s">
        <v>2008</v>
      </c>
      <c r="D2059" t="s">
        <v>2009</v>
      </c>
      <c r="E2059" t="s">
        <v>1971</v>
      </c>
      <c r="F2059" t="s">
        <v>47</v>
      </c>
      <c r="G2059" t="str">
        <f>INDEX(Risk_Matrix!$B$2:$D$4,MATCH(E2059,Risk_Matrix!$A$2:$A$4,0),MATCH(F2059,Risk_Matrix!$B$1:$D$1,0))</f>
        <v>High</v>
      </c>
      <c r="H2059" s="1">
        <v>46233</v>
      </c>
      <c r="I2059" t="s">
        <v>2015</v>
      </c>
      <c r="J2059" t="s">
        <v>2016</v>
      </c>
      <c r="K2059" t="s">
        <v>2010</v>
      </c>
      <c r="L2059">
        <f>IF(G2059="High",3,IF(G2059="Medium",2,1))</f>
        <v>3</v>
      </c>
    </row>
    <row r="2060" spans="1:12">
      <c r="A2060" t="s">
        <v>4086</v>
      </c>
      <c r="B2060" t="s">
        <v>1354</v>
      </c>
      <c r="C2060" t="s">
        <v>1985</v>
      </c>
      <c r="D2060" t="s">
        <v>1986</v>
      </c>
      <c r="E2060" t="s">
        <v>1971</v>
      </c>
      <c r="F2060" t="s">
        <v>1971</v>
      </c>
      <c r="G2060" t="str">
        <f>INDEX(Risk_Matrix!$B$2:$D$4,MATCH(E2060,Risk_Matrix!$A$2:$A$4,0),MATCH(F2060,Risk_Matrix!$B$1:$D$1,0))</f>
        <v>Medium</v>
      </c>
      <c r="H2060" s="1">
        <v>46077</v>
      </c>
      <c r="I2060" t="s">
        <v>1987</v>
      </c>
      <c r="J2060" t="s">
        <v>1988</v>
      </c>
      <c r="K2060" t="s">
        <v>1998</v>
      </c>
      <c r="L2060">
        <f>IF(G2060="High",3,IF(G2060="Medium",2,1))</f>
        <v>2</v>
      </c>
    </row>
    <row r="2061" spans="1:12">
      <c r="A2061" t="s">
        <v>4087</v>
      </c>
      <c r="B2061" t="s">
        <v>1354</v>
      </c>
      <c r="C2061" t="s">
        <v>1991</v>
      </c>
      <c r="D2061" t="s">
        <v>2014</v>
      </c>
      <c r="E2061" t="s">
        <v>57</v>
      </c>
      <c r="F2061" t="s">
        <v>57</v>
      </c>
      <c r="G2061" t="str">
        <f>INDEX(Risk_Matrix!$B$2:$D$4,MATCH(E2061,Risk_Matrix!$A$2:$A$4,0),MATCH(F2061,Risk_Matrix!$B$1:$D$1,0))</f>
        <v>Low</v>
      </c>
      <c r="H2061" s="1">
        <v>46111</v>
      </c>
      <c r="I2061" t="s">
        <v>1987</v>
      </c>
      <c r="J2061" t="s">
        <v>1988</v>
      </c>
      <c r="K2061" t="s">
        <v>2010</v>
      </c>
      <c r="L2061">
        <f>IF(G2061="High",3,IF(G2061="Medium",2,1))</f>
        <v>1</v>
      </c>
    </row>
    <row r="2062" spans="1:12">
      <c r="A2062" t="s">
        <v>4088</v>
      </c>
      <c r="B2062" t="s">
        <v>1354</v>
      </c>
      <c r="C2062" t="s">
        <v>1995</v>
      </c>
      <c r="D2062" t="s">
        <v>1996</v>
      </c>
      <c r="E2062" t="s">
        <v>57</v>
      </c>
      <c r="F2062" t="s">
        <v>57</v>
      </c>
      <c r="G2062" t="str">
        <f>INDEX(Risk_Matrix!$B$2:$D$4,MATCH(E2062,Risk_Matrix!$A$2:$A$4,0),MATCH(F2062,Risk_Matrix!$B$1:$D$1,0))</f>
        <v>Low</v>
      </c>
      <c r="H2062" s="1">
        <v>46075</v>
      </c>
      <c r="I2062" t="s">
        <v>1987</v>
      </c>
      <c r="J2062" t="s">
        <v>1997</v>
      </c>
      <c r="K2062" t="s">
        <v>1998</v>
      </c>
      <c r="L2062">
        <f>IF(G2062="High",3,IF(G2062="Medium",2,1))</f>
        <v>1</v>
      </c>
    </row>
    <row r="2063" spans="1:12">
      <c r="A2063" t="s">
        <v>4089</v>
      </c>
      <c r="B2063" t="s">
        <v>1354</v>
      </c>
      <c r="C2063" t="s">
        <v>2000</v>
      </c>
      <c r="D2063" t="s">
        <v>2020</v>
      </c>
      <c r="E2063" t="s">
        <v>1971</v>
      </c>
      <c r="F2063" t="s">
        <v>57</v>
      </c>
      <c r="G2063" t="str">
        <f>INDEX(Risk_Matrix!$B$2:$D$4,MATCH(E2063,Risk_Matrix!$A$2:$A$4,0),MATCH(F2063,Risk_Matrix!$B$1:$D$1,0))</f>
        <v>Low</v>
      </c>
      <c r="H2063" s="1">
        <v>46176</v>
      </c>
      <c r="I2063" t="s">
        <v>2015</v>
      </c>
      <c r="J2063" t="s">
        <v>2032</v>
      </c>
      <c r="K2063" t="s">
        <v>1989</v>
      </c>
      <c r="L2063">
        <f>IF(G2063="High",3,IF(G2063="Medium",2,1))</f>
        <v>1</v>
      </c>
    </row>
    <row r="2064" spans="1:12">
      <c r="A2064" t="s">
        <v>4090</v>
      </c>
      <c r="B2064" t="s">
        <v>1354</v>
      </c>
      <c r="C2064" t="s">
        <v>2005</v>
      </c>
      <c r="D2064" t="s">
        <v>2039</v>
      </c>
      <c r="E2064" t="s">
        <v>47</v>
      </c>
      <c r="F2064" t="s">
        <v>1971</v>
      </c>
      <c r="G2064" t="str">
        <f>INDEX(Risk_Matrix!$B$2:$D$4,MATCH(E2064,Risk_Matrix!$A$2:$A$4,0),MATCH(F2064,Risk_Matrix!$B$1:$D$1,0))</f>
        <v>High</v>
      </c>
      <c r="H2064" s="1">
        <v>46096</v>
      </c>
      <c r="I2064" t="s">
        <v>2025</v>
      </c>
      <c r="J2064" t="s">
        <v>2035</v>
      </c>
      <c r="K2064" t="s">
        <v>1993</v>
      </c>
      <c r="L2064">
        <f>IF(G2064="High",3,IF(G2064="Medium",2,1))</f>
        <v>3</v>
      </c>
    </row>
    <row r="2065" spans="1:12">
      <c r="A2065" t="s">
        <v>4091</v>
      </c>
      <c r="B2065" t="s">
        <v>1354</v>
      </c>
      <c r="C2065" t="s">
        <v>2008</v>
      </c>
      <c r="D2065" t="s">
        <v>2009</v>
      </c>
      <c r="E2065" t="s">
        <v>1971</v>
      </c>
      <c r="F2065" t="s">
        <v>1971</v>
      </c>
      <c r="G2065" t="str">
        <f>INDEX(Risk_Matrix!$B$2:$D$4,MATCH(E2065,Risk_Matrix!$A$2:$A$4,0),MATCH(F2065,Risk_Matrix!$B$1:$D$1,0))</f>
        <v>Medium</v>
      </c>
      <c r="H2065" s="1">
        <v>46084</v>
      </c>
      <c r="I2065" t="s">
        <v>1987</v>
      </c>
      <c r="J2065" t="s">
        <v>1997</v>
      </c>
      <c r="K2065" t="s">
        <v>2010</v>
      </c>
      <c r="L2065">
        <f>IF(G2065="High",3,IF(G2065="Medium",2,1))</f>
        <v>2</v>
      </c>
    </row>
    <row r="2066" spans="1:12">
      <c r="A2066" t="s">
        <v>4092</v>
      </c>
      <c r="B2066" t="s">
        <v>1356</v>
      </c>
      <c r="C2066" t="s">
        <v>1985</v>
      </c>
      <c r="D2066" t="s">
        <v>2062</v>
      </c>
      <c r="E2066" t="s">
        <v>1971</v>
      </c>
      <c r="F2066" t="s">
        <v>1971</v>
      </c>
      <c r="G2066" t="str">
        <f>INDEX(Risk_Matrix!$B$2:$D$4,MATCH(E2066,Risk_Matrix!$A$2:$A$4,0),MATCH(F2066,Risk_Matrix!$B$1:$D$1,0))</f>
        <v>Medium</v>
      </c>
      <c r="H2066" s="1">
        <v>46222</v>
      </c>
      <c r="I2066" t="s">
        <v>2015</v>
      </c>
      <c r="J2066" t="s">
        <v>2032</v>
      </c>
      <c r="K2066" t="s">
        <v>1989</v>
      </c>
      <c r="L2066">
        <f>IF(G2066="High",3,IF(G2066="Medium",2,1))</f>
        <v>2</v>
      </c>
    </row>
    <row r="2067" spans="1:12">
      <c r="A2067" t="s">
        <v>4093</v>
      </c>
      <c r="B2067" t="s">
        <v>1356</v>
      </c>
      <c r="C2067" t="s">
        <v>1991</v>
      </c>
      <c r="D2067" t="s">
        <v>2014</v>
      </c>
      <c r="E2067" t="s">
        <v>57</v>
      </c>
      <c r="F2067" t="s">
        <v>57</v>
      </c>
      <c r="G2067" t="str">
        <f>INDEX(Risk_Matrix!$B$2:$D$4,MATCH(E2067,Risk_Matrix!$A$2:$A$4,0),MATCH(F2067,Risk_Matrix!$B$1:$D$1,0))</f>
        <v>Low</v>
      </c>
      <c r="H2067" s="1">
        <v>46081</v>
      </c>
      <c r="I2067" t="s">
        <v>2002</v>
      </c>
      <c r="J2067" t="s">
        <v>2029</v>
      </c>
      <c r="K2067" t="s">
        <v>2010</v>
      </c>
      <c r="L2067">
        <f>IF(G2067="High",3,IF(G2067="Medium",2,1))</f>
        <v>1</v>
      </c>
    </row>
    <row r="2068" spans="1:12">
      <c r="A2068" t="s">
        <v>4094</v>
      </c>
      <c r="B2068" t="s">
        <v>1356</v>
      </c>
      <c r="C2068" t="s">
        <v>1995</v>
      </c>
      <c r="D2068" t="s">
        <v>2018</v>
      </c>
      <c r="E2068" t="s">
        <v>1971</v>
      </c>
      <c r="F2068" t="s">
        <v>47</v>
      </c>
      <c r="G2068" t="str">
        <f>INDEX(Risk_Matrix!$B$2:$D$4,MATCH(E2068,Risk_Matrix!$A$2:$A$4,0),MATCH(F2068,Risk_Matrix!$B$1:$D$1,0))</f>
        <v>High</v>
      </c>
      <c r="H2068" s="1">
        <v>46189</v>
      </c>
      <c r="I2068" t="s">
        <v>2015</v>
      </c>
      <c r="J2068" t="s">
        <v>2016</v>
      </c>
      <c r="K2068" t="s">
        <v>1998</v>
      </c>
      <c r="L2068">
        <f>IF(G2068="High",3,IF(G2068="Medium",2,1))</f>
        <v>3</v>
      </c>
    </row>
    <row r="2069" spans="1:12">
      <c r="A2069" t="s">
        <v>4095</v>
      </c>
      <c r="B2069" t="s">
        <v>1356</v>
      </c>
      <c r="C2069" t="s">
        <v>2000</v>
      </c>
      <c r="D2069" t="s">
        <v>2020</v>
      </c>
      <c r="E2069" t="s">
        <v>47</v>
      </c>
      <c r="F2069" t="s">
        <v>57</v>
      </c>
      <c r="G2069" t="str">
        <f>INDEX(Risk_Matrix!$B$2:$D$4,MATCH(E2069,Risk_Matrix!$A$2:$A$4,0),MATCH(F2069,Risk_Matrix!$B$1:$D$1,0))</f>
        <v>Medium</v>
      </c>
      <c r="H2069" s="1">
        <v>46117</v>
      </c>
      <c r="I2069" t="s">
        <v>1987</v>
      </c>
      <c r="J2069" t="s">
        <v>1988</v>
      </c>
      <c r="K2069" t="s">
        <v>1993</v>
      </c>
      <c r="L2069">
        <f>IF(G2069="High",3,IF(G2069="Medium",2,1))</f>
        <v>2</v>
      </c>
    </row>
    <row r="2070" spans="1:12">
      <c r="A2070" t="s">
        <v>4096</v>
      </c>
      <c r="B2070" t="s">
        <v>1356</v>
      </c>
      <c r="C2070" t="s">
        <v>2005</v>
      </c>
      <c r="D2070" t="s">
        <v>2039</v>
      </c>
      <c r="E2070" t="s">
        <v>47</v>
      </c>
      <c r="F2070" t="s">
        <v>1971</v>
      </c>
      <c r="G2070" t="str">
        <f>INDEX(Risk_Matrix!$B$2:$D$4,MATCH(E2070,Risk_Matrix!$A$2:$A$4,0),MATCH(F2070,Risk_Matrix!$B$1:$D$1,0))</f>
        <v>High</v>
      </c>
      <c r="H2070" s="1">
        <v>46235</v>
      </c>
      <c r="I2070" t="s">
        <v>2015</v>
      </c>
      <c r="J2070" t="s">
        <v>2032</v>
      </c>
      <c r="K2070" t="s">
        <v>1993</v>
      </c>
      <c r="L2070">
        <f>IF(G2070="High",3,IF(G2070="Medium",2,1))</f>
        <v>3</v>
      </c>
    </row>
    <row r="2071" spans="1:12">
      <c r="A2071" t="s">
        <v>4097</v>
      </c>
      <c r="B2071" t="s">
        <v>1356</v>
      </c>
      <c r="C2071" t="s">
        <v>2008</v>
      </c>
      <c r="D2071" t="s">
        <v>2024</v>
      </c>
      <c r="E2071" t="s">
        <v>47</v>
      </c>
      <c r="F2071" t="s">
        <v>1971</v>
      </c>
      <c r="G2071" t="str">
        <f>INDEX(Risk_Matrix!$B$2:$D$4,MATCH(E2071,Risk_Matrix!$A$2:$A$4,0),MATCH(F2071,Risk_Matrix!$B$1:$D$1,0))</f>
        <v>High</v>
      </c>
      <c r="H2071" s="1">
        <v>46154</v>
      </c>
      <c r="I2071" t="s">
        <v>2015</v>
      </c>
      <c r="J2071" t="s">
        <v>2016</v>
      </c>
      <c r="K2071" t="s">
        <v>2010</v>
      </c>
      <c r="L2071">
        <f>IF(G2071="High",3,IF(G2071="Medium",2,1))</f>
        <v>3</v>
      </c>
    </row>
    <row r="2072" spans="1:12">
      <c r="A2072" t="s">
        <v>4098</v>
      </c>
      <c r="B2072" t="s">
        <v>1358</v>
      </c>
      <c r="C2072" t="s">
        <v>1985</v>
      </c>
      <c r="D2072" t="s">
        <v>2028</v>
      </c>
      <c r="E2072" t="s">
        <v>1971</v>
      </c>
      <c r="F2072" t="s">
        <v>47</v>
      </c>
      <c r="G2072" t="str">
        <f>INDEX(Risk_Matrix!$B$2:$D$4,MATCH(E2072,Risk_Matrix!$A$2:$A$4,0),MATCH(F2072,Risk_Matrix!$B$1:$D$1,0))</f>
        <v>High</v>
      </c>
      <c r="H2072" s="1">
        <v>46097</v>
      </c>
      <c r="I2072" t="s">
        <v>2025</v>
      </c>
      <c r="J2072" t="s">
        <v>2035</v>
      </c>
      <c r="K2072" t="s">
        <v>1998</v>
      </c>
      <c r="L2072">
        <f>IF(G2072="High",3,IF(G2072="Medium",2,1))</f>
        <v>3</v>
      </c>
    </row>
    <row r="2073" spans="1:12">
      <c r="A2073" t="s">
        <v>4099</v>
      </c>
      <c r="B2073" t="s">
        <v>1358</v>
      </c>
      <c r="C2073" t="s">
        <v>1991</v>
      </c>
      <c r="D2073" t="s">
        <v>2064</v>
      </c>
      <c r="E2073" t="s">
        <v>1971</v>
      </c>
      <c r="F2073" t="s">
        <v>1971</v>
      </c>
      <c r="G2073" t="str">
        <f>INDEX(Risk_Matrix!$B$2:$D$4,MATCH(E2073,Risk_Matrix!$A$2:$A$4,0),MATCH(F2073,Risk_Matrix!$B$1:$D$1,0))</f>
        <v>Medium</v>
      </c>
      <c r="H2073" s="1">
        <v>46217</v>
      </c>
      <c r="I2073" t="s">
        <v>2025</v>
      </c>
      <c r="J2073" t="s">
        <v>2035</v>
      </c>
      <c r="K2073" t="s">
        <v>2010</v>
      </c>
      <c r="L2073">
        <f>IF(G2073="High",3,IF(G2073="Medium",2,1))</f>
        <v>2</v>
      </c>
    </row>
    <row r="2074" spans="1:12">
      <c r="A2074" t="s">
        <v>4100</v>
      </c>
      <c r="B2074" t="s">
        <v>1358</v>
      </c>
      <c r="C2074" t="s">
        <v>1995</v>
      </c>
      <c r="D2074" t="s">
        <v>2034</v>
      </c>
      <c r="E2074" t="s">
        <v>57</v>
      </c>
      <c r="F2074" t="s">
        <v>57</v>
      </c>
      <c r="G2074" t="str">
        <f>INDEX(Risk_Matrix!$B$2:$D$4,MATCH(E2074,Risk_Matrix!$A$2:$A$4,0),MATCH(F2074,Risk_Matrix!$B$1:$D$1,0))</f>
        <v>Low</v>
      </c>
      <c r="H2074" s="1">
        <v>46217</v>
      </c>
      <c r="I2074" t="s">
        <v>1987</v>
      </c>
      <c r="J2074" t="s">
        <v>1997</v>
      </c>
      <c r="K2074" t="s">
        <v>2036</v>
      </c>
      <c r="L2074">
        <f>IF(G2074="High",3,IF(G2074="Medium",2,1))</f>
        <v>1</v>
      </c>
    </row>
    <row r="2075" spans="1:12">
      <c r="A2075" t="s">
        <v>4101</v>
      </c>
      <c r="B2075" t="s">
        <v>1358</v>
      </c>
      <c r="C2075" t="s">
        <v>2000</v>
      </c>
      <c r="D2075" t="s">
        <v>2020</v>
      </c>
      <c r="E2075" t="s">
        <v>47</v>
      </c>
      <c r="F2075" t="s">
        <v>47</v>
      </c>
      <c r="G2075" t="str">
        <f>INDEX(Risk_Matrix!$B$2:$D$4,MATCH(E2075,Risk_Matrix!$A$2:$A$4,0),MATCH(F2075,Risk_Matrix!$B$1:$D$1,0))</f>
        <v>High</v>
      </c>
      <c r="H2075" s="1">
        <v>46106</v>
      </c>
      <c r="I2075" t="s">
        <v>2025</v>
      </c>
      <c r="J2075" t="s">
        <v>2035</v>
      </c>
      <c r="K2075" t="s">
        <v>1993</v>
      </c>
      <c r="L2075">
        <f>IF(G2075="High",3,IF(G2075="Medium",2,1))</f>
        <v>3</v>
      </c>
    </row>
    <row r="2076" spans="1:12">
      <c r="A2076" t="s">
        <v>4102</v>
      </c>
      <c r="B2076" t="s">
        <v>1358</v>
      </c>
      <c r="C2076" t="s">
        <v>2005</v>
      </c>
      <c r="D2076" t="s">
        <v>2006</v>
      </c>
      <c r="E2076" t="s">
        <v>57</v>
      </c>
      <c r="F2076" t="s">
        <v>57</v>
      </c>
      <c r="G2076" t="str">
        <f>INDEX(Risk_Matrix!$B$2:$D$4,MATCH(E2076,Risk_Matrix!$A$2:$A$4,0),MATCH(F2076,Risk_Matrix!$B$1:$D$1,0))</f>
        <v>Low</v>
      </c>
      <c r="H2076" s="1">
        <v>46159</v>
      </c>
      <c r="I2076" t="s">
        <v>1987</v>
      </c>
      <c r="J2076" t="s">
        <v>1988</v>
      </c>
      <c r="K2076" t="s">
        <v>1993</v>
      </c>
      <c r="L2076">
        <f>IF(G2076="High",3,IF(G2076="Medium",2,1))</f>
        <v>1</v>
      </c>
    </row>
    <row r="2077" spans="1:12">
      <c r="A2077" t="s">
        <v>4103</v>
      </c>
      <c r="B2077" t="s">
        <v>1358</v>
      </c>
      <c r="C2077" t="s">
        <v>2008</v>
      </c>
      <c r="D2077" t="s">
        <v>2009</v>
      </c>
      <c r="E2077" t="s">
        <v>57</v>
      </c>
      <c r="F2077" t="s">
        <v>47</v>
      </c>
      <c r="G2077" t="str">
        <f>INDEX(Risk_Matrix!$B$2:$D$4,MATCH(E2077,Risk_Matrix!$A$2:$A$4,0),MATCH(F2077,Risk_Matrix!$B$1:$D$1,0))</f>
        <v>Medium</v>
      </c>
      <c r="H2077" s="1">
        <v>46214</v>
      </c>
      <c r="I2077" t="s">
        <v>2015</v>
      </c>
      <c r="J2077" t="s">
        <v>2032</v>
      </c>
      <c r="K2077" t="s">
        <v>2010</v>
      </c>
      <c r="L2077">
        <f>IF(G2077="High",3,IF(G2077="Medium",2,1))</f>
        <v>2</v>
      </c>
    </row>
    <row r="2078" spans="1:12">
      <c r="A2078" t="s">
        <v>4104</v>
      </c>
      <c r="B2078" t="s">
        <v>1360</v>
      </c>
      <c r="C2078" t="s">
        <v>1985</v>
      </c>
      <c r="D2078" t="s">
        <v>2062</v>
      </c>
      <c r="E2078" t="s">
        <v>57</v>
      </c>
      <c r="F2078" t="s">
        <v>1971</v>
      </c>
      <c r="G2078" t="str">
        <f>INDEX(Risk_Matrix!$B$2:$D$4,MATCH(E2078,Risk_Matrix!$A$2:$A$4,0),MATCH(F2078,Risk_Matrix!$B$1:$D$1,0))</f>
        <v>Low</v>
      </c>
      <c r="H2078" s="1">
        <v>46118</v>
      </c>
      <c r="I2078" t="s">
        <v>2025</v>
      </c>
      <c r="J2078" t="s">
        <v>2035</v>
      </c>
      <c r="K2078" t="s">
        <v>1989</v>
      </c>
      <c r="L2078">
        <f>IF(G2078="High",3,IF(G2078="Medium",2,1))</f>
        <v>1</v>
      </c>
    </row>
    <row r="2079" spans="1:12">
      <c r="A2079" t="s">
        <v>4105</v>
      </c>
      <c r="B2079" t="s">
        <v>1360</v>
      </c>
      <c r="C2079" t="s">
        <v>1991</v>
      </c>
      <c r="D2079" t="s">
        <v>1992</v>
      </c>
      <c r="E2079" t="s">
        <v>57</v>
      </c>
      <c r="F2079" t="s">
        <v>57</v>
      </c>
      <c r="G2079" t="str">
        <f>INDEX(Risk_Matrix!$B$2:$D$4,MATCH(E2079,Risk_Matrix!$A$2:$A$4,0),MATCH(F2079,Risk_Matrix!$B$1:$D$1,0))</f>
        <v>Low</v>
      </c>
      <c r="H2079" s="1">
        <v>46209</v>
      </c>
      <c r="I2079" t="s">
        <v>2015</v>
      </c>
      <c r="J2079" t="s">
        <v>2032</v>
      </c>
      <c r="K2079" t="s">
        <v>2010</v>
      </c>
      <c r="L2079">
        <f>IF(G2079="High",3,IF(G2079="Medium",2,1))</f>
        <v>1</v>
      </c>
    </row>
    <row r="2080" spans="1:12">
      <c r="A2080" t="s">
        <v>4106</v>
      </c>
      <c r="B2080" t="s">
        <v>1360</v>
      </c>
      <c r="C2080" t="s">
        <v>1995</v>
      </c>
      <c r="D2080" t="s">
        <v>2034</v>
      </c>
      <c r="E2080" t="s">
        <v>57</v>
      </c>
      <c r="F2080" t="s">
        <v>1971</v>
      </c>
      <c r="G2080" t="str">
        <f>INDEX(Risk_Matrix!$B$2:$D$4,MATCH(E2080,Risk_Matrix!$A$2:$A$4,0),MATCH(F2080,Risk_Matrix!$B$1:$D$1,0))</f>
        <v>Low</v>
      </c>
      <c r="H2080" s="1">
        <v>46073</v>
      </c>
      <c r="I2080" t="s">
        <v>1987</v>
      </c>
      <c r="J2080" t="s">
        <v>1997</v>
      </c>
      <c r="K2080" t="s">
        <v>1998</v>
      </c>
      <c r="L2080">
        <f>IF(G2080="High",3,IF(G2080="Medium",2,1))</f>
        <v>1</v>
      </c>
    </row>
    <row r="2081" spans="1:12">
      <c r="A2081" t="s">
        <v>4107</v>
      </c>
      <c r="B2081" t="s">
        <v>1360</v>
      </c>
      <c r="C2081" t="s">
        <v>2000</v>
      </c>
      <c r="D2081" t="s">
        <v>2020</v>
      </c>
      <c r="E2081" t="s">
        <v>47</v>
      </c>
      <c r="F2081" t="s">
        <v>57</v>
      </c>
      <c r="G2081" t="str">
        <f>INDEX(Risk_Matrix!$B$2:$D$4,MATCH(E2081,Risk_Matrix!$A$2:$A$4,0),MATCH(F2081,Risk_Matrix!$B$1:$D$1,0))</f>
        <v>Medium</v>
      </c>
      <c r="H2081" s="1">
        <v>46205</v>
      </c>
      <c r="I2081" t="s">
        <v>2025</v>
      </c>
      <c r="J2081" t="s">
        <v>2026</v>
      </c>
      <c r="K2081" t="s">
        <v>1989</v>
      </c>
      <c r="L2081">
        <f>IF(G2081="High",3,IF(G2081="Medium",2,1))</f>
        <v>2</v>
      </c>
    </row>
    <row r="2082" spans="1:12">
      <c r="A2082" t="s">
        <v>4108</v>
      </c>
      <c r="B2082" t="s">
        <v>1360</v>
      </c>
      <c r="C2082" t="s">
        <v>2005</v>
      </c>
      <c r="D2082" t="s">
        <v>2022</v>
      </c>
      <c r="E2082" t="s">
        <v>1971</v>
      </c>
      <c r="F2082" t="s">
        <v>47</v>
      </c>
      <c r="G2082" t="str">
        <f>INDEX(Risk_Matrix!$B$2:$D$4,MATCH(E2082,Risk_Matrix!$A$2:$A$4,0),MATCH(F2082,Risk_Matrix!$B$1:$D$1,0))</f>
        <v>High</v>
      </c>
      <c r="H2082" s="1">
        <v>46170</v>
      </c>
      <c r="I2082" t="s">
        <v>2015</v>
      </c>
      <c r="J2082" t="s">
        <v>2032</v>
      </c>
      <c r="K2082" t="s">
        <v>1993</v>
      </c>
      <c r="L2082">
        <f>IF(G2082="High",3,IF(G2082="Medium",2,1))</f>
        <v>3</v>
      </c>
    </row>
    <row r="2083" spans="1:12">
      <c r="A2083" t="s">
        <v>4109</v>
      </c>
      <c r="B2083" t="s">
        <v>1360</v>
      </c>
      <c r="C2083" t="s">
        <v>2008</v>
      </c>
      <c r="D2083" t="s">
        <v>2054</v>
      </c>
      <c r="E2083" t="s">
        <v>57</v>
      </c>
      <c r="F2083" t="s">
        <v>57</v>
      </c>
      <c r="G2083" t="str">
        <f>INDEX(Risk_Matrix!$B$2:$D$4,MATCH(E2083,Risk_Matrix!$A$2:$A$4,0),MATCH(F2083,Risk_Matrix!$B$1:$D$1,0))</f>
        <v>Low</v>
      </c>
      <c r="H2083" s="1">
        <v>46206</v>
      </c>
      <c r="I2083" t="s">
        <v>2002</v>
      </c>
      <c r="J2083" t="s">
        <v>2003</v>
      </c>
      <c r="K2083" t="s">
        <v>2010</v>
      </c>
      <c r="L2083">
        <f>IF(G2083="High",3,IF(G2083="Medium",2,1))</f>
        <v>1</v>
      </c>
    </row>
    <row r="2084" spans="1:12">
      <c r="A2084" t="s">
        <v>4110</v>
      </c>
      <c r="B2084" t="s">
        <v>1362</v>
      </c>
      <c r="C2084" t="s">
        <v>1985</v>
      </c>
      <c r="D2084" t="s">
        <v>1986</v>
      </c>
      <c r="E2084" t="s">
        <v>1971</v>
      </c>
      <c r="F2084" t="s">
        <v>1971</v>
      </c>
      <c r="G2084" t="str">
        <f>INDEX(Risk_Matrix!$B$2:$D$4,MATCH(E2084,Risk_Matrix!$A$2:$A$4,0),MATCH(F2084,Risk_Matrix!$B$1:$D$1,0))</f>
        <v>Medium</v>
      </c>
      <c r="H2084" s="1">
        <v>46113</v>
      </c>
      <c r="I2084" t="s">
        <v>2025</v>
      </c>
      <c r="J2084" t="s">
        <v>2026</v>
      </c>
      <c r="K2084" t="s">
        <v>1989</v>
      </c>
      <c r="L2084">
        <f>IF(G2084="High",3,IF(G2084="Medium",2,1))</f>
        <v>2</v>
      </c>
    </row>
    <row r="2085" spans="1:12">
      <c r="A2085" t="s">
        <v>4111</v>
      </c>
      <c r="B2085" t="s">
        <v>1362</v>
      </c>
      <c r="C2085" t="s">
        <v>1991</v>
      </c>
      <c r="D2085" t="s">
        <v>2064</v>
      </c>
      <c r="E2085" t="s">
        <v>1971</v>
      </c>
      <c r="F2085" t="s">
        <v>57</v>
      </c>
      <c r="G2085" t="str">
        <f>INDEX(Risk_Matrix!$B$2:$D$4,MATCH(E2085,Risk_Matrix!$A$2:$A$4,0),MATCH(F2085,Risk_Matrix!$B$1:$D$1,0))</f>
        <v>Low</v>
      </c>
      <c r="H2085" s="1">
        <v>46212</v>
      </c>
      <c r="I2085" t="s">
        <v>2015</v>
      </c>
      <c r="J2085" t="s">
        <v>2032</v>
      </c>
      <c r="K2085" t="s">
        <v>1993</v>
      </c>
      <c r="L2085">
        <f>IF(G2085="High",3,IF(G2085="Medium",2,1))</f>
        <v>1</v>
      </c>
    </row>
    <row r="2086" spans="1:12">
      <c r="A2086" t="s">
        <v>4112</v>
      </c>
      <c r="B2086" t="s">
        <v>1362</v>
      </c>
      <c r="C2086" t="s">
        <v>1995</v>
      </c>
      <c r="D2086" t="s">
        <v>2034</v>
      </c>
      <c r="E2086" t="s">
        <v>47</v>
      </c>
      <c r="F2086" t="s">
        <v>57</v>
      </c>
      <c r="G2086" t="str">
        <f>INDEX(Risk_Matrix!$B$2:$D$4,MATCH(E2086,Risk_Matrix!$A$2:$A$4,0),MATCH(F2086,Risk_Matrix!$B$1:$D$1,0))</f>
        <v>Medium</v>
      </c>
      <c r="H2086" s="1">
        <v>46232</v>
      </c>
      <c r="I2086" t="s">
        <v>2002</v>
      </c>
      <c r="J2086" t="s">
        <v>2029</v>
      </c>
      <c r="K2086" t="s">
        <v>2036</v>
      </c>
      <c r="L2086">
        <f>IF(G2086="High",3,IF(G2086="Medium",2,1))</f>
        <v>2</v>
      </c>
    </row>
    <row r="2087" spans="1:12">
      <c r="A2087" t="s">
        <v>4113</v>
      </c>
      <c r="B2087" t="s">
        <v>1362</v>
      </c>
      <c r="C2087" t="s">
        <v>2000</v>
      </c>
      <c r="D2087" t="s">
        <v>2001</v>
      </c>
      <c r="E2087" t="s">
        <v>1971</v>
      </c>
      <c r="F2087" t="s">
        <v>57</v>
      </c>
      <c r="G2087" t="str">
        <f>INDEX(Risk_Matrix!$B$2:$D$4,MATCH(E2087,Risk_Matrix!$A$2:$A$4,0),MATCH(F2087,Risk_Matrix!$B$1:$D$1,0))</f>
        <v>Low</v>
      </c>
      <c r="H2087" s="1">
        <v>46190</v>
      </c>
      <c r="I2087" t="s">
        <v>2015</v>
      </c>
      <c r="J2087" t="s">
        <v>2032</v>
      </c>
      <c r="K2087" t="s">
        <v>1993</v>
      </c>
      <c r="L2087">
        <f>IF(G2087="High",3,IF(G2087="Medium",2,1))</f>
        <v>1</v>
      </c>
    </row>
    <row r="2088" spans="1:12">
      <c r="A2088" t="s">
        <v>4114</v>
      </c>
      <c r="B2088" t="s">
        <v>1362</v>
      </c>
      <c r="C2088" t="s">
        <v>2005</v>
      </c>
      <c r="D2088" t="s">
        <v>2006</v>
      </c>
      <c r="E2088" t="s">
        <v>47</v>
      </c>
      <c r="F2088" t="s">
        <v>57</v>
      </c>
      <c r="G2088" t="str">
        <f>INDEX(Risk_Matrix!$B$2:$D$4,MATCH(E2088,Risk_Matrix!$A$2:$A$4,0),MATCH(F2088,Risk_Matrix!$B$1:$D$1,0))</f>
        <v>Medium</v>
      </c>
      <c r="H2088" s="1">
        <v>46185</v>
      </c>
      <c r="I2088" t="s">
        <v>2015</v>
      </c>
      <c r="J2088" t="s">
        <v>2016</v>
      </c>
      <c r="K2088" t="s">
        <v>1993</v>
      </c>
      <c r="L2088">
        <f>IF(G2088="High",3,IF(G2088="Medium",2,1))</f>
        <v>2</v>
      </c>
    </row>
    <row r="2089" spans="1:12">
      <c r="A2089" t="s">
        <v>4115</v>
      </c>
      <c r="B2089" t="s">
        <v>1362</v>
      </c>
      <c r="C2089" t="s">
        <v>2008</v>
      </c>
      <c r="D2089" t="s">
        <v>2054</v>
      </c>
      <c r="E2089" t="s">
        <v>1971</v>
      </c>
      <c r="F2089" t="s">
        <v>47</v>
      </c>
      <c r="G2089" t="str">
        <f>INDEX(Risk_Matrix!$B$2:$D$4,MATCH(E2089,Risk_Matrix!$A$2:$A$4,0),MATCH(F2089,Risk_Matrix!$B$1:$D$1,0))</f>
        <v>High</v>
      </c>
      <c r="H2089" s="1">
        <v>46087</v>
      </c>
      <c r="I2089" t="s">
        <v>2025</v>
      </c>
      <c r="J2089" t="s">
        <v>2026</v>
      </c>
      <c r="K2089" t="s">
        <v>2010</v>
      </c>
      <c r="L2089">
        <f>IF(G2089="High",3,IF(G2089="Medium",2,1))</f>
        <v>3</v>
      </c>
    </row>
    <row r="2090" spans="1:12">
      <c r="A2090" t="s">
        <v>4116</v>
      </c>
      <c r="B2090" t="s">
        <v>1364</v>
      </c>
      <c r="C2090" t="s">
        <v>1985</v>
      </c>
      <c r="D2090" t="s">
        <v>2028</v>
      </c>
      <c r="E2090" t="s">
        <v>57</v>
      </c>
      <c r="F2090" t="s">
        <v>1971</v>
      </c>
      <c r="G2090" t="str">
        <f>INDEX(Risk_Matrix!$B$2:$D$4,MATCH(E2090,Risk_Matrix!$A$2:$A$4,0),MATCH(F2090,Risk_Matrix!$B$1:$D$1,0))</f>
        <v>Low</v>
      </c>
      <c r="H2090" s="1">
        <v>46068</v>
      </c>
      <c r="I2090" t="s">
        <v>1987</v>
      </c>
      <c r="J2090" t="s">
        <v>1997</v>
      </c>
      <c r="K2090" t="s">
        <v>1998</v>
      </c>
      <c r="L2090">
        <f>IF(G2090="High",3,IF(G2090="Medium",2,1))</f>
        <v>1</v>
      </c>
    </row>
    <row r="2091" spans="1:12">
      <c r="A2091" t="s">
        <v>4117</v>
      </c>
      <c r="B2091" t="s">
        <v>1364</v>
      </c>
      <c r="C2091" t="s">
        <v>1991</v>
      </c>
      <c r="D2091" t="s">
        <v>2014</v>
      </c>
      <c r="E2091" t="s">
        <v>57</v>
      </c>
      <c r="F2091" t="s">
        <v>57</v>
      </c>
      <c r="G2091" t="str">
        <f>INDEX(Risk_Matrix!$B$2:$D$4,MATCH(E2091,Risk_Matrix!$A$2:$A$4,0),MATCH(F2091,Risk_Matrix!$B$1:$D$1,0))</f>
        <v>Low</v>
      </c>
      <c r="H2091" s="1">
        <v>46188</v>
      </c>
      <c r="I2091" t="s">
        <v>2015</v>
      </c>
      <c r="J2091" t="s">
        <v>2016</v>
      </c>
      <c r="K2091" t="s">
        <v>1993</v>
      </c>
      <c r="L2091">
        <f>IF(G2091="High",3,IF(G2091="Medium",2,1))</f>
        <v>1</v>
      </c>
    </row>
    <row r="2092" spans="1:12">
      <c r="A2092" t="s">
        <v>4118</v>
      </c>
      <c r="B2092" t="s">
        <v>1364</v>
      </c>
      <c r="C2092" t="s">
        <v>1995</v>
      </c>
      <c r="D2092" t="s">
        <v>2034</v>
      </c>
      <c r="E2092" t="s">
        <v>1971</v>
      </c>
      <c r="F2092" t="s">
        <v>1971</v>
      </c>
      <c r="G2092" t="str">
        <f>INDEX(Risk_Matrix!$B$2:$D$4,MATCH(E2092,Risk_Matrix!$A$2:$A$4,0),MATCH(F2092,Risk_Matrix!$B$1:$D$1,0))</f>
        <v>Medium</v>
      </c>
      <c r="H2092" s="1">
        <v>46091</v>
      </c>
      <c r="I2092" t="s">
        <v>2025</v>
      </c>
      <c r="J2092" t="s">
        <v>2026</v>
      </c>
      <c r="K2092" t="s">
        <v>1998</v>
      </c>
      <c r="L2092">
        <f>IF(G2092="High",3,IF(G2092="Medium",2,1))</f>
        <v>2</v>
      </c>
    </row>
    <row r="2093" spans="1:12">
      <c r="A2093" t="s">
        <v>4119</v>
      </c>
      <c r="B2093" t="s">
        <v>1364</v>
      </c>
      <c r="C2093" t="s">
        <v>2000</v>
      </c>
      <c r="D2093" t="s">
        <v>2020</v>
      </c>
      <c r="E2093" t="s">
        <v>47</v>
      </c>
      <c r="F2093" t="s">
        <v>1971</v>
      </c>
      <c r="G2093" t="str">
        <f>INDEX(Risk_Matrix!$B$2:$D$4,MATCH(E2093,Risk_Matrix!$A$2:$A$4,0),MATCH(F2093,Risk_Matrix!$B$1:$D$1,0))</f>
        <v>High</v>
      </c>
      <c r="H2093" s="1">
        <v>46146</v>
      </c>
      <c r="I2093" t="s">
        <v>2025</v>
      </c>
      <c r="J2093" t="s">
        <v>2035</v>
      </c>
      <c r="K2093" t="s">
        <v>1989</v>
      </c>
      <c r="L2093">
        <f>IF(G2093="High",3,IF(G2093="Medium",2,1))</f>
        <v>3</v>
      </c>
    </row>
    <row r="2094" spans="1:12">
      <c r="A2094" t="s">
        <v>4120</v>
      </c>
      <c r="B2094" t="s">
        <v>1364</v>
      </c>
      <c r="C2094" t="s">
        <v>2005</v>
      </c>
      <c r="D2094" t="s">
        <v>2039</v>
      </c>
      <c r="E2094" t="s">
        <v>47</v>
      </c>
      <c r="F2094" t="s">
        <v>47</v>
      </c>
      <c r="G2094" t="str">
        <f>INDEX(Risk_Matrix!$B$2:$D$4,MATCH(E2094,Risk_Matrix!$A$2:$A$4,0),MATCH(F2094,Risk_Matrix!$B$1:$D$1,0))</f>
        <v>High</v>
      </c>
      <c r="H2094" s="1">
        <v>46222</v>
      </c>
      <c r="I2094" t="s">
        <v>2015</v>
      </c>
      <c r="J2094" t="s">
        <v>2016</v>
      </c>
      <c r="K2094" t="s">
        <v>1993</v>
      </c>
      <c r="L2094">
        <f>IF(G2094="High",3,IF(G2094="Medium",2,1))</f>
        <v>3</v>
      </c>
    </row>
    <row r="2095" spans="1:12">
      <c r="A2095" t="s">
        <v>4121</v>
      </c>
      <c r="B2095" t="s">
        <v>1364</v>
      </c>
      <c r="C2095" t="s">
        <v>2008</v>
      </c>
      <c r="D2095" t="s">
        <v>2009</v>
      </c>
      <c r="E2095" t="s">
        <v>57</v>
      </c>
      <c r="F2095" t="s">
        <v>57</v>
      </c>
      <c r="G2095" t="str">
        <f>INDEX(Risk_Matrix!$B$2:$D$4,MATCH(E2095,Risk_Matrix!$A$2:$A$4,0),MATCH(F2095,Risk_Matrix!$B$1:$D$1,0))</f>
        <v>Low</v>
      </c>
      <c r="H2095" s="1">
        <v>46223</v>
      </c>
      <c r="I2095" t="s">
        <v>1987</v>
      </c>
      <c r="J2095" t="s">
        <v>1988</v>
      </c>
      <c r="K2095" t="s">
        <v>2010</v>
      </c>
      <c r="L2095">
        <f>IF(G2095="High",3,IF(G2095="Medium",2,1))</f>
        <v>1</v>
      </c>
    </row>
    <row r="2096" spans="1:12">
      <c r="A2096" t="s">
        <v>4122</v>
      </c>
      <c r="B2096" t="s">
        <v>1366</v>
      </c>
      <c r="C2096" t="s">
        <v>1985</v>
      </c>
      <c r="D2096" t="s">
        <v>2012</v>
      </c>
      <c r="E2096" t="s">
        <v>1971</v>
      </c>
      <c r="F2096" t="s">
        <v>47</v>
      </c>
      <c r="G2096" t="str">
        <f>INDEX(Risk_Matrix!$B$2:$D$4,MATCH(E2096,Risk_Matrix!$A$2:$A$4,0),MATCH(F2096,Risk_Matrix!$B$1:$D$1,0))</f>
        <v>High</v>
      </c>
      <c r="H2096" s="1">
        <v>46181</v>
      </c>
      <c r="I2096" t="s">
        <v>2015</v>
      </c>
      <c r="J2096" t="s">
        <v>2032</v>
      </c>
      <c r="K2096" t="s">
        <v>1998</v>
      </c>
      <c r="L2096">
        <f>IF(G2096="High",3,IF(G2096="Medium",2,1))</f>
        <v>3</v>
      </c>
    </row>
    <row r="2097" spans="1:12">
      <c r="A2097" t="s">
        <v>4123</v>
      </c>
      <c r="B2097" t="s">
        <v>1366</v>
      </c>
      <c r="C2097" t="s">
        <v>1991</v>
      </c>
      <c r="D2097" t="s">
        <v>2014</v>
      </c>
      <c r="E2097" t="s">
        <v>57</v>
      </c>
      <c r="F2097" t="s">
        <v>57</v>
      </c>
      <c r="G2097" t="str">
        <f>INDEX(Risk_Matrix!$B$2:$D$4,MATCH(E2097,Risk_Matrix!$A$2:$A$4,0),MATCH(F2097,Risk_Matrix!$B$1:$D$1,0))</f>
        <v>Low</v>
      </c>
      <c r="H2097" s="1">
        <v>46210</v>
      </c>
      <c r="I2097" t="s">
        <v>2025</v>
      </c>
      <c r="J2097" t="s">
        <v>2035</v>
      </c>
      <c r="K2097" t="s">
        <v>2010</v>
      </c>
      <c r="L2097">
        <f>IF(G2097="High",3,IF(G2097="Medium",2,1))</f>
        <v>1</v>
      </c>
    </row>
    <row r="2098" spans="1:12">
      <c r="A2098" t="s">
        <v>4124</v>
      </c>
      <c r="B2098" t="s">
        <v>1366</v>
      </c>
      <c r="C2098" t="s">
        <v>1995</v>
      </c>
      <c r="D2098" t="s">
        <v>2034</v>
      </c>
      <c r="E2098" t="s">
        <v>47</v>
      </c>
      <c r="F2098" t="s">
        <v>57</v>
      </c>
      <c r="G2098" t="str">
        <f>INDEX(Risk_Matrix!$B$2:$D$4,MATCH(E2098,Risk_Matrix!$A$2:$A$4,0),MATCH(F2098,Risk_Matrix!$B$1:$D$1,0))</f>
        <v>Medium</v>
      </c>
      <c r="H2098" s="1">
        <v>46064</v>
      </c>
      <c r="I2098" t="s">
        <v>1987</v>
      </c>
      <c r="J2098" t="s">
        <v>1988</v>
      </c>
      <c r="K2098" t="s">
        <v>2036</v>
      </c>
      <c r="L2098">
        <f>IF(G2098="High",3,IF(G2098="Medium",2,1))</f>
        <v>2</v>
      </c>
    </row>
    <row r="2099" spans="1:12">
      <c r="A2099" t="s">
        <v>4125</v>
      </c>
      <c r="B2099" t="s">
        <v>1366</v>
      </c>
      <c r="C2099" t="s">
        <v>2000</v>
      </c>
      <c r="D2099" t="s">
        <v>2001</v>
      </c>
      <c r="E2099" t="s">
        <v>57</v>
      </c>
      <c r="F2099" t="s">
        <v>57</v>
      </c>
      <c r="G2099" t="str">
        <f>INDEX(Risk_Matrix!$B$2:$D$4,MATCH(E2099,Risk_Matrix!$A$2:$A$4,0),MATCH(F2099,Risk_Matrix!$B$1:$D$1,0))</f>
        <v>Low</v>
      </c>
      <c r="H2099" s="1">
        <v>46162</v>
      </c>
      <c r="I2099" t="s">
        <v>1987</v>
      </c>
      <c r="J2099" t="s">
        <v>1988</v>
      </c>
      <c r="K2099" t="s">
        <v>1989</v>
      </c>
      <c r="L2099">
        <f>IF(G2099="High",3,IF(G2099="Medium",2,1))</f>
        <v>1</v>
      </c>
    </row>
    <row r="2100" spans="1:12">
      <c r="A2100" t="s">
        <v>4126</v>
      </c>
      <c r="B2100" t="s">
        <v>1366</v>
      </c>
      <c r="C2100" t="s">
        <v>2005</v>
      </c>
      <c r="D2100" t="s">
        <v>2022</v>
      </c>
      <c r="E2100" t="s">
        <v>1971</v>
      </c>
      <c r="F2100" t="s">
        <v>47</v>
      </c>
      <c r="G2100" t="str">
        <f>INDEX(Risk_Matrix!$B$2:$D$4,MATCH(E2100,Risk_Matrix!$A$2:$A$4,0),MATCH(F2100,Risk_Matrix!$B$1:$D$1,0))</f>
        <v>High</v>
      </c>
      <c r="H2100" s="1">
        <v>46202</v>
      </c>
      <c r="I2100" t="s">
        <v>2015</v>
      </c>
      <c r="J2100" t="s">
        <v>2032</v>
      </c>
      <c r="K2100" t="s">
        <v>1993</v>
      </c>
      <c r="L2100">
        <f>IF(G2100="High",3,IF(G2100="Medium",2,1))</f>
        <v>3</v>
      </c>
    </row>
    <row r="2101" spans="1:12">
      <c r="A2101" t="s">
        <v>4127</v>
      </c>
      <c r="B2101" t="s">
        <v>1366</v>
      </c>
      <c r="C2101" t="s">
        <v>2008</v>
      </c>
      <c r="D2101" t="s">
        <v>2054</v>
      </c>
      <c r="E2101" t="s">
        <v>1971</v>
      </c>
      <c r="F2101" t="s">
        <v>57</v>
      </c>
      <c r="G2101" t="str">
        <f>INDEX(Risk_Matrix!$B$2:$D$4,MATCH(E2101,Risk_Matrix!$A$2:$A$4,0),MATCH(F2101,Risk_Matrix!$B$1:$D$1,0))</f>
        <v>Low</v>
      </c>
      <c r="H2101" s="1">
        <v>46170</v>
      </c>
      <c r="I2101" t="s">
        <v>1987</v>
      </c>
      <c r="J2101" t="s">
        <v>1997</v>
      </c>
      <c r="K2101" t="s">
        <v>2010</v>
      </c>
      <c r="L2101">
        <f>IF(G2101="High",3,IF(G2101="Medium",2,1))</f>
        <v>1</v>
      </c>
    </row>
    <row r="2102" spans="1:12">
      <c r="A2102" t="s">
        <v>4128</v>
      </c>
      <c r="B2102" t="s">
        <v>1368</v>
      </c>
      <c r="C2102" t="s">
        <v>1985</v>
      </c>
      <c r="D2102" t="s">
        <v>2028</v>
      </c>
      <c r="E2102" t="s">
        <v>47</v>
      </c>
      <c r="F2102" t="s">
        <v>1971</v>
      </c>
      <c r="G2102" t="str">
        <f>INDEX(Risk_Matrix!$B$2:$D$4,MATCH(E2102,Risk_Matrix!$A$2:$A$4,0),MATCH(F2102,Risk_Matrix!$B$1:$D$1,0))</f>
        <v>High</v>
      </c>
      <c r="H2102" s="1">
        <v>46181</v>
      </c>
      <c r="I2102" t="s">
        <v>2025</v>
      </c>
      <c r="J2102" t="s">
        <v>2035</v>
      </c>
      <c r="K2102" t="s">
        <v>1989</v>
      </c>
      <c r="L2102">
        <f>IF(G2102="High",3,IF(G2102="Medium",2,1))</f>
        <v>3</v>
      </c>
    </row>
    <row r="2103" spans="1:12">
      <c r="A2103" t="s">
        <v>4129</v>
      </c>
      <c r="B2103" t="s">
        <v>1368</v>
      </c>
      <c r="C2103" t="s">
        <v>1991</v>
      </c>
      <c r="D2103" t="s">
        <v>2014</v>
      </c>
      <c r="E2103" t="s">
        <v>47</v>
      </c>
      <c r="F2103" t="s">
        <v>1971</v>
      </c>
      <c r="G2103" t="str">
        <f>INDEX(Risk_Matrix!$B$2:$D$4,MATCH(E2103,Risk_Matrix!$A$2:$A$4,0),MATCH(F2103,Risk_Matrix!$B$1:$D$1,0))</f>
        <v>High</v>
      </c>
      <c r="H2103" s="1">
        <v>46132</v>
      </c>
      <c r="I2103" t="s">
        <v>2025</v>
      </c>
      <c r="J2103" t="s">
        <v>2026</v>
      </c>
      <c r="K2103" t="s">
        <v>1993</v>
      </c>
      <c r="L2103">
        <f>IF(G2103="High",3,IF(G2103="Medium",2,1))</f>
        <v>3</v>
      </c>
    </row>
    <row r="2104" spans="1:12">
      <c r="A2104" t="s">
        <v>4130</v>
      </c>
      <c r="B2104" t="s">
        <v>1368</v>
      </c>
      <c r="C2104" t="s">
        <v>1995</v>
      </c>
      <c r="D2104" t="s">
        <v>1996</v>
      </c>
      <c r="E2104" t="s">
        <v>1971</v>
      </c>
      <c r="F2104" t="s">
        <v>57</v>
      </c>
      <c r="G2104" t="str">
        <f>INDEX(Risk_Matrix!$B$2:$D$4,MATCH(E2104,Risk_Matrix!$A$2:$A$4,0),MATCH(F2104,Risk_Matrix!$B$1:$D$1,0))</f>
        <v>Low</v>
      </c>
      <c r="H2104" s="1">
        <v>46133</v>
      </c>
      <c r="I2104" t="s">
        <v>2002</v>
      </c>
      <c r="J2104" t="s">
        <v>2029</v>
      </c>
      <c r="K2104" t="s">
        <v>1998</v>
      </c>
      <c r="L2104">
        <f>IF(G2104="High",3,IF(G2104="Medium",2,1))</f>
        <v>1</v>
      </c>
    </row>
    <row r="2105" spans="1:12">
      <c r="A2105" t="s">
        <v>4131</v>
      </c>
      <c r="B2105" t="s">
        <v>1368</v>
      </c>
      <c r="C2105" t="s">
        <v>2000</v>
      </c>
      <c r="D2105" t="s">
        <v>2045</v>
      </c>
      <c r="E2105" t="s">
        <v>1971</v>
      </c>
      <c r="F2105" t="s">
        <v>1971</v>
      </c>
      <c r="G2105" t="str">
        <f>INDEX(Risk_Matrix!$B$2:$D$4,MATCH(E2105,Risk_Matrix!$A$2:$A$4,0),MATCH(F2105,Risk_Matrix!$B$1:$D$1,0))</f>
        <v>Medium</v>
      </c>
      <c r="H2105" s="1">
        <v>46201</v>
      </c>
      <c r="I2105" t="s">
        <v>2015</v>
      </c>
      <c r="J2105" t="s">
        <v>2016</v>
      </c>
      <c r="K2105" t="s">
        <v>1993</v>
      </c>
      <c r="L2105">
        <f>IF(G2105="High",3,IF(G2105="Medium",2,1))</f>
        <v>2</v>
      </c>
    </row>
    <row r="2106" spans="1:12">
      <c r="A2106" t="s">
        <v>4132</v>
      </c>
      <c r="B2106" t="s">
        <v>1368</v>
      </c>
      <c r="C2106" t="s">
        <v>2005</v>
      </c>
      <c r="D2106" t="s">
        <v>2039</v>
      </c>
      <c r="E2106" t="s">
        <v>57</v>
      </c>
      <c r="F2106" t="s">
        <v>1971</v>
      </c>
      <c r="G2106" t="str">
        <f>INDEX(Risk_Matrix!$B$2:$D$4,MATCH(E2106,Risk_Matrix!$A$2:$A$4,0),MATCH(F2106,Risk_Matrix!$B$1:$D$1,0))</f>
        <v>Low</v>
      </c>
      <c r="H2106" s="1">
        <v>46192</v>
      </c>
      <c r="I2106" t="s">
        <v>2002</v>
      </c>
      <c r="J2106" t="s">
        <v>2029</v>
      </c>
      <c r="K2106" t="s">
        <v>1993</v>
      </c>
      <c r="L2106">
        <f>IF(G2106="High",3,IF(G2106="Medium",2,1))</f>
        <v>1</v>
      </c>
    </row>
    <row r="2107" spans="1:12">
      <c r="A2107" t="s">
        <v>4133</v>
      </c>
      <c r="B2107" t="s">
        <v>1368</v>
      </c>
      <c r="C2107" t="s">
        <v>2008</v>
      </c>
      <c r="D2107" t="s">
        <v>2024</v>
      </c>
      <c r="E2107" t="s">
        <v>1971</v>
      </c>
      <c r="F2107" t="s">
        <v>47</v>
      </c>
      <c r="G2107" t="str">
        <f>INDEX(Risk_Matrix!$B$2:$D$4,MATCH(E2107,Risk_Matrix!$A$2:$A$4,0),MATCH(F2107,Risk_Matrix!$B$1:$D$1,0))</f>
        <v>High</v>
      </c>
      <c r="H2107" s="1">
        <v>46210</v>
      </c>
      <c r="I2107" t="s">
        <v>2015</v>
      </c>
      <c r="J2107" t="s">
        <v>2032</v>
      </c>
      <c r="K2107" t="s">
        <v>2010</v>
      </c>
      <c r="L2107">
        <f>IF(G2107="High",3,IF(G2107="Medium",2,1))</f>
        <v>3</v>
      </c>
    </row>
    <row r="2108" spans="1:12">
      <c r="A2108" t="s">
        <v>4134</v>
      </c>
      <c r="B2108" t="s">
        <v>1370</v>
      </c>
      <c r="C2108" t="s">
        <v>1985</v>
      </c>
      <c r="D2108" t="s">
        <v>2012</v>
      </c>
      <c r="E2108" t="s">
        <v>47</v>
      </c>
      <c r="F2108" t="s">
        <v>1971</v>
      </c>
      <c r="G2108" t="str">
        <f>INDEX(Risk_Matrix!$B$2:$D$4,MATCH(E2108,Risk_Matrix!$A$2:$A$4,0),MATCH(F2108,Risk_Matrix!$B$1:$D$1,0))</f>
        <v>High</v>
      </c>
      <c r="H2108" s="1">
        <v>46176</v>
      </c>
      <c r="I2108" t="s">
        <v>2015</v>
      </c>
      <c r="J2108" t="s">
        <v>2032</v>
      </c>
      <c r="K2108" t="s">
        <v>1989</v>
      </c>
      <c r="L2108">
        <f>IF(G2108="High",3,IF(G2108="Medium",2,1))</f>
        <v>3</v>
      </c>
    </row>
    <row r="2109" spans="1:12">
      <c r="A2109" t="s">
        <v>4135</v>
      </c>
      <c r="B2109" t="s">
        <v>1370</v>
      </c>
      <c r="C2109" t="s">
        <v>1991</v>
      </c>
      <c r="D2109" t="s">
        <v>2014</v>
      </c>
      <c r="E2109" t="s">
        <v>1971</v>
      </c>
      <c r="F2109" t="s">
        <v>57</v>
      </c>
      <c r="G2109" t="str">
        <f>INDEX(Risk_Matrix!$B$2:$D$4,MATCH(E2109,Risk_Matrix!$A$2:$A$4,0),MATCH(F2109,Risk_Matrix!$B$1:$D$1,0))</f>
        <v>Low</v>
      </c>
      <c r="H2109" s="1">
        <v>46227</v>
      </c>
      <c r="I2109" t="s">
        <v>2015</v>
      </c>
      <c r="J2109" t="s">
        <v>2016</v>
      </c>
      <c r="K2109" t="s">
        <v>1993</v>
      </c>
      <c r="L2109">
        <f>IF(G2109="High",3,IF(G2109="Medium",2,1))</f>
        <v>1</v>
      </c>
    </row>
    <row r="2110" spans="1:12">
      <c r="A2110" t="s">
        <v>4136</v>
      </c>
      <c r="B2110" t="s">
        <v>1370</v>
      </c>
      <c r="C2110" t="s">
        <v>1995</v>
      </c>
      <c r="D2110" t="s">
        <v>1996</v>
      </c>
      <c r="E2110" t="s">
        <v>1971</v>
      </c>
      <c r="F2110" t="s">
        <v>57</v>
      </c>
      <c r="G2110" t="str">
        <f>INDEX(Risk_Matrix!$B$2:$D$4,MATCH(E2110,Risk_Matrix!$A$2:$A$4,0),MATCH(F2110,Risk_Matrix!$B$1:$D$1,0))</f>
        <v>Low</v>
      </c>
      <c r="H2110" s="1">
        <v>46212</v>
      </c>
      <c r="I2110" t="s">
        <v>2015</v>
      </c>
      <c r="J2110" t="s">
        <v>2032</v>
      </c>
      <c r="K2110" t="s">
        <v>2036</v>
      </c>
      <c r="L2110">
        <f>IF(G2110="High",3,IF(G2110="Medium",2,1))</f>
        <v>1</v>
      </c>
    </row>
    <row r="2111" spans="1:12">
      <c r="A2111" t="s">
        <v>4137</v>
      </c>
      <c r="B2111" t="s">
        <v>1370</v>
      </c>
      <c r="C2111" t="s">
        <v>2000</v>
      </c>
      <c r="D2111" t="s">
        <v>2020</v>
      </c>
      <c r="E2111" t="s">
        <v>57</v>
      </c>
      <c r="F2111" t="s">
        <v>57</v>
      </c>
      <c r="G2111" t="str">
        <f>INDEX(Risk_Matrix!$B$2:$D$4,MATCH(E2111,Risk_Matrix!$A$2:$A$4,0),MATCH(F2111,Risk_Matrix!$B$1:$D$1,0))</f>
        <v>Low</v>
      </c>
      <c r="H2111" s="1">
        <v>46091</v>
      </c>
      <c r="I2111" t="s">
        <v>2025</v>
      </c>
      <c r="J2111" t="s">
        <v>2035</v>
      </c>
      <c r="K2111" t="s">
        <v>1989</v>
      </c>
      <c r="L2111">
        <f>IF(G2111="High",3,IF(G2111="Medium",2,1))</f>
        <v>1</v>
      </c>
    </row>
    <row r="2112" spans="1:12">
      <c r="A2112" t="s">
        <v>4138</v>
      </c>
      <c r="B2112" t="s">
        <v>1370</v>
      </c>
      <c r="C2112" t="s">
        <v>2005</v>
      </c>
      <c r="D2112" t="s">
        <v>2022</v>
      </c>
      <c r="E2112" t="s">
        <v>1971</v>
      </c>
      <c r="F2112" t="s">
        <v>1971</v>
      </c>
      <c r="G2112" t="str">
        <f>INDEX(Risk_Matrix!$B$2:$D$4,MATCH(E2112,Risk_Matrix!$A$2:$A$4,0),MATCH(F2112,Risk_Matrix!$B$1:$D$1,0))</f>
        <v>Medium</v>
      </c>
      <c r="H2112" s="1">
        <v>46222</v>
      </c>
      <c r="I2112" t="s">
        <v>2015</v>
      </c>
      <c r="J2112" t="s">
        <v>2016</v>
      </c>
      <c r="K2112" t="s">
        <v>1993</v>
      </c>
      <c r="L2112">
        <f>IF(G2112="High",3,IF(G2112="Medium",2,1))</f>
        <v>2</v>
      </c>
    </row>
    <row r="2113" spans="1:12">
      <c r="A2113" t="s">
        <v>4139</v>
      </c>
      <c r="B2113" t="s">
        <v>1370</v>
      </c>
      <c r="C2113" t="s">
        <v>2008</v>
      </c>
      <c r="D2113" t="s">
        <v>2009</v>
      </c>
      <c r="E2113" t="s">
        <v>47</v>
      </c>
      <c r="F2113" t="s">
        <v>1971</v>
      </c>
      <c r="G2113" t="str">
        <f>INDEX(Risk_Matrix!$B$2:$D$4,MATCH(E2113,Risk_Matrix!$A$2:$A$4,0),MATCH(F2113,Risk_Matrix!$B$1:$D$1,0))</f>
        <v>High</v>
      </c>
      <c r="H2113" s="1">
        <v>46209</v>
      </c>
      <c r="I2113" t="s">
        <v>2015</v>
      </c>
      <c r="J2113" t="s">
        <v>2016</v>
      </c>
      <c r="K2113" t="s">
        <v>2010</v>
      </c>
      <c r="L2113">
        <f>IF(G2113="High",3,IF(G2113="Medium",2,1))</f>
        <v>3</v>
      </c>
    </row>
    <row r="2114" spans="1:12">
      <c r="A2114" t="s">
        <v>4140</v>
      </c>
      <c r="B2114" t="s">
        <v>1372</v>
      </c>
      <c r="C2114" t="s">
        <v>1985</v>
      </c>
      <c r="D2114" t="s">
        <v>2028</v>
      </c>
      <c r="E2114" t="s">
        <v>57</v>
      </c>
      <c r="F2114" t="s">
        <v>57</v>
      </c>
      <c r="G2114" t="str">
        <f>INDEX(Risk_Matrix!$B$2:$D$4,MATCH(E2114,Risk_Matrix!$A$2:$A$4,0),MATCH(F2114,Risk_Matrix!$B$1:$D$1,0))</f>
        <v>Low</v>
      </c>
      <c r="H2114" s="1">
        <v>46213</v>
      </c>
      <c r="I2114" t="s">
        <v>1987</v>
      </c>
      <c r="J2114" t="s">
        <v>1988</v>
      </c>
      <c r="K2114" t="s">
        <v>1998</v>
      </c>
      <c r="L2114">
        <f>IF(G2114="High",3,IF(G2114="Medium",2,1))</f>
        <v>1</v>
      </c>
    </row>
    <row r="2115" spans="1:12">
      <c r="A2115" t="s">
        <v>4141</v>
      </c>
      <c r="B2115" t="s">
        <v>1372</v>
      </c>
      <c r="C2115" t="s">
        <v>1991</v>
      </c>
      <c r="D2115" t="s">
        <v>1992</v>
      </c>
      <c r="E2115" t="s">
        <v>57</v>
      </c>
      <c r="F2115" t="s">
        <v>1971</v>
      </c>
      <c r="G2115" t="str">
        <f>INDEX(Risk_Matrix!$B$2:$D$4,MATCH(E2115,Risk_Matrix!$A$2:$A$4,0),MATCH(F2115,Risk_Matrix!$B$1:$D$1,0))</f>
        <v>Low</v>
      </c>
      <c r="H2115" s="1">
        <v>46099</v>
      </c>
      <c r="I2115" t="s">
        <v>2002</v>
      </c>
      <c r="J2115" t="s">
        <v>2029</v>
      </c>
      <c r="K2115" t="s">
        <v>1993</v>
      </c>
      <c r="L2115">
        <f>IF(G2115="High",3,IF(G2115="Medium",2,1))</f>
        <v>1</v>
      </c>
    </row>
    <row r="2116" spans="1:12">
      <c r="A2116" t="s">
        <v>4142</v>
      </c>
      <c r="B2116" t="s">
        <v>1372</v>
      </c>
      <c r="C2116" t="s">
        <v>1995</v>
      </c>
      <c r="D2116" t="s">
        <v>2034</v>
      </c>
      <c r="E2116" t="s">
        <v>1971</v>
      </c>
      <c r="F2116" t="s">
        <v>57</v>
      </c>
      <c r="G2116" t="str">
        <f>INDEX(Risk_Matrix!$B$2:$D$4,MATCH(E2116,Risk_Matrix!$A$2:$A$4,0),MATCH(F2116,Risk_Matrix!$B$1:$D$1,0))</f>
        <v>Low</v>
      </c>
      <c r="H2116" s="1">
        <v>46224</v>
      </c>
      <c r="I2116" t="s">
        <v>1987</v>
      </c>
      <c r="J2116" t="s">
        <v>1988</v>
      </c>
      <c r="K2116" t="s">
        <v>1998</v>
      </c>
      <c r="L2116">
        <f>IF(G2116="High",3,IF(G2116="Medium",2,1))</f>
        <v>1</v>
      </c>
    </row>
    <row r="2117" spans="1:12">
      <c r="A2117" t="s">
        <v>4143</v>
      </c>
      <c r="B2117" t="s">
        <v>1372</v>
      </c>
      <c r="C2117" t="s">
        <v>2000</v>
      </c>
      <c r="D2117" t="s">
        <v>2001</v>
      </c>
      <c r="E2117" t="s">
        <v>57</v>
      </c>
      <c r="F2117" t="s">
        <v>57</v>
      </c>
      <c r="G2117" t="str">
        <f>INDEX(Risk_Matrix!$B$2:$D$4,MATCH(E2117,Risk_Matrix!$A$2:$A$4,0),MATCH(F2117,Risk_Matrix!$B$1:$D$1,0))</f>
        <v>Low</v>
      </c>
      <c r="H2117" s="1">
        <v>46214</v>
      </c>
      <c r="I2117" t="s">
        <v>2002</v>
      </c>
      <c r="J2117" t="s">
        <v>2029</v>
      </c>
      <c r="K2117" t="s">
        <v>1993</v>
      </c>
      <c r="L2117">
        <f>IF(G2117="High",3,IF(G2117="Medium",2,1))</f>
        <v>1</v>
      </c>
    </row>
    <row r="2118" spans="1:12">
      <c r="A2118" t="s">
        <v>4144</v>
      </c>
      <c r="B2118" t="s">
        <v>1372</v>
      </c>
      <c r="C2118" t="s">
        <v>2005</v>
      </c>
      <c r="D2118" t="s">
        <v>2039</v>
      </c>
      <c r="E2118" t="s">
        <v>57</v>
      </c>
      <c r="F2118" t="s">
        <v>57</v>
      </c>
      <c r="G2118" t="str">
        <f>INDEX(Risk_Matrix!$B$2:$D$4,MATCH(E2118,Risk_Matrix!$A$2:$A$4,0),MATCH(F2118,Risk_Matrix!$B$1:$D$1,0))</f>
        <v>Low</v>
      </c>
      <c r="H2118" s="1">
        <v>46221</v>
      </c>
      <c r="I2118" t="s">
        <v>2015</v>
      </c>
      <c r="J2118" t="s">
        <v>2032</v>
      </c>
      <c r="K2118" t="s">
        <v>1993</v>
      </c>
      <c r="L2118">
        <f>IF(G2118="High",3,IF(G2118="Medium",2,1))</f>
        <v>1</v>
      </c>
    </row>
    <row r="2119" spans="1:12">
      <c r="A2119" t="s">
        <v>4145</v>
      </c>
      <c r="B2119" t="s">
        <v>1372</v>
      </c>
      <c r="C2119" t="s">
        <v>2008</v>
      </c>
      <c r="D2119" t="s">
        <v>2024</v>
      </c>
      <c r="E2119" t="s">
        <v>47</v>
      </c>
      <c r="F2119" t="s">
        <v>57</v>
      </c>
      <c r="G2119" t="str">
        <f>INDEX(Risk_Matrix!$B$2:$D$4,MATCH(E2119,Risk_Matrix!$A$2:$A$4,0),MATCH(F2119,Risk_Matrix!$B$1:$D$1,0))</f>
        <v>Medium</v>
      </c>
      <c r="H2119" s="1">
        <v>46236</v>
      </c>
      <c r="I2119" t="s">
        <v>2015</v>
      </c>
      <c r="J2119" t="s">
        <v>2016</v>
      </c>
      <c r="K2119" t="s">
        <v>2010</v>
      </c>
      <c r="L2119">
        <f>IF(G2119="High",3,IF(G2119="Medium",2,1))</f>
        <v>2</v>
      </c>
    </row>
    <row r="2120" spans="1:12">
      <c r="A2120" t="s">
        <v>4146</v>
      </c>
      <c r="B2120" t="s">
        <v>1375</v>
      </c>
      <c r="C2120" t="s">
        <v>1985</v>
      </c>
      <c r="D2120" t="s">
        <v>2012</v>
      </c>
      <c r="E2120" t="s">
        <v>1971</v>
      </c>
      <c r="F2120" t="s">
        <v>1971</v>
      </c>
      <c r="G2120" t="str">
        <f>INDEX(Risk_Matrix!$B$2:$D$4,MATCH(E2120,Risk_Matrix!$A$2:$A$4,0),MATCH(F2120,Risk_Matrix!$B$1:$D$1,0))</f>
        <v>Medium</v>
      </c>
      <c r="H2120" s="1">
        <v>46061</v>
      </c>
      <c r="I2120" t="s">
        <v>2025</v>
      </c>
      <c r="J2120" t="s">
        <v>2035</v>
      </c>
      <c r="K2120" t="s">
        <v>1989</v>
      </c>
      <c r="L2120">
        <f>IF(G2120="High",3,IF(G2120="Medium",2,1))</f>
        <v>2</v>
      </c>
    </row>
    <row r="2121" spans="1:12">
      <c r="A2121" t="s">
        <v>4147</v>
      </c>
      <c r="B2121" t="s">
        <v>1375</v>
      </c>
      <c r="C2121" t="s">
        <v>1991</v>
      </c>
      <c r="D2121" t="s">
        <v>2031</v>
      </c>
      <c r="E2121" t="s">
        <v>47</v>
      </c>
      <c r="F2121" t="s">
        <v>47</v>
      </c>
      <c r="G2121" t="str">
        <f>INDEX(Risk_Matrix!$B$2:$D$4,MATCH(E2121,Risk_Matrix!$A$2:$A$4,0),MATCH(F2121,Risk_Matrix!$B$1:$D$1,0))</f>
        <v>High</v>
      </c>
      <c r="H2121" s="1">
        <v>46160</v>
      </c>
      <c r="I2121" t="s">
        <v>2015</v>
      </c>
      <c r="J2121" t="s">
        <v>2016</v>
      </c>
      <c r="K2121" t="s">
        <v>1993</v>
      </c>
      <c r="L2121">
        <f>IF(G2121="High",3,IF(G2121="Medium",2,1))</f>
        <v>3</v>
      </c>
    </row>
    <row r="2122" spans="1:12">
      <c r="A2122" t="s">
        <v>4148</v>
      </c>
      <c r="B2122" t="s">
        <v>1375</v>
      </c>
      <c r="C2122" t="s">
        <v>1995</v>
      </c>
      <c r="D2122" t="s">
        <v>1996</v>
      </c>
      <c r="E2122" t="s">
        <v>1971</v>
      </c>
      <c r="F2122" t="s">
        <v>57</v>
      </c>
      <c r="G2122" t="str">
        <f>INDEX(Risk_Matrix!$B$2:$D$4,MATCH(E2122,Risk_Matrix!$A$2:$A$4,0),MATCH(F2122,Risk_Matrix!$B$1:$D$1,0))</f>
        <v>Low</v>
      </c>
      <c r="H2122" s="1">
        <v>46191</v>
      </c>
      <c r="I2122" t="s">
        <v>2015</v>
      </c>
      <c r="J2122" t="s">
        <v>2016</v>
      </c>
      <c r="K2122" t="s">
        <v>2036</v>
      </c>
      <c r="L2122">
        <f>IF(G2122="High",3,IF(G2122="Medium",2,1))</f>
        <v>1</v>
      </c>
    </row>
    <row r="2123" spans="1:12">
      <c r="A2123" t="s">
        <v>4149</v>
      </c>
      <c r="B2123" t="s">
        <v>1375</v>
      </c>
      <c r="C2123" t="s">
        <v>2000</v>
      </c>
      <c r="D2123" t="s">
        <v>2020</v>
      </c>
      <c r="E2123" t="s">
        <v>47</v>
      </c>
      <c r="F2123" t="s">
        <v>47</v>
      </c>
      <c r="G2123" t="str">
        <f>INDEX(Risk_Matrix!$B$2:$D$4,MATCH(E2123,Risk_Matrix!$A$2:$A$4,0),MATCH(F2123,Risk_Matrix!$B$1:$D$1,0))</f>
        <v>High</v>
      </c>
      <c r="H2123" s="1">
        <v>46213</v>
      </c>
      <c r="I2123" t="s">
        <v>2025</v>
      </c>
      <c r="J2123" t="s">
        <v>2035</v>
      </c>
      <c r="K2123" t="s">
        <v>1993</v>
      </c>
      <c r="L2123">
        <f>IF(G2123="High",3,IF(G2123="Medium",2,1))</f>
        <v>3</v>
      </c>
    </row>
    <row r="2124" spans="1:12">
      <c r="A2124" t="s">
        <v>4150</v>
      </c>
      <c r="B2124" t="s">
        <v>1375</v>
      </c>
      <c r="C2124" t="s">
        <v>2005</v>
      </c>
      <c r="D2124" t="s">
        <v>2006</v>
      </c>
      <c r="E2124" t="s">
        <v>57</v>
      </c>
      <c r="F2124" t="s">
        <v>1971</v>
      </c>
      <c r="G2124" t="str">
        <f>INDEX(Risk_Matrix!$B$2:$D$4,MATCH(E2124,Risk_Matrix!$A$2:$A$4,0),MATCH(F2124,Risk_Matrix!$B$1:$D$1,0))</f>
        <v>Low</v>
      </c>
      <c r="H2124" s="1">
        <v>46147</v>
      </c>
      <c r="I2124" t="s">
        <v>2002</v>
      </c>
      <c r="J2124" t="s">
        <v>2003</v>
      </c>
      <c r="K2124" t="s">
        <v>1993</v>
      </c>
      <c r="L2124">
        <f>IF(G2124="High",3,IF(G2124="Medium",2,1))</f>
        <v>1</v>
      </c>
    </row>
    <row r="2125" spans="1:12">
      <c r="A2125" t="s">
        <v>4151</v>
      </c>
      <c r="B2125" t="s">
        <v>1375</v>
      </c>
      <c r="C2125" t="s">
        <v>2008</v>
      </c>
      <c r="D2125" t="s">
        <v>2054</v>
      </c>
      <c r="E2125" t="s">
        <v>1971</v>
      </c>
      <c r="F2125" t="s">
        <v>1971</v>
      </c>
      <c r="G2125" t="str">
        <f>INDEX(Risk_Matrix!$B$2:$D$4,MATCH(E2125,Risk_Matrix!$A$2:$A$4,0),MATCH(F2125,Risk_Matrix!$B$1:$D$1,0))</f>
        <v>Medium</v>
      </c>
      <c r="H2125" s="1">
        <v>46148</v>
      </c>
      <c r="I2125" t="s">
        <v>2002</v>
      </c>
      <c r="J2125" t="s">
        <v>2003</v>
      </c>
      <c r="K2125" t="s">
        <v>2010</v>
      </c>
      <c r="L2125">
        <f>IF(G2125="High",3,IF(G2125="Medium",2,1))</f>
        <v>2</v>
      </c>
    </row>
    <row r="2126" spans="1:12">
      <c r="A2126" t="s">
        <v>4152</v>
      </c>
      <c r="B2126" t="s">
        <v>1378</v>
      </c>
      <c r="C2126" t="s">
        <v>1985</v>
      </c>
      <c r="D2126" t="s">
        <v>2028</v>
      </c>
      <c r="E2126" t="s">
        <v>57</v>
      </c>
      <c r="F2126" t="s">
        <v>57</v>
      </c>
      <c r="G2126" t="str">
        <f>INDEX(Risk_Matrix!$B$2:$D$4,MATCH(E2126,Risk_Matrix!$A$2:$A$4,0),MATCH(F2126,Risk_Matrix!$B$1:$D$1,0))</f>
        <v>Low</v>
      </c>
      <c r="H2126" s="1">
        <v>46140</v>
      </c>
      <c r="I2126" t="s">
        <v>2002</v>
      </c>
      <c r="J2126" t="s">
        <v>2029</v>
      </c>
      <c r="K2126" t="s">
        <v>1989</v>
      </c>
      <c r="L2126">
        <f>IF(G2126="High",3,IF(G2126="Medium",2,1))</f>
        <v>1</v>
      </c>
    </row>
    <row r="2127" spans="1:12">
      <c r="A2127" t="s">
        <v>4153</v>
      </c>
      <c r="B2127" t="s">
        <v>1378</v>
      </c>
      <c r="C2127" t="s">
        <v>1991</v>
      </c>
      <c r="D2127" t="s">
        <v>2031</v>
      </c>
      <c r="E2127" t="s">
        <v>57</v>
      </c>
      <c r="F2127" t="s">
        <v>57</v>
      </c>
      <c r="G2127" t="str">
        <f>INDEX(Risk_Matrix!$B$2:$D$4,MATCH(E2127,Risk_Matrix!$A$2:$A$4,0),MATCH(F2127,Risk_Matrix!$B$1:$D$1,0))</f>
        <v>Low</v>
      </c>
      <c r="H2127" s="1">
        <v>46068</v>
      </c>
      <c r="I2127" t="s">
        <v>2002</v>
      </c>
      <c r="J2127" t="s">
        <v>2003</v>
      </c>
      <c r="K2127" t="s">
        <v>1993</v>
      </c>
      <c r="L2127">
        <f>IF(G2127="High",3,IF(G2127="Medium",2,1))</f>
        <v>1</v>
      </c>
    </row>
    <row r="2128" spans="1:12">
      <c r="A2128" t="s">
        <v>4154</v>
      </c>
      <c r="B2128" t="s">
        <v>1378</v>
      </c>
      <c r="C2128" t="s">
        <v>1995</v>
      </c>
      <c r="D2128" t="s">
        <v>2034</v>
      </c>
      <c r="E2128" t="s">
        <v>47</v>
      </c>
      <c r="F2128" t="s">
        <v>57</v>
      </c>
      <c r="G2128" t="str">
        <f>INDEX(Risk_Matrix!$B$2:$D$4,MATCH(E2128,Risk_Matrix!$A$2:$A$4,0),MATCH(F2128,Risk_Matrix!$B$1:$D$1,0))</f>
        <v>Medium</v>
      </c>
      <c r="H2128" s="1">
        <v>46104</v>
      </c>
      <c r="I2128" t="s">
        <v>2025</v>
      </c>
      <c r="J2128" t="s">
        <v>2026</v>
      </c>
      <c r="K2128" t="s">
        <v>2036</v>
      </c>
      <c r="L2128">
        <f>IF(G2128="High",3,IF(G2128="Medium",2,1))</f>
        <v>2</v>
      </c>
    </row>
    <row r="2129" spans="1:12">
      <c r="A2129" t="s">
        <v>4155</v>
      </c>
      <c r="B2129" t="s">
        <v>1378</v>
      </c>
      <c r="C2129" t="s">
        <v>2000</v>
      </c>
      <c r="D2129" t="s">
        <v>2045</v>
      </c>
      <c r="E2129" t="s">
        <v>1971</v>
      </c>
      <c r="F2129" t="s">
        <v>47</v>
      </c>
      <c r="G2129" t="str">
        <f>INDEX(Risk_Matrix!$B$2:$D$4,MATCH(E2129,Risk_Matrix!$A$2:$A$4,0),MATCH(F2129,Risk_Matrix!$B$1:$D$1,0))</f>
        <v>High</v>
      </c>
      <c r="H2129" s="1">
        <v>46228</v>
      </c>
      <c r="I2129" t="s">
        <v>2015</v>
      </c>
      <c r="J2129" t="s">
        <v>2016</v>
      </c>
      <c r="K2129" t="s">
        <v>1993</v>
      </c>
      <c r="L2129">
        <f>IF(G2129="High",3,IF(G2129="Medium",2,1))</f>
        <v>3</v>
      </c>
    </row>
    <row r="2130" spans="1:12">
      <c r="A2130" t="s">
        <v>4156</v>
      </c>
      <c r="B2130" t="s">
        <v>1378</v>
      </c>
      <c r="C2130" t="s">
        <v>2005</v>
      </c>
      <c r="D2130" t="s">
        <v>2039</v>
      </c>
      <c r="E2130" t="s">
        <v>57</v>
      </c>
      <c r="F2130" t="s">
        <v>57</v>
      </c>
      <c r="G2130" t="str">
        <f>INDEX(Risk_Matrix!$B$2:$D$4,MATCH(E2130,Risk_Matrix!$A$2:$A$4,0),MATCH(F2130,Risk_Matrix!$B$1:$D$1,0))</f>
        <v>Low</v>
      </c>
      <c r="H2130" s="1">
        <v>46104</v>
      </c>
      <c r="I2130" t="s">
        <v>2025</v>
      </c>
      <c r="J2130" t="s">
        <v>2035</v>
      </c>
      <c r="K2130" t="s">
        <v>2036</v>
      </c>
      <c r="L2130">
        <f>IF(G2130="High",3,IF(G2130="Medium",2,1))</f>
        <v>1</v>
      </c>
    </row>
    <row r="2131" spans="1:12">
      <c r="A2131" t="s">
        <v>4157</v>
      </c>
      <c r="B2131" t="s">
        <v>1378</v>
      </c>
      <c r="C2131" t="s">
        <v>2008</v>
      </c>
      <c r="D2131" t="s">
        <v>2024</v>
      </c>
      <c r="E2131" t="s">
        <v>57</v>
      </c>
      <c r="F2131" t="s">
        <v>57</v>
      </c>
      <c r="G2131" t="str">
        <f>INDEX(Risk_Matrix!$B$2:$D$4,MATCH(E2131,Risk_Matrix!$A$2:$A$4,0),MATCH(F2131,Risk_Matrix!$B$1:$D$1,0))</f>
        <v>Low</v>
      </c>
      <c r="H2131" s="1">
        <v>46147</v>
      </c>
      <c r="I2131" t="s">
        <v>2025</v>
      </c>
      <c r="J2131" t="s">
        <v>2026</v>
      </c>
      <c r="K2131" t="s">
        <v>2010</v>
      </c>
      <c r="L2131">
        <f>IF(G2131="High",3,IF(G2131="Medium",2,1))</f>
        <v>1</v>
      </c>
    </row>
    <row r="2132" spans="1:12">
      <c r="A2132" t="s">
        <v>4158</v>
      </c>
      <c r="B2132" t="s">
        <v>1381</v>
      </c>
      <c r="C2132" t="s">
        <v>1985</v>
      </c>
      <c r="D2132" t="s">
        <v>2028</v>
      </c>
      <c r="E2132" t="s">
        <v>57</v>
      </c>
      <c r="F2132" t="s">
        <v>57</v>
      </c>
      <c r="G2132" t="str">
        <f>INDEX(Risk_Matrix!$B$2:$D$4,MATCH(E2132,Risk_Matrix!$A$2:$A$4,0),MATCH(F2132,Risk_Matrix!$B$1:$D$1,0))</f>
        <v>Low</v>
      </c>
      <c r="H2132" s="1">
        <v>46069</v>
      </c>
      <c r="I2132" t="s">
        <v>2025</v>
      </c>
      <c r="J2132" t="s">
        <v>2035</v>
      </c>
      <c r="K2132" t="s">
        <v>1998</v>
      </c>
      <c r="L2132">
        <f>IF(G2132="High",3,IF(G2132="Medium",2,1))</f>
        <v>1</v>
      </c>
    </row>
    <row r="2133" spans="1:12">
      <c r="A2133" t="s">
        <v>4159</v>
      </c>
      <c r="B2133" t="s">
        <v>1381</v>
      </c>
      <c r="C2133" t="s">
        <v>1991</v>
      </c>
      <c r="D2133" t="s">
        <v>1992</v>
      </c>
      <c r="E2133" t="s">
        <v>57</v>
      </c>
      <c r="F2133" t="s">
        <v>57</v>
      </c>
      <c r="G2133" t="str">
        <f>INDEX(Risk_Matrix!$B$2:$D$4,MATCH(E2133,Risk_Matrix!$A$2:$A$4,0),MATCH(F2133,Risk_Matrix!$B$1:$D$1,0))</f>
        <v>Low</v>
      </c>
      <c r="H2133" s="1">
        <v>46188</v>
      </c>
      <c r="I2133" t="s">
        <v>1987</v>
      </c>
      <c r="J2133" t="s">
        <v>1988</v>
      </c>
      <c r="K2133" t="s">
        <v>1993</v>
      </c>
      <c r="L2133">
        <f>IF(G2133="High",3,IF(G2133="Medium",2,1))</f>
        <v>1</v>
      </c>
    </row>
    <row r="2134" spans="1:12">
      <c r="A2134" t="s">
        <v>4160</v>
      </c>
      <c r="B2134" t="s">
        <v>1381</v>
      </c>
      <c r="C2134" t="s">
        <v>1995</v>
      </c>
      <c r="D2134" t="s">
        <v>2150</v>
      </c>
      <c r="E2134" t="s">
        <v>1971</v>
      </c>
      <c r="F2134" t="s">
        <v>1971</v>
      </c>
      <c r="G2134" t="str">
        <f>INDEX(Risk_Matrix!$B$2:$D$4,MATCH(E2134,Risk_Matrix!$A$2:$A$4,0),MATCH(F2134,Risk_Matrix!$B$1:$D$1,0))</f>
        <v>Medium</v>
      </c>
      <c r="H2134" s="1">
        <v>46162</v>
      </c>
      <c r="I2134" t="s">
        <v>2015</v>
      </c>
      <c r="J2134" t="s">
        <v>2032</v>
      </c>
      <c r="K2134" t="s">
        <v>2036</v>
      </c>
      <c r="L2134">
        <f>IF(G2134="High",3,IF(G2134="Medium",2,1))</f>
        <v>2</v>
      </c>
    </row>
    <row r="2135" spans="1:12">
      <c r="A2135" t="s">
        <v>4161</v>
      </c>
      <c r="B2135" t="s">
        <v>1381</v>
      </c>
      <c r="C2135" t="s">
        <v>2000</v>
      </c>
      <c r="D2135" t="s">
        <v>2020</v>
      </c>
      <c r="E2135" t="s">
        <v>47</v>
      </c>
      <c r="F2135" t="s">
        <v>47</v>
      </c>
      <c r="G2135" t="str">
        <f>INDEX(Risk_Matrix!$B$2:$D$4,MATCH(E2135,Risk_Matrix!$A$2:$A$4,0),MATCH(F2135,Risk_Matrix!$B$1:$D$1,0))</f>
        <v>High</v>
      </c>
      <c r="H2135" s="1">
        <v>46221</v>
      </c>
      <c r="I2135" t="s">
        <v>2015</v>
      </c>
      <c r="J2135" t="s">
        <v>2016</v>
      </c>
      <c r="K2135" t="s">
        <v>1989</v>
      </c>
      <c r="L2135">
        <f>IF(G2135="High",3,IF(G2135="Medium",2,1))</f>
        <v>3</v>
      </c>
    </row>
    <row r="2136" spans="1:12">
      <c r="A2136" t="s">
        <v>4162</v>
      </c>
      <c r="B2136" t="s">
        <v>1381</v>
      </c>
      <c r="C2136" t="s">
        <v>2005</v>
      </c>
      <c r="D2136" t="s">
        <v>2022</v>
      </c>
      <c r="E2136" t="s">
        <v>57</v>
      </c>
      <c r="F2136" t="s">
        <v>57</v>
      </c>
      <c r="G2136" t="str">
        <f>INDEX(Risk_Matrix!$B$2:$D$4,MATCH(E2136,Risk_Matrix!$A$2:$A$4,0),MATCH(F2136,Risk_Matrix!$B$1:$D$1,0))</f>
        <v>Low</v>
      </c>
      <c r="H2136" s="1">
        <v>46179</v>
      </c>
      <c r="I2136" t="s">
        <v>2025</v>
      </c>
      <c r="J2136" t="s">
        <v>2035</v>
      </c>
      <c r="K2136" t="s">
        <v>1993</v>
      </c>
      <c r="L2136">
        <f>IF(G2136="High",3,IF(G2136="Medium",2,1))</f>
        <v>1</v>
      </c>
    </row>
    <row r="2137" spans="1:12">
      <c r="A2137" t="s">
        <v>4163</v>
      </c>
      <c r="B2137" t="s">
        <v>1381</v>
      </c>
      <c r="C2137" t="s">
        <v>2008</v>
      </c>
      <c r="D2137" t="s">
        <v>2024</v>
      </c>
      <c r="E2137" t="s">
        <v>57</v>
      </c>
      <c r="F2137" t="s">
        <v>57</v>
      </c>
      <c r="G2137" t="str">
        <f>INDEX(Risk_Matrix!$B$2:$D$4,MATCH(E2137,Risk_Matrix!$A$2:$A$4,0),MATCH(F2137,Risk_Matrix!$B$1:$D$1,0))</f>
        <v>Low</v>
      </c>
      <c r="H2137" s="1">
        <v>46164</v>
      </c>
      <c r="I2137" t="s">
        <v>2015</v>
      </c>
      <c r="J2137" t="s">
        <v>2032</v>
      </c>
      <c r="K2137" t="s">
        <v>2010</v>
      </c>
      <c r="L2137">
        <f>IF(G2137="High",3,IF(G2137="Medium",2,1))</f>
        <v>1</v>
      </c>
    </row>
    <row r="2138" spans="1:12">
      <c r="A2138" t="s">
        <v>4164</v>
      </c>
      <c r="B2138" t="s">
        <v>1383</v>
      </c>
      <c r="C2138" t="s">
        <v>1985</v>
      </c>
      <c r="D2138" t="s">
        <v>2028</v>
      </c>
      <c r="E2138" t="s">
        <v>57</v>
      </c>
      <c r="F2138" t="s">
        <v>57</v>
      </c>
      <c r="G2138" t="str">
        <f>INDEX(Risk_Matrix!$B$2:$D$4,MATCH(E2138,Risk_Matrix!$A$2:$A$4,0),MATCH(F2138,Risk_Matrix!$B$1:$D$1,0))</f>
        <v>Low</v>
      </c>
      <c r="H2138" s="1">
        <v>46146</v>
      </c>
      <c r="I2138" t="s">
        <v>1987</v>
      </c>
      <c r="J2138" t="s">
        <v>1997</v>
      </c>
      <c r="K2138" t="s">
        <v>1998</v>
      </c>
      <c r="L2138">
        <f>IF(G2138="High",3,IF(G2138="Medium",2,1))</f>
        <v>1</v>
      </c>
    </row>
    <row r="2139" spans="1:12">
      <c r="A2139" t="s">
        <v>4165</v>
      </c>
      <c r="B2139" t="s">
        <v>1383</v>
      </c>
      <c r="C2139" t="s">
        <v>1991</v>
      </c>
      <c r="D2139" t="s">
        <v>2064</v>
      </c>
      <c r="E2139" t="s">
        <v>1971</v>
      </c>
      <c r="F2139" t="s">
        <v>1971</v>
      </c>
      <c r="G2139" t="str">
        <f>INDEX(Risk_Matrix!$B$2:$D$4,MATCH(E2139,Risk_Matrix!$A$2:$A$4,0),MATCH(F2139,Risk_Matrix!$B$1:$D$1,0))</f>
        <v>Medium</v>
      </c>
      <c r="H2139" s="1">
        <v>46056</v>
      </c>
      <c r="I2139" t="s">
        <v>1987</v>
      </c>
      <c r="J2139" t="s">
        <v>1997</v>
      </c>
      <c r="K2139" t="s">
        <v>1993</v>
      </c>
      <c r="L2139">
        <f>IF(G2139="High",3,IF(G2139="Medium",2,1))</f>
        <v>2</v>
      </c>
    </row>
    <row r="2140" spans="1:12">
      <c r="A2140" t="s">
        <v>4166</v>
      </c>
      <c r="B2140" t="s">
        <v>1383</v>
      </c>
      <c r="C2140" t="s">
        <v>1995</v>
      </c>
      <c r="D2140" t="s">
        <v>2150</v>
      </c>
      <c r="E2140" t="s">
        <v>1971</v>
      </c>
      <c r="F2140" t="s">
        <v>1971</v>
      </c>
      <c r="G2140" t="str">
        <f>INDEX(Risk_Matrix!$B$2:$D$4,MATCH(E2140,Risk_Matrix!$A$2:$A$4,0),MATCH(F2140,Risk_Matrix!$B$1:$D$1,0))</f>
        <v>Medium</v>
      </c>
      <c r="H2140" s="1">
        <v>46102</v>
      </c>
      <c r="I2140" t="s">
        <v>1987</v>
      </c>
      <c r="J2140" t="s">
        <v>1988</v>
      </c>
      <c r="K2140" t="s">
        <v>1998</v>
      </c>
      <c r="L2140">
        <f>IF(G2140="High",3,IF(G2140="Medium",2,1))</f>
        <v>2</v>
      </c>
    </row>
    <row r="2141" spans="1:12">
      <c r="A2141" t="s">
        <v>4167</v>
      </c>
      <c r="B2141" t="s">
        <v>1383</v>
      </c>
      <c r="C2141" t="s">
        <v>2000</v>
      </c>
      <c r="D2141" t="s">
        <v>2020</v>
      </c>
      <c r="E2141" t="s">
        <v>57</v>
      </c>
      <c r="F2141" t="s">
        <v>1971</v>
      </c>
      <c r="G2141" t="str">
        <f>INDEX(Risk_Matrix!$B$2:$D$4,MATCH(E2141,Risk_Matrix!$A$2:$A$4,0),MATCH(F2141,Risk_Matrix!$B$1:$D$1,0))</f>
        <v>Low</v>
      </c>
      <c r="H2141" s="1">
        <v>46165</v>
      </c>
      <c r="I2141" t="s">
        <v>1987</v>
      </c>
      <c r="J2141" t="s">
        <v>1997</v>
      </c>
      <c r="K2141" t="s">
        <v>1989</v>
      </c>
      <c r="L2141">
        <f>IF(G2141="High",3,IF(G2141="Medium",2,1))</f>
        <v>1</v>
      </c>
    </row>
    <row r="2142" spans="1:12">
      <c r="A2142" t="s">
        <v>4168</v>
      </c>
      <c r="B2142" t="s">
        <v>1383</v>
      </c>
      <c r="C2142" t="s">
        <v>2005</v>
      </c>
      <c r="D2142" t="s">
        <v>2039</v>
      </c>
      <c r="E2142" t="s">
        <v>57</v>
      </c>
      <c r="F2142" t="s">
        <v>1971</v>
      </c>
      <c r="G2142" t="str">
        <f>INDEX(Risk_Matrix!$B$2:$D$4,MATCH(E2142,Risk_Matrix!$A$2:$A$4,0),MATCH(F2142,Risk_Matrix!$B$1:$D$1,0))</f>
        <v>Low</v>
      </c>
      <c r="H2142" s="1">
        <v>46205</v>
      </c>
      <c r="I2142" t="s">
        <v>2015</v>
      </c>
      <c r="J2142" t="s">
        <v>2016</v>
      </c>
      <c r="K2142" t="s">
        <v>2036</v>
      </c>
      <c r="L2142">
        <f>IF(G2142="High",3,IF(G2142="Medium",2,1))</f>
        <v>1</v>
      </c>
    </row>
    <row r="2143" spans="1:12">
      <c r="A2143" t="s">
        <v>4169</v>
      </c>
      <c r="B2143" t="s">
        <v>1383</v>
      </c>
      <c r="C2143" t="s">
        <v>2008</v>
      </c>
      <c r="D2143" t="s">
        <v>2024</v>
      </c>
      <c r="E2143" t="s">
        <v>57</v>
      </c>
      <c r="F2143" t="s">
        <v>47</v>
      </c>
      <c r="G2143" t="str">
        <f>INDEX(Risk_Matrix!$B$2:$D$4,MATCH(E2143,Risk_Matrix!$A$2:$A$4,0),MATCH(F2143,Risk_Matrix!$B$1:$D$1,0))</f>
        <v>Medium</v>
      </c>
      <c r="H2143" s="1">
        <v>46066</v>
      </c>
      <c r="I2143" t="s">
        <v>2025</v>
      </c>
      <c r="J2143" t="s">
        <v>2035</v>
      </c>
      <c r="K2143" t="s">
        <v>2010</v>
      </c>
      <c r="L2143">
        <f>IF(G2143="High",3,IF(G2143="Medium",2,1))</f>
        <v>2</v>
      </c>
    </row>
    <row r="2144" spans="1:12">
      <c r="A2144" t="s">
        <v>4170</v>
      </c>
      <c r="B2144" t="s">
        <v>1386</v>
      </c>
      <c r="C2144" t="s">
        <v>1985</v>
      </c>
      <c r="D2144" t="s">
        <v>2062</v>
      </c>
      <c r="E2144" t="s">
        <v>57</v>
      </c>
      <c r="F2144" t="s">
        <v>57</v>
      </c>
      <c r="G2144" t="str">
        <f>INDEX(Risk_Matrix!$B$2:$D$4,MATCH(E2144,Risk_Matrix!$A$2:$A$4,0),MATCH(F2144,Risk_Matrix!$B$1:$D$1,0))</f>
        <v>Low</v>
      </c>
      <c r="H2144" s="1">
        <v>46142</v>
      </c>
      <c r="I2144" t="s">
        <v>2025</v>
      </c>
      <c r="J2144" t="s">
        <v>2026</v>
      </c>
      <c r="K2144" t="s">
        <v>1989</v>
      </c>
      <c r="L2144">
        <f>IF(G2144="High",3,IF(G2144="Medium",2,1))</f>
        <v>1</v>
      </c>
    </row>
    <row r="2145" spans="1:12">
      <c r="A2145" t="s">
        <v>4171</v>
      </c>
      <c r="B2145" t="s">
        <v>1386</v>
      </c>
      <c r="C2145" t="s">
        <v>1991</v>
      </c>
      <c r="D2145" t="s">
        <v>2014</v>
      </c>
      <c r="E2145" t="s">
        <v>57</v>
      </c>
      <c r="F2145" t="s">
        <v>57</v>
      </c>
      <c r="G2145" t="str">
        <f>INDEX(Risk_Matrix!$B$2:$D$4,MATCH(E2145,Risk_Matrix!$A$2:$A$4,0),MATCH(F2145,Risk_Matrix!$B$1:$D$1,0))</f>
        <v>Low</v>
      </c>
      <c r="H2145" s="1">
        <v>46237</v>
      </c>
      <c r="I2145" t="s">
        <v>2025</v>
      </c>
      <c r="J2145" t="s">
        <v>2026</v>
      </c>
      <c r="K2145" t="s">
        <v>1993</v>
      </c>
      <c r="L2145">
        <f>IF(G2145="High",3,IF(G2145="Medium",2,1))</f>
        <v>1</v>
      </c>
    </row>
    <row r="2146" spans="1:12">
      <c r="A2146" t="s">
        <v>4172</v>
      </c>
      <c r="B2146" t="s">
        <v>1386</v>
      </c>
      <c r="C2146" t="s">
        <v>1995</v>
      </c>
      <c r="D2146" t="s">
        <v>2034</v>
      </c>
      <c r="E2146" t="s">
        <v>1971</v>
      </c>
      <c r="F2146" t="s">
        <v>1971</v>
      </c>
      <c r="G2146" t="str">
        <f>INDEX(Risk_Matrix!$B$2:$D$4,MATCH(E2146,Risk_Matrix!$A$2:$A$4,0),MATCH(F2146,Risk_Matrix!$B$1:$D$1,0))</f>
        <v>Medium</v>
      </c>
      <c r="H2146" s="1">
        <v>46079</v>
      </c>
      <c r="I2146" t="s">
        <v>1987</v>
      </c>
      <c r="J2146" t="s">
        <v>1997</v>
      </c>
      <c r="K2146" t="s">
        <v>1998</v>
      </c>
      <c r="L2146">
        <f>IF(G2146="High",3,IF(G2146="Medium",2,1))</f>
        <v>2</v>
      </c>
    </row>
    <row r="2147" spans="1:12">
      <c r="A2147" t="s">
        <v>4173</v>
      </c>
      <c r="B2147" t="s">
        <v>1386</v>
      </c>
      <c r="C2147" t="s">
        <v>2000</v>
      </c>
      <c r="D2147" t="s">
        <v>2020</v>
      </c>
      <c r="E2147" t="s">
        <v>47</v>
      </c>
      <c r="F2147" t="s">
        <v>1971</v>
      </c>
      <c r="G2147" t="str">
        <f>INDEX(Risk_Matrix!$B$2:$D$4,MATCH(E2147,Risk_Matrix!$A$2:$A$4,0),MATCH(F2147,Risk_Matrix!$B$1:$D$1,0))</f>
        <v>High</v>
      </c>
      <c r="H2147" s="1">
        <v>46212</v>
      </c>
      <c r="I2147" t="s">
        <v>2015</v>
      </c>
      <c r="J2147" t="s">
        <v>2016</v>
      </c>
      <c r="K2147" t="s">
        <v>1989</v>
      </c>
      <c r="L2147">
        <f>IF(G2147="High",3,IF(G2147="Medium",2,1))</f>
        <v>3</v>
      </c>
    </row>
    <row r="2148" spans="1:12">
      <c r="A2148" t="s">
        <v>4174</v>
      </c>
      <c r="B2148" t="s">
        <v>1386</v>
      </c>
      <c r="C2148" t="s">
        <v>2005</v>
      </c>
      <c r="D2148" t="s">
        <v>2022</v>
      </c>
      <c r="E2148" t="s">
        <v>57</v>
      </c>
      <c r="F2148" t="s">
        <v>57</v>
      </c>
      <c r="G2148" t="str">
        <f>INDEX(Risk_Matrix!$B$2:$D$4,MATCH(E2148,Risk_Matrix!$A$2:$A$4,0),MATCH(F2148,Risk_Matrix!$B$1:$D$1,0))</f>
        <v>Low</v>
      </c>
      <c r="H2148" s="1">
        <v>46137</v>
      </c>
      <c r="I2148" t="s">
        <v>2025</v>
      </c>
      <c r="J2148" t="s">
        <v>2026</v>
      </c>
      <c r="K2148" t="s">
        <v>1993</v>
      </c>
      <c r="L2148">
        <f>IF(G2148="High",3,IF(G2148="Medium",2,1))</f>
        <v>1</v>
      </c>
    </row>
    <row r="2149" spans="1:12">
      <c r="A2149" t="s">
        <v>4175</v>
      </c>
      <c r="B2149" t="s">
        <v>1386</v>
      </c>
      <c r="C2149" t="s">
        <v>2008</v>
      </c>
      <c r="D2149" t="s">
        <v>2009</v>
      </c>
      <c r="E2149" t="s">
        <v>57</v>
      </c>
      <c r="F2149" t="s">
        <v>1971</v>
      </c>
      <c r="G2149" t="str">
        <f>INDEX(Risk_Matrix!$B$2:$D$4,MATCH(E2149,Risk_Matrix!$A$2:$A$4,0),MATCH(F2149,Risk_Matrix!$B$1:$D$1,0))</f>
        <v>Low</v>
      </c>
      <c r="H2149" s="1">
        <v>46220</v>
      </c>
      <c r="I2149" t="s">
        <v>2025</v>
      </c>
      <c r="J2149" t="s">
        <v>2035</v>
      </c>
      <c r="K2149" t="s">
        <v>2010</v>
      </c>
      <c r="L2149">
        <f>IF(G2149="High",3,IF(G2149="Medium",2,1))</f>
        <v>1</v>
      </c>
    </row>
    <row r="2150" spans="1:12">
      <c r="A2150" t="s">
        <v>4176</v>
      </c>
      <c r="B2150" t="s">
        <v>1388</v>
      </c>
      <c r="C2150" t="s">
        <v>1985</v>
      </c>
      <c r="D2150" t="s">
        <v>2062</v>
      </c>
      <c r="E2150" t="s">
        <v>57</v>
      </c>
      <c r="F2150" t="s">
        <v>57</v>
      </c>
      <c r="G2150" t="str">
        <f>INDEX(Risk_Matrix!$B$2:$D$4,MATCH(E2150,Risk_Matrix!$A$2:$A$4,0),MATCH(F2150,Risk_Matrix!$B$1:$D$1,0))</f>
        <v>Low</v>
      </c>
      <c r="H2150" s="1">
        <v>46154</v>
      </c>
      <c r="I2150" t="s">
        <v>2015</v>
      </c>
      <c r="J2150" t="s">
        <v>2016</v>
      </c>
      <c r="K2150" t="s">
        <v>1998</v>
      </c>
      <c r="L2150">
        <f>IF(G2150="High",3,IF(G2150="Medium",2,1))</f>
        <v>1</v>
      </c>
    </row>
    <row r="2151" spans="1:12">
      <c r="A2151" t="s">
        <v>4177</v>
      </c>
      <c r="B2151" t="s">
        <v>1388</v>
      </c>
      <c r="C2151" t="s">
        <v>1991</v>
      </c>
      <c r="D2151" t="s">
        <v>2014</v>
      </c>
      <c r="E2151" t="s">
        <v>57</v>
      </c>
      <c r="F2151" t="s">
        <v>57</v>
      </c>
      <c r="G2151" t="str">
        <f>INDEX(Risk_Matrix!$B$2:$D$4,MATCH(E2151,Risk_Matrix!$A$2:$A$4,0),MATCH(F2151,Risk_Matrix!$B$1:$D$1,0))</f>
        <v>Low</v>
      </c>
      <c r="H2151" s="1">
        <v>46063</v>
      </c>
      <c r="I2151" t="s">
        <v>1987</v>
      </c>
      <c r="J2151" t="s">
        <v>1997</v>
      </c>
      <c r="K2151" t="s">
        <v>2010</v>
      </c>
      <c r="L2151">
        <f>IF(G2151="High",3,IF(G2151="Medium",2,1))</f>
        <v>1</v>
      </c>
    </row>
    <row r="2152" spans="1:12">
      <c r="A2152" t="s">
        <v>4178</v>
      </c>
      <c r="B2152" t="s">
        <v>1388</v>
      </c>
      <c r="C2152" t="s">
        <v>1995</v>
      </c>
      <c r="D2152" t="s">
        <v>2034</v>
      </c>
      <c r="E2152" t="s">
        <v>1971</v>
      </c>
      <c r="F2152" t="s">
        <v>57</v>
      </c>
      <c r="G2152" t="str">
        <f>INDEX(Risk_Matrix!$B$2:$D$4,MATCH(E2152,Risk_Matrix!$A$2:$A$4,0),MATCH(F2152,Risk_Matrix!$B$1:$D$1,0))</f>
        <v>Low</v>
      </c>
      <c r="H2152" s="1">
        <v>46187</v>
      </c>
      <c r="I2152" t="s">
        <v>2025</v>
      </c>
      <c r="J2152" t="s">
        <v>2035</v>
      </c>
      <c r="K2152" t="s">
        <v>2036</v>
      </c>
      <c r="L2152">
        <f>IF(G2152="High",3,IF(G2152="Medium",2,1))</f>
        <v>1</v>
      </c>
    </row>
    <row r="2153" spans="1:12">
      <c r="A2153" t="s">
        <v>4179</v>
      </c>
      <c r="B2153" t="s">
        <v>1388</v>
      </c>
      <c r="C2153" t="s">
        <v>2000</v>
      </c>
      <c r="D2153" t="s">
        <v>2045</v>
      </c>
      <c r="E2153" t="s">
        <v>1971</v>
      </c>
      <c r="F2153" t="s">
        <v>57</v>
      </c>
      <c r="G2153" t="str">
        <f>INDEX(Risk_Matrix!$B$2:$D$4,MATCH(E2153,Risk_Matrix!$A$2:$A$4,0),MATCH(F2153,Risk_Matrix!$B$1:$D$1,0))</f>
        <v>Low</v>
      </c>
      <c r="H2153" s="1">
        <v>46232</v>
      </c>
      <c r="I2153" t="s">
        <v>2015</v>
      </c>
      <c r="J2153" t="s">
        <v>2016</v>
      </c>
      <c r="K2153" t="s">
        <v>1989</v>
      </c>
      <c r="L2153">
        <f>IF(G2153="High",3,IF(G2153="Medium",2,1))</f>
        <v>1</v>
      </c>
    </row>
    <row r="2154" spans="1:12">
      <c r="A2154" t="s">
        <v>4180</v>
      </c>
      <c r="B2154" t="s">
        <v>1388</v>
      </c>
      <c r="C2154" t="s">
        <v>2005</v>
      </c>
      <c r="D2154" t="s">
        <v>2006</v>
      </c>
      <c r="E2154" t="s">
        <v>57</v>
      </c>
      <c r="F2154" t="s">
        <v>57</v>
      </c>
      <c r="G2154" t="str">
        <f>INDEX(Risk_Matrix!$B$2:$D$4,MATCH(E2154,Risk_Matrix!$A$2:$A$4,0),MATCH(F2154,Risk_Matrix!$B$1:$D$1,0))</f>
        <v>Low</v>
      </c>
      <c r="H2154" s="1">
        <v>46215</v>
      </c>
      <c r="I2154" t="s">
        <v>2025</v>
      </c>
      <c r="J2154" t="s">
        <v>2035</v>
      </c>
      <c r="K2154" t="s">
        <v>1993</v>
      </c>
      <c r="L2154">
        <f>IF(G2154="High",3,IF(G2154="Medium",2,1))</f>
        <v>1</v>
      </c>
    </row>
    <row r="2155" spans="1:12">
      <c r="A2155" t="s">
        <v>4181</v>
      </c>
      <c r="B2155" t="s">
        <v>1388</v>
      </c>
      <c r="C2155" t="s">
        <v>2008</v>
      </c>
      <c r="D2155" t="s">
        <v>2024</v>
      </c>
      <c r="E2155" t="s">
        <v>57</v>
      </c>
      <c r="F2155" t="s">
        <v>1971</v>
      </c>
      <c r="G2155" t="str">
        <f>INDEX(Risk_Matrix!$B$2:$D$4,MATCH(E2155,Risk_Matrix!$A$2:$A$4,0),MATCH(F2155,Risk_Matrix!$B$1:$D$1,0))</f>
        <v>Low</v>
      </c>
      <c r="H2155" s="1">
        <v>46085</v>
      </c>
      <c r="I2155" t="s">
        <v>2002</v>
      </c>
      <c r="J2155" t="s">
        <v>2003</v>
      </c>
      <c r="K2155" t="s">
        <v>2010</v>
      </c>
      <c r="L2155">
        <f>IF(G2155="High",3,IF(G2155="Medium",2,1))</f>
        <v>1</v>
      </c>
    </row>
    <row r="2156" spans="1:12">
      <c r="A2156" t="s">
        <v>4182</v>
      </c>
      <c r="B2156" t="s">
        <v>1391</v>
      </c>
      <c r="C2156" t="s">
        <v>1985</v>
      </c>
      <c r="D2156" t="s">
        <v>1986</v>
      </c>
      <c r="E2156" t="s">
        <v>57</v>
      </c>
      <c r="F2156" t="s">
        <v>57</v>
      </c>
      <c r="G2156" t="str">
        <f>INDEX(Risk_Matrix!$B$2:$D$4,MATCH(E2156,Risk_Matrix!$A$2:$A$4,0),MATCH(F2156,Risk_Matrix!$B$1:$D$1,0))</f>
        <v>Low</v>
      </c>
      <c r="H2156" s="1">
        <v>46156</v>
      </c>
      <c r="I2156" t="s">
        <v>2015</v>
      </c>
      <c r="J2156" t="s">
        <v>2032</v>
      </c>
      <c r="K2156" t="s">
        <v>1998</v>
      </c>
      <c r="L2156">
        <f>IF(G2156="High",3,IF(G2156="Medium",2,1))</f>
        <v>1</v>
      </c>
    </row>
    <row r="2157" spans="1:12">
      <c r="A2157" t="s">
        <v>4183</v>
      </c>
      <c r="B2157" t="s">
        <v>1391</v>
      </c>
      <c r="C2157" t="s">
        <v>1991</v>
      </c>
      <c r="D2157" t="s">
        <v>2064</v>
      </c>
      <c r="E2157" t="s">
        <v>47</v>
      </c>
      <c r="F2157" t="s">
        <v>1971</v>
      </c>
      <c r="G2157" t="str">
        <f>INDEX(Risk_Matrix!$B$2:$D$4,MATCH(E2157,Risk_Matrix!$A$2:$A$4,0),MATCH(F2157,Risk_Matrix!$B$1:$D$1,0))</f>
        <v>High</v>
      </c>
      <c r="H2157" s="1">
        <v>46185</v>
      </c>
      <c r="I2157" t="s">
        <v>2015</v>
      </c>
      <c r="J2157" t="s">
        <v>2032</v>
      </c>
      <c r="K2157" t="s">
        <v>2010</v>
      </c>
      <c r="L2157">
        <f>IF(G2157="High",3,IF(G2157="Medium",2,1))</f>
        <v>3</v>
      </c>
    </row>
    <row r="2158" spans="1:12">
      <c r="A2158" t="s">
        <v>4184</v>
      </c>
      <c r="B2158" t="s">
        <v>1391</v>
      </c>
      <c r="C2158" t="s">
        <v>1995</v>
      </c>
      <c r="D2158" t="s">
        <v>2018</v>
      </c>
      <c r="E2158" t="s">
        <v>1971</v>
      </c>
      <c r="F2158" t="s">
        <v>57</v>
      </c>
      <c r="G2158" t="str">
        <f>INDEX(Risk_Matrix!$B$2:$D$4,MATCH(E2158,Risk_Matrix!$A$2:$A$4,0),MATCH(F2158,Risk_Matrix!$B$1:$D$1,0))</f>
        <v>Low</v>
      </c>
      <c r="H2158" s="1">
        <v>46189</v>
      </c>
      <c r="I2158" t="s">
        <v>2025</v>
      </c>
      <c r="J2158" t="s">
        <v>2035</v>
      </c>
      <c r="K2158" t="s">
        <v>2036</v>
      </c>
      <c r="L2158">
        <f>IF(G2158="High",3,IF(G2158="Medium",2,1))</f>
        <v>1</v>
      </c>
    </row>
    <row r="2159" spans="1:12">
      <c r="A2159" t="s">
        <v>4185</v>
      </c>
      <c r="B2159" t="s">
        <v>1391</v>
      </c>
      <c r="C2159" t="s">
        <v>2000</v>
      </c>
      <c r="D2159" t="s">
        <v>2020</v>
      </c>
      <c r="E2159" t="s">
        <v>47</v>
      </c>
      <c r="F2159" t="s">
        <v>57</v>
      </c>
      <c r="G2159" t="str">
        <f>INDEX(Risk_Matrix!$B$2:$D$4,MATCH(E2159,Risk_Matrix!$A$2:$A$4,0),MATCH(F2159,Risk_Matrix!$B$1:$D$1,0))</f>
        <v>Medium</v>
      </c>
      <c r="H2159" s="1">
        <v>46162</v>
      </c>
      <c r="I2159" t="s">
        <v>2015</v>
      </c>
      <c r="J2159" t="s">
        <v>2016</v>
      </c>
      <c r="K2159" t="s">
        <v>1989</v>
      </c>
      <c r="L2159">
        <f>IF(G2159="High",3,IF(G2159="Medium",2,1))</f>
        <v>2</v>
      </c>
    </row>
    <row r="2160" spans="1:12">
      <c r="A2160" t="s">
        <v>4186</v>
      </c>
      <c r="B2160" t="s">
        <v>1391</v>
      </c>
      <c r="C2160" t="s">
        <v>2005</v>
      </c>
      <c r="D2160" t="s">
        <v>2022</v>
      </c>
      <c r="E2160" t="s">
        <v>1971</v>
      </c>
      <c r="F2160" t="s">
        <v>57</v>
      </c>
      <c r="G2160" t="str">
        <f>INDEX(Risk_Matrix!$B$2:$D$4,MATCH(E2160,Risk_Matrix!$A$2:$A$4,0),MATCH(F2160,Risk_Matrix!$B$1:$D$1,0))</f>
        <v>Low</v>
      </c>
      <c r="H2160" s="1">
        <v>46074</v>
      </c>
      <c r="I2160" t="s">
        <v>2002</v>
      </c>
      <c r="J2160" t="s">
        <v>2029</v>
      </c>
      <c r="K2160" t="s">
        <v>1993</v>
      </c>
      <c r="L2160">
        <f>IF(G2160="High",3,IF(G2160="Medium",2,1))</f>
        <v>1</v>
      </c>
    </row>
    <row r="2161" spans="1:12">
      <c r="A2161" t="s">
        <v>4187</v>
      </c>
      <c r="B2161" t="s">
        <v>1391</v>
      </c>
      <c r="C2161" t="s">
        <v>2008</v>
      </c>
      <c r="D2161" t="s">
        <v>2024</v>
      </c>
      <c r="E2161" t="s">
        <v>1971</v>
      </c>
      <c r="F2161" t="s">
        <v>47</v>
      </c>
      <c r="G2161" t="str">
        <f>INDEX(Risk_Matrix!$B$2:$D$4,MATCH(E2161,Risk_Matrix!$A$2:$A$4,0),MATCH(F2161,Risk_Matrix!$B$1:$D$1,0))</f>
        <v>High</v>
      </c>
      <c r="H2161" s="1">
        <v>46089</v>
      </c>
      <c r="I2161" t="s">
        <v>1987</v>
      </c>
      <c r="J2161" t="s">
        <v>1988</v>
      </c>
      <c r="K2161" t="s">
        <v>2010</v>
      </c>
      <c r="L2161">
        <f>IF(G2161="High",3,IF(G2161="Medium",2,1))</f>
        <v>3</v>
      </c>
    </row>
    <row r="2162" spans="1:12">
      <c r="A2162" t="s">
        <v>4188</v>
      </c>
      <c r="B2162" t="s">
        <v>1393</v>
      </c>
      <c r="C2162" t="s">
        <v>1985</v>
      </c>
      <c r="D2162" t="s">
        <v>2062</v>
      </c>
      <c r="E2162" t="s">
        <v>1971</v>
      </c>
      <c r="F2162" t="s">
        <v>1971</v>
      </c>
      <c r="G2162" t="str">
        <f>INDEX(Risk_Matrix!$B$2:$D$4,MATCH(E2162,Risk_Matrix!$A$2:$A$4,0),MATCH(F2162,Risk_Matrix!$B$1:$D$1,0))</f>
        <v>Medium</v>
      </c>
      <c r="H2162" s="1">
        <v>46217</v>
      </c>
      <c r="I2162" t="s">
        <v>2015</v>
      </c>
      <c r="J2162" t="s">
        <v>2032</v>
      </c>
      <c r="K2162" t="s">
        <v>1989</v>
      </c>
      <c r="L2162">
        <f>IF(G2162="High",3,IF(G2162="Medium",2,1))</f>
        <v>2</v>
      </c>
    </row>
    <row r="2163" spans="1:12">
      <c r="A2163" t="s">
        <v>4189</v>
      </c>
      <c r="B2163" t="s">
        <v>1393</v>
      </c>
      <c r="C2163" t="s">
        <v>1991</v>
      </c>
      <c r="D2163" t="s">
        <v>2014</v>
      </c>
      <c r="E2163" t="s">
        <v>57</v>
      </c>
      <c r="F2163" t="s">
        <v>57</v>
      </c>
      <c r="G2163" t="str">
        <f>INDEX(Risk_Matrix!$B$2:$D$4,MATCH(E2163,Risk_Matrix!$A$2:$A$4,0),MATCH(F2163,Risk_Matrix!$B$1:$D$1,0))</f>
        <v>Low</v>
      </c>
      <c r="H2163" s="1">
        <v>46208</v>
      </c>
      <c r="I2163" t="s">
        <v>2015</v>
      </c>
      <c r="J2163" t="s">
        <v>2032</v>
      </c>
      <c r="K2163" t="s">
        <v>2010</v>
      </c>
      <c r="L2163">
        <f>IF(G2163="High",3,IF(G2163="Medium",2,1))</f>
        <v>1</v>
      </c>
    </row>
    <row r="2164" spans="1:12">
      <c r="A2164" t="s">
        <v>4190</v>
      </c>
      <c r="B2164" t="s">
        <v>1393</v>
      </c>
      <c r="C2164" t="s">
        <v>1995</v>
      </c>
      <c r="D2164" t="s">
        <v>2034</v>
      </c>
      <c r="E2164" t="s">
        <v>1971</v>
      </c>
      <c r="F2164" t="s">
        <v>1971</v>
      </c>
      <c r="G2164" t="str">
        <f>INDEX(Risk_Matrix!$B$2:$D$4,MATCH(E2164,Risk_Matrix!$A$2:$A$4,0),MATCH(F2164,Risk_Matrix!$B$1:$D$1,0))</f>
        <v>Medium</v>
      </c>
      <c r="H2164" s="1">
        <v>46173</v>
      </c>
      <c r="I2164" t="s">
        <v>2015</v>
      </c>
      <c r="J2164" t="s">
        <v>2032</v>
      </c>
      <c r="K2164" t="s">
        <v>2036</v>
      </c>
      <c r="L2164">
        <f>IF(G2164="High",3,IF(G2164="Medium",2,1))</f>
        <v>2</v>
      </c>
    </row>
    <row r="2165" spans="1:12">
      <c r="A2165" t="s">
        <v>4191</v>
      </c>
      <c r="B2165" t="s">
        <v>1393</v>
      </c>
      <c r="C2165" t="s">
        <v>2000</v>
      </c>
      <c r="D2165" t="s">
        <v>2020</v>
      </c>
      <c r="E2165" t="s">
        <v>1971</v>
      </c>
      <c r="F2165" t="s">
        <v>57</v>
      </c>
      <c r="G2165" t="str">
        <f>INDEX(Risk_Matrix!$B$2:$D$4,MATCH(E2165,Risk_Matrix!$A$2:$A$4,0),MATCH(F2165,Risk_Matrix!$B$1:$D$1,0))</f>
        <v>Low</v>
      </c>
      <c r="H2165" s="1">
        <v>46210</v>
      </c>
      <c r="I2165" t="s">
        <v>1987</v>
      </c>
      <c r="J2165" t="s">
        <v>1988</v>
      </c>
      <c r="K2165" t="s">
        <v>1993</v>
      </c>
      <c r="L2165">
        <f>IF(G2165="High",3,IF(G2165="Medium",2,1))</f>
        <v>1</v>
      </c>
    </row>
    <row r="2166" spans="1:12">
      <c r="A2166" t="s">
        <v>4192</v>
      </c>
      <c r="B2166" t="s">
        <v>1393</v>
      </c>
      <c r="C2166" t="s">
        <v>2005</v>
      </c>
      <c r="D2166" t="s">
        <v>2039</v>
      </c>
      <c r="E2166" t="s">
        <v>1971</v>
      </c>
      <c r="F2166" t="s">
        <v>57</v>
      </c>
      <c r="G2166" t="str">
        <f>INDEX(Risk_Matrix!$B$2:$D$4,MATCH(E2166,Risk_Matrix!$A$2:$A$4,0),MATCH(F2166,Risk_Matrix!$B$1:$D$1,0))</f>
        <v>Low</v>
      </c>
      <c r="H2166" s="1">
        <v>46189</v>
      </c>
      <c r="I2166" t="s">
        <v>2025</v>
      </c>
      <c r="J2166" t="s">
        <v>2035</v>
      </c>
      <c r="K2166" t="s">
        <v>1993</v>
      </c>
      <c r="L2166">
        <f>IF(G2166="High",3,IF(G2166="Medium",2,1))</f>
        <v>1</v>
      </c>
    </row>
    <row r="2167" spans="1:12">
      <c r="A2167" t="s">
        <v>4193</v>
      </c>
      <c r="B2167" t="s">
        <v>1393</v>
      </c>
      <c r="C2167" t="s">
        <v>2008</v>
      </c>
      <c r="D2167" t="s">
        <v>2024</v>
      </c>
      <c r="E2167" t="s">
        <v>57</v>
      </c>
      <c r="F2167" t="s">
        <v>1971</v>
      </c>
      <c r="G2167" t="str">
        <f>INDEX(Risk_Matrix!$B$2:$D$4,MATCH(E2167,Risk_Matrix!$A$2:$A$4,0),MATCH(F2167,Risk_Matrix!$B$1:$D$1,0))</f>
        <v>Low</v>
      </c>
      <c r="H2167" s="1">
        <v>46143</v>
      </c>
      <c r="I2167" t="s">
        <v>2025</v>
      </c>
      <c r="J2167" t="s">
        <v>2035</v>
      </c>
      <c r="K2167" t="s">
        <v>2010</v>
      </c>
      <c r="L2167">
        <f>IF(G2167="High",3,IF(G2167="Medium",2,1))</f>
        <v>1</v>
      </c>
    </row>
    <row r="2168" spans="1:12">
      <c r="A2168" t="s">
        <v>4194</v>
      </c>
      <c r="B2168" t="s">
        <v>1395</v>
      </c>
      <c r="C2168" t="s">
        <v>1985</v>
      </c>
      <c r="D2168" t="s">
        <v>2012</v>
      </c>
      <c r="E2168" t="s">
        <v>57</v>
      </c>
      <c r="F2168" t="s">
        <v>1971</v>
      </c>
      <c r="G2168" t="str">
        <f>INDEX(Risk_Matrix!$B$2:$D$4,MATCH(E2168,Risk_Matrix!$A$2:$A$4,0),MATCH(F2168,Risk_Matrix!$B$1:$D$1,0))</f>
        <v>Low</v>
      </c>
      <c r="H2168" s="1">
        <v>46072</v>
      </c>
      <c r="I2168" t="s">
        <v>1987</v>
      </c>
      <c r="J2168" t="s">
        <v>1988</v>
      </c>
      <c r="K2168" t="s">
        <v>1989</v>
      </c>
      <c r="L2168">
        <f>IF(G2168="High",3,IF(G2168="Medium",2,1))</f>
        <v>1</v>
      </c>
    </row>
    <row r="2169" spans="1:12">
      <c r="A2169" t="s">
        <v>4195</v>
      </c>
      <c r="B2169" t="s">
        <v>1395</v>
      </c>
      <c r="C2169" t="s">
        <v>1991</v>
      </c>
      <c r="D2169" t="s">
        <v>2031</v>
      </c>
      <c r="E2169" t="s">
        <v>57</v>
      </c>
      <c r="F2169" t="s">
        <v>47</v>
      </c>
      <c r="G2169" t="str">
        <f>INDEX(Risk_Matrix!$B$2:$D$4,MATCH(E2169,Risk_Matrix!$A$2:$A$4,0),MATCH(F2169,Risk_Matrix!$B$1:$D$1,0))</f>
        <v>Medium</v>
      </c>
      <c r="H2169" s="1">
        <v>46160</v>
      </c>
      <c r="I2169" t="s">
        <v>2015</v>
      </c>
      <c r="J2169" t="s">
        <v>2016</v>
      </c>
      <c r="K2169" t="s">
        <v>1993</v>
      </c>
      <c r="L2169">
        <f>IF(G2169="High",3,IF(G2169="Medium",2,1))</f>
        <v>2</v>
      </c>
    </row>
    <row r="2170" spans="1:12">
      <c r="A2170" t="s">
        <v>4196</v>
      </c>
      <c r="B2170" t="s">
        <v>1395</v>
      </c>
      <c r="C2170" t="s">
        <v>1995</v>
      </c>
      <c r="D2170" t="s">
        <v>2018</v>
      </c>
      <c r="E2170" t="s">
        <v>57</v>
      </c>
      <c r="F2170" t="s">
        <v>57</v>
      </c>
      <c r="G2170" t="str">
        <f>INDEX(Risk_Matrix!$B$2:$D$4,MATCH(E2170,Risk_Matrix!$A$2:$A$4,0),MATCH(F2170,Risk_Matrix!$B$1:$D$1,0))</f>
        <v>Low</v>
      </c>
      <c r="H2170" s="1">
        <v>46061</v>
      </c>
      <c r="I2170" t="s">
        <v>1987</v>
      </c>
      <c r="J2170" t="s">
        <v>1997</v>
      </c>
      <c r="K2170" t="s">
        <v>1998</v>
      </c>
      <c r="L2170">
        <f>IF(G2170="High",3,IF(G2170="Medium",2,1))</f>
        <v>1</v>
      </c>
    </row>
    <row r="2171" spans="1:12">
      <c r="A2171" t="s">
        <v>4197</v>
      </c>
      <c r="B2171" t="s">
        <v>1395</v>
      </c>
      <c r="C2171" t="s">
        <v>2000</v>
      </c>
      <c r="D2171" t="s">
        <v>2020</v>
      </c>
      <c r="E2171" t="s">
        <v>1971</v>
      </c>
      <c r="F2171" t="s">
        <v>47</v>
      </c>
      <c r="G2171" t="str">
        <f>INDEX(Risk_Matrix!$B$2:$D$4,MATCH(E2171,Risk_Matrix!$A$2:$A$4,0),MATCH(F2171,Risk_Matrix!$B$1:$D$1,0))</f>
        <v>High</v>
      </c>
      <c r="H2171" s="1">
        <v>46155</v>
      </c>
      <c r="I2171" t="s">
        <v>2025</v>
      </c>
      <c r="J2171" t="s">
        <v>2026</v>
      </c>
      <c r="K2171" t="s">
        <v>1993</v>
      </c>
      <c r="L2171">
        <f>IF(G2171="High",3,IF(G2171="Medium",2,1))</f>
        <v>3</v>
      </c>
    </row>
    <row r="2172" spans="1:12">
      <c r="A2172" t="s">
        <v>4198</v>
      </c>
      <c r="B2172" t="s">
        <v>1395</v>
      </c>
      <c r="C2172" t="s">
        <v>2005</v>
      </c>
      <c r="D2172" t="s">
        <v>2039</v>
      </c>
      <c r="E2172" t="s">
        <v>57</v>
      </c>
      <c r="F2172" t="s">
        <v>1971</v>
      </c>
      <c r="G2172" t="str">
        <f>INDEX(Risk_Matrix!$B$2:$D$4,MATCH(E2172,Risk_Matrix!$A$2:$A$4,0),MATCH(F2172,Risk_Matrix!$B$1:$D$1,0))</f>
        <v>Low</v>
      </c>
      <c r="H2172" s="1">
        <v>46168</v>
      </c>
      <c r="I2172" t="s">
        <v>2002</v>
      </c>
      <c r="J2172" t="s">
        <v>2003</v>
      </c>
      <c r="K2172" t="s">
        <v>2036</v>
      </c>
      <c r="L2172">
        <f>IF(G2172="High",3,IF(G2172="Medium",2,1))</f>
        <v>1</v>
      </c>
    </row>
    <row r="2173" spans="1:12">
      <c r="A2173" t="s">
        <v>4199</v>
      </c>
      <c r="B2173" t="s">
        <v>1395</v>
      </c>
      <c r="C2173" t="s">
        <v>2008</v>
      </c>
      <c r="D2173" t="s">
        <v>2054</v>
      </c>
      <c r="E2173" t="s">
        <v>47</v>
      </c>
      <c r="F2173" t="s">
        <v>57</v>
      </c>
      <c r="G2173" t="str">
        <f>INDEX(Risk_Matrix!$B$2:$D$4,MATCH(E2173,Risk_Matrix!$A$2:$A$4,0),MATCH(F2173,Risk_Matrix!$B$1:$D$1,0))</f>
        <v>Medium</v>
      </c>
      <c r="H2173" s="1">
        <v>46188</v>
      </c>
      <c r="I2173" t="s">
        <v>1987</v>
      </c>
      <c r="J2173" t="s">
        <v>1997</v>
      </c>
      <c r="K2173" t="s">
        <v>2010</v>
      </c>
      <c r="L2173">
        <f>IF(G2173="High",3,IF(G2173="Medium",2,1))</f>
        <v>2</v>
      </c>
    </row>
    <row r="2174" spans="1:12">
      <c r="A2174" t="s">
        <v>4200</v>
      </c>
      <c r="B2174" t="s">
        <v>1397</v>
      </c>
      <c r="C2174" t="s">
        <v>1985</v>
      </c>
      <c r="D2174" t="s">
        <v>2062</v>
      </c>
      <c r="E2174" t="s">
        <v>47</v>
      </c>
      <c r="F2174" t="s">
        <v>57</v>
      </c>
      <c r="G2174" t="str">
        <f>INDEX(Risk_Matrix!$B$2:$D$4,MATCH(E2174,Risk_Matrix!$A$2:$A$4,0),MATCH(F2174,Risk_Matrix!$B$1:$D$1,0))</f>
        <v>Medium</v>
      </c>
      <c r="H2174" s="1">
        <v>46235</v>
      </c>
      <c r="I2174" t="s">
        <v>2025</v>
      </c>
      <c r="J2174" t="s">
        <v>2026</v>
      </c>
      <c r="K2174" t="s">
        <v>1998</v>
      </c>
      <c r="L2174">
        <f>IF(G2174="High",3,IF(G2174="Medium",2,1))</f>
        <v>2</v>
      </c>
    </row>
    <row r="2175" spans="1:12">
      <c r="A2175" t="s">
        <v>4201</v>
      </c>
      <c r="B2175" t="s">
        <v>1397</v>
      </c>
      <c r="C2175" t="s">
        <v>1991</v>
      </c>
      <c r="D2175" t="s">
        <v>1992</v>
      </c>
      <c r="E2175" t="s">
        <v>1971</v>
      </c>
      <c r="F2175" t="s">
        <v>1971</v>
      </c>
      <c r="G2175" t="str">
        <f>INDEX(Risk_Matrix!$B$2:$D$4,MATCH(E2175,Risk_Matrix!$A$2:$A$4,0),MATCH(F2175,Risk_Matrix!$B$1:$D$1,0))</f>
        <v>Medium</v>
      </c>
      <c r="H2175" s="1">
        <v>46185</v>
      </c>
      <c r="I2175" t="s">
        <v>1987</v>
      </c>
      <c r="J2175" t="s">
        <v>1997</v>
      </c>
      <c r="K2175" t="s">
        <v>2010</v>
      </c>
      <c r="L2175">
        <f>IF(G2175="High",3,IF(G2175="Medium",2,1))</f>
        <v>2</v>
      </c>
    </row>
    <row r="2176" spans="1:12">
      <c r="A2176" t="s">
        <v>4202</v>
      </c>
      <c r="B2176" t="s">
        <v>1397</v>
      </c>
      <c r="C2176" t="s">
        <v>1995</v>
      </c>
      <c r="D2176" t="s">
        <v>2018</v>
      </c>
      <c r="E2176" t="s">
        <v>1971</v>
      </c>
      <c r="F2176" t="s">
        <v>1971</v>
      </c>
      <c r="G2176" t="str">
        <f>INDEX(Risk_Matrix!$B$2:$D$4,MATCH(E2176,Risk_Matrix!$A$2:$A$4,0),MATCH(F2176,Risk_Matrix!$B$1:$D$1,0))</f>
        <v>Medium</v>
      </c>
      <c r="H2176" s="1">
        <v>46230</v>
      </c>
      <c r="I2176" t="s">
        <v>1987</v>
      </c>
      <c r="J2176" t="s">
        <v>1997</v>
      </c>
      <c r="K2176" t="s">
        <v>1998</v>
      </c>
      <c r="L2176">
        <f>IF(G2176="High",3,IF(G2176="Medium",2,1))</f>
        <v>2</v>
      </c>
    </row>
    <row r="2177" spans="1:12">
      <c r="A2177" t="s">
        <v>4203</v>
      </c>
      <c r="B2177" t="s">
        <v>1397</v>
      </c>
      <c r="C2177" t="s">
        <v>2000</v>
      </c>
      <c r="D2177" t="s">
        <v>2001</v>
      </c>
      <c r="E2177" t="s">
        <v>47</v>
      </c>
      <c r="F2177" t="s">
        <v>1971</v>
      </c>
      <c r="G2177" t="str">
        <f>INDEX(Risk_Matrix!$B$2:$D$4,MATCH(E2177,Risk_Matrix!$A$2:$A$4,0),MATCH(F2177,Risk_Matrix!$B$1:$D$1,0))</f>
        <v>High</v>
      </c>
      <c r="H2177" s="1">
        <v>46077</v>
      </c>
      <c r="I2177" t="s">
        <v>2025</v>
      </c>
      <c r="J2177" t="s">
        <v>2035</v>
      </c>
      <c r="K2177" t="s">
        <v>1993</v>
      </c>
      <c r="L2177">
        <f>IF(G2177="High",3,IF(G2177="Medium",2,1))</f>
        <v>3</v>
      </c>
    </row>
    <row r="2178" spans="1:12">
      <c r="A2178" t="s">
        <v>4204</v>
      </c>
      <c r="B2178" t="s">
        <v>1397</v>
      </c>
      <c r="C2178" t="s">
        <v>2005</v>
      </c>
      <c r="D2178" t="s">
        <v>2022</v>
      </c>
      <c r="E2178" t="s">
        <v>57</v>
      </c>
      <c r="F2178" t="s">
        <v>57</v>
      </c>
      <c r="G2178" t="str">
        <f>INDEX(Risk_Matrix!$B$2:$D$4,MATCH(E2178,Risk_Matrix!$A$2:$A$4,0),MATCH(F2178,Risk_Matrix!$B$1:$D$1,0))</f>
        <v>Low</v>
      </c>
      <c r="H2178" s="1">
        <v>46234</v>
      </c>
      <c r="I2178" t="s">
        <v>2025</v>
      </c>
      <c r="J2178" t="s">
        <v>2026</v>
      </c>
      <c r="K2178" t="s">
        <v>1993</v>
      </c>
      <c r="L2178">
        <f>IF(G2178="High",3,IF(G2178="Medium",2,1))</f>
        <v>1</v>
      </c>
    </row>
    <row r="2179" spans="1:12">
      <c r="A2179" t="s">
        <v>4205</v>
      </c>
      <c r="B2179" t="s">
        <v>1397</v>
      </c>
      <c r="C2179" t="s">
        <v>2008</v>
      </c>
      <c r="D2179" t="s">
        <v>2009</v>
      </c>
      <c r="E2179" t="s">
        <v>57</v>
      </c>
      <c r="F2179" t="s">
        <v>57</v>
      </c>
      <c r="G2179" t="str">
        <f>INDEX(Risk_Matrix!$B$2:$D$4,MATCH(E2179,Risk_Matrix!$A$2:$A$4,0),MATCH(F2179,Risk_Matrix!$B$1:$D$1,0))</f>
        <v>Low</v>
      </c>
      <c r="H2179" s="1">
        <v>46125</v>
      </c>
      <c r="I2179" t="s">
        <v>2025</v>
      </c>
      <c r="J2179" t="s">
        <v>2035</v>
      </c>
      <c r="K2179" t="s">
        <v>2010</v>
      </c>
      <c r="L2179">
        <f>IF(G2179="High",3,IF(G2179="Medium",2,1))</f>
        <v>1</v>
      </c>
    </row>
    <row r="2180" spans="1:12">
      <c r="A2180" t="s">
        <v>4206</v>
      </c>
      <c r="B2180" t="s">
        <v>1399</v>
      </c>
      <c r="C2180" t="s">
        <v>1985</v>
      </c>
      <c r="D2180" t="s">
        <v>2028</v>
      </c>
      <c r="E2180" t="s">
        <v>1971</v>
      </c>
      <c r="F2180" t="s">
        <v>1971</v>
      </c>
      <c r="G2180" t="str">
        <f>INDEX(Risk_Matrix!$B$2:$D$4,MATCH(E2180,Risk_Matrix!$A$2:$A$4,0),MATCH(F2180,Risk_Matrix!$B$1:$D$1,0))</f>
        <v>Medium</v>
      </c>
      <c r="H2180" s="1">
        <v>46206</v>
      </c>
      <c r="I2180" t="s">
        <v>2025</v>
      </c>
      <c r="J2180" t="s">
        <v>2035</v>
      </c>
      <c r="K2180" t="s">
        <v>1989</v>
      </c>
      <c r="L2180">
        <f>IF(G2180="High",3,IF(G2180="Medium",2,1))</f>
        <v>2</v>
      </c>
    </row>
    <row r="2181" spans="1:12">
      <c r="A2181" t="s">
        <v>4207</v>
      </c>
      <c r="B2181" t="s">
        <v>1399</v>
      </c>
      <c r="C2181" t="s">
        <v>1991</v>
      </c>
      <c r="D2181" t="s">
        <v>2064</v>
      </c>
      <c r="E2181" t="s">
        <v>1971</v>
      </c>
      <c r="F2181" t="s">
        <v>57</v>
      </c>
      <c r="G2181" t="str">
        <f>INDEX(Risk_Matrix!$B$2:$D$4,MATCH(E2181,Risk_Matrix!$A$2:$A$4,0),MATCH(F2181,Risk_Matrix!$B$1:$D$1,0))</f>
        <v>Low</v>
      </c>
      <c r="H2181" s="1">
        <v>46182</v>
      </c>
      <c r="I2181" t="s">
        <v>2025</v>
      </c>
      <c r="J2181" t="s">
        <v>2035</v>
      </c>
      <c r="K2181" t="s">
        <v>1993</v>
      </c>
      <c r="L2181">
        <f>IF(G2181="High",3,IF(G2181="Medium",2,1))</f>
        <v>1</v>
      </c>
    </row>
    <row r="2182" spans="1:12">
      <c r="A2182" t="s">
        <v>4208</v>
      </c>
      <c r="B2182" t="s">
        <v>1399</v>
      </c>
      <c r="C2182" t="s">
        <v>1995</v>
      </c>
      <c r="D2182" t="s">
        <v>2018</v>
      </c>
      <c r="E2182" t="s">
        <v>57</v>
      </c>
      <c r="F2182" t="s">
        <v>47</v>
      </c>
      <c r="G2182" t="str">
        <f>INDEX(Risk_Matrix!$B$2:$D$4,MATCH(E2182,Risk_Matrix!$A$2:$A$4,0),MATCH(F2182,Risk_Matrix!$B$1:$D$1,0))</f>
        <v>Medium</v>
      </c>
      <c r="H2182" s="1">
        <v>46175</v>
      </c>
      <c r="I2182" t="s">
        <v>2015</v>
      </c>
      <c r="J2182" t="s">
        <v>2032</v>
      </c>
      <c r="K2182" t="s">
        <v>1998</v>
      </c>
      <c r="L2182">
        <f>IF(G2182="High",3,IF(G2182="Medium",2,1))</f>
        <v>2</v>
      </c>
    </row>
    <row r="2183" spans="1:12">
      <c r="A2183" t="s">
        <v>4209</v>
      </c>
      <c r="B2183" t="s">
        <v>1399</v>
      </c>
      <c r="C2183" t="s">
        <v>2000</v>
      </c>
      <c r="D2183" t="s">
        <v>2001</v>
      </c>
      <c r="E2183" t="s">
        <v>57</v>
      </c>
      <c r="F2183" t="s">
        <v>1971</v>
      </c>
      <c r="G2183" t="str">
        <f>INDEX(Risk_Matrix!$B$2:$D$4,MATCH(E2183,Risk_Matrix!$A$2:$A$4,0),MATCH(F2183,Risk_Matrix!$B$1:$D$1,0))</f>
        <v>Low</v>
      </c>
      <c r="H2183" s="1">
        <v>46093</v>
      </c>
      <c r="I2183" t="s">
        <v>1987</v>
      </c>
      <c r="J2183" t="s">
        <v>1997</v>
      </c>
      <c r="K2183" t="s">
        <v>1989</v>
      </c>
      <c r="L2183">
        <f>IF(G2183="High",3,IF(G2183="Medium",2,1))</f>
        <v>1</v>
      </c>
    </row>
    <row r="2184" spans="1:12">
      <c r="A2184" t="s">
        <v>4210</v>
      </c>
      <c r="B2184" t="s">
        <v>1399</v>
      </c>
      <c r="C2184" t="s">
        <v>2005</v>
      </c>
      <c r="D2184" t="s">
        <v>2006</v>
      </c>
      <c r="E2184" t="s">
        <v>47</v>
      </c>
      <c r="F2184" t="s">
        <v>57</v>
      </c>
      <c r="G2184" t="str">
        <f>INDEX(Risk_Matrix!$B$2:$D$4,MATCH(E2184,Risk_Matrix!$A$2:$A$4,0),MATCH(F2184,Risk_Matrix!$B$1:$D$1,0))</f>
        <v>Medium</v>
      </c>
      <c r="H2184" s="1">
        <v>46237</v>
      </c>
      <c r="I2184" t="s">
        <v>2015</v>
      </c>
      <c r="J2184" t="s">
        <v>2016</v>
      </c>
      <c r="K2184" t="s">
        <v>1993</v>
      </c>
      <c r="L2184">
        <f>IF(G2184="High",3,IF(G2184="Medium",2,1))</f>
        <v>2</v>
      </c>
    </row>
    <row r="2185" spans="1:12">
      <c r="A2185" t="s">
        <v>4211</v>
      </c>
      <c r="B2185" t="s">
        <v>1399</v>
      </c>
      <c r="C2185" t="s">
        <v>2008</v>
      </c>
      <c r="D2185" t="s">
        <v>2009</v>
      </c>
      <c r="E2185" t="s">
        <v>1971</v>
      </c>
      <c r="F2185" t="s">
        <v>1971</v>
      </c>
      <c r="G2185" t="str">
        <f>INDEX(Risk_Matrix!$B$2:$D$4,MATCH(E2185,Risk_Matrix!$A$2:$A$4,0),MATCH(F2185,Risk_Matrix!$B$1:$D$1,0))</f>
        <v>Medium</v>
      </c>
      <c r="H2185" s="1">
        <v>46116</v>
      </c>
      <c r="I2185" t="s">
        <v>1987</v>
      </c>
      <c r="J2185" t="s">
        <v>1997</v>
      </c>
      <c r="K2185" t="s">
        <v>2010</v>
      </c>
      <c r="L2185">
        <f>IF(G2185="High",3,IF(G2185="Medium",2,1))</f>
        <v>2</v>
      </c>
    </row>
    <row r="2186" spans="1:12">
      <c r="A2186" t="s">
        <v>4212</v>
      </c>
      <c r="B2186" t="s">
        <v>1401</v>
      </c>
      <c r="C2186" t="s">
        <v>1985</v>
      </c>
      <c r="D2186" t="s">
        <v>2062</v>
      </c>
      <c r="E2186" t="s">
        <v>1971</v>
      </c>
      <c r="F2186" t="s">
        <v>1971</v>
      </c>
      <c r="G2186" t="str">
        <f>INDEX(Risk_Matrix!$B$2:$D$4,MATCH(E2186,Risk_Matrix!$A$2:$A$4,0),MATCH(F2186,Risk_Matrix!$B$1:$D$1,0))</f>
        <v>Medium</v>
      </c>
      <c r="H2186" s="1">
        <v>46231</v>
      </c>
      <c r="I2186" t="s">
        <v>2015</v>
      </c>
      <c r="J2186" t="s">
        <v>2016</v>
      </c>
      <c r="K2186" t="s">
        <v>1989</v>
      </c>
      <c r="L2186">
        <f>IF(G2186="High",3,IF(G2186="Medium",2,1))</f>
        <v>2</v>
      </c>
    </row>
    <row r="2187" spans="1:12">
      <c r="A2187" t="s">
        <v>4213</v>
      </c>
      <c r="B2187" t="s">
        <v>1401</v>
      </c>
      <c r="C2187" t="s">
        <v>1991</v>
      </c>
      <c r="D2187" t="s">
        <v>2031</v>
      </c>
      <c r="E2187" t="s">
        <v>47</v>
      </c>
      <c r="F2187" t="s">
        <v>57</v>
      </c>
      <c r="G2187" t="str">
        <f>INDEX(Risk_Matrix!$B$2:$D$4,MATCH(E2187,Risk_Matrix!$A$2:$A$4,0),MATCH(F2187,Risk_Matrix!$B$1:$D$1,0))</f>
        <v>Medium</v>
      </c>
      <c r="H2187" s="1">
        <v>46191</v>
      </c>
      <c r="I2187" t="s">
        <v>2015</v>
      </c>
      <c r="J2187" t="s">
        <v>2016</v>
      </c>
      <c r="K2187" t="s">
        <v>2010</v>
      </c>
      <c r="L2187">
        <f>IF(G2187="High",3,IF(G2187="Medium",2,1))</f>
        <v>2</v>
      </c>
    </row>
    <row r="2188" spans="1:12">
      <c r="A2188" t="s">
        <v>4214</v>
      </c>
      <c r="B2188" t="s">
        <v>1401</v>
      </c>
      <c r="C2188" t="s">
        <v>1995</v>
      </c>
      <c r="D2188" t="s">
        <v>2150</v>
      </c>
      <c r="E2188" t="s">
        <v>1971</v>
      </c>
      <c r="F2188" t="s">
        <v>47</v>
      </c>
      <c r="G2188" t="str">
        <f>INDEX(Risk_Matrix!$B$2:$D$4,MATCH(E2188,Risk_Matrix!$A$2:$A$4,0),MATCH(F2188,Risk_Matrix!$B$1:$D$1,0))</f>
        <v>High</v>
      </c>
      <c r="H2188" s="1">
        <v>46184</v>
      </c>
      <c r="I2188" t="s">
        <v>1987</v>
      </c>
      <c r="J2188" t="s">
        <v>1997</v>
      </c>
      <c r="K2188" t="s">
        <v>1998</v>
      </c>
      <c r="L2188">
        <f>IF(G2188="High",3,IF(G2188="Medium",2,1))</f>
        <v>3</v>
      </c>
    </row>
    <row r="2189" spans="1:12">
      <c r="A2189" t="s">
        <v>4215</v>
      </c>
      <c r="B2189" t="s">
        <v>1401</v>
      </c>
      <c r="C2189" t="s">
        <v>2000</v>
      </c>
      <c r="D2189" t="s">
        <v>2001</v>
      </c>
      <c r="E2189" t="s">
        <v>57</v>
      </c>
      <c r="F2189" t="s">
        <v>57</v>
      </c>
      <c r="G2189" t="str">
        <f>INDEX(Risk_Matrix!$B$2:$D$4,MATCH(E2189,Risk_Matrix!$A$2:$A$4,0),MATCH(F2189,Risk_Matrix!$B$1:$D$1,0))</f>
        <v>Low</v>
      </c>
      <c r="H2189" s="1">
        <v>46116</v>
      </c>
      <c r="I2189" t="s">
        <v>2002</v>
      </c>
      <c r="J2189" t="s">
        <v>2029</v>
      </c>
      <c r="K2189" t="s">
        <v>1989</v>
      </c>
      <c r="L2189">
        <f>IF(G2189="High",3,IF(G2189="Medium",2,1))</f>
        <v>1</v>
      </c>
    </row>
    <row r="2190" spans="1:12">
      <c r="A2190" t="s">
        <v>4216</v>
      </c>
      <c r="B2190" t="s">
        <v>1401</v>
      </c>
      <c r="C2190" t="s">
        <v>2005</v>
      </c>
      <c r="D2190" t="s">
        <v>2006</v>
      </c>
      <c r="E2190" t="s">
        <v>57</v>
      </c>
      <c r="F2190" t="s">
        <v>1971</v>
      </c>
      <c r="G2190" t="str">
        <f>INDEX(Risk_Matrix!$B$2:$D$4,MATCH(E2190,Risk_Matrix!$A$2:$A$4,0),MATCH(F2190,Risk_Matrix!$B$1:$D$1,0))</f>
        <v>Low</v>
      </c>
      <c r="H2190" s="1">
        <v>46164</v>
      </c>
      <c r="I2190" t="s">
        <v>1987</v>
      </c>
      <c r="J2190" t="s">
        <v>1997</v>
      </c>
      <c r="K2190" t="s">
        <v>1993</v>
      </c>
      <c r="L2190">
        <f>IF(G2190="High",3,IF(G2190="Medium",2,1))</f>
        <v>1</v>
      </c>
    </row>
    <row r="2191" spans="1:12">
      <c r="A2191" t="s">
        <v>4217</v>
      </c>
      <c r="B2191" t="s">
        <v>1401</v>
      </c>
      <c r="C2191" t="s">
        <v>2008</v>
      </c>
      <c r="D2191" t="s">
        <v>2009</v>
      </c>
      <c r="E2191" t="s">
        <v>57</v>
      </c>
      <c r="F2191" t="s">
        <v>1971</v>
      </c>
      <c r="G2191" t="str">
        <f>INDEX(Risk_Matrix!$B$2:$D$4,MATCH(E2191,Risk_Matrix!$A$2:$A$4,0),MATCH(F2191,Risk_Matrix!$B$1:$D$1,0))</f>
        <v>Low</v>
      </c>
      <c r="H2191" s="1">
        <v>46080</v>
      </c>
      <c r="I2191" t="s">
        <v>2025</v>
      </c>
      <c r="J2191" t="s">
        <v>2035</v>
      </c>
      <c r="K2191" t="s">
        <v>2010</v>
      </c>
      <c r="L2191">
        <f>IF(G2191="High",3,IF(G2191="Medium",2,1))</f>
        <v>1</v>
      </c>
    </row>
    <row r="2192" spans="1:12">
      <c r="A2192" t="s">
        <v>4218</v>
      </c>
      <c r="B2192" t="s">
        <v>1404</v>
      </c>
      <c r="C2192" t="s">
        <v>1985</v>
      </c>
      <c r="D2192" t="s">
        <v>1986</v>
      </c>
      <c r="E2192" t="s">
        <v>47</v>
      </c>
      <c r="F2192" t="s">
        <v>57</v>
      </c>
      <c r="G2192" t="str">
        <f>INDEX(Risk_Matrix!$B$2:$D$4,MATCH(E2192,Risk_Matrix!$A$2:$A$4,0),MATCH(F2192,Risk_Matrix!$B$1:$D$1,0))</f>
        <v>Medium</v>
      </c>
      <c r="H2192" s="1">
        <v>46231</v>
      </c>
      <c r="I2192" t="s">
        <v>2015</v>
      </c>
      <c r="J2192" t="s">
        <v>2032</v>
      </c>
      <c r="K2192" t="s">
        <v>1989</v>
      </c>
      <c r="L2192">
        <f>IF(G2192="High",3,IF(G2192="Medium",2,1))</f>
        <v>2</v>
      </c>
    </row>
    <row r="2193" spans="1:12">
      <c r="A2193" t="s">
        <v>4219</v>
      </c>
      <c r="B2193" t="s">
        <v>1404</v>
      </c>
      <c r="C2193" t="s">
        <v>1991</v>
      </c>
      <c r="D2193" t="s">
        <v>2064</v>
      </c>
      <c r="E2193" t="s">
        <v>1971</v>
      </c>
      <c r="F2193" t="s">
        <v>57</v>
      </c>
      <c r="G2193" t="str">
        <f>INDEX(Risk_Matrix!$B$2:$D$4,MATCH(E2193,Risk_Matrix!$A$2:$A$4,0),MATCH(F2193,Risk_Matrix!$B$1:$D$1,0))</f>
        <v>Low</v>
      </c>
      <c r="H2193" s="1">
        <v>46191</v>
      </c>
      <c r="I2193" t="s">
        <v>2025</v>
      </c>
      <c r="J2193" t="s">
        <v>2035</v>
      </c>
      <c r="K2193" t="s">
        <v>2010</v>
      </c>
      <c r="L2193">
        <f>IF(G2193="High",3,IF(G2193="Medium",2,1))</f>
        <v>1</v>
      </c>
    </row>
    <row r="2194" spans="1:12">
      <c r="A2194" t="s">
        <v>4220</v>
      </c>
      <c r="B2194" t="s">
        <v>1404</v>
      </c>
      <c r="C2194" t="s">
        <v>1995</v>
      </c>
      <c r="D2194" t="s">
        <v>1996</v>
      </c>
      <c r="E2194" t="s">
        <v>57</v>
      </c>
      <c r="F2194" t="s">
        <v>57</v>
      </c>
      <c r="G2194" t="str">
        <f>INDEX(Risk_Matrix!$B$2:$D$4,MATCH(E2194,Risk_Matrix!$A$2:$A$4,0),MATCH(F2194,Risk_Matrix!$B$1:$D$1,0))</f>
        <v>Low</v>
      </c>
      <c r="H2194" s="1">
        <v>46207</v>
      </c>
      <c r="I2194" t="s">
        <v>1987</v>
      </c>
      <c r="J2194" t="s">
        <v>1997</v>
      </c>
      <c r="K2194" t="s">
        <v>2036</v>
      </c>
      <c r="L2194">
        <f>IF(G2194="High",3,IF(G2194="Medium",2,1))</f>
        <v>1</v>
      </c>
    </row>
    <row r="2195" spans="1:12">
      <c r="A2195" t="s">
        <v>4221</v>
      </c>
      <c r="B2195" t="s">
        <v>1404</v>
      </c>
      <c r="C2195" t="s">
        <v>2000</v>
      </c>
      <c r="D2195" t="s">
        <v>2020</v>
      </c>
      <c r="E2195" t="s">
        <v>57</v>
      </c>
      <c r="F2195" t="s">
        <v>47</v>
      </c>
      <c r="G2195" t="str">
        <f>INDEX(Risk_Matrix!$B$2:$D$4,MATCH(E2195,Risk_Matrix!$A$2:$A$4,0),MATCH(F2195,Risk_Matrix!$B$1:$D$1,0))</f>
        <v>Medium</v>
      </c>
      <c r="H2195" s="1">
        <v>46180</v>
      </c>
      <c r="I2195" t="s">
        <v>2015</v>
      </c>
      <c r="J2195" t="s">
        <v>2016</v>
      </c>
      <c r="K2195" t="s">
        <v>1993</v>
      </c>
      <c r="L2195">
        <f>IF(G2195="High",3,IF(G2195="Medium",2,1))</f>
        <v>2</v>
      </c>
    </row>
    <row r="2196" spans="1:12">
      <c r="A2196" t="s">
        <v>4222</v>
      </c>
      <c r="B2196" t="s">
        <v>1404</v>
      </c>
      <c r="C2196" t="s">
        <v>2005</v>
      </c>
      <c r="D2196" t="s">
        <v>2006</v>
      </c>
      <c r="E2196" t="s">
        <v>57</v>
      </c>
      <c r="F2196" t="s">
        <v>1971</v>
      </c>
      <c r="G2196" t="str">
        <f>INDEX(Risk_Matrix!$B$2:$D$4,MATCH(E2196,Risk_Matrix!$A$2:$A$4,0),MATCH(F2196,Risk_Matrix!$B$1:$D$1,0))</f>
        <v>Low</v>
      </c>
      <c r="H2196" s="1">
        <v>46086</v>
      </c>
      <c r="I2196" t="s">
        <v>2002</v>
      </c>
      <c r="J2196" t="s">
        <v>2003</v>
      </c>
      <c r="K2196" t="s">
        <v>1993</v>
      </c>
      <c r="L2196">
        <f>IF(G2196="High",3,IF(G2196="Medium",2,1))</f>
        <v>1</v>
      </c>
    </row>
    <row r="2197" spans="1:12">
      <c r="A2197" t="s">
        <v>4223</v>
      </c>
      <c r="B2197" t="s">
        <v>1404</v>
      </c>
      <c r="C2197" t="s">
        <v>2008</v>
      </c>
      <c r="D2197" t="s">
        <v>2054</v>
      </c>
      <c r="E2197" t="s">
        <v>57</v>
      </c>
      <c r="F2197" t="s">
        <v>47</v>
      </c>
      <c r="G2197" t="str">
        <f>INDEX(Risk_Matrix!$B$2:$D$4,MATCH(E2197,Risk_Matrix!$A$2:$A$4,0),MATCH(F2197,Risk_Matrix!$B$1:$D$1,0))</f>
        <v>Medium</v>
      </c>
      <c r="H2197" s="1">
        <v>46231</v>
      </c>
      <c r="I2197" t="s">
        <v>2025</v>
      </c>
      <c r="J2197" t="s">
        <v>2026</v>
      </c>
      <c r="K2197" t="s">
        <v>2010</v>
      </c>
      <c r="L2197">
        <f>IF(G2197="High",3,IF(G2197="Medium",2,1))</f>
        <v>2</v>
      </c>
    </row>
    <row r="2198" spans="1:12">
      <c r="A2198" t="s">
        <v>4224</v>
      </c>
      <c r="B2198" t="s">
        <v>1407</v>
      </c>
      <c r="C2198" t="s">
        <v>1985</v>
      </c>
      <c r="D2198" t="s">
        <v>2062</v>
      </c>
      <c r="E2198" t="s">
        <v>57</v>
      </c>
      <c r="F2198" t="s">
        <v>1971</v>
      </c>
      <c r="G2198" t="str">
        <f>INDEX(Risk_Matrix!$B$2:$D$4,MATCH(E2198,Risk_Matrix!$A$2:$A$4,0),MATCH(F2198,Risk_Matrix!$B$1:$D$1,0))</f>
        <v>Low</v>
      </c>
      <c r="H2198" s="1">
        <v>46234</v>
      </c>
      <c r="I2198" t="s">
        <v>2025</v>
      </c>
      <c r="J2198" t="s">
        <v>2026</v>
      </c>
      <c r="K2198" t="s">
        <v>1989</v>
      </c>
      <c r="L2198">
        <f>IF(G2198="High",3,IF(G2198="Medium",2,1))</f>
        <v>1</v>
      </c>
    </row>
    <row r="2199" spans="1:12">
      <c r="A2199" t="s">
        <v>4225</v>
      </c>
      <c r="B2199" t="s">
        <v>1407</v>
      </c>
      <c r="C2199" t="s">
        <v>1991</v>
      </c>
      <c r="D2199" t="s">
        <v>2014</v>
      </c>
      <c r="E2199" t="s">
        <v>57</v>
      </c>
      <c r="F2199" t="s">
        <v>57</v>
      </c>
      <c r="G2199" t="str">
        <f>INDEX(Risk_Matrix!$B$2:$D$4,MATCH(E2199,Risk_Matrix!$A$2:$A$4,0),MATCH(F2199,Risk_Matrix!$B$1:$D$1,0))</f>
        <v>Low</v>
      </c>
      <c r="H2199" s="1">
        <v>46129</v>
      </c>
      <c r="I2199" t="s">
        <v>2025</v>
      </c>
      <c r="J2199" t="s">
        <v>2035</v>
      </c>
      <c r="K2199" t="s">
        <v>1993</v>
      </c>
      <c r="L2199">
        <f>IF(G2199="High",3,IF(G2199="Medium",2,1))</f>
        <v>1</v>
      </c>
    </row>
    <row r="2200" spans="1:12">
      <c r="A2200" t="s">
        <v>4226</v>
      </c>
      <c r="B2200" t="s">
        <v>1407</v>
      </c>
      <c r="C2200" t="s">
        <v>1995</v>
      </c>
      <c r="D2200" t="s">
        <v>1996</v>
      </c>
      <c r="E2200" t="s">
        <v>1971</v>
      </c>
      <c r="F2200" t="s">
        <v>1971</v>
      </c>
      <c r="G2200" t="str">
        <f>INDEX(Risk_Matrix!$B$2:$D$4,MATCH(E2200,Risk_Matrix!$A$2:$A$4,0),MATCH(F2200,Risk_Matrix!$B$1:$D$1,0))</f>
        <v>Medium</v>
      </c>
      <c r="H2200" s="1">
        <v>46072</v>
      </c>
      <c r="I2200" t="s">
        <v>2025</v>
      </c>
      <c r="J2200" t="s">
        <v>2026</v>
      </c>
      <c r="K2200" t="s">
        <v>2036</v>
      </c>
      <c r="L2200">
        <f>IF(G2200="High",3,IF(G2200="Medium",2,1))</f>
        <v>2</v>
      </c>
    </row>
    <row r="2201" spans="1:12">
      <c r="A2201" t="s">
        <v>4227</v>
      </c>
      <c r="B2201" t="s">
        <v>1407</v>
      </c>
      <c r="C2201" t="s">
        <v>2000</v>
      </c>
      <c r="D2201" t="s">
        <v>2045</v>
      </c>
      <c r="E2201" t="s">
        <v>47</v>
      </c>
      <c r="F2201" t="s">
        <v>57</v>
      </c>
      <c r="G2201" t="str">
        <f>INDEX(Risk_Matrix!$B$2:$D$4,MATCH(E2201,Risk_Matrix!$A$2:$A$4,0),MATCH(F2201,Risk_Matrix!$B$1:$D$1,0))</f>
        <v>Medium</v>
      </c>
      <c r="H2201" s="1">
        <v>46111</v>
      </c>
      <c r="I2201" t="s">
        <v>1987</v>
      </c>
      <c r="J2201" t="s">
        <v>1988</v>
      </c>
      <c r="K2201" t="s">
        <v>1989</v>
      </c>
      <c r="L2201">
        <f>IF(G2201="High",3,IF(G2201="Medium",2,1))</f>
        <v>2</v>
      </c>
    </row>
    <row r="2202" spans="1:12">
      <c r="A2202" t="s">
        <v>4228</v>
      </c>
      <c r="B2202" t="s">
        <v>1407</v>
      </c>
      <c r="C2202" t="s">
        <v>2005</v>
      </c>
      <c r="D2202" t="s">
        <v>2039</v>
      </c>
      <c r="E2202" t="s">
        <v>57</v>
      </c>
      <c r="F2202" t="s">
        <v>1971</v>
      </c>
      <c r="G2202" t="str">
        <f>INDEX(Risk_Matrix!$B$2:$D$4,MATCH(E2202,Risk_Matrix!$A$2:$A$4,0),MATCH(F2202,Risk_Matrix!$B$1:$D$1,0))</f>
        <v>Low</v>
      </c>
      <c r="H2202" s="1">
        <v>46187</v>
      </c>
      <c r="I2202" t="s">
        <v>2025</v>
      </c>
      <c r="J2202" t="s">
        <v>2026</v>
      </c>
      <c r="K2202" t="s">
        <v>1993</v>
      </c>
      <c r="L2202">
        <f>IF(G2202="High",3,IF(G2202="Medium",2,1))</f>
        <v>1</v>
      </c>
    </row>
    <row r="2203" spans="1:12">
      <c r="A2203" t="s">
        <v>4229</v>
      </c>
      <c r="B2203" t="s">
        <v>1407</v>
      </c>
      <c r="C2203" t="s">
        <v>2008</v>
      </c>
      <c r="D2203" t="s">
        <v>2024</v>
      </c>
      <c r="E2203" t="s">
        <v>1971</v>
      </c>
      <c r="F2203" t="s">
        <v>57</v>
      </c>
      <c r="G2203" t="str">
        <f>INDEX(Risk_Matrix!$B$2:$D$4,MATCH(E2203,Risk_Matrix!$A$2:$A$4,0),MATCH(F2203,Risk_Matrix!$B$1:$D$1,0))</f>
        <v>Low</v>
      </c>
      <c r="H2203" s="1">
        <v>46205</v>
      </c>
      <c r="I2203" t="s">
        <v>1987</v>
      </c>
      <c r="J2203" t="s">
        <v>1988</v>
      </c>
      <c r="K2203" t="s">
        <v>2010</v>
      </c>
      <c r="L2203">
        <f>IF(G2203="High",3,IF(G2203="Medium",2,1))</f>
        <v>1</v>
      </c>
    </row>
    <row r="2204" spans="1:12">
      <c r="A2204" t="s">
        <v>4230</v>
      </c>
      <c r="B2204" t="s">
        <v>1410</v>
      </c>
      <c r="C2204" t="s">
        <v>1985</v>
      </c>
      <c r="D2204" t="s">
        <v>2028</v>
      </c>
      <c r="E2204" t="s">
        <v>47</v>
      </c>
      <c r="F2204" t="s">
        <v>1971</v>
      </c>
      <c r="G2204" t="str">
        <f>INDEX(Risk_Matrix!$B$2:$D$4,MATCH(E2204,Risk_Matrix!$A$2:$A$4,0),MATCH(F2204,Risk_Matrix!$B$1:$D$1,0))</f>
        <v>High</v>
      </c>
      <c r="H2204" s="1">
        <v>46143</v>
      </c>
      <c r="I2204" t="s">
        <v>2025</v>
      </c>
      <c r="J2204" t="s">
        <v>2026</v>
      </c>
      <c r="K2204" t="s">
        <v>1989</v>
      </c>
      <c r="L2204">
        <f>IF(G2204="High",3,IF(G2204="Medium",2,1))</f>
        <v>3</v>
      </c>
    </row>
    <row r="2205" spans="1:12">
      <c r="A2205" t="s">
        <v>4231</v>
      </c>
      <c r="B2205" t="s">
        <v>1410</v>
      </c>
      <c r="C2205" t="s">
        <v>1991</v>
      </c>
      <c r="D2205" t="s">
        <v>2031</v>
      </c>
      <c r="E2205" t="s">
        <v>47</v>
      </c>
      <c r="F2205" t="s">
        <v>57</v>
      </c>
      <c r="G2205" t="str">
        <f>INDEX(Risk_Matrix!$B$2:$D$4,MATCH(E2205,Risk_Matrix!$A$2:$A$4,0),MATCH(F2205,Risk_Matrix!$B$1:$D$1,0))</f>
        <v>Medium</v>
      </c>
      <c r="H2205" s="1">
        <v>46225</v>
      </c>
      <c r="I2205" t="s">
        <v>2025</v>
      </c>
      <c r="J2205" t="s">
        <v>2026</v>
      </c>
      <c r="K2205" t="s">
        <v>2010</v>
      </c>
      <c r="L2205">
        <f>IF(G2205="High",3,IF(G2205="Medium",2,1))</f>
        <v>2</v>
      </c>
    </row>
    <row r="2206" spans="1:12">
      <c r="A2206" t="s">
        <v>4232</v>
      </c>
      <c r="B2206" t="s">
        <v>1410</v>
      </c>
      <c r="C2206" t="s">
        <v>1995</v>
      </c>
      <c r="D2206" t="s">
        <v>2034</v>
      </c>
      <c r="E2206" t="s">
        <v>47</v>
      </c>
      <c r="F2206" t="s">
        <v>1971</v>
      </c>
      <c r="G2206" t="str">
        <f>INDEX(Risk_Matrix!$B$2:$D$4,MATCH(E2206,Risk_Matrix!$A$2:$A$4,0),MATCH(F2206,Risk_Matrix!$B$1:$D$1,0))</f>
        <v>High</v>
      </c>
      <c r="H2206" s="1">
        <v>46107</v>
      </c>
      <c r="I2206" t="s">
        <v>2025</v>
      </c>
      <c r="J2206" t="s">
        <v>2035</v>
      </c>
      <c r="K2206" t="s">
        <v>2036</v>
      </c>
      <c r="L2206">
        <f>IF(G2206="High",3,IF(G2206="Medium",2,1))</f>
        <v>3</v>
      </c>
    </row>
    <row r="2207" spans="1:12">
      <c r="A2207" t="s">
        <v>4233</v>
      </c>
      <c r="B2207" t="s">
        <v>1410</v>
      </c>
      <c r="C2207" t="s">
        <v>2000</v>
      </c>
      <c r="D2207" t="s">
        <v>2001</v>
      </c>
      <c r="E2207" t="s">
        <v>57</v>
      </c>
      <c r="F2207" t="s">
        <v>1971</v>
      </c>
      <c r="G2207" t="str">
        <f>INDEX(Risk_Matrix!$B$2:$D$4,MATCH(E2207,Risk_Matrix!$A$2:$A$4,0),MATCH(F2207,Risk_Matrix!$B$1:$D$1,0))</f>
        <v>Low</v>
      </c>
      <c r="H2207" s="1">
        <v>46234</v>
      </c>
      <c r="I2207" t="s">
        <v>1987</v>
      </c>
      <c r="J2207" t="s">
        <v>1988</v>
      </c>
      <c r="K2207" t="s">
        <v>1993</v>
      </c>
      <c r="L2207">
        <f>IF(G2207="High",3,IF(G2207="Medium",2,1))</f>
        <v>1</v>
      </c>
    </row>
    <row r="2208" spans="1:12">
      <c r="A2208" t="s">
        <v>4234</v>
      </c>
      <c r="B2208" t="s">
        <v>1410</v>
      </c>
      <c r="C2208" t="s">
        <v>2005</v>
      </c>
      <c r="D2208" t="s">
        <v>2006</v>
      </c>
      <c r="E2208" t="s">
        <v>1971</v>
      </c>
      <c r="F2208" t="s">
        <v>57</v>
      </c>
      <c r="G2208" t="str">
        <f>INDEX(Risk_Matrix!$B$2:$D$4,MATCH(E2208,Risk_Matrix!$A$2:$A$4,0),MATCH(F2208,Risk_Matrix!$B$1:$D$1,0))</f>
        <v>Low</v>
      </c>
      <c r="H2208" s="1">
        <v>46173</v>
      </c>
      <c r="I2208" t="s">
        <v>2015</v>
      </c>
      <c r="J2208" t="s">
        <v>2016</v>
      </c>
      <c r="K2208" t="s">
        <v>2036</v>
      </c>
      <c r="L2208">
        <f>IF(G2208="High",3,IF(G2208="Medium",2,1))</f>
        <v>1</v>
      </c>
    </row>
    <row r="2209" spans="1:12">
      <c r="A2209" t="s">
        <v>4235</v>
      </c>
      <c r="B2209" t="s">
        <v>1410</v>
      </c>
      <c r="C2209" t="s">
        <v>2008</v>
      </c>
      <c r="D2209" t="s">
        <v>2009</v>
      </c>
      <c r="E2209" t="s">
        <v>47</v>
      </c>
      <c r="F2209" t="s">
        <v>57</v>
      </c>
      <c r="G2209" t="str">
        <f>INDEX(Risk_Matrix!$B$2:$D$4,MATCH(E2209,Risk_Matrix!$A$2:$A$4,0),MATCH(F2209,Risk_Matrix!$B$1:$D$1,0))</f>
        <v>Medium</v>
      </c>
      <c r="H2209" s="1">
        <v>46208</v>
      </c>
      <c r="I2209" t="s">
        <v>2015</v>
      </c>
      <c r="J2209" t="s">
        <v>2032</v>
      </c>
      <c r="K2209" t="s">
        <v>2010</v>
      </c>
      <c r="L2209">
        <f>IF(G2209="High",3,IF(G2209="Medium",2,1))</f>
        <v>2</v>
      </c>
    </row>
    <row r="2210" spans="1:12">
      <c r="A2210" t="s">
        <v>4236</v>
      </c>
      <c r="B2210" t="s">
        <v>1412</v>
      </c>
      <c r="C2210" t="s">
        <v>1985</v>
      </c>
      <c r="D2210" t="s">
        <v>2028</v>
      </c>
      <c r="E2210" t="s">
        <v>57</v>
      </c>
      <c r="F2210" t="s">
        <v>57</v>
      </c>
      <c r="G2210" t="str">
        <f>INDEX(Risk_Matrix!$B$2:$D$4,MATCH(E2210,Risk_Matrix!$A$2:$A$4,0),MATCH(F2210,Risk_Matrix!$B$1:$D$1,0))</f>
        <v>Low</v>
      </c>
      <c r="H2210" s="1">
        <v>46186</v>
      </c>
      <c r="I2210" t="s">
        <v>1987</v>
      </c>
      <c r="J2210" t="s">
        <v>1997</v>
      </c>
      <c r="K2210" t="s">
        <v>1989</v>
      </c>
      <c r="L2210">
        <f>IF(G2210="High",3,IF(G2210="Medium",2,1))</f>
        <v>1</v>
      </c>
    </row>
    <row r="2211" spans="1:12">
      <c r="A2211" t="s">
        <v>4237</v>
      </c>
      <c r="B2211" t="s">
        <v>1412</v>
      </c>
      <c r="C2211" t="s">
        <v>1991</v>
      </c>
      <c r="D2211" t="s">
        <v>2064</v>
      </c>
      <c r="E2211" t="s">
        <v>1971</v>
      </c>
      <c r="F2211" t="s">
        <v>47</v>
      </c>
      <c r="G2211" t="str">
        <f>INDEX(Risk_Matrix!$B$2:$D$4,MATCH(E2211,Risk_Matrix!$A$2:$A$4,0),MATCH(F2211,Risk_Matrix!$B$1:$D$1,0))</f>
        <v>High</v>
      </c>
      <c r="H2211" s="1">
        <v>46187</v>
      </c>
      <c r="I2211" t="s">
        <v>2015</v>
      </c>
      <c r="J2211" t="s">
        <v>2016</v>
      </c>
      <c r="K2211" t="s">
        <v>1993</v>
      </c>
      <c r="L2211">
        <f>IF(G2211="High",3,IF(G2211="Medium",2,1))</f>
        <v>3</v>
      </c>
    </row>
    <row r="2212" spans="1:12">
      <c r="A2212" t="s">
        <v>4238</v>
      </c>
      <c r="B2212" t="s">
        <v>1412</v>
      </c>
      <c r="C2212" t="s">
        <v>1995</v>
      </c>
      <c r="D2212" t="s">
        <v>2034</v>
      </c>
      <c r="E2212" t="s">
        <v>57</v>
      </c>
      <c r="F2212" t="s">
        <v>57</v>
      </c>
      <c r="G2212" t="str">
        <f>INDEX(Risk_Matrix!$B$2:$D$4,MATCH(E2212,Risk_Matrix!$A$2:$A$4,0),MATCH(F2212,Risk_Matrix!$B$1:$D$1,0))</f>
        <v>Low</v>
      </c>
      <c r="H2212" s="1">
        <v>46208</v>
      </c>
      <c r="I2212" t="s">
        <v>2002</v>
      </c>
      <c r="J2212" t="s">
        <v>2003</v>
      </c>
      <c r="K2212" t="s">
        <v>2036</v>
      </c>
      <c r="L2212">
        <f>IF(G2212="High",3,IF(G2212="Medium",2,1))</f>
        <v>1</v>
      </c>
    </row>
    <row r="2213" spans="1:12">
      <c r="A2213" t="s">
        <v>4239</v>
      </c>
      <c r="B2213" t="s">
        <v>1412</v>
      </c>
      <c r="C2213" t="s">
        <v>2000</v>
      </c>
      <c r="D2213" t="s">
        <v>2001</v>
      </c>
      <c r="E2213" t="s">
        <v>57</v>
      </c>
      <c r="F2213" t="s">
        <v>57</v>
      </c>
      <c r="G2213" t="str">
        <f>INDEX(Risk_Matrix!$B$2:$D$4,MATCH(E2213,Risk_Matrix!$A$2:$A$4,0),MATCH(F2213,Risk_Matrix!$B$1:$D$1,0))</f>
        <v>Low</v>
      </c>
      <c r="H2213" s="1">
        <v>46087</v>
      </c>
      <c r="I2213" t="s">
        <v>1987</v>
      </c>
      <c r="J2213" t="s">
        <v>1988</v>
      </c>
      <c r="K2213" t="s">
        <v>1993</v>
      </c>
      <c r="L2213">
        <f>IF(G2213="High",3,IF(G2213="Medium",2,1))</f>
        <v>1</v>
      </c>
    </row>
    <row r="2214" spans="1:12">
      <c r="A2214" t="s">
        <v>4240</v>
      </c>
      <c r="B2214" t="s">
        <v>1412</v>
      </c>
      <c r="C2214" t="s">
        <v>2005</v>
      </c>
      <c r="D2214" t="s">
        <v>2022</v>
      </c>
      <c r="E2214" t="s">
        <v>1971</v>
      </c>
      <c r="F2214" t="s">
        <v>57</v>
      </c>
      <c r="G2214" t="str">
        <f>INDEX(Risk_Matrix!$B$2:$D$4,MATCH(E2214,Risk_Matrix!$A$2:$A$4,0),MATCH(F2214,Risk_Matrix!$B$1:$D$1,0))</f>
        <v>Low</v>
      </c>
      <c r="H2214" s="1">
        <v>46219</v>
      </c>
      <c r="I2214" t="s">
        <v>1987</v>
      </c>
      <c r="J2214" t="s">
        <v>1988</v>
      </c>
      <c r="K2214" t="s">
        <v>1993</v>
      </c>
      <c r="L2214">
        <f>IF(G2214="High",3,IF(G2214="Medium",2,1))</f>
        <v>1</v>
      </c>
    </row>
    <row r="2215" spans="1:12">
      <c r="A2215" t="s">
        <v>4241</v>
      </c>
      <c r="B2215" t="s">
        <v>1412</v>
      </c>
      <c r="C2215" t="s">
        <v>2008</v>
      </c>
      <c r="D2215" t="s">
        <v>2024</v>
      </c>
      <c r="E2215" t="s">
        <v>1971</v>
      </c>
      <c r="F2215" t="s">
        <v>47</v>
      </c>
      <c r="G2215" t="str">
        <f>INDEX(Risk_Matrix!$B$2:$D$4,MATCH(E2215,Risk_Matrix!$A$2:$A$4,0),MATCH(F2215,Risk_Matrix!$B$1:$D$1,0))</f>
        <v>High</v>
      </c>
      <c r="H2215" s="1">
        <v>46212</v>
      </c>
      <c r="I2215" t="s">
        <v>2015</v>
      </c>
      <c r="J2215" t="s">
        <v>2032</v>
      </c>
      <c r="K2215" t="s">
        <v>2010</v>
      </c>
      <c r="L2215">
        <f>IF(G2215="High",3,IF(G2215="Medium",2,1))</f>
        <v>3</v>
      </c>
    </row>
    <row r="2216" spans="1:12">
      <c r="A2216" t="s">
        <v>4242</v>
      </c>
      <c r="B2216" t="s">
        <v>1414</v>
      </c>
      <c r="C2216" t="s">
        <v>1985</v>
      </c>
      <c r="D2216" t="s">
        <v>1986</v>
      </c>
      <c r="E2216" t="s">
        <v>47</v>
      </c>
      <c r="F2216" t="s">
        <v>57</v>
      </c>
      <c r="G2216" t="str">
        <f>INDEX(Risk_Matrix!$B$2:$D$4,MATCH(E2216,Risk_Matrix!$A$2:$A$4,0),MATCH(F2216,Risk_Matrix!$B$1:$D$1,0))</f>
        <v>Medium</v>
      </c>
      <c r="H2216" s="1">
        <v>46156</v>
      </c>
      <c r="I2216" t="s">
        <v>2015</v>
      </c>
      <c r="J2216" t="s">
        <v>2016</v>
      </c>
      <c r="K2216" t="s">
        <v>1998</v>
      </c>
      <c r="L2216">
        <f>IF(G2216="High",3,IF(G2216="Medium",2,1))</f>
        <v>2</v>
      </c>
    </row>
    <row r="2217" spans="1:12">
      <c r="A2217" t="s">
        <v>4243</v>
      </c>
      <c r="B2217" t="s">
        <v>1414</v>
      </c>
      <c r="C2217" t="s">
        <v>1991</v>
      </c>
      <c r="D2217" t="s">
        <v>1992</v>
      </c>
      <c r="E2217" t="s">
        <v>57</v>
      </c>
      <c r="F2217" t="s">
        <v>1971</v>
      </c>
      <c r="G2217" t="str">
        <f>INDEX(Risk_Matrix!$B$2:$D$4,MATCH(E2217,Risk_Matrix!$A$2:$A$4,0),MATCH(F2217,Risk_Matrix!$B$1:$D$1,0))</f>
        <v>Low</v>
      </c>
      <c r="H2217" s="1">
        <v>46142</v>
      </c>
      <c r="I2217" t="s">
        <v>2025</v>
      </c>
      <c r="J2217" t="s">
        <v>2026</v>
      </c>
      <c r="K2217" t="s">
        <v>1993</v>
      </c>
      <c r="L2217">
        <f>IF(G2217="High",3,IF(G2217="Medium",2,1))</f>
        <v>1</v>
      </c>
    </row>
    <row r="2218" spans="1:12">
      <c r="A2218" t="s">
        <v>4244</v>
      </c>
      <c r="B2218" t="s">
        <v>1414</v>
      </c>
      <c r="C2218" t="s">
        <v>1995</v>
      </c>
      <c r="D2218" t="s">
        <v>2034</v>
      </c>
      <c r="E2218" t="s">
        <v>57</v>
      </c>
      <c r="F2218" t="s">
        <v>1971</v>
      </c>
      <c r="G2218" t="str">
        <f>INDEX(Risk_Matrix!$B$2:$D$4,MATCH(E2218,Risk_Matrix!$A$2:$A$4,0),MATCH(F2218,Risk_Matrix!$B$1:$D$1,0))</f>
        <v>Low</v>
      </c>
      <c r="H2218" s="1">
        <v>46184</v>
      </c>
      <c r="I2218" t="s">
        <v>1987</v>
      </c>
      <c r="J2218" t="s">
        <v>1997</v>
      </c>
      <c r="K2218" t="s">
        <v>2036</v>
      </c>
      <c r="L2218">
        <f>IF(G2218="High",3,IF(G2218="Medium",2,1))</f>
        <v>1</v>
      </c>
    </row>
    <row r="2219" spans="1:12">
      <c r="A2219" t="s">
        <v>4245</v>
      </c>
      <c r="B2219" t="s">
        <v>1414</v>
      </c>
      <c r="C2219" t="s">
        <v>2000</v>
      </c>
      <c r="D2219" t="s">
        <v>2020</v>
      </c>
      <c r="E2219" t="s">
        <v>1971</v>
      </c>
      <c r="F2219" t="s">
        <v>57</v>
      </c>
      <c r="G2219" t="str">
        <f>INDEX(Risk_Matrix!$B$2:$D$4,MATCH(E2219,Risk_Matrix!$A$2:$A$4,0),MATCH(F2219,Risk_Matrix!$B$1:$D$1,0))</f>
        <v>Low</v>
      </c>
      <c r="H2219" s="1">
        <v>46074</v>
      </c>
      <c r="I2219" t="s">
        <v>2002</v>
      </c>
      <c r="J2219" t="s">
        <v>2029</v>
      </c>
      <c r="K2219" t="s">
        <v>1989</v>
      </c>
      <c r="L2219">
        <f>IF(G2219="High",3,IF(G2219="Medium",2,1))</f>
        <v>1</v>
      </c>
    </row>
    <row r="2220" spans="1:12">
      <c r="A2220" t="s">
        <v>4246</v>
      </c>
      <c r="B2220" t="s">
        <v>1414</v>
      </c>
      <c r="C2220" t="s">
        <v>2005</v>
      </c>
      <c r="D2220" t="s">
        <v>2006</v>
      </c>
      <c r="E2220" t="s">
        <v>57</v>
      </c>
      <c r="F2220" t="s">
        <v>57</v>
      </c>
      <c r="G2220" t="str">
        <f>INDEX(Risk_Matrix!$B$2:$D$4,MATCH(E2220,Risk_Matrix!$A$2:$A$4,0),MATCH(F2220,Risk_Matrix!$B$1:$D$1,0))</f>
        <v>Low</v>
      </c>
      <c r="H2220" s="1">
        <v>46176</v>
      </c>
      <c r="I2220" t="s">
        <v>1987</v>
      </c>
      <c r="J2220" t="s">
        <v>1997</v>
      </c>
      <c r="K2220" t="s">
        <v>1993</v>
      </c>
      <c r="L2220">
        <f>IF(G2220="High",3,IF(G2220="Medium",2,1))</f>
        <v>1</v>
      </c>
    </row>
    <row r="2221" spans="1:12">
      <c r="A2221" t="s">
        <v>4247</v>
      </c>
      <c r="B2221" t="s">
        <v>1414</v>
      </c>
      <c r="C2221" t="s">
        <v>2008</v>
      </c>
      <c r="D2221" t="s">
        <v>2054</v>
      </c>
      <c r="E2221" t="s">
        <v>1971</v>
      </c>
      <c r="F2221" t="s">
        <v>57</v>
      </c>
      <c r="G2221" t="str">
        <f>INDEX(Risk_Matrix!$B$2:$D$4,MATCH(E2221,Risk_Matrix!$A$2:$A$4,0),MATCH(F2221,Risk_Matrix!$B$1:$D$1,0))</f>
        <v>Low</v>
      </c>
      <c r="H2221" s="1">
        <v>46220</v>
      </c>
      <c r="I2221" t="s">
        <v>2025</v>
      </c>
      <c r="J2221" t="s">
        <v>2026</v>
      </c>
      <c r="K2221" t="s">
        <v>2010</v>
      </c>
      <c r="L2221">
        <f>IF(G2221="High",3,IF(G2221="Medium",2,1))</f>
        <v>1</v>
      </c>
    </row>
    <row r="2222" spans="1:12">
      <c r="A2222" t="s">
        <v>4248</v>
      </c>
      <c r="B2222" t="s">
        <v>1417</v>
      </c>
      <c r="C2222" t="s">
        <v>1985</v>
      </c>
      <c r="D2222" t="s">
        <v>2028</v>
      </c>
      <c r="E2222" t="s">
        <v>47</v>
      </c>
      <c r="F2222" t="s">
        <v>57</v>
      </c>
      <c r="G2222" t="str">
        <f>INDEX(Risk_Matrix!$B$2:$D$4,MATCH(E2222,Risk_Matrix!$A$2:$A$4,0),MATCH(F2222,Risk_Matrix!$B$1:$D$1,0))</f>
        <v>Medium</v>
      </c>
      <c r="H2222" s="1">
        <v>46217</v>
      </c>
      <c r="I2222" t="s">
        <v>2015</v>
      </c>
      <c r="J2222" t="s">
        <v>2032</v>
      </c>
      <c r="K2222" t="s">
        <v>1989</v>
      </c>
      <c r="L2222">
        <f>IF(G2222="High",3,IF(G2222="Medium",2,1))</f>
        <v>2</v>
      </c>
    </row>
    <row r="2223" spans="1:12">
      <c r="A2223" t="s">
        <v>4249</v>
      </c>
      <c r="B2223" t="s">
        <v>1417</v>
      </c>
      <c r="C2223" t="s">
        <v>1991</v>
      </c>
      <c r="D2223" t="s">
        <v>2031</v>
      </c>
      <c r="E2223" t="s">
        <v>57</v>
      </c>
      <c r="F2223" t="s">
        <v>57</v>
      </c>
      <c r="G2223" t="str">
        <f>INDEX(Risk_Matrix!$B$2:$D$4,MATCH(E2223,Risk_Matrix!$A$2:$A$4,0),MATCH(F2223,Risk_Matrix!$B$1:$D$1,0))</f>
        <v>Low</v>
      </c>
      <c r="H2223" s="1">
        <v>46223</v>
      </c>
      <c r="I2223" t="s">
        <v>1987</v>
      </c>
      <c r="J2223" t="s">
        <v>1988</v>
      </c>
      <c r="K2223" t="s">
        <v>1993</v>
      </c>
      <c r="L2223">
        <f>IF(G2223="High",3,IF(G2223="Medium",2,1))</f>
        <v>1</v>
      </c>
    </row>
    <row r="2224" spans="1:12">
      <c r="A2224" t="s">
        <v>4250</v>
      </c>
      <c r="B2224" t="s">
        <v>1417</v>
      </c>
      <c r="C2224" t="s">
        <v>1995</v>
      </c>
      <c r="D2224" t="s">
        <v>2018</v>
      </c>
      <c r="E2224" t="s">
        <v>1971</v>
      </c>
      <c r="F2224" t="s">
        <v>57</v>
      </c>
      <c r="G2224" t="str">
        <f>INDEX(Risk_Matrix!$B$2:$D$4,MATCH(E2224,Risk_Matrix!$A$2:$A$4,0),MATCH(F2224,Risk_Matrix!$B$1:$D$1,0))</f>
        <v>Low</v>
      </c>
      <c r="H2224" s="1">
        <v>46222</v>
      </c>
      <c r="I2224" t="s">
        <v>2002</v>
      </c>
      <c r="J2224" t="s">
        <v>2029</v>
      </c>
      <c r="K2224" t="s">
        <v>2036</v>
      </c>
      <c r="L2224">
        <f>IF(G2224="High",3,IF(G2224="Medium",2,1))</f>
        <v>1</v>
      </c>
    </row>
    <row r="2225" spans="1:12">
      <c r="A2225" t="s">
        <v>4251</v>
      </c>
      <c r="B2225" t="s">
        <v>1417</v>
      </c>
      <c r="C2225" t="s">
        <v>2000</v>
      </c>
      <c r="D2225" t="s">
        <v>2045</v>
      </c>
      <c r="E2225" t="s">
        <v>1971</v>
      </c>
      <c r="F2225" t="s">
        <v>57</v>
      </c>
      <c r="G2225" t="str">
        <f>INDEX(Risk_Matrix!$B$2:$D$4,MATCH(E2225,Risk_Matrix!$A$2:$A$4,0),MATCH(F2225,Risk_Matrix!$B$1:$D$1,0))</f>
        <v>Low</v>
      </c>
      <c r="H2225" s="1">
        <v>46210</v>
      </c>
      <c r="I2225" t="s">
        <v>1987</v>
      </c>
      <c r="J2225" t="s">
        <v>1988</v>
      </c>
      <c r="K2225" t="s">
        <v>1989</v>
      </c>
      <c r="L2225">
        <f>IF(G2225="High",3,IF(G2225="Medium",2,1))</f>
        <v>1</v>
      </c>
    </row>
    <row r="2226" spans="1:12">
      <c r="A2226" t="s">
        <v>4252</v>
      </c>
      <c r="B2226" t="s">
        <v>1417</v>
      </c>
      <c r="C2226" t="s">
        <v>2005</v>
      </c>
      <c r="D2226" t="s">
        <v>2039</v>
      </c>
      <c r="E2226" t="s">
        <v>57</v>
      </c>
      <c r="F2226" t="s">
        <v>57</v>
      </c>
      <c r="G2226" t="str">
        <f>INDEX(Risk_Matrix!$B$2:$D$4,MATCH(E2226,Risk_Matrix!$A$2:$A$4,0),MATCH(F2226,Risk_Matrix!$B$1:$D$1,0))</f>
        <v>Low</v>
      </c>
      <c r="H2226" s="1">
        <v>46199</v>
      </c>
      <c r="I2226" t="s">
        <v>2015</v>
      </c>
      <c r="J2226" t="s">
        <v>2016</v>
      </c>
      <c r="K2226" t="s">
        <v>1993</v>
      </c>
      <c r="L2226">
        <f>IF(G2226="High",3,IF(G2226="Medium",2,1))</f>
        <v>1</v>
      </c>
    </row>
    <row r="2227" spans="1:12">
      <c r="A2227" t="s">
        <v>4253</v>
      </c>
      <c r="B2227" t="s">
        <v>1417</v>
      </c>
      <c r="C2227" t="s">
        <v>2008</v>
      </c>
      <c r="D2227" t="s">
        <v>2009</v>
      </c>
      <c r="E2227" t="s">
        <v>1971</v>
      </c>
      <c r="F2227" t="s">
        <v>1971</v>
      </c>
      <c r="G2227" t="str">
        <f>INDEX(Risk_Matrix!$B$2:$D$4,MATCH(E2227,Risk_Matrix!$A$2:$A$4,0),MATCH(F2227,Risk_Matrix!$B$1:$D$1,0))</f>
        <v>Medium</v>
      </c>
      <c r="H2227" s="1">
        <v>46220</v>
      </c>
      <c r="I2227" t="s">
        <v>2025</v>
      </c>
      <c r="J2227" t="s">
        <v>2026</v>
      </c>
      <c r="K2227" t="s">
        <v>2010</v>
      </c>
      <c r="L2227">
        <f>IF(G2227="High",3,IF(G2227="Medium",2,1))</f>
        <v>2</v>
      </c>
    </row>
    <row r="2228" spans="1:12">
      <c r="A2228" t="s">
        <v>4254</v>
      </c>
      <c r="B2228" t="s">
        <v>1419</v>
      </c>
      <c r="C2228" t="s">
        <v>1985</v>
      </c>
      <c r="D2228" t="s">
        <v>2028</v>
      </c>
      <c r="E2228" t="s">
        <v>57</v>
      </c>
      <c r="F2228" t="s">
        <v>57</v>
      </c>
      <c r="G2228" t="str">
        <f>INDEX(Risk_Matrix!$B$2:$D$4,MATCH(E2228,Risk_Matrix!$A$2:$A$4,0),MATCH(F2228,Risk_Matrix!$B$1:$D$1,0))</f>
        <v>Low</v>
      </c>
      <c r="H2228" s="1">
        <v>46116</v>
      </c>
      <c r="I2228" t="s">
        <v>2025</v>
      </c>
      <c r="J2228" t="s">
        <v>2026</v>
      </c>
      <c r="K2228" t="s">
        <v>1989</v>
      </c>
      <c r="L2228">
        <f>IF(G2228="High",3,IF(G2228="Medium",2,1))</f>
        <v>1</v>
      </c>
    </row>
    <row r="2229" spans="1:12">
      <c r="A2229" t="s">
        <v>4255</v>
      </c>
      <c r="B2229" t="s">
        <v>1419</v>
      </c>
      <c r="C2229" t="s">
        <v>1991</v>
      </c>
      <c r="D2229" t="s">
        <v>2064</v>
      </c>
      <c r="E2229" t="s">
        <v>57</v>
      </c>
      <c r="F2229" t="s">
        <v>1971</v>
      </c>
      <c r="G2229" t="str">
        <f>INDEX(Risk_Matrix!$B$2:$D$4,MATCH(E2229,Risk_Matrix!$A$2:$A$4,0),MATCH(F2229,Risk_Matrix!$B$1:$D$1,0))</f>
        <v>Low</v>
      </c>
      <c r="H2229" s="1">
        <v>46204</v>
      </c>
      <c r="I2229" t="s">
        <v>1987</v>
      </c>
      <c r="J2229" t="s">
        <v>1997</v>
      </c>
      <c r="K2229" t="s">
        <v>1993</v>
      </c>
      <c r="L2229">
        <f>IF(G2229="High",3,IF(G2229="Medium",2,1))</f>
        <v>1</v>
      </c>
    </row>
    <row r="2230" spans="1:12">
      <c r="A2230" t="s">
        <v>4256</v>
      </c>
      <c r="B2230" t="s">
        <v>1419</v>
      </c>
      <c r="C2230" t="s">
        <v>1995</v>
      </c>
      <c r="D2230" t="s">
        <v>2018</v>
      </c>
      <c r="E2230" t="s">
        <v>57</v>
      </c>
      <c r="F2230" t="s">
        <v>47</v>
      </c>
      <c r="G2230" t="str">
        <f>INDEX(Risk_Matrix!$B$2:$D$4,MATCH(E2230,Risk_Matrix!$A$2:$A$4,0),MATCH(F2230,Risk_Matrix!$B$1:$D$1,0))</f>
        <v>Medium</v>
      </c>
      <c r="H2230" s="1">
        <v>46230</v>
      </c>
      <c r="I2230" t="s">
        <v>1987</v>
      </c>
      <c r="J2230" t="s">
        <v>1988</v>
      </c>
      <c r="K2230" t="s">
        <v>2036</v>
      </c>
      <c r="L2230">
        <f>IF(G2230="High",3,IF(G2230="Medium",2,1))</f>
        <v>2</v>
      </c>
    </row>
    <row r="2231" spans="1:12">
      <c r="A2231" t="s">
        <v>4257</v>
      </c>
      <c r="B2231" t="s">
        <v>1419</v>
      </c>
      <c r="C2231" t="s">
        <v>2000</v>
      </c>
      <c r="D2231" t="s">
        <v>2020</v>
      </c>
      <c r="E2231" t="s">
        <v>47</v>
      </c>
      <c r="F2231" t="s">
        <v>57</v>
      </c>
      <c r="G2231" t="str">
        <f>INDEX(Risk_Matrix!$B$2:$D$4,MATCH(E2231,Risk_Matrix!$A$2:$A$4,0),MATCH(F2231,Risk_Matrix!$B$1:$D$1,0))</f>
        <v>Medium</v>
      </c>
      <c r="H2231" s="1">
        <v>46178</v>
      </c>
      <c r="I2231" t="s">
        <v>2025</v>
      </c>
      <c r="J2231" t="s">
        <v>2026</v>
      </c>
      <c r="K2231" t="s">
        <v>1993</v>
      </c>
      <c r="L2231">
        <f>IF(G2231="High",3,IF(G2231="Medium",2,1))</f>
        <v>2</v>
      </c>
    </row>
    <row r="2232" spans="1:12">
      <c r="A2232" t="s">
        <v>4258</v>
      </c>
      <c r="B2232" t="s">
        <v>1419</v>
      </c>
      <c r="C2232" t="s">
        <v>2005</v>
      </c>
      <c r="D2232" t="s">
        <v>2022</v>
      </c>
      <c r="E2232" t="s">
        <v>57</v>
      </c>
      <c r="F2232" t="s">
        <v>1971</v>
      </c>
      <c r="G2232" t="str">
        <f>INDEX(Risk_Matrix!$B$2:$D$4,MATCH(E2232,Risk_Matrix!$A$2:$A$4,0),MATCH(F2232,Risk_Matrix!$B$1:$D$1,0))</f>
        <v>Low</v>
      </c>
      <c r="H2232" s="1">
        <v>46183</v>
      </c>
      <c r="I2232" t="s">
        <v>1987</v>
      </c>
      <c r="J2232" t="s">
        <v>1988</v>
      </c>
      <c r="K2232" t="s">
        <v>1993</v>
      </c>
      <c r="L2232">
        <f>IF(G2232="High",3,IF(G2232="Medium",2,1))</f>
        <v>1</v>
      </c>
    </row>
    <row r="2233" spans="1:12">
      <c r="A2233" t="s">
        <v>4259</v>
      </c>
      <c r="B2233" t="s">
        <v>1419</v>
      </c>
      <c r="C2233" t="s">
        <v>2008</v>
      </c>
      <c r="D2233" t="s">
        <v>2009</v>
      </c>
      <c r="E2233" t="s">
        <v>57</v>
      </c>
      <c r="F2233" t="s">
        <v>57</v>
      </c>
      <c r="G2233" t="str">
        <f>INDEX(Risk_Matrix!$B$2:$D$4,MATCH(E2233,Risk_Matrix!$A$2:$A$4,0),MATCH(F2233,Risk_Matrix!$B$1:$D$1,0))</f>
        <v>Low</v>
      </c>
      <c r="H2233" s="1">
        <v>46179</v>
      </c>
      <c r="I2233" t="s">
        <v>1987</v>
      </c>
      <c r="J2233" t="s">
        <v>1988</v>
      </c>
      <c r="K2233" t="s">
        <v>2010</v>
      </c>
      <c r="L2233">
        <f>IF(G2233="High",3,IF(G2233="Medium",2,1))</f>
        <v>1</v>
      </c>
    </row>
    <row r="2234" spans="1:12">
      <c r="A2234" t="s">
        <v>4260</v>
      </c>
      <c r="B2234" t="s">
        <v>1421</v>
      </c>
      <c r="C2234" t="s">
        <v>1985</v>
      </c>
      <c r="D2234" t="s">
        <v>2028</v>
      </c>
      <c r="E2234" t="s">
        <v>57</v>
      </c>
      <c r="F2234" t="s">
        <v>57</v>
      </c>
      <c r="G2234" t="str">
        <f>INDEX(Risk_Matrix!$B$2:$D$4,MATCH(E2234,Risk_Matrix!$A$2:$A$4,0),MATCH(F2234,Risk_Matrix!$B$1:$D$1,0))</f>
        <v>Low</v>
      </c>
      <c r="H2234" s="1">
        <v>46211</v>
      </c>
      <c r="I2234" t="s">
        <v>2015</v>
      </c>
      <c r="J2234" t="s">
        <v>2016</v>
      </c>
      <c r="K2234" t="s">
        <v>1998</v>
      </c>
      <c r="L2234">
        <f>IF(G2234="High",3,IF(G2234="Medium",2,1))</f>
        <v>1</v>
      </c>
    </row>
    <row r="2235" spans="1:12">
      <c r="A2235" t="s">
        <v>4261</v>
      </c>
      <c r="B2235" t="s">
        <v>1421</v>
      </c>
      <c r="C2235" t="s">
        <v>1991</v>
      </c>
      <c r="D2235" t="s">
        <v>1992</v>
      </c>
      <c r="E2235" t="s">
        <v>1971</v>
      </c>
      <c r="F2235" t="s">
        <v>1971</v>
      </c>
      <c r="G2235" t="str">
        <f>INDEX(Risk_Matrix!$B$2:$D$4,MATCH(E2235,Risk_Matrix!$A$2:$A$4,0),MATCH(F2235,Risk_Matrix!$B$1:$D$1,0))</f>
        <v>Medium</v>
      </c>
      <c r="H2235" s="1">
        <v>46231</v>
      </c>
      <c r="I2235" t="s">
        <v>2015</v>
      </c>
      <c r="J2235" t="s">
        <v>2016</v>
      </c>
      <c r="K2235" t="s">
        <v>1993</v>
      </c>
      <c r="L2235">
        <f>IF(G2235="High",3,IF(G2235="Medium",2,1))</f>
        <v>2</v>
      </c>
    </row>
    <row r="2236" spans="1:12">
      <c r="A2236" t="s">
        <v>4262</v>
      </c>
      <c r="B2236" t="s">
        <v>1421</v>
      </c>
      <c r="C2236" t="s">
        <v>1995</v>
      </c>
      <c r="D2236" t="s">
        <v>2034</v>
      </c>
      <c r="E2236" t="s">
        <v>1971</v>
      </c>
      <c r="F2236" t="s">
        <v>1971</v>
      </c>
      <c r="G2236" t="str">
        <f>INDEX(Risk_Matrix!$B$2:$D$4,MATCH(E2236,Risk_Matrix!$A$2:$A$4,0),MATCH(F2236,Risk_Matrix!$B$1:$D$1,0))</f>
        <v>Medium</v>
      </c>
      <c r="H2236" s="1">
        <v>46226</v>
      </c>
      <c r="I2236" t="s">
        <v>1987</v>
      </c>
      <c r="J2236" t="s">
        <v>1997</v>
      </c>
      <c r="K2236" t="s">
        <v>2036</v>
      </c>
      <c r="L2236">
        <f>IF(G2236="High",3,IF(G2236="Medium",2,1))</f>
        <v>2</v>
      </c>
    </row>
    <row r="2237" spans="1:12">
      <c r="A2237" t="s">
        <v>4263</v>
      </c>
      <c r="B2237" t="s">
        <v>1421</v>
      </c>
      <c r="C2237" t="s">
        <v>2000</v>
      </c>
      <c r="D2237" t="s">
        <v>2001</v>
      </c>
      <c r="E2237" t="s">
        <v>57</v>
      </c>
      <c r="F2237" t="s">
        <v>57</v>
      </c>
      <c r="G2237" t="str">
        <f>INDEX(Risk_Matrix!$B$2:$D$4,MATCH(E2237,Risk_Matrix!$A$2:$A$4,0),MATCH(F2237,Risk_Matrix!$B$1:$D$1,0))</f>
        <v>Low</v>
      </c>
      <c r="H2237" s="1">
        <v>46218</v>
      </c>
      <c r="I2237" t="s">
        <v>2002</v>
      </c>
      <c r="J2237" t="s">
        <v>2003</v>
      </c>
      <c r="K2237" t="s">
        <v>1989</v>
      </c>
      <c r="L2237">
        <f>IF(G2237="High",3,IF(G2237="Medium",2,1))</f>
        <v>1</v>
      </c>
    </row>
    <row r="2238" spans="1:12">
      <c r="A2238" t="s">
        <v>4264</v>
      </c>
      <c r="B2238" t="s">
        <v>1421</v>
      </c>
      <c r="C2238" t="s">
        <v>2005</v>
      </c>
      <c r="D2238" t="s">
        <v>2022</v>
      </c>
      <c r="E2238" t="s">
        <v>57</v>
      </c>
      <c r="F2238" t="s">
        <v>1971</v>
      </c>
      <c r="G2238" t="str">
        <f>INDEX(Risk_Matrix!$B$2:$D$4,MATCH(E2238,Risk_Matrix!$A$2:$A$4,0),MATCH(F2238,Risk_Matrix!$B$1:$D$1,0))</f>
        <v>Low</v>
      </c>
      <c r="H2238" s="1">
        <v>46064</v>
      </c>
      <c r="I2238" t="s">
        <v>1987</v>
      </c>
      <c r="J2238" t="s">
        <v>1997</v>
      </c>
      <c r="K2238" t="s">
        <v>2036</v>
      </c>
      <c r="L2238">
        <f>IF(G2238="High",3,IF(G2238="Medium",2,1))</f>
        <v>1</v>
      </c>
    </row>
    <row r="2239" spans="1:12">
      <c r="A2239" t="s">
        <v>4265</v>
      </c>
      <c r="B2239" t="s">
        <v>1421</v>
      </c>
      <c r="C2239" t="s">
        <v>2008</v>
      </c>
      <c r="D2239" t="s">
        <v>2054</v>
      </c>
      <c r="E2239" t="s">
        <v>1971</v>
      </c>
      <c r="F2239" t="s">
        <v>57</v>
      </c>
      <c r="G2239" t="str">
        <f>INDEX(Risk_Matrix!$B$2:$D$4,MATCH(E2239,Risk_Matrix!$A$2:$A$4,0),MATCH(F2239,Risk_Matrix!$B$1:$D$1,0))</f>
        <v>Low</v>
      </c>
      <c r="H2239" s="1">
        <v>46145</v>
      </c>
      <c r="I2239" t="s">
        <v>2025</v>
      </c>
      <c r="J2239" t="s">
        <v>2035</v>
      </c>
      <c r="K2239" t="s">
        <v>2010</v>
      </c>
      <c r="L2239">
        <f>IF(G2239="High",3,IF(G2239="Medium",2,1))</f>
        <v>1</v>
      </c>
    </row>
    <row r="2240" spans="1:12">
      <c r="A2240" t="s">
        <v>4266</v>
      </c>
      <c r="B2240" t="s">
        <v>1424</v>
      </c>
      <c r="C2240" t="s">
        <v>1985</v>
      </c>
      <c r="D2240" t="s">
        <v>2028</v>
      </c>
      <c r="E2240" t="s">
        <v>57</v>
      </c>
      <c r="F2240" t="s">
        <v>57</v>
      </c>
      <c r="G2240" t="str">
        <f>INDEX(Risk_Matrix!$B$2:$D$4,MATCH(E2240,Risk_Matrix!$A$2:$A$4,0),MATCH(F2240,Risk_Matrix!$B$1:$D$1,0))</f>
        <v>Low</v>
      </c>
      <c r="H2240" s="1">
        <v>46154</v>
      </c>
      <c r="I2240" t="s">
        <v>1987</v>
      </c>
      <c r="J2240" t="s">
        <v>1997</v>
      </c>
      <c r="K2240" t="s">
        <v>1989</v>
      </c>
      <c r="L2240">
        <f>IF(G2240="High",3,IF(G2240="Medium",2,1))</f>
        <v>1</v>
      </c>
    </row>
    <row r="2241" spans="1:12">
      <c r="A2241" t="s">
        <v>4267</v>
      </c>
      <c r="B2241" t="s">
        <v>1424</v>
      </c>
      <c r="C2241" t="s">
        <v>1991</v>
      </c>
      <c r="D2241" t="s">
        <v>2014</v>
      </c>
      <c r="E2241" t="s">
        <v>57</v>
      </c>
      <c r="F2241" t="s">
        <v>57</v>
      </c>
      <c r="G2241" t="str">
        <f>INDEX(Risk_Matrix!$B$2:$D$4,MATCH(E2241,Risk_Matrix!$A$2:$A$4,0),MATCH(F2241,Risk_Matrix!$B$1:$D$1,0))</f>
        <v>Low</v>
      </c>
      <c r="H2241" s="1">
        <v>46214</v>
      </c>
      <c r="I2241" t="s">
        <v>2025</v>
      </c>
      <c r="J2241" t="s">
        <v>2035</v>
      </c>
      <c r="K2241" t="s">
        <v>2010</v>
      </c>
      <c r="L2241">
        <f>IF(G2241="High",3,IF(G2241="Medium",2,1))</f>
        <v>1</v>
      </c>
    </row>
    <row r="2242" spans="1:12">
      <c r="A2242" t="s">
        <v>4268</v>
      </c>
      <c r="B2242" t="s">
        <v>1424</v>
      </c>
      <c r="C2242" t="s">
        <v>1995</v>
      </c>
      <c r="D2242" t="s">
        <v>2150</v>
      </c>
      <c r="E2242" t="s">
        <v>57</v>
      </c>
      <c r="F2242" t="s">
        <v>57</v>
      </c>
      <c r="G2242" t="str">
        <f>INDEX(Risk_Matrix!$B$2:$D$4,MATCH(E2242,Risk_Matrix!$A$2:$A$4,0),MATCH(F2242,Risk_Matrix!$B$1:$D$1,0))</f>
        <v>Low</v>
      </c>
      <c r="H2242" s="1">
        <v>46153</v>
      </c>
      <c r="I2242" t="s">
        <v>2015</v>
      </c>
      <c r="J2242" t="s">
        <v>2032</v>
      </c>
      <c r="K2242" t="s">
        <v>2036</v>
      </c>
      <c r="L2242">
        <f>IF(G2242="High",3,IF(G2242="Medium",2,1))</f>
        <v>1</v>
      </c>
    </row>
    <row r="2243" spans="1:12">
      <c r="A2243" t="s">
        <v>4269</v>
      </c>
      <c r="B2243" t="s">
        <v>1424</v>
      </c>
      <c r="C2243" t="s">
        <v>2000</v>
      </c>
      <c r="D2243" t="s">
        <v>2045</v>
      </c>
      <c r="E2243" t="s">
        <v>1971</v>
      </c>
      <c r="F2243" t="s">
        <v>1971</v>
      </c>
      <c r="G2243" t="str">
        <f>INDEX(Risk_Matrix!$B$2:$D$4,MATCH(E2243,Risk_Matrix!$A$2:$A$4,0),MATCH(F2243,Risk_Matrix!$B$1:$D$1,0))</f>
        <v>Medium</v>
      </c>
      <c r="H2243" s="1">
        <v>46121</v>
      </c>
      <c r="I2243" t="s">
        <v>1987</v>
      </c>
      <c r="J2243" t="s">
        <v>1997</v>
      </c>
      <c r="K2243" t="s">
        <v>1989</v>
      </c>
      <c r="L2243">
        <f>IF(G2243="High",3,IF(G2243="Medium",2,1))</f>
        <v>2</v>
      </c>
    </row>
    <row r="2244" spans="1:12">
      <c r="A2244" t="s">
        <v>4270</v>
      </c>
      <c r="B2244" t="s">
        <v>1424</v>
      </c>
      <c r="C2244" t="s">
        <v>2005</v>
      </c>
      <c r="D2244" t="s">
        <v>2022</v>
      </c>
      <c r="E2244" t="s">
        <v>1971</v>
      </c>
      <c r="F2244" t="s">
        <v>57</v>
      </c>
      <c r="G2244" t="str">
        <f>INDEX(Risk_Matrix!$B$2:$D$4,MATCH(E2244,Risk_Matrix!$A$2:$A$4,0),MATCH(F2244,Risk_Matrix!$B$1:$D$1,0))</f>
        <v>Low</v>
      </c>
      <c r="H2244" s="1">
        <v>46185</v>
      </c>
      <c r="I2244" t="s">
        <v>2015</v>
      </c>
      <c r="J2244" t="s">
        <v>2032</v>
      </c>
      <c r="K2244" t="s">
        <v>1993</v>
      </c>
      <c r="L2244">
        <f>IF(G2244="High",3,IF(G2244="Medium",2,1))</f>
        <v>1</v>
      </c>
    </row>
    <row r="2245" spans="1:12">
      <c r="A2245" t="s">
        <v>4271</v>
      </c>
      <c r="B2245" t="s">
        <v>1424</v>
      </c>
      <c r="C2245" t="s">
        <v>2008</v>
      </c>
      <c r="D2245" t="s">
        <v>2009</v>
      </c>
      <c r="E2245" t="s">
        <v>57</v>
      </c>
      <c r="F2245" t="s">
        <v>57</v>
      </c>
      <c r="G2245" t="str">
        <f>INDEX(Risk_Matrix!$B$2:$D$4,MATCH(E2245,Risk_Matrix!$A$2:$A$4,0),MATCH(F2245,Risk_Matrix!$B$1:$D$1,0))</f>
        <v>Low</v>
      </c>
      <c r="H2245" s="1">
        <v>46102</v>
      </c>
      <c r="I2245" t="s">
        <v>1987</v>
      </c>
      <c r="J2245" t="s">
        <v>1988</v>
      </c>
      <c r="K2245" t="s">
        <v>2010</v>
      </c>
      <c r="L2245">
        <f>IF(G2245="High",3,IF(G2245="Medium",2,1))</f>
        <v>1</v>
      </c>
    </row>
    <row r="2246" spans="1:12">
      <c r="A2246" t="s">
        <v>4272</v>
      </c>
      <c r="B2246" t="s">
        <v>1426</v>
      </c>
      <c r="C2246" t="s">
        <v>1985</v>
      </c>
      <c r="D2246" t="s">
        <v>2062</v>
      </c>
      <c r="E2246" t="s">
        <v>57</v>
      </c>
      <c r="F2246" t="s">
        <v>1971</v>
      </c>
      <c r="G2246" t="str">
        <f>INDEX(Risk_Matrix!$B$2:$D$4,MATCH(E2246,Risk_Matrix!$A$2:$A$4,0),MATCH(F2246,Risk_Matrix!$B$1:$D$1,0))</f>
        <v>Low</v>
      </c>
      <c r="H2246" s="1">
        <v>46173</v>
      </c>
      <c r="I2246" t="s">
        <v>1987</v>
      </c>
      <c r="J2246" t="s">
        <v>1997</v>
      </c>
      <c r="K2246" t="s">
        <v>1989</v>
      </c>
      <c r="L2246">
        <f>IF(G2246="High",3,IF(G2246="Medium",2,1))</f>
        <v>1</v>
      </c>
    </row>
    <row r="2247" spans="1:12">
      <c r="A2247" t="s">
        <v>4273</v>
      </c>
      <c r="B2247" t="s">
        <v>1426</v>
      </c>
      <c r="C2247" t="s">
        <v>1991</v>
      </c>
      <c r="D2247" t="s">
        <v>2031</v>
      </c>
      <c r="E2247" t="s">
        <v>1971</v>
      </c>
      <c r="F2247" t="s">
        <v>1971</v>
      </c>
      <c r="G2247" t="str">
        <f>INDEX(Risk_Matrix!$B$2:$D$4,MATCH(E2247,Risk_Matrix!$A$2:$A$4,0),MATCH(F2247,Risk_Matrix!$B$1:$D$1,0))</f>
        <v>Medium</v>
      </c>
      <c r="H2247" s="1">
        <v>46168</v>
      </c>
      <c r="I2247" t="s">
        <v>2015</v>
      </c>
      <c r="J2247" t="s">
        <v>2016</v>
      </c>
      <c r="K2247" t="s">
        <v>2010</v>
      </c>
      <c r="L2247">
        <f>IF(G2247="High",3,IF(G2247="Medium",2,1))</f>
        <v>2</v>
      </c>
    </row>
    <row r="2248" spans="1:12">
      <c r="A2248" t="s">
        <v>4274</v>
      </c>
      <c r="B2248" t="s">
        <v>1426</v>
      </c>
      <c r="C2248" t="s">
        <v>1995</v>
      </c>
      <c r="D2248" t="s">
        <v>1996</v>
      </c>
      <c r="E2248" t="s">
        <v>57</v>
      </c>
      <c r="F2248" t="s">
        <v>1971</v>
      </c>
      <c r="G2248" t="str">
        <f>INDEX(Risk_Matrix!$B$2:$D$4,MATCH(E2248,Risk_Matrix!$A$2:$A$4,0),MATCH(F2248,Risk_Matrix!$B$1:$D$1,0))</f>
        <v>Low</v>
      </c>
      <c r="H2248" s="1">
        <v>46092</v>
      </c>
      <c r="I2248" t="s">
        <v>1987</v>
      </c>
      <c r="J2248" t="s">
        <v>1988</v>
      </c>
      <c r="K2248" t="s">
        <v>2036</v>
      </c>
      <c r="L2248">
        <f>IF(G2248="High",3,IF(G2248="Medium",2,1))</f>
        <v>1</v>
      </c>
    </row>
    <row r="2249" spans="1:12">
      <c r="A2249" t="s">
        <v>4275</v>
      </c>
      <c r="B2249" t="s">
        <v>1426</v>
      </c>
      <c r="C2249" t="s">
        <v>2000</v>
      </c>
      <c r="D2249" t="s">
        <v>2045</v>
      </c>
      <c r="E2249" t="s">
        <v>1971</v>
      </c>
      <c r="F2249" t="s">
        <v>47</v>
      </c>
      <c r="G2249" t="str">
        <f>INDEX(Risk_Matrix!$B$2:$D$4,MATCH(E2249,Risk_Matrix!$A$2:$A$4,0),MATCH(F2249,Risk_Matrix!$B$1:$D$1,0))</f>
        <v>High</v>
      </c>
      <c r="H2249" s="1">
        <v>46231</v>
      </c>
      <c r="I2249" t="s">
        <v>2015</v>
      </c>
      <c r="J2249" t="s">
        <v>2032</v>
      </c>
      <c r="K2249" t="s">
        <v>1989</v>
      </c>
      <c r="L2249">
        <f>IF(G2249="High",3,IF(G2249="Medium",2,1))</f>
        <v>3</v>
      </c>
    </row>
    <row r="2250" spans="1:12">
      <c r="A2250" t="s">
        <v>4276</v>
      </c>
      <c r="B2250" t="s">
        <v>1426</v>
      </c>
      <c r="C2250" t="s">
        <v>2005</v>
      </c>
      <c r="D2250" t="s">
        <v>2006</v>
      </c>
      <c r="E2250" t="s">
        <v>1971</v>
      </c>
      <c r="F2250" t="s">
        <v>57</v>
      </c>
      <c r="G2250" t="str">
        <f>INDEX(Risk_Matrix!$B$2:$D$4,MATCH(E2250,Risk_Matrix!$A$2:$A$4,0),MATCH(F2250,Risk_Matrix!$B$1:$D$1,0))</f>
        <v>Low</v>
      </c>
      <c r="H2250" s="1">
        <v>46211</v>
      </c>
      <c r="I2250" t="s">
        <v>2025</v>
      </c>
      <c r="J2250" t="s">
        <v>2035</v>
      </c>
      <c r="K2250" t="s">
        <v>1993</v>
      </c>
      <c r="L2250">
        <f>IF(G2250="High",3,IF(G2250="Medium",2,1))</f>
        <v>1</v>
      </c>
    </row>
    <row r="2251" spans="1:12">
      <c r="A2251" t="s">
        <v>4277</v>
      </c>
      <c r="B2251" t="s">
        <v>1426</v>
      </c>
      <c r="C2251" t="s">
        <v>2008</v>
      </c>
      <c r="D2251" t="s">
        <v>2054</v>
      </c>
      <c r="E2251" t="s">
        <v>1971</v>
      </c>
      <c r="F2251" t="s">
        <v>1971</v>
      </c>
      <c r="G2251" t="str">
        <f>INDEX(Risk_Matrix!$B$2:$D$4,MATCH(E2251,Risk_Matrix!$A$2:$A$4,0),MATCH(F2251,Risk_Matrix!$B$1:$D$1,0))</f>
        <v>Medium</v>
      </c>
      <c r="H2251" s="1">
        <v>46212</v>
      </c>
      <c r="I2251" t="s">
        <v>2015</v>
      </c>
      <c r="J2251" t="s">
        <v>2016</v>
      </c>
      <c r="K2251" t="s">
        <v>2010</v>
      </c>
      <c r="L2251">
        <f>IF(G2251="High",3,IF(G2251="Medium",2,1))</f>
        <v>2</v>
      </c>
    </row>
    <row r="2252" spans="1:12">
      <c r="A2252" t="s">
        <v>4278</v>
      </c>
      <c r="B2252" t="s">
        <v>1429</v>
      </c>
      <c r="C2252" t="s">
        <v>1985</v>
      </c>
      <c r="D2252" t="s">
        <v>1986</v>
      </c>
      <c r="E2252" t="s">
        <v>57</v>
      </c>
      <c r="F2252" t="s">
        <v>57</v>
      </c>
      <c r="G2252" t="str">
        <f>INDEX(Risk_Matrix!$B$2:$D$4,MATCH(E2252,Risk_Matrix!$A$2:$A$4,0),MATCH(F2252,Risk_Matrix!$B$1:$D$1,0))</f>
        <v>Low</v>
      </c>
      <c r="H2252" s="1">
        <v>46131</v>
      </c>
      <c r="I2252" t="s">
        <v>2002</v>
      </c>
      <c r="J2252" t="s">
        <v>2029</v>
      </c>
      <c r="K2252" t="s">
        <v>1989</v>
      </c>
      <c r="L2252">
        <f>IF(G2252="High",3,IF(G2252="Medium",2,1))</f>
        <v>1</v>
      </c>
    </row>
    <row r="2253" spans="1:12">
      <c r="A2253" t="s">
        <v>4279</v>
      </c>
      <c r="B2253" t="s">
        <v>1429</v>
      </c>
      <c r="C2253" t="s">
        <v>1991</v>
      </c>
      <c r="D2253" t="s">
        <v>1992</v>
      </c>
      <c r="E2253" t="s">
        <v>57</v>
      </c>
      <c r="F2253" t="s">
        <v>57</v>
      </c>
      <c r="G2253" t="str">
        <f>INDEX(Risk_Matrix!$B$2:$D$4,MATCH(E2253,Risk_Matrix!$A$2:$A$4,0),MATCH(F2253,Risk_Matrix!$B$1:$D$1,0))</f>
        <v>Low</v>
      </c>
      <c r="H2253" s="1">
        <v>46200</v>
      </c>
      <c r="I2253" t="s">
        <v>1987</v>
      </c>
      <c r="J2253" t="s">
        <v>1988</v>
      </c>
      <c r="K2253" t="s">
        <v>1993</v>
      </c>
      <c r="L2253">
        <f>IF(G2253="High",3,IF(G2253="Medium",2,1))</f>
        <v>1</v>
      </c>
    </row>
    <row r="2254" spans="1:12">
      <c r="A2254" t="s">
        <v>4280</v>
      </c>
      <c r="B2254" t="s">
        <v>1429</v>
      </c>
      <c r="C2254" t="s">
        <v>1995</v>
      </c>
      <c r="D2254" t="s">
        <v>2150</v>
      </c>
      <c r="E2254" t="s">
        <v>1971</v>
      </c>
      <c r="F2254" t="s">
        <v>1971</v>
      </c>
      <c r="G2254" t="str">
        <f>INDEX(Risk_Matrix!$B$2:$D$4,MATCH(E2254,Risk_Matrix!$A$2:$A$4,0),MATCH(F2254,Risk_Matrix!$B$1:$D$1,0))</f>
        <v>Medium</v>
      </c>
      <c r="H2254" s="1">
        <v>46219</v>
      </c>
      <c r="I2254" t="s">
        <v>2015</v>
      </c>
      <c r="J2254" t="s">
        <v>2016</v>
      </c>
      <c r="K2254" t="s">
        <v>2036</v>
      </c>
      <c r="L2254">
        <f>IF(G2254="High",3,IF(G2254="Medium",2,1))</f>
        <v>2</v>
      </c>
    </row>
    <row r="2255" spans="1:12">
      <c r="A2255" t="s">
        <v>4281</v>
      </c>
      <c r="B2255" t="s">
        <v>1429</v>
      </c>
      <c r="C2255" t="s">
        <v>2000</v>
      </c>
      <c r="D2255" t="s">
        <v>2001</v>
      </c>
      <c r="E2255" t="s">
        <v>47</v>
      </c>
      <c r="F2255" t="s">
        <v>57</v>
      </c>
      <c r="G2255" t="str">
        <f>INDEX(Risk_Matrix!$B$2:$D$4,MATCH(E2255,Risk_Matrix!$A$2:$A$4,0),MATCH(F2255,Risk_Matrix!$B$1:$D$1,0))</f>
        <v>Medium</v>
      </c>
      <c r="H2255" s="1">
        <v>46104</v>
      </c>
      <c r="I2255" t="s">
        <v>2025</v>
      </c>
      <c r="J2255" t="s">
        <v>2035</v>
      </c>
      <c r="K2255" t="s">
        <v>1989</v>
      </c>
      <c r="L2255">
        <f>IF(G2255="High",3,IF(G2255="Medium",2,1))</f>
        <v>2</v>
      </c>
    </row>
    <row r="2256" spans="1:12">
      <c r="A2256" t="s">
        <v>4282</v>
      </c>
      <c r="B2256" t="s">
        <v>1429</v>
      </c>
      <c r="C2256" t="s">
        <v>2005</v>
      </c>
      <c r="D2256" t="s">
        <v>2039</v>
      </c>
      <c r="E2256" t="s">
        <v>57</v>
      </c>
      <c r="F2256" t="s">
        <v>57</v>
      </c>
      <c r="G2256" t="str">
        <f>INDEX(Risk_Matrix!$B$2:$D$4,MATCH(E2256,Risk_Matrix!$A$2:$A$4,0),MATCH(F2256,Risk_Matrix!$B$1:$D$1,0))</f>
        <v>Low</v>
      </c>
      <c r="H2256" s="1">
        <v>46205</v>
      </c>
      <c r="I2256" t="s">
        <v>2002</v>
      </c>
      <c r="J2256" t="s">
        <v>2003</v>
      </c>
      <c r="K2256" t="s">
        <v>2036</v>
      </c>
      <c r="L2256">
        <f>IF(G2256="High",3,IF(G2256="Medium",2,1))</f>
        <v>1</v>
      </c>
    </row>
    <row r="2257" spans="1:12">
      <c r="A2257" t="s">
        <v>4283</v>
      </c>
      <c r="B2257" t="s">
        <v>1429</v>
      </c>
      <c r="C2257" t="s">
        <v>2008</v>
      </c>
      <c r="D2257" t="s">
        <v>2054</v>
      </c>
      <c r="E2257" t="s">
        <v>57</v>
      </c>
      <c r="F2257" t="s">
        <v>57</v>
      </c>
      <c r="G2257" t="str">
        <f>INDEX(Risk_Matrix!$B$2:$D$4,MATCH(E2257,Risk_Matrix!$A$2:$A$4,0),MATCH(F2257,Risk_Matrix!$B$1:$D$1,0))</f>
        <v>Low</v>
      </c>
      <c r="H2257" s="1">
        <v>46221</v>
      </c>
      <c r="I2257" t="s">
        <v>2025</v>
      </c>
      <c r="J2257" t="s">
        <v>2035</v>
      </c>
      <c r="K2257" t="s">
        <v>1998</v>
      </c>
      <c r="L2257">
        <f>IF(G2257="High",3,IF(G2257="Medium",2,1))</f>
        <v>1</v>
      </c>
    </row>
    <row r="2258" spans="1:12">
      <c r="A2258" t="s">
        <v>4284</v>
      </c>
      <c r="B2258" t="s">
        <v>1432</v>
      </c>
      <c r="C2258" t="s">
        <v>1985</v>
      </c>
      <c r="D2258" t="s">
        <v>2062</v>
      </c>
      <c r="E2258" t="s">
        <v>47</v>
      </c>
      <c r="F2258" t="s">
        <v>1971</v>
      </c>
      <c r="G2258" t="str">
        <f>INDEX(Risk_Matrix!$B$2:$D$4,MATCH(E2258,Risk_Matrix!$A$2:$A$4,0),MATCH(F2258,Risk_Matrix!$B$1:$D$1,0))</f>
        <v>High</v>
      </c>
      <c r="H2258" s="1">
        <v>46209</v>
      </c>
      <c r="I2258" t="s">
        <v>2015</v>
      </c>
      <c r="J2258" t="s">
        <v>2032</v>
      </c>
      <c r="K2258" t="s">
        <v>1989</v>
      </c>
      <c r="L2258">
        <f>IF(G2258="High",3,IF(G2258="Medium",2,1))</f>
        <v>3</v>
      </c>
    </row>
    <row r="2259" spans="1:12">
      <c r="A2259" t="s">
        <v>4285</v>
      </c>
      <c r="B2259" t="s">
        <v>1432</v>
      </c>
      <c r="C2259" t="s">
        <v>1991</v>
      </c>
      <c r="D2259" t="s">
        <v>2064</v>
      </c>
      <c r="E2259" t="s">
        <v>57</v>
      </c>
      <c r="F2259" t="s">
        <v>57</v>
      </c>
      <c r="G2259" t="str">
        <f>INDEX(Risk_Matrix!$B$2:$D$4,MATCH(E2259,Risk_Matrix!$A$2:$A$4,0),MATCH(F2259,Risk_Matrix!$B$1:$D$1,0))</f>
        <v>Low</v>
      </c>
      <c r="H2259" s="1">
        <v>46184</v>
      </c>
      <c r="I2259" t="s">
        <v>2002</v>
      </c>
      <c r="J2259" t="s">
        <v>2029</v>
      </c>
      <c r="K2259" t="s">
        <v>2010</v>
      </c>
      <c r="L2259">
        <f>IF(G2259="High",3,IF(G2259="Medium",2,1))</f>
        <v>1</v>
      </c>
    </row>
    <row r="2260" spans="1:12">
      <c r="A2260" t="s">
        <v>4286</v>
      </c>
      <c r="B2260" t="s">
        <v>1432</v>
      </c>
      <c r="C2260" t="s">
        <v>1995</v>
      </c>
      <c r="D2260" t="s">
        <v>2018</v>
      </c>
      <c r="E2260" t="s">
        <v>47</v>
      </c>
      <c r="F2260" t="s">
        <v>47</v>
      </c>
      <c r="G2260" t="str">
        <f>INDEX(Risk_Matrix!$B$2:$D$4,MATCH(E2260,Risk_Matrix!$A$2:$A$4,0),MATCH(F2260,Risk_Matrix!$B$1:$D$1,0))</f>
        <v>High</v>
      </c>
      <c r="H2260" s="1">
        <v>46080</v>
      </c>
      <c r="I2260" t="s">
        <v>2025</v>
      </c>
      <c r="J2260" t="s">
        <v>2035</v>
      </c>
      <c r="K2260" t="s">
        <v>1998</v>
      </c>
      <c r="L2260">
        <f>IF(G2260="High",3,IF(G2260="Medium",2,1))</f>
        <v>3</v>
      </c>
    </row>
    <row r="2261" spans="1:12">
      <c r="A2261" t="s">
        <v>4287</v>
      </c>
      <c r="B2261" t="s">
        <v>1432</v>
      </c>
      <c r="C2261" t="s">
        <v>2000</v>
      </c>
      <c r="D2261" t="s">
        <v>2001</v>
      </c>
      <c r="E2261" t="s">
        <v>57</v>
      </c>
      <c r="F2261" t="s">
        <v>57</v>
      </c>
      <c r="G2261" t="str">
        <f>INDEX(Risk_Matrix!$B$2:$D$4,MATCH(E2261,Risk_Matrix!$A$2:$A$4,0),MATCH(F2261,Risk_Matrix!$B$1:$D$1,0))</f>
        <v>Low</v>
      </c>
      <c r="H2261" s="1">
        <v>46175</v>
      </c>
      <c r="I2261" t="s">
        <v>1987</v>
      </c>
      <c r="J2261" t="s">
        <v>1997</v>
      </c>
      <c r="K2261" t="s">
        <v>1989</v>
      </c>
      <c r="L2261">
        <f>IF(G2261="High",3,IF(G2261="Medium",2,1))</f>
        <v>1</v>
      </c>
    </row>
    <row r="2262" spans="1:12">
      <c r="A2262" t="s">
        <v>4288</v>
      </c>
      <c r="B2262" t="s">
        <v>1432</v>
      </c>
      <c r="C2262" t="s">
        <v>2005</v>
      </c>
      <c r="D2262" t="s">
        <v>2022</v>
      </c>
      <c r="E2262" t="s">
        <v>57</v>
      </c>
      <c r="F2262" t="s">
        <v>1971</v>
      </c>
      <c r="G2262" t="str">
        <f>INDEX(Risk_Matrix!$B$2:$D$4,MATCH(E2262,Risk_Matrix!$A$2:$A$4,0),MATCH(F2262,Risk_Matrix!$B$1:$D$1,0))</f>
        <v>Low</v>
      </c>
      <c r="H2262" s="1">
        <v>46204</v>
      </c>
      <c r="I2262" t="s">
        <v>2015</v>
      </c>
      <c r="J2262" t="s">
        <v>2032</v>
      </c>
      <c r="K2262" t="s">
        <v>1993</v>
      </c>
      <c r="L2262">
        <f>IF(G2262="High",3,IF(G2262="Medium",2,1))</f>
        <v>1</v>
      </c>
    </row>
    <row r="2263" spans="1:12">
      <c r="A2263" t="s">
        <v>4289</v>
      </c>
      <c r="B2263" t="s">
        <v>1432</v>
      </c>
      <c r="C2263" t="s">
        <v>2008</v>
      </c>
      <c r="D2263" t="s">
        <v>2024</v>
      </c>
      <c r="E2263" t="s">
        <v>47</v>
      </c>
      <c r="F2263" t="s">
        <v>57</v>
      </c>
      <c r="G2263" t="str">
        <f>INDEX(Risk_Matrix!$B$2:$D$4,MATCH(E2263,Risk_Matrix!$A$2:$A$4,0),MATCH(F2263,Risk_Matrix!$B$1:$D$1,0))</f>
        <v>Medium</v>
      </c>
      <c r="H2263" s="1">
        <v>46201</v>
      </c>
      <c r="I2263" t="s">
        <v>2015</v>
      </c>
      <c r="J2263" t="s">
        <v>2032</v>
      </c>
      <c r="K2263" t="s">
        <v>1998</v>
      </c>
      <c r="L2263">
        <f>IF(G2263="High",3,IF(G2263="Medium",2,1))</f>
        <v>2</v>
      </c>
    </row>
    <row r="2264" spans="1:12">
      <c r="A2264" t="s">
        <v>4290</v>
      </c>
      <c r="B2264" t="s">
        <v>1435</v>
      </c>
      <c r="C2264" t="s">
        <v>1985</v>
      </c>
      <c r="D2264" t="s">
        <v>1986</v>
      </c>
      <c r="E2264" t="s">
        <v>57</v>
      </c>
      <c r="F2264" t="s">
        <v>57</v>
      </c>
      <c r="G2264" t="str">
        <f>INDEX(Risk_Matrix!$B$2:$D$4,MATCH(E2264,Risk_Matrix!$A$2:$A$4,0),MATCH(F2264,Risk_Matrix!$B$1:$D$1,0))</f>
        <v>Low</v>
      </c>
      <c r="H2264" s="1">
        <v>46234</v>
      </c>
      <c r="I2264" t="s">
        <v>2025</v>
      </c>
      <c r="J2264" t="s">
        <v>2035</v>
      </c>
      <c r="K2264" t="s">
        <v>1989</v>
      </c>
      <c r="L2264">
        <f>IF(G2264="High",3,IF(G2264="Medium",2,1))</f>
        <v>1</v>
      </c>
    </row>
    <row r="2265" spans="1:12">
      <c r="A2265" t="s">
        <v>4291</v>
      </c>
      <c r="B2265" t="s">
        <v>1435</v>
      </c>
      <c r="C2265" t="s">
        <v>1991</v>
      </c>
      <c r="D2265" t="s">
        <v>1992</v>
      </c>
      <c r="E2265" t="s">
        <v>47</v>
      </c>
      <c r="F2265" t="s">
        <v>1971</v>
      </c>
      <c r="G2265" t="str">
        <f>INDEX(Risk_Matrix!$B$2:$D$4,MATCH(E2265,Risk_Matrix!$A$2:$A$4,0),MATCH(F2265,Risk_Matrix!$B$1:$D$1,0))</f>
        <v>High</v>
      </c>
      <c r="H2265" s="1">
        <v>46211</v>
      </c>
      <c r="I2265" t="s">
        <v>2015</v>
      </c>
      <c r="J2265" t="s">
        <v>2032</v>
      </c>
      <c r="K2265" t="s">
        <v>1993</v>
      </c>
      <c r="L2265">
        <f>IF(G2265="High",3,IF(G2265="Medium",2,1))</f>
        <v>3</v>
      </c>
    </row>
    <row r="2266" spans="1:12">
      <c r="A2266" t="s">
        <v>4292</v>
      </c>
      <c r="B2266" t="s">
        <v>1435</v>
      </c>
      <c r="C2266" t="s">
        <v>1995</v>
      </c>
      <c r="D2266" t="s">
        <v>1996</v>
      </c>
      <c r="E2266" t="s">
        <v>57</v>
      </c>
      <c r="F2266" t="s">
        <v>1971</v>
      </c>
      <c r="G2266" t="str">
        <f>INDEX(Risk_Matrix!$B$2:$D$4,MATCH(E2266,Risk_Matrix!$A$2:$A$4,0),MATCH(F2266,Risk_Matrix!$B$1:$D$1,0))</f>
        <v>Low</v>
      </c>
      <c r="H2266" s="1">
        <v>46214</v>
      </c>
      <c r="I2266" t="s">
        <v>1987</v>
      </c>
      <c r="J2266" t="s">
        <v>1988</v>
      </c>
      <c r="K2266" t="s">
        <v>2036</v>
      </c>
      <c r="L2266">
        <f>IF(G2266="High",3,IF(G2266="Medium",2,1))</f>
        <v>1</v>
      </c>
    </row>
    <row r="2267" spans="1:12">
      <c r="A2267" t="s">
        <v>4293</v>
      </c>
      <c r="B2267" t="s">
        <v>1435</v>
      </c>
      <c r="C2267" t="s">
        <v>2000</v>
      </c>
      <c r="D2267" t="s">
        <v>2020</v>
      </c>
      <c r="E2267" t="s">
        <v>1971</v>
      </c>
      <c r="F2267" t="s">
        <v>1971</v>
      </c>
      <c r="G2267" t="str">
        <f>INDEX(Risk_Matrix!$B$2:$D$4,MATCH(E2267,Risk_Matrix!$A$2:$A$4,0),MATCH(F2267,Risk_Matrix!$B$1:$D$1,0))</f>
        <v>Medium</v>
      </c>
      <c r="H2267" s="1">
        <v>46232</v>
      </c>
      <c r="I2267" t="s">
        <v>2015</v>
      </c>
      <c r="J2267" t="s">
        <v>2032</v>
      </c>
      <c r="K2267" t="s">
        <v>1993</v>
      </c>
      <c r="L2267">
        <f>IF(G2267="High",3,IF(G2267="Medium",2,1))</f>
        <v>2</v>
      </c>
    </row>
    <row r="2268" spans="1:12">
      <c r="A2268" t="s">
        <v>4294</v>
      </c>
      <c r="B2268" t="s">
        <v>1435</v>
      </c>
      <c r="C2268" t="s">
        <v>2005</v>
      </c>
      <c r="D2268" t="s">
        <v>2022</v>
      </c>
      <c r="E2268" t="s">
        <v>1971</v>
      </c>
      <c r="F2268" t="s">
        <v>57</v>
      </c>
      <c r="G2268" t="str">
        <f>INDEX(Risk_Matrix!$B$2:$D$4,MATCH(E2268,Risk_Matrix!$A$2:$A$4,0),MATCH(F2268,Risk_Matrix!$B$1:$D$1,0))</f>
        <v>Low</v>
      </c>
      <c r="H2268" s="1">
        <v>46114</v>
      </c>
      <c r="I2268" t="s">
        <v>2002</v>
      </c>
      <c r="J2268" t="s">
        <v>2003</v>
      </c>
      <c r="K2268" t="s">
        <v>1993</v>
      </c>
      <c r="L2268">
        <f>IF(G2268="High",3,IF(G2268="Medium",2,1))</f>
        <v>1</v>
      </c>
    </row>
    <row r="2269" spans="1:12">
      <c r="A2269" t="s">
        <v>4295</v>
      </c>
      <c r="B2269" t="s">
        <v>1435</v>
      </c>
      <c r="C2269" t="s">
        <v>2008</v>
      </c>
      <c r="D2269" t="s">
        <v>2009</v>
      </c>
      <c r="E2269" t="s">
        <v>57</v>
      </c>
      <c r="F2269" t="s">
        <v>1971</v>
      </c>
      <c r="G2269" t="str">
        <f>INDEX(Risk_Matrix!$B$2:$D$4,MATCH(E2269,Risk_Matrix!$A$2:$A$4,0),MATCH(F2269,Risk_Matrix!$B$1:$D$1,0))</f>
        <v>Low</v>
      </c>
      <c r="H2269" s="1">
        <v>46180</v>
      </c>
      <c r="I2269" t="s">
        <v>2025</v>
      </c>
      <c r="J2269" t="s">
        <v>2026</v>
      </c>
      <c r="K2269" t="s">
        <v>2010</v>
      </c>
      <c r="L2269">
        <f>IF(G2269="High",3,IF(G2269="Medium",2,1))</f>
        <v>1</v>
      </c>
    </row>
    <row r="2270" spans="1:12">
      <c r="A2270" t="s">
        <v>4296</v>
      </c>
      <c r="B2270" t="s">
        <v>1437</v>
      </c>
      <c r="C2270" t="s">
        <v>1985</v>
      </c>
      <c r="D2270" t="s">
        <v>1986</v>
      </c>
      <c r="E2270" t="s">
        <v>57</v>
      </c>
      <c r="F2270" t="s">
        <v>57</v>
      </c>
      <c r="G2270" t="str">
        <f>INDEX(Risk_Matrix!$B$2:$D$4,MATCH(E2270,Risk_Matrix!$A$2:$A$4,0),MATCH(F2270,Risk_Matrix!$B$1:$D$1,0))</f>
        <v>Low</v>
      </c>
      <c r="H2270" s="1">
        <v>46156</v>
      </c>
      <c r="I2270" t="s">
        <v>2015</v>
      </c>
      <c r="J2270" t="s">
        <v>2016</v>
      </c>
      <c r="K2270" t="s">
        <v>1998</v>
      </c>
      <c r="L2270">
        <f>IF(G2270="High",3,IF(G2270="Medium",2,1))</f>
        <v>1</v>
      </c>
    </row>
    <row r="2271" spans="1:12">
      <c r="A2271" t="s">
        <v>4297</v>
      </c>
      <c r="B2271" t="s">
        <v>1437</v>
      </c>
      <c r="C2271" t="s">
        <v>1991</v>
      </c>
      <c r="D2271" t="s">
        <v>2064</v>
      </c>
      <c r="E2271" t="s">
        <v>57</v>
      </c>
      <c r="F2271" t="s">
        <v>47</v>
      </c>
      <c r="G2271" t="str">
        <f>INDEX(Risk_Matrix!$B$2:$D$4,MATCH(E2271,Risk_Matrix!$A$2:$A$4,0),MATCH(F2271,Risk_Matrix!$B$1:$D$1,0))</f>
        <v>Medium</v>
      </c>
      <c r="H2271" s="1">
        <v>46160</v>
      </c>
      <c r="I2271" t="s">
        <v>2015</v>
      </c>
      <c r="J2271" t="s">
        <v>2016</v>
      </c>
      <c r="K2271" t="s">
        <v>2010</v>
      </c>
      <c r="L2271">
        <f>IF(G2271="High",3,IF(G2271="Medium",2,1))</f>
        <v>2</v>
      </c>
    </row>
    <row r="2272" spans="1:12">
      <c r="A2272" t="s">
        <v>4298</v>
      </c>
      <c r="B2272" t="s">
        <v>1437</v>
      </c>
      <c r="C2272" t="s">
        <v>1995</v>
      </c>
      <c r="D2272" t="s">
        <v>1996</v>
      </c>
      <c r="E2272" t="s">
        <v>1971</v>
      </c>
      <c r="F2272" t="s">
        <v>57</v>
      </c>
      <c r="G2272" t="str">
        <f>INDEX(Risk_Matrix!$B$2:$D$4,MATCH(E2272,Risk_Matrix!$A$2:$A$4,0),MATCH(F2272,Risk_Matrix!$B$1:$D$1,0))</f>
        <v>Low</v>
      </c>
      <c r="H2272" s="1">
        <v>46086</v>
      </c>
      <c r="I2272" t="s">
        <v>2025</v>
      </c>
      <c r="J2272" t="s">
        <v>2026</v>
      </c>
      <c r="K2272" t="s">
        <v>2036</v>
      </c>
      <c r="L2272">
        <f>IF(G2272="High",3,IF(G2272="Medium",2,1))</f>
        <v>1</v>
      </c>
    </row>
    <row r="2273" spans="1:12">
      <c r="A2273" t="s">
        <v>4299</v>
      </c>
      <c r="B2273" t="s">
        <v>1437</v>
      </c>
      <c r="C2273" t="s">
        <v>2000</v>
      </c>
      <c r="D2273" t="s">
        <v>2020</v>
      </c>
      <c r="E2273" t="s">
        <v>57</v>
      </c>
      <c r="F2273" t="s">
        <v>57</v>
      </c>
      <c r="G2273" t="str">
        <f>INDEX(Risk_Matrix!$B$2:$D$4,MATCH(E2273,Risk_Matrix!$A$2:$A$4,0),MATCH(F2273,Risk_Matrix!$B$1:$D$1,0))</f>
        <v>Low</v>
      </c>
      <c r="H2273" s="1">
        <v>46175</v>
      </c>
      <c r="I2273" t="s">
        <v>2015</v>
      </c>
      <c r="J2273" t="s">
        <v>2032</v>
      </c>
      <c r="K2273" t="s">
        <v>1993</v>
      </c>
      <c r="L2273">
        <f>IF(G2273="High",3,IF(G2273="Medium",2,1))</f>
        <v>1</v>
      </c>
    </row>
    <row r="2274" spans="1:12">
      <c r="A2274" t="s">
        <v>4300</v>
      </c>
      <c r="B2274" t="s">
        <v>1437</v>
      </c>
      <c r="C2274" t="s">
        <v>2005</v>
      </c>
      <c r="D2274" t="s">
        <v>2006</v>
      </c>
      <c r="E2274" t="s">
        <v>1971</v>
      </c>
      <c r="F2274" t="s">
        <v>57</v>
      </c>
      <c r="G2274" t="str">
        <f>INDEX(Risk_Matrix!$B$2:$D$4,MATCH(E2274,Risk_Matrix!$A$2:$A$4,0),MATCH(F2274,Risk_Matrix!$B$1:$D$1,0))</f>
        <v>Low</v>
      </c>
      <c r="H2274" s="1">
        <v>46138</v>
      </c>
      <c r="I2274" t="s">
        <v>2025</v>
      </c>
      <c r="J2274" t="s">
        <v>2026</v>
      </c>
      <c r="K2274" t="s">
        <v>1993</v>
      </c>
      <c r="L2274">
        <f>IF(G2274="High",3,IF(G2274="Medium",2,1))</f>
        <v>1</v>
      </c>
    </row>
    <row r="2275" spans="1:12">
      <c r="A2275" t="s">
        <v>4301</v>
      </c>
      <c r="B2275" t="s">
        <v>1437</v>
      </c>
      <c r="C2275" t="s">
        <v>2008</v>
      </c>
      <c r="D2275" t="s">
        <v>2054</v>
      </c>
      <c r="E2275" t="s">
        <v>1971</v>
      </c>
      <c r="F2275" t="s">
        <v>47</v>
      </c>
      <c r="G2275" t="str">
        <f>INDEX(Risk_Matrix!$B$2:$D$4,MATCH(E2275,Risk_Matrix!$A$2:$A$4,0),MATCH(F2275,Risk_Matrix!$B$1:$D$1,0))</f>
        <v>High</v>
      </c>
      <c r="H2275" s="1">
        <v>46153</v>
      </c>
      <c r="I2275" t="s">
        <v>2015</v>
      </c>
      <c r="J2275" t="s">
        <v>2016</v>
      </c>
      <c r="K2275" t="s">
        <v>2010</v>
      </c>
      <c r="L2275">
        <f>IF(G2275="High",3,IF(G2275="Medium",2,1))</f>
        <v>3</v>
      </c>
    </row>
    <row r="2276" spans="1:12">
      <c r="A2276" t="s">
        <v>4302</v>
      </c>
      <c r="B2276" t="s">
        <v>1439</v>
      </c>
      <c r="C2276" t="s">
        <v>1985</v>
      </c>
      <c r="D2276" t="s">
        <v>2028</v>
      </c>
      <c r="E2276" t="s">
        <v>57</v>
      </c>
      <c r="F2276" t="s">
        <v>57</v>
      </c>
      <c r="G2276" t="str">
        <f>INDEX(Risk_Matrix!$B$2:$D$4,MATCH(E2276,Risk_Matrix!$A$2:$A$4,0),MATCH(F2276,Risk_Matrix!$B$1:$D$1,0))</f>
        <v>Low</v>
      </c>
      <c r="H2276" s="1">
        <v>46198</v>
      </c>
      <c r="I2276" t="s">
        <v>2015</v>
      </c>
      <c r="J2276" t="s">
        <v>2016</v>
      </c>
      <c r="K2276" t="s">
        <v>1989</v>
      </c>
      <c r="L2276">
        <f>IF(G2276="High",3,IF(G2276="Medium",2,1))</f>
        <v>1</v>
      </c>
    </row>
    <row r="2277" spans="1:12">
      <c r="A2277" t="s">
        <v>4303</v>
      </c>
      <c r="B2277" t="s">
        <v>1439</v>
      </c>
      <c r="C2277" t="s">
        <v>1991</v>
      </c>
      <c r="D2277" t="s">
        <v>2064</v>
      </c>
      <c r="E2277" t="s">
        <v>47</v>
      </c>
      <c r="F2277" t="s">
        <v>47</v>
      </c>
      <c r="G2277" t="str">
        <f>INDEX(Risk_Matrix!$B$2:$D$4,MATCH(E2277,Risk_Matrix!$A$2:$A$4,0),MATCH(F2277,Risk_Matrix!$B$1:$D$1,0))</f>
        <v>High</v>
      </c>
      <c r="H2277" s="1">
        <v>46168</v>
      </c>
      <c r="I2277" t="s">
        <v>2015</v>
      </c>
      <c r="J2277" t="s">
        <v>2032</v>
      </c>
      <c r="K2277" t="s">
        <v>1993</v>
      </c>
      <c r="L2277">
        <f>IF(G2277="High",3,IF(G2277="Medium",2,1))</f>
        <v>3</v>
      </c>
    </row>
    <row r="2278" spans="1:12">
      <c r="A2278" t="s">
        <v>4304</v>
      </c>
      <c r="B2278" t="s">
        <v>1439</v>
      </c>
      <c r="C2278" t="s">
        <v>1995</v>
      </c>
      <c r="D2278" t="s">
        <v>2018</v>
      </c>
      <c r="E2278" t="s">
        <v>57</v>
      </c>
      <c r="F2278" t="s">
        <v>1971</v>
      </c>
      <c r="G2278" t="str">
        <f>INDEX(Risk_Matrix!$B$2:$D$4,MATCH(E2278,Risk_Matrix!$A$2:$A$4,0),MATCH(F2278,Risk_Matrix!$B$1:$D$1,0))</f>
        <v>Low</v>
      </c>
      <c r="H2278" s="1">
        <v>46162</v>
      </c>
      <c r="I2278" t="s">
        <v>1987</v>
      </c>
      <c r="J2278" t="s">
        <v>1988</v>
      </c>
      <c r="K2278" t="s">
        <v>2036</v>
      </c>
      <c r="L2278">
        <f>IF(G2278="High",3,IF(G2278="Medium",2,1))</f>
        <v>1</v>
      </c>
    </row>
    <row r="2279" spans="1:12">
      <c r="A2279" t="s">
        <v>4305</v>
      </c>
      <c r="B2279" t="s">
        <v>1439</v>
      </c>
      <c r="C2279" t="s">
        <v>2000</v>
      </c>
      <c r="D2279" t="s">
        <v>2020</v>
      </c>
      <c r="E2279" t="s">
        <v>57</v>
      </c>
      <c r="F2279" t="s">
        <v>57</v>
      </c>
      <c r="G2279" t="str">
        <f>INDEX(Risk_Matrix!$B$2:$D$4,MATCH(E2279,Risk_Matrix!$A$2:$A$4,0),MATCH(F2279,Risk_Matrix!$B$1:$D$1,0))</f>
        <v>Low</v>
      </c>
      <c r="H2279" s="1">
        <v>46144</v>
      </c>
      <c r="I2279" t="s">
        <v>1987</v>
      </c>
      <c r="J2279" t="s">
        <v>1997</v>
      </c>
      <c r="K2279" t="s">
        <v>1993</v>
      </c>
      <c r="L2279">
        <f>IF(G2279="High",3,IF(G2279="Medium",2,1))</f>
        <v>1</v>
      </c>
    </row>
    <row r="2280" spans="1:12">
      <c r="A2280" t="s">
        <v>4306</v>
      </c>
      <c r="B2280" t="s">
        <v>1439</v>
      </c>
      <c r="C2280" t="s">
        <v>2005</v>
      </c>
      <c r="D2280" t="s">
        <v>2039</v>
      </c>
      <c r="E2280" t="s">
        <v>57</v>
      </c>
      <c r="F2280" t="s">
        <v>57</v>
      </c>
      <c r="G2280" t="str">
        <f>INDEX(Risk_Matrix!$B$2:$D$4,MATCH(E2280,Risk_Matrix!$A$2:$A$4,0),MATCH(F2280,Risk_Matrix!$B$1:$D$1,0))</f>
        <v>Low</v>
      </c>
      <c r="H2280" s="1">
        <v>46202</v>
      </c>
      <c r="I2280" t="s">
        <v>1987</v>
      </c>
      <c r="J2280" t="s">
        <v>1997</v>
      </c>
      <c r="K2280" t="s">
        <v>1993</v>
      </c>
      <c r="L2280">
        <f>IF(G2280="High",3,IF(G2280="Medium",2,1))</f>
        <v>1</v>
      </c>
    </row>
    <row r="2281" spans="1:12">
      <c r="A2281" t="s">
        <v>4307</v>
      </c>
      <c r="B2281" t="s">
        <v>1439</v>
      </c>
      <c r="C2281" t="s">
        <v>2008</v>
      </c>
      <c r="D2281" t="s">
        <v>2009</v>
      </c>
      <c r="E2281" t="s">
        <v>57</v>
      </c>
      <c r="F2281" t="s">
        <v>57</v>
      </c>
      <c r="G2281" t="str">
        <f>INDEX(Risk_Matrix!$B$2:$D$4,MATCH(E2281,Risk_Matrix!$A$2:$A$4,0),MATCH(F2281,Risk_Matrix!$B$1:$D$1,0))</f>
        <v>Low</v>
      </c>
      <c r="H2281" s="1">
        <v>46133</v>
      </c>
      <c r="I2281" t="s">
        <v>1987</v>
      </c>
      <c r="J2281" t="s">
        <v>1988</v>
      </c>
      <c r="K2281" t="s">
        <v>1998</v>
      </c>
      <c r="L2281">
        <f>IF(G2281="High",3,IF(G2281="Medium",2,1))</f>
        <v>1</v>
      </c>
    </row>
    <row r="2282" spans="1:12">
      <c r="A2282" t="s">
        <v>4308</v>
      </c>
      <c r="B2282" t="s">
        <v>1441</v>
      </c>
      <c r="C2282" t="s">
        <v>1985</v>
      </c>
      <c r="D2282" t="s">
        <v>2028</v>
      </c>
      <c r="E2282" t="s">
        <v>57</v>
      </c>
      <c r="F2282" t="s">
        <v>57</v>
      </c>
      <c r="G2282" t="str">
        <f>INDEX(Risk_Matrix!$B$2:$D$4,MATCH(E2282,Risk_Matrix!$A$2:$A$4,0),MATCH(F2282,Risk_Matrix!$B$1:$D$1,0))</f>
        <v>Low</v>
      </c>
      <c r="H2282" s="1">
        <v>46230</v>
      </c>
      <c r="I2282" t="s">
        <v>1987</v>
      </c>
      <c r="J2282" t="s">
        <v>1997</v>
      </c>
      <c r="K2282" t="s">
        <v>1998</v>
      </c>
      <c r="L2282">
        <f>IF(G2282="High",3,IF(G2282="Medium",2,1))</f>
        <v>1</v>
      </c>
    </row>
    <row r="2283" spans="1:12">
      <c r="A2283" t="s">
        <v>4309</v>
      </c>
      <c r="B2283" t="s">
        <v>1441</v>
      </c>
      <c r="C2283" t="s">
        <v>1991</v>
      </c>
      <c r="D2283" t="s">
        <v>1992</v>
      </c>
      <c r="E2283" t="s">
        <v>57</v>
      </c>
      <c r="F2283" t="s">
        <v>57</v>
      </c>
      <c r="G2283" t="str">
        <f>INDEX(Risk_Matrix!$B$2:$D$4,MATCH(E2283,Risk_Matrix!$A$2:$A$4,0),MATCH(F2283,Risk_Matrix!$B$1:$D$1,0))</f>
        <v>Low</v>
      </c>
      <c r="H2283" s="1">
        <v>46133</v>
      </c>
      <c r="I2283" t="s">
        <v>2002</v>
      </c>
      <c r="J2283" t="s">
        <v>2003</v>
      </c>
      <c r="K2283" t="s">
        <v>2010</v>
      </c>
      <c r="L2283">
        <f>IF(G2283="High",3,IF(G2283="Medium",2,1))</f>
        <v>1</v>
      </c>
    </row>
    <row r="2284" spans="1:12">
      <c r="A2284" t="s">
        <v>4310</v>
      </c>
      <c r="B2284" t="s">
        <v>1441</v>
      </c>
      <c r="C2284" t="s">
        <v>1995</v>
      </c>
      <c r="D2284" t="s">
        <v>2018</v>
      </c>
      <c r="E2284" t="s">
        <v>1971</v>
      </c>
      <c r="F2284" t="s">
        <v>1971</v>
      </c>
      <c r="G2284" t="str">
        <f>INDEX(Risk_Matrix!$B$2:$D$4,MATCH(E2284,Risk_Matrix!$A$2:$A$4,0),MATCH(F2284,Risk_Matrix!$B$1:$D$1,0))</f>
        <v>Medium</v>
      </c>
      <c r="H2284" s="1">
        <v>46193</v>
      </c>
      <c r="I2284" t="s">
        <v>2015</v>
      </c>
      <c r="J2284" t="s">
        <v>2016</v>
      </c>
      <c r="K2284" t="s">
        <v>2036</v>
      </c>
      <c r="L2284">
        <f>IF(G2284="High",3,IF(G2284="Medium",2,1))</f>
        <v>2</v>
      </c>
    </row>
    <row r="2285" spans="1:12">
      <c r="A2285" t="s">
        <v>4311</v>
      </c>
      <c r="B2285" t="s">
        <v>1441</v>
      </c>
      <c r="C2285" t="s">
        <v>2000</v>
      </c>
      <c r="D2285" t="s">
        <v>2045</v>
      </c>
      <c r="E2285" t="s">
        <v>1971</v>
      </c>
      <c r="F2285" t="s">
        <v>1971</v>
      </c>
      <c r="G2285" t="str">
        <f>INDEX(Risk_Matrix!$B$2:$D$4,MATCH(E2285,Risk_Matrix!$A$2:$A$4,0),MATCH(F2285,Risk_Matrix!$B$1:$D$1,0))</f>
        <v>Medium</v>
      </c>
      <c r="H2285" s="1">
        <v>46224</v>
      </c>
      <c r="I2285" t="s">
        <v>2025</v>
      </c>
      <c r="J2285" t="s">
        <v>2026</v>
      </c>
      <c r="K2285" t="s">
        <v>1989</v>
      </c>
      <c r="L2285">
        <f>IF(G2285="High",3,IF(G2285="Medium",2,1))</f>
        <v>2</v>
      </c>
    </row>
    <row r="2286" spans="1:12">
      <c r="A2286" t="s">
        <v>4312</v>
      </c>
      <c r="B2286" t="s">
        <v>1441</v>
      </c>
      <c r="C2286" t="s">
        <v>2005</v>
      </c>
      <c r="D2286" t="s">
        <v>2039</v>
      </c>
      <c r="E2286" t="s">
        <v>57</v>
      </c>
      <c r="F2286" t="s">
        <v>57</v>
      </c>
      <c r="G2286" t="str">
        <f>INDEX(Risk_Matrix!$B$2:$D$4,MATCH(E2286,Risk_Matrix!$A$2:$A$4,0),MATCH(F2286,Risk_Matrix!$B$1:$D$1,0))</f>
        <v>Low</v>
      </c>
      <c r="H2286" s="1">
        <v>46066</v>
      </c>
      <c r="I2286" t="s">
        <v>1987</v>
      </c>
      <c r="J2286" t="s">
        <v>1997</v>
      </c>
      <c r="K2286" t="s">
        <v>1993</v>
      </c>
      <c r="L2286">
        <f>IF(G2286="High",3,IF(G2286="Medium",2,1))</f>
        <v>1</v>
      </c>
    </row>
    <row r="2287" spans="1:12">
      <c r="A2287" t="s">
        <v>4313</v>
      </c>
      <c r="B2287" t="s">
        <v>1441</v>
      </c>
      <c r="C2287" t="s">
        <v>2008</v>
      </c>
      <c r="D2287" t="s">
        <v>2009</v>
      </c>
      <c r="E2287" t="s">
        <v>1971</v>
      </c>
      <c r="F2287" t="s">
        <v>1971</v>
      </c>
      <c r="G2287" t="str">
        <f>INDEX(Risk_Matrix!$B$2:$D$4,MATCH(E2287,Risk_Matrix!$A$2:$A$4,0),MATCH(F2287,Risk_Matrix!$B$1:$D$1,0))</f>
        <v>Medium</v>
      </c>
      <c r="H2287" s="1">
        <v>46211</v>
      </c>
      <c r="I2287" t="s">
        <v>2015</v>
      </c>
      <c r="J2287" t="s">
        <v>2032</v>
      </c>
      <c r="K2287" t="s">
        <v>2010</v>
      </c>
      <c r="L2287">
        <f>IF(G2287="High",3,IF(G2287="Medium",2,1))</f>
        <v>2</v>
      </c>
    </row>
    <row r="2288" spans="1:12">
      <c r="A2288" t="s">
        <v>4314</v>
      </c>
      <c r="B2288" t="s">
        <v>1443</v>
      </c>
      <c r="C2288" t="s">
        <v>1985</v>
      </c>
      <c r="D2288" t="s">
        <v>1986</v>
      </c>
      <c r="E2288" t="s">
        <v>47</v>
      </c>
      <c r="F2288" t="s">
        <v>1971</v>
      </c>
      <c r="G2288" t="str">
        <f>INDEX(Risk_Matrix!$B$2:$D$4,MATCH(E2288,Risk_Matrix!$A$2:$A$4,0),MATCH(F2288,Risk_Matrix!$B$1:$D$1,0))</f>
        <v>High</v>
      </c>
      <c r="H2288" s="1">
        <v>46214</v>
      </c>
      <c r="I2288" t="s">
        <v>2015</v>
      </c>
      <c r="J2288" t="s">
        <v>2032</v>
      </c>
      <c r="K2288" t="s">
        <v>1989</v>
      </c>
      <c r="L2288">
        <f>IF(G2288="High",3,IF(G2288="Medium",2,1))</f>
        <v>3</v>
      </c>
    </row>
    <row r="2289" spans="1:12">
      <c r="A2289" t="s">
        <v>4315</v>
      </c>
      <c r="B2289" t="s">
        <v>1443</v>
      </c>
      <c r="C2289" t="s">
        <v>1991</v>
      </c>
      <c r="D2289" t="s">
        <v>1992</v>
      </c>
      <c r="E2289" t="s">
        <v>47</v>
      </c>
      <c r="F2289" t="s">
        <v>57</v>
      </c>
      <c r="G2289" t="str">
        <f>INDEX(Risk_Matrix!$B$2:$D$4,MATCH(E2289,Risk_Matrix!$A$2:$A$4,0),MATCH(F2289,Risk_Matrix!$B$1:$D$1,0))</f>
        <v>Medium</v>
      </c>
      <c r="H2289" s="1">
        <v>46159</v>
      </c>
      <c r="I2289" t="s">
        <v>2015</v>
      </c>
      <c r="J2289" t="s">
        <v>2032</v>
      </c>
      <c r="K2289" t="s">
        <v>1993</v>
      </c>
      <c r="L2289">
        <f>IF(G2289="High",3,IF(G2289="Medium",2,1))</f>
        <v>2</v>
      </c>
    </row>
    <row r="2290" spans="1:12">
      <c r="A2290" t="s">
        <v>4316</v>
      </c>
      <c r="B2290" t="s">
        <v>1443</v>
      </c>
      <c r="C2290" t="s">
        <v>1995</v>
      </c>
      <c r="D2290" t="s">
        <v>2150</v>
      </c>
      <c r="E2290" t="s">
        <v>1971</v>
      </c>
      <c r="F2290" t="s">
        <v>1971</v>
      </c>
      <c r="G2290" t="str">
        <f>INDEX(Risk_Matrix!$B$2:$D$4,MATCH(E2290,Risk_Matrix!$A$2:$A$4,0),MATCH(F2290,Risk_Matrix!$B$1:$D$1,0))</f>
        <v>Medium</v>
      </c>
      <c r="H2290" s="1">
        <v>46225</v>
      </c>
      <c r="I2290" t="s">
        <v>2002</v>
      </c>
      <c r="J2290" t="s">
        <v>2029</v>
      </c>
      <c r="K2290" t="s">
        <v>2036</v>
      </c>
      <c r="L2290">
        <f>IF(G2290="High",3,IF(G2290="Medium",2,1))</f>
        <v>2</v>
      </c>
    </row>
    <row r="2291" spans="1:12">
      <c r="A2291" t="s">
        <v>4317</v>
      </c>
      <c r="B2291" t="s">
        <v>1443</v>
      </c>
      <c r="C2291" t="s">
        <v>2000</v>
      </c>
      <c r="D2291" t="s">
        <v>2020</v>
      </c>
      <c r="E2291" t="s">
        <v>1971</v>
      </c>
      <c r="F2291" t="s">
        <v>57</v>
      </c>
      <c r="G2291" t="str">
        <f>INDEX(Risk_Matrix!$B$2:$D$4,MATCH(E2291,Risk_Matrix!$A$2:$A$4,0),MATCH(F2291,Risk_Matrix!$B$1:$D$1,0))</f>
        <v>Low</v>
      </c>
      <c r="H2291" s="1">
        <v>46215</v>
      </c>
      <c r="I2291" t="s">
        <v>2015</v>
      </c>
      <c r="J2291" t="s">
        <v>2032</v>
      </c>
      <c r="K2291" t="s">
        <v>1989</v>
      </c>
      <c r="L2291">
        <f>IF(G2291="High",3,IF(G2291="Medium",2,1))</f>
        <v>1</v>
      </c>
    </row>
    <row r="2292" spans="1:12">
      <c r="A2292" t="s">
        <v>4318</v>
      </c>
      <c r="B2292" t="s">
        <v>1443</v>
      </c>
      <c r="C2292" t="s">
        <v>2005</v>
      </c>
      <c r="D2292" t="s">
        <v>2039</v>
      </c>
      <c r="E2292" t="s">
        <v>1971</v>
      </c>
      <c r="F2292" t="s">
        <v>57</v>
      </c>
      <c r="G2292" t="str">
        <f>INDEX(Risk_Matrix!$B$2:$D$4,MATCH(E2292,Risk_Matrix!$A$2:$A$4,0),MATCH(F2292,Risk_Matrix!$B$1:$D$1,0))</f>
        <v>Low</v>
      </c>
      <c r="H2292" s="1">
        <v>46208</v>
      </c>
      <c r="I2292" t="s">
        <v>2002</v>
      </c>
      <c r="J2292" t="s">
        <v>2029</v>
      </c>
      <c r="K2292" t="s">
        <v>2036</v>
      </c>
      <c r="L2292">
        <f>IF(G2292="High",3,IF(G2292="Medium",2,1))</f>
        <v>1</v>
      </c>
    </row>
    <row r="2293" spans="1:12">
      <c r="A2293" t="s">
        <v>4319</v>
      </c>
      <c r="B2293" t="s">
        <v>1443</v>
      </c>
      <c r="C2293" t="s">
        <v>2008</v>
      </c>
      <c r="D2293" t="s">
        <v>2009</v>
      </c>
      <c r="E2293" t="s">
        <v>1971</v>
      </c>
      <c r="F2293" t="s">
        <v>47</v>
      </c>
      <c r="G2293" t="str">
        <f>INDEX(Risk_Matrix!$B$2:$D$4,MATCH(E2293,Risk_Matrix!$A$2:$A$4,0),MATCH(F2293,Risk_Matrix!$B$1:$D$1,0))</f>
        <v>High</v>
      </c>
      <c r="H2293" s="1">
        <v>46208</v>
      </c>
      <c r="I2293" t="s">
        <v>2015</v>
      </c>
      <c r="J2293" t="s">
        <v>2032</v>
      </c>
      <c r="K2293" t="s">
        <v>2010</v>
      </c>
      <c r="L2293">
        <f>IF(G2293="High",3,IF(G2293="Medium",2,1))</f>
        <v>3</v>
      </c>
    </row>
    <row r="2294" spans="1:12">
      <c r="A2294" t="s">
        <v>4320</v>
      </c>
      <c r="B2294" t="s">
        <v>1445</v>
      </c>
      <c r="C2294" t="s">
        <v>1985</v>
      </c>
      <c r="D2294" t="s">
        <v>2062</v>
      </c>
      <c r="E2294" t="s">
        <v>57</v>
      </c>
      <c r="F2294" t="s">
        <v>57</v>
      </c>
      <c r="G2294" t="str">
        <f>INDEX(Risk_Matrix!$B$2:$D$4,MATCH(E2294,Risk_Matrix!$A$2:$A$4,0),MATCH(F2294,Risk_Matrix!$B$1:$D$1,0))</f>
        <v>Low</v>
      </c>
      <c r="H2294" s="1">
        <v>46160</v>
      </c>
      <c r="I2294" t="s">
        <v>1987</v>
      </c>
      <c r="J2294" t="s">
        <v>1988</v>
      </c>
      <c r="K2294" t="s">
        <v>1998</v>
      </c>
      <c r="L2294">
        <f>IF(G2294="High",3,IF(G2294="Medium",2,1))</f>
        <v>1</v>
      </c>
    </row>
    <row r="2295" spans="1:12">
      <c r="A2295" t="s">
        <v>4321</v>
      </c>
      <c r="B2295" t="s">
        <v>1445</v>
      </c>
      <c r="C2295" t="s">
        <v>1991</v>
      </c>
      <c r="D2295" t="s">
        <v>2014</v>
      </c>
      <c r="E2295" t="s">
        <v>57</v>
      </c>
      <c r="F2295" t="s">
        <v>57</v>
      </c>
      <c r="G2295" t="str">
        <f>INDEX(Risk_Matrix!$B$2:$D$4,MATCH(E2295,Risk_Matrix!$A$2:$A$4,0),MATCH(F2295,Risk_Matrix!$B$1:$D$1,0))</f>
        <v>Low</v>
      </c>
      <c r="H2295" s="1">
        <v>46188</v>
      </c>
      <c r="I2295" t="s">
        <v>2025</v>
      </c>
      <c r="J2295" t="s">
        <v>2035</v>
      </c>
      <c r="K2295" t="s">
        <v>1993</v>
      </c>
      <c r="L2295">
        <f>IF(G2295="High",3,IF(G2295="Medium",2,1))</f>
        <v>1</v>
      </c>
    </row>
    <row r="2296" spans="1:12">
      <c r="A2296" t="s">
        <v>4322</v>
      </c>
      <c r="B2296" t="s">
        <v>1445</v>
      </c>
      <c r="C2296" t="s">
        <v>1995</v>
      </c>
      <c r="D2296" t="s">
        <v>2150</v>
      </c>
      <c r="E2296" t="s">
        <v>47</v>
      </c>
      <c r="F2296" t="s">
        <v>47</v>
      </c>
      <c r="G2296" t="str">
        <f>INDEX(Risk_Matrix!$B$2:$D$4,MATCH(E2296,Risk_Matrix!$A$2:$A$4,0),MATCH(F2296,Risk_Matrix!$B$1:$D$1,0))</f>
        <v>High</v>
      </c>
      <c r="H2296" s="1">
        <v>46177</v>
      </c>
      <c r="I2296" t="s">
        <v>2015</v>
      </c>
      <c r="J2296" t="s">
        <v>2032</v>
      </c>
      <c r="K2296" t="s">
        <v>2036</v>
      </c>
      <c r="L2296">
        <f>IF(G2296="High",3,IF(G2296="Medium",2,1))</f>
        <v>3</v>
      </c>
    </row>
    <row r="2297" spans="1:12">
      <c r="A2297" t="s">
        <v>4323</v>
      </c>
      <c r="B2297" t="s">
        <v>1445</v>
      </c>
      <c r="C2297" t="s">
        <v>2000</v>
      </c>
      <c r="D2297" t="s">
        <v>2020</v>
      </c>
      <c r="E2297" t="s">
        <v>1971</v>
      </c>
      <c r="F2297" t="s">
        <v>57</v>
      </c>
      <c r="G2297" t="str">
        <f>INDEX(Risk_Matrix!$B$2:$D$4,MATCH(E2297,Risk_Matrix!$A$2:$A$4,0),MATCH(F2297,Risk_Matrix!$B$1:$D$1,0))</f>
        <v>Low</v>
      </c>
      <c r="H2297" s="1">
        <v>46140</v>
      </c>
      <c r="I2297" t="s">
        <v>2002</v>
      </c>
      <c r="J2297" t="s">
        <v>2029</v>
      </c>
      <c r="K2297" t="s">
        <v>1993</v>
      </c>
      <c r="L2297">
        <f>IF(G2297="High",3,IF(G2297="Medium",2,1))</f>
        <v>1</v>
      </c>
    </row>
    <row r="2298" spans="1:12">
      <c r="A2298" t="s">
        <v>4324</v>
      </c>
      <c r="B2298" t="s">
        <v>1445</v>
      </c>
      <c r="C2298" t="s">
        <v>2005</v>
      </c>
      <c r="D2298" t="s">
        <v>2006</v>
      </c>
      <c r="E2298" t="s">
        <v>1971</v>
      </c>
      <c r="F2298" t="s">
        <v>57</v>
      </c>
      <c r="G2298" t="str">
        <f>INDEX(Risk_Matrix!$B$2:$D$4,MATCH(E2298,Risk_Matrix!$A$2:$A$4,0),MATCH(F2298,Risk_Matrix!$B$1:$D$1,0))</f>
        <v>Low</v>
      </c>
      <c r="H2298" s="1">
        <v>46196</v>
      </c>
      <c r="I2298" t="s">
        <v>2002</v>
      </c>
      <c r="J2298" t="s">
        <v>2003</v>
      </c>
      <c r="K2298" t="s">
        <v>1993</v>
      </c>
      <c r="L2298">
        <f>IF(G2298="High",3,IF(G2298="Medium",2,1))</f>
        <v>1</v>
      </c>
    </row>
    <row r="2299" spans="1:12">
      <c r="A2299" t="s">
        <v>4325</v>
      </c>
      <c r="B2299" t="s">
        <v>1445</v>
      </c>
      <c r="C2299" t="s">
        <v>2008</v>
      </c>
      <c r="D2299" t="s">
        <v>2024</v>
      </c>
      <c r="E2299" t="s">
        <v>57</v>
      </c>
      <c r="F2299" t="s">
        <v>57</v>
      </c>
      <c r="G2299" t="str">
        <f>INDEX(Risk_Matrix!$B$2:$D$4,MATCH(E2299,Risk_Matrix!$A$2:$A$4,0),MATCH(F2299,Risk_Matrix!$B$1:$D$1,0))</f>
        <v>Low</v>
      </c>
      <c r="H2299" s="1">
        <v>46164</v>
      </c>
      <c r="I2299" t="s">
        <v>2002</v>
      </c>
      <c r="J2299" t="s">
        <v>2003</v>
      </c>
      <c r="K2299" t="s">
        <v>2010</v>
      </c>
      <c r="L2299">
        <f>IF(G2299="High",3,IF(G2299="Medium",2,1))</f>
        <v>1</v>
      </c>
    </row>
    <row r="2300" spans="1:12">
      <c r="A2300" t="s">
        <v>4326</v>
      </c>
      <c r="B2300" t="s">
        <v>1447</v>
      </c>
      <c r="C2300" t="s">
        <v>1985</v>
      </c>
      <c r="D2300" t="s">
        <v>2062</v>
      </c>
      <c r="E2300" t="s">
        <v>57</v>
      </c>
      <c r="F2300" t="s">
        <v>1971</v>
      </c>
      <c r="G2300" t="str">
        <f>INDEX(Risk_Matrix!$B$2:$D$4,MATCH(E2300,Risk_Matrix!$A$2:$A$4,0),MATCH(F2300,Risk_Matrix!$B$1:$D$1,0))</f>
        <v>Low</v>
      </c>
      <c r="H2300" s="1">
        <v>46141</v>
      </c>
      <c r="I2300" t="s">
        <v>1987</v>
      </c>
      <c r="J2300" t="s">
        <v>1988</v>
      </c>
      <c r="K2300" t="s">
        <v>1989</v>
      </c>
      <c r="L2300">
        <f>IF(G2300="High",3,IF(G2300="Medium",2,1))</f>
        <v>1</v>
      </c>
    </row>
    <row r="2301" spans="1:12">
      <c r="A2301" t="s">
        <v>4327</v>
      </c>
      <c r="B2301" t="s">
        <v>1447</v>
      </c>
      <c r="C2301" t="s">
        <v>1991</v>
      </c>
      <c r="D2301" t="s">
        <v>1992</v>
      </c>
      <c r="E2301" t="s">
        <v>57</v>
      </c>
      <c r="F2301" t="s">
        <v>1971</v>
      </c>
      <c r="G2301" t="str">
        <f>INDEX(Risk_Matrix!$B$2:$D$4,MATCH(E2301,Risk_Matrix!$A$2:$A$4,0),MATCH(F2301,Risk_Matrix!$B$1:$D$1,0))</f>
        <v>Low</v>
      </c>
      <c r="H2301" s="1">
        <v>46216</v>
      </c>
      <c r="I2301" t="s">
        <v>2015</v>
      </c>
      <c r="J2301" t="s">
        <v>2016</v>
      </c>
      <c r="K2301" t="s">
        <v>1993</v>
      </c>
      <c r="L2301">
        <f>IF(G2301="High",3,IF(G2301="Medium",2,1))</f>
        <v>1</v>
      </c>
    </row>
    <row r="2302" spans="1:12">
      <c r="A2302" t="s">
        <v>4328</v>
      </c>
      <c r="B2302" t="s">
        <v>1447</v>
      </c>
      <c r="C2302" t="s">
        <v>1995</v>
      </c>
      <c r="D2302" t="s">
        <v>2150</v>
      </c>
      <c r="E2302" t="s">
        <v>57</v>
      </c>
      <c r="F2302" t="s">
        <v>1971</v>
      </c>
      <c r="G2302" t="str">
        <f>INDEX(Risk_Matrix!$B$2:$D$4,MATCH(E2302,Risk_Matrix!$A$2:$A$4,0),MATCH(F2302,Risk_Matrix!$B$1:$D$1,0))</f>
        <v>Low</v>
      </c>
      <c r="H2302" s="1">
        <v>46063</v>
      </c>
      <c r="I2302" t="s">
        <v>1987</v>
      </c>
      <c r="J2302" t="s">
        <v>1988</v>
      </c>
      <c r="K2302" t="s">
        <v>2036</v>
      </c>
      <c r="L2302">
        <f>IF(G2302="High",3,IF(G2302="Medium",2,1))</f>
        <v>1</v>
      </c>
    </row>
    <row r="2303" spans="1:12">
      <c r="A2303" t="s">
        <v>4329</v>
      </c>
      <c r="B2303" t="s">
        <v>1447</v>
      </c>
      <c r="C2303" t="s">
        <v>2000</v>
      </c>
      <c r="D2303" t="s">
        <v>2045</v>
      </c>
      <c r="E2303" t="s">
        <v>57</v>
      </c>
      <c r="F2303" t="s">
        <v>57</v>
      </c>
      <c r="G2303" t="str">
        <f>INDEX(Risk_Matrix!$B$2:$D$4,MATCH(E2303,Risk_Matrix!$A$2:$A$4,0),MATCH(F2303,Risk_Matrix!$B$1:$D$1,0))</f>
        <v>Low</v>
      </c>
      <c r="H2303" s="1">
        <v>46190</v>
      </c>
      <c r="I2303" t="s">
        <v>1987</v>
      </c>
      <c r="J2303" t="s">
        <v>1997</v>
      </c>
      <c r="K2303" t="s">
        <v>1989</v>
      </c>
      <c r="L2303">
        <f>IF(G2303="High",3,IF(G2303="Medium",2,1))</f>
        <v>1</v>
      </c>
    </row>
    <row r="2304" spans="1:12">
      <c r="A2304" t="s">
        <v>4330</v>
      </c>
      <c r="B2304" t="s">
        <v>1447</v>
      </c>
      <c r="C2304" t="s">
        <v>2005</v>
      </c>
      <c r="D2304" t="s">
        <v>2006</v>
      </c>
      <c r="E2304" t="s">
        <v>57</v>
      </c>
      <c r="F2304" t="s">
        <v>57</v>
      </c>
      <c r="G2304" t="str">
        <f>INDEX(Risk_Matrix!$B$2:$D$4,MATCH(E2304,Risk_Matrix!$A$2:$A$4,0),MATCH(F2304,Risk_Matrix!$B$1:$D$1,0))</f>
        <v>Low</v>
      </c>
      <c r="H2304" s="1">
        <v>46156</v>
      </c>
      <c r="I2304" t="s">
        <v>1987</v>
      </c>
      <c r="J2304" t="s">
        <v>1997</v>
      </c>
      <c r="K2304" t="s">
        <v>2036</v>
      </c>
      <c r="L2304">
        <f>IF(G2304="High",3,IF(G2304="Medium",2,1))</f>
        <v>1</v>
      </c>
    </row>
    <row r="2305" spans="1:12">
      <c r="A2305" t="s">
        <v>4331</v>
      </c>
      <c r="B2305" t="s">
        <v>1447</v>
      </c>
      <c r="C2305" t="s">
        <v>2008</v>
      </c>
      <c r="D2305" t="s">
        <v>2009</v>
      </c>
      <c r="E2305" t="s">
        <v>1971</v>
      </c>
      <c r="F2305" t="s">
        <v>47</v>
      </c>
      <c r="G2305" t="str">
        <f>INDEX(Risk_Matrix!$B$2:$D$4,MATCH(E2305,Risk_Matrix!$A$2:$A$4,0),MATCH(F2305,Risk_Matrix!$B$1:$D$1,0))</f>
        <v>High</v>
      </c>
      <c r="H2305" s="1">
        <v>46155</v>
      </c>
      <c r="I2305" t="s">
        <v>2015</v>
      </c>
      <c r="J2305" t="s">
        <v>2016</v>
      </c>
      <c r="K2305" t="s">
        <v>2010</v>
      </c>
      <c r="L2305">
        <f>IF(G2305="High",3,IF(G2305="Medium",2,1))</f>
        <v>3</v>
      </c>
    </row>
    <row r="2306" spans="1:12">
      <c r="A2306" t="s">
        <v>4332</v>
      </c>
      <c r="B2306" t="s">
        <v>1450</v>
      </c>
      <c r="C2306" t="s">
        <v>1985</v>
      </c>
      <c r="D2306" t="s">
        <v>2028</v>
      </c>
      <c r="E2306" t="s">
        <v>57</v>
      </c>
      <c r="F2306" t="s">
        <v>57</v>
      </c>
      <c r="G2306" t="str">
        <f>INDEX(Risk_Matrix!$B$2:$D$4,MATCH(E2306,Risk_Matrix!$A$2:$A$4,0),MATCH(F2306,Risk_Matrix!$B$1:$D$1,0))</f>
        <v>Low</v>
      </c>
      <c r="H2306" s="1">
        <v>46127</v>
      </c>
      <c r="I2306" t="s">
        <v>2025</v>
      </c>
      <c r="J2306" t="s">
        <v>2035</v>
      </c>
      <c r="K2306" t="s">
        <v>1989</v>
      </c>
      <c r="L2306">
        <f>IF(G2306="High",3,IF(G2306="Medium",2,1))</f>
        <v>1</v>
      </c>
    </row>
    <row r="2307" spans="1:12">
      <c r="A2307" t="s">
        <v>4333</v>
      </c>
      <c r="B2307" t="s">
        <v>1450</v>
      </c>
      <c r="C2307" t="s">
        <v>1991</v>
      </c>
      <c r="D2307" t="s">
        <v>2031</v>
      </c>
      <c r="E2307" t="s">
        <v>57</v>
      </c>
      <c r="F2307" t="s">
        <v>1971</v>
      </c>
      <c r="G2307" t="str">
        <f>INDEX(Risk_Matrix!$B$2:$D$4,MATCH(E2307,Risk_Matrix!$A$2:$A$4,0),MATCH(F2307,Risk_Matrix!$B$1:$D$1,0))</f>
        <v>Low</v>
      </c>
      <c r="H2307" s="1">
        <v>46084</v>
      </c>
      <c r="I2307" t="s">
        <v>2002</v>
      </c>
      <c r="J2307" t="s">
        <v>2003</v>
      </c>
      <c r="K2307" t="s">
        <v>2010</v>
      </c>
      <c r="L2307">
        <f>IF(G2307="High",3,IF(G2307="Medium",2,1))</f>
        <v>1</v>
      </c>
    </row>
    <row r="2308" spans="1:12">
      <c r="A2308" t="s">
        <v>4334</v>
      </c>
      <c r="B2308" t="s">
        <v>1450</v>
      </c>
      <c r="C2308" t="s">
        <v>1995</v>
      </c>
      <c r="D2308" t="s">
        <v>1996</v>
      </c>
      <c r="E2308" t="s">
        <v>57</v>
      </c>
      <c r="F2308" t="s">
        <v>57</v>
      </c>
      <c r="G2308" t="str">
        <f>INDEX(Risk_Matrix!$B$2:$D$4,MATCH(E2308,Risk_Matrix!$A$2:$A$4,0),MATCH(F2308,Risk_Matrix!$B$1:$D$1,0))</f>
        <v>Low</v>
      </c>
      <c r="H2308" s="1">
        <v>46218</v>
      </c>
      <c r="I2308" t="s">
        <v>2015</v>
      </c>
      <c r="J2308" t="s">
        <v>2032</v>
      </c>
      <c r="K2308" t="s">
        <v>1998</v>
      </c>
      <c r="L2308">
        <f>IF(G2308="High",3,IF(G2308="Medium",2,1))</f>
        <v>1</v>
      </c>
    </row>
    <row r="2309" spans="1:12">
      <c r="A2309" t="s">
        <v>4335</v>
      </c>
      <c r="B2309" t="s">
        <v>1450</v>
      </c>
      <c r="C2309" t="s">
        <v>2000</v>
      </c>
      <c r="D2309" t="s">
        <v>2020</v>
      </c>
      <c r="E2309" t="s">
        <v>47</v>
      </c>
      <c r="F2309" t="s">
        <v>47</v>
      </c>
      <c r="G2309" t="str">
        <f>INDEX(Risk_Matrix!$B$2:$D$4,MATCH(E2309,Risk_Matrix!$A$2:$A$4,0),MATCH(F2309,Risk_Matrix!$B$1:$D$1,0))</f>
        <v>High</v>
      </c>
      <c r="H2309" s="1">
        <v>46154</v>
      </c>
      <c r="I2309" t="s">
        <v>2015</v>
      </c>
      <c r="J2309" t="s">
        <v>2032</v>
      </c>
      <c r="K2309" t="s">
        <v>1993</v>
      </c>
      <c r="L2309">
        <f>IF(G2309="High",3,IF(G2309="Medium",2,1))</f>
        <v>3</v>
      </c>
    </row>
    <row r="2310" spans="1:12">
      <c r="A2310" t="s">
        <v>4336</v>
      </c>
      <c r="B2310" t="s">
        <v>1450</v>
      </c>
      <c r="C2310" t="s">
        <v>2005</v>
      </c>
      <c r="D2310" t="s">
        <v>2022</v>
      </c>
      <c r="E2310" t="s">
        <v>1971</v>
      </c>
      <c r="F2310" t="s">
        <v>57</v>
      </c>
      <c r="G2310" t="str">
        <f>INDEX(Risk_Matrix!$B$2:$D$4,MATCH(E2310,Risk_Matrix!$A$2:$A$4,0),MATCH(F2310,Risk_Matrix!$B$1:$D$1,0))</f>
        <v>Low</v>
      </c>
      <c r="H2310" s="1">
        <v>46173</v>
      </c>
      <c r="I2310" t="s">
        <v>2025</v>
      </c>
      <c r="J2310" t="s">
        <v>2026</v>
      </c>
      <c r="K2310" t="s">
        <v>1993</v>
      </c>
      <c r="L2310">
        <f>IF(G2310="High",3,IF(G2310="Medium",2,1))</f>
        <v>1</v>
      </c>
    </row>
    <row r="2311" spans="1:12">
      <c r="A2311" t="s">
        <v>4337</v>
      </c>
      <c r="B2311" t="s">
        <v>1450</v>
      </c>
      <c r="C2311" t="s">
        <v>2008</v>
      </c>
      <c r="D2311" t="s">
        <v>2054</v>
      </c>
      <c r="E2311" t="s">
        <v>1971</v>
      </c>
      <c r="F2311" t="s">
        <v>1971</v>
      </c>
      <c r="G2311" t="str">
        <f>INDEX(Risk_Matrix!$B$2:$D$4,MATCH(E2311,Risk_Matrix!$A$2:$A$4,0),MATCH(F2311,Risk_Matrix!$B$1:$D$1,0))</f>
        <v>Medium</v>
      </c>
      <c r="H2311" s="1">
        <v>46089</v>
      </c>
      <c r="I2311" t="s">
        <v>2025</v>
      </c>
      <c r="J2311" t="s">
        <v>2026</v>
      </c>
      <c r="K2311" t="s">
        <v>2010</v>
      </c>
      <c r="L2311">
        <f>IF(G2311="High",3,IF(G2311="Medium",2,1))</f>
        <v>2</v>
      </c>
    </row>
    <row r="2312" spans="1:12">
      <c r="A2312" t="s">
        <v>4338</v>
      </c>
      <c r="B2312" t="s">
        <v>1453</v>
      </c>
      <c r="C2312" t="s">
        <v>1985</v>
      </c>
      <c r="D2312" t="s">
        <v>2062</v>
      </c>
      <c r="E2312" t="s">
        <v>57</v>
      </c>
      <c r="F2312" t="s">
        <v>57</v>
      </c>
      <c r="G2312" t="str">
        <f>INDEX(Risk_Matrix!$B$2:$D$4,MATCH(E2312,Risk_Matrix!$A$2:$A$4,0),MATCH(F2312,Risk_Matrix!$B$1:$D$1,0))</f>
        <v>Low</v>
      </c>
      <c r="H2312" s="1">
        <v>46235</v>
      </c>
      <c r="I2312" t="s">
        <v>2025</v>
      </c>
      <c r="J2312" t="s">
        <v>2026</v>
      </c>
      <c r="K2312" t="s">
        <v>1998</v>
      </c>
      <c r="L2312">
        <f>IF(G2312="High",3,IF(G2312="Medium",2,1))</f>
        <v>1</v>
      </c>
    </row>
    <row r="2313" spans="1:12">
      <c r="A2313" t="s">
        <v>4339</v>
      </c>
      <c r="B2313" t="s">
        <v>1453</v>
      </c>
      <c r="C2313" t="s">
        <v>1991</v>
      </c>
      <c r="D2313" t="s">
        <v>2014</v>
      </c>
      <c r="E2313" t="s">
        <v>57</v>
      </c>
      <c r="F2313" t="s">
        <v>1971</v>
      </c>
      <c r="G2313" t="str">
        <f>INDEX(Risk_Matrix!$B$2:$D$4,MATCH(E2313,Risk_Matrix!$A$2:$A$4,0),MATCH(F2313,Risk_Matrix!$B$1:$D$1,0))</f>
        <v>Low</v>
      </c>
      <c r="H2313" s="1">
        <v>46075</v>
      </c>
      <c r="I2313" t="s">
        <v>2025</v>
      </c>
      <c r="J2313" t="s">
        <v>2026</v>
      </c>
      <c r="K2313" t="s">
        <v>2010</v>
      </c>
      <c r="L2313">
        <f>IF(G2313="High",3,IF(G2313="Medium",2,1))</f>
        <v>1</v>
      </c>
    </row>
    <row r="2314" spans="1:12">
      <c r="A2314" t="s">
        <v>4340</v>
      </c>
      <c r="B2314" t="s">
        <v>1453</v>
      </c>
      <c r="C2314" t="s">
        <v>1995</v>
      </c>
      <c r="D2314" t="s">
        <v>2034</v>
      </c>
      <c r="E2314" t="s">
        <v>57</v>
      </c>
      <c r="F2314" t="s">
        <v>47</v>
      </c>
      <c r="G2314" t="str">
        <f>INDEX(Risk_Matrix!$B$2:$D$4,MATCH(E2314,Risk_Matrix!$A$2:$A$4,0),MATCH(F2314,Risk_Matrix!$B$1:$D$1,0))</f>
        <v>Medium</v>
      </c>
      <c r="H2314" s="1">
        <v>46187</v>
      </c>
      <c r="I2314" t="s">
        <v>1987</v>
      </c>
      <c r="J2314" t="s">
        <v>1997</v>
      </c>
      <c r="K2314" t="s">
        <v>1998</v>
      </c>
      <c r="L2314">
        <f>IF(G2314="High",3,IF(G2314="Medium",2,1))</f>
        <v>2</v>
      </c>
    </row>
    <row r="2315" spans="1:12">
      <c r="A2315" t="s">
        <v>4341</v>
      </c>
      <c r="B2315" t="s">
        <v>1453</v>
      </c>
      <c r="C2315" t="s">
        <v>2000</v>
      </c>
      <c r="D2315" t="s">
        <v>2001</v>
      </c>
      <c r="E2315" t="s">
        <v>47</v>
      </c>
      <c r="F2315" t="s">
        <v>47</v>
      </c>
      <c r="G2315" t="str">
        <f>INDEX(Risk_Matrix!$B$2:$D$4,MATCH(E2315,Risk_Matrix!$A$2:$A$4,0),MATCH(F2315,Risk_Matrix!$B$1:$D$1,0))</f>
        <v>High</v>
      </c>
      <c r="H2315" s="1">
        <v>46081</v>
      </c>
      <c r="I2315" t="s">
        <v>1987</v>
      </c>
      <c r="J2315" t="s">
        <v>1997</v>
      </c>
      <c r="K2315" t="s">
        <v>1989</v>
      </c>
      <c r="L2315">
        <f>IF(G2315="High",3,IF(G2315="Medium",2,1))</f>
        <v>3</v>
      </c>
    </row>
    <row r="2316" spans="1:12">
      <c r="A2316" t="s">
        <v>4342</v>
      </c>
      <c r="B2316" t="s">
        <v>1453</v>
      </c>
      <c r="C2316" t="s">
        <v>2005</v>
      </c>
      <c r="D2316" t="s">
        <v>2006</v>
      </c>
      <c r="E2316" t="s">
        <v>1971</v>
      </c>
      <c r="F2316" t="s">
        <v>57</v>
      </c>
      <c r="G2316" t="str">
        <f>INDEX(Risk_Matrix!$B$2:$D$4,MATCH(E2316,Risk_Matrix!$A$2:$A$4,0),MATCH(F2316,Risk_Matrix!$B$1:$D$1,0))</f>
        <v>Low</v>
      </c>
      <c r="H2316" s="1">
        <v>46164</v>
      </c>
      <c r="I2316" t="s">
        <v>2025</v>
      </c>
      <c r="J2316" t="s">
        <v>2026</v>
      </c>
      <c r="K2316" t="s">
        <v>1993</v>
      </c>
      <c r="L2316">
        <f>IF(G2316="High",3,IF(G2316="Medium",2,1))</f>
        <v>1</v>
      </c>
    </row>
    <row r="2317" spans="1:12">
      <c r="A2317" t="s">
        <v>4343</v>
      </c>
      <c r="B2317" t="s">
        <v>1453</v>
      </c>
      <c r="C2317" t="s">
        <v>2008</v>
      </c>
      <c r="D2317" t="s">
        <v>2054</v>
      </c>
      <c r="E2317" t="s">
        <v>47</v>
      </c>
      <c r="F2317" t="s">
        <v>57</v>
      </c>
      <c r="G2317" t="str">
        <f>INDEX(Risk_Matrix!$B$2:$D$4,MATCH(E2317,Risk_Matrix!$A$2:$A$4,0),MATCH(F2317,Risk_Matrix!$B$1:$D$1,0))</f>
        <v>Medium</v>
      </c>
      <c r="H2317" s="1">
        <v>46124</v>
      </c>
      <c r="I2317" t="s">
        <v>2025</v>
      </c>
      <c r="J2317" t="s">
        <v>2035</v>
      </c>
      <c r="K2317" t="s">
        <v>2010</v>
      </c>
      <c r="L2317">
        <f>IF(G2317="High",3,IF(G2317="Medium",2,1))</f>
        <v>2</v>
      </c>
    </row>
    <row r="2318" spans="1:12">
      <c r="A2318" t="s">
        <v>4344</v>
      </c>
      <c r="B2318" t="s">
        <v>1456</v>
      </c>
      <c r="C2318" t="s">
        <v>1985</v>
      </c>
      <c r="D2318" t="s">
        <v>2012</v>
      </c>
      <c r="E2318" t="s">
        <v>1971</v>
      </c>
      <c r="F2318" t="s">
        <v>57</v>
      </c>
      <c r="G2318" t="str">
        <f>INDEX(Risk_Matrix!$B$2:$D$4,MATCH(E2318,Risk_Matrix!$A$2:$A$4,0),MATCH(F2318,Risk_Matrix!$B$1:$D$1,0))</f>
        <v>Low</v>
      </c>
      <c r="H2318" s="1">
        <v>46215</v>
      </c>
      <c r="I2318" t="s">
        <v>2025</v>
      </c>
      <c r="J2318" t="s">
        <v>2035</v>
      </c>
      <c r="K2318" t="s">
        <v>1998</v>
      </c>
      <c r="L2318">
        <f>IF(G2318="High",3,IF(G2318="Medium",2,1))</f>
        <v>1</v>
      </c>
    </row>
    <row r="2319" spans="1:12">
      <c r="A2319" t="s">
        <v>4345</v>
      </c>
      <c r="B2319" t="s">
        <v>1456</v>
      </c>
      <c r="C2319" t="s">
        <v>1991</v>
      </c>
      <c r="D2319" t="s">
        <v>2014</v>
      </c>
      <c r="E2319" t="s">
        <v>57</v>
      </c>
      <c r="F2319" t="s">
        <v>1971</v>
      </c>
      <c r="G2319" t="str">
        <f>INDEX(Risk_Matrix!$B$2:$D$4,MATCH(E2319,Risk_Matrix!$A$2:$A$4,0),MATCH(F2319,Risk_Matrix!$B$1:$D$1,0))</f>
        <v>Low</v>
      </c>
      <c r="H2319" s="1">
        <v>46145</v>
      </c>
      <c r="I2319" t="s">
        <v>1987</v>
      </c>
      <c r="J2319" t="s">
        <v>1988</v>
      </c>
      <c r="K2319" t="s">
        <v>2010</v>
      </c>
      <c r="L2319">
        <f>IF(G2319="High",3,IF(G2319="Medium",2,1))</f>
        <v>1</v>
      </c>
    </row>
    <row r="2320" spans="1:12">
      <c r="A2320" t="s">
        <v>4346</v>
      </c>
      <c r="B2320" t="s">
        <v>1456</v>
      </c>
      <c r="C2320" t="s">
        <v>1995</v>
      </c>
      <c r="D2320" t="s">
        <v>1996</v>
      </c>
      <c r="E2320" t="s">
        <v>57</v>
      </c>
      <c r="F2320" t="s">
        <v>57</v>
      </c>
      <c r="G2320" t="str">
        <f>INDEX(Risk_Matrix!$B$2:$D$4,MATCH(E2320,Risk_Matrix!$A$2:$A$4,0),MATCH(F2320,Risk_Matrix!$B$1:$D$1,0))</f>
        <v>Low</v>
      </c>
      <c r="H2320" s="1">
        <v>46235</v>
      </c>
      <c r="I2320" t="s">
        <v>1987</v>
      </c>
      <c r="J2320" t="s">
        <v>1997</v>
      </c>
      <c r="K2320" t="s">
        <v>1998</v>
      </c>
      <c r="L2320">
        <f>IF(G2320="High",3,IF(G2320="Medium",2,1))</f>
        <v>1</v>
      </c>
    </row>
    <row r="2321" spans="1:12">
      <c r="A2321" t="s">
        <v>4347</v>
      </c>
      <c r="B2321" t="s">
        <v>1456</v>
      </c>
      <c r="C2321" t="s">
        <v>2000</v>
      </c>
      <c r="D2321" t="s">
        <v>2045</v>
      </c>
      <c r="E2321" t="s">
        <v>1971</v>
      </c>
      <c r="F2321" t="s">
        <v>57</v>
      </c>
      <c r="G2321" t="str">
        <f>INDEX(Risk_Matrix!$B$2:$D$4,MATCH(E2321,Risk_Matrix!$A$2:$A$4,0),MATCH(F2321,Risk_Matrix!$B$1:$D$1,0))</f>
        <v>Low</v>
      </c>
      <c r="H2321" s="1">
        <v>46073</v>
      </c>
      <c r="I2321" t="s">
        <v>2025</v>
      </c>
      <c r="J2321" t="s">
        <v>2026</v>
      </c>
      <c r="K2321" t="s">
        <v>1993</v>
      </c>
      <c r="L2321">
        <f>IF(G2321="High",3,IF(G2321="Medium",2,1))</f>
        <v>1</v>
      </c>
    </row>
    <row r="2322" spans="1:12">
      <c r="A2322" t="s">
        <v>4348</v>
      </c>
      <c r="B2322" t="s">
        <v>1456</v>
      </c>
      <c r="C2322" t="s">
        <v>2005</v>
      </c>
      <c r="D2322" t="s">
        <v>2039</v>
      </c>
      <c r="E2322" t="s">
        <v>57</v>
      </c>
      <c r="F2322" t="s">
        <v>57</v>
      </c>
      <c r="G2322" t="str">
        <f>INDEX(Risk_Matrix!$B$2:$D$4,MATCH(E2322,Risk_Matrix!$A$2:$A$4,0),MATCH(F2322,Risk_Matrix!$B$1:$D$1,0))</f>
        <v>Low</v>
      </c>
      <c r="H2322" s="1">
        <v>46216</v>
      </c>
      <c r="I2322" t="s">
        <v>2015</v>
      </c>
      <c r="J2322" t="s">
        <v>2032</v>
      </c>
      <c r="K2322" t="s">
        <v>1993</v>
      </c>
      <c r="L2322">
        <f>IF(G2322="High",3,IF(G2322="Medium",2,1))</f>
        <v>1</v>
      </c>
    </row>
    <row r="2323" spans="1:12">
      <c r="A2323" t="s">
        <v>4349</v>
      </c>
      <c r="B2323" t="s">
        <v>1456</v>
      </c>
      <c r="C2323" t="s">
        <v>2008</v>
      </c>
      <c r="D2323" t="s">
        <v>2009</v>
      </c>
      <c r="E2323" t="s">
        <v>57</v>
      </c>
      <c r="F2323" t="s">
        <v>1971</v>
      </c>
      <c r="G2323" t="str">
        <f>INDEX(Risk_Matrix!$B$2:$D$4,MATCH(E2323,Risk_Matrix!$A$2:$A$4,0),MATCH(F2323,Risk_Matrix!$B$1:$D$1,0))</f>
        <v>Low</v>
      </c>
      <c r="H2323" s="1">
        <v>46175</v>
      </c>
      <c r="I2323" t="s">
        <v>1987</v>
      </c>
      <c r="J2323" t="s">
        <v>1997</v>
      </c>
      <c r="K2323" t="s">
        <v>2010</v>
      </c>
      <c r="L2323">
        <f>IF(G2323="High",3,IF(G2323="Medium",2,1))</f>
        <v>1</v>
      </c>
    </row>
    <row r="2324" spans="1:12">
      <c r="A2324" t="s">
        <v>4350</v>
      </c>
      <c r="B2324" t="s">
        <v>1459</v>
      </c>
      <c r="C2324" t="s">
        <v>1985</v>
      </c>
      <c r="D2324" t="s">
        <v>2062</v>
      </c>
      <c r="E2324" t="s">
        <v>57</v>
      </c>
      <c r="F2324" t="s">
        <v>57</v>
      </c>
      <c r="G2324" t="str">
        <f>INDEX(Risk_Matrix!$B$2:$D$4,MATCH(E2324,Risk_Matrix!$A$2:$A$4,0),MATCH(F2324,Risk_Matrix!$B$1:$D$1,0))</f>
        <v>Low</v>
      </c>
      <c r="H2324" s="1">
        <v>46154</v>
      </c>
      <c r="I2324" t="s">
        <v>2002</v>
      </c>
      <c r="J2324" t="s">
        <v>2003</v>
      </c>
      <c r="K2324" t="s">
        <v>1989</v>
      </c>
      <c r="L2324">
        <f>IF(G2324="High",3,IF(G2324="Medium",2,1))</f>
        <v>1</v>
      </c>
    </row>
    <row r="2325" spans="1:12">
      <c r="A2325" t="s">
        <v>4351</v>
      </c>
      <c r="B2325" t="s">
        <v>1459</v>
      </c>
      <c r="C2325" t="s">
        <v>1991</v>
      </c>
      <c r="D2325" t="s">
        <v>2064</v>
      </c>
      <c r="E2325" t="s">
        <v>57</v>
      </c>
      <c r="F2325" t="s">
        <v>1971</v>
      </c>
      <c r="G2325" t="str">
        <f>INDEX(Risk_Matrix!$B$2:$D$4,MATCH(E2325,Risk_Matrix!$A$2:$A$4,0),MATCH(F2325,Risk_Matrix!$B$1:$D$1,0))</f>
        <v>Low</v>
      </c>
      <c r="H2325" s="1">
        <v>46167</v>
      </c>
      <c r="I2325" t="s">
        <v>2015</v>
      </c>
      <c r="J2325" t="s">
        <v>2016</v>
      </c>
      <c r="K2325" t="s">
        <v>1993</v>
      </c>
      <c r="L2325">
        <f>IF(G2325="High",3,IF(G2325="Medium",2,1))</f>
        <v>1</v>
      </c>
    </row>
    <row r="2326" spans="1:12">
      <c r="A2326" t="s">
        <v>4352</v>
      </c>
      <c r="B2326" t="s">
        <v>1459</v>
      </c>
      <c r="C2326" t="s">
        <v>1995</v>
      </c>
      <c r="D2326" t="s">
        <v>2034</v>
      </c>
      <c r="E2326" t="s">
        <v>1971</v>
      </c>
      <c r="F2326" t="s">
        <v>57</v>
      </c>
      <c r="G2326" t="str">
        <f>INDEX(Risk_Matrix!$B$2:$D$4,MATCH(E2326,Risk_Matrix!$A$2:$A$4,0),MATCH(F2326,Risk_Matrix!$B$1:$D$1,0))</f>
        <v>Low</v>
      </c>
      <c r="H2326" s="1">
        <v>46134</v>
      </c>
      <c r="I2326" t="s">
        <v>2025</v>
      </c>
      <c r="J2326" t="s">
        <v>2026</v>
      </c>
      <c r="K2326" t="s">
        <v>1998</v>
      </c>
      <c r="L2326">
        <f>IF(G2326="High",3,IF(G2326="Medium",2,1))</f>
        <v>1</v>
      </c>
    </row>
    <row r="2327" spans="1:12">
      <c r="A2327" t="s">
        <v>4353</v>
      </c>
      <c r="B2327" t="s">
        <v>1459</v>
      </c>
      <c r="C2327" t="s">
        <v>2000</v>
      </c>
      <c r="D2327" t="s">
        <v>2020</v>
      </c>
      <c r="E2327" t="s">
        <v>47</v>
      </c>
      <c r="F2327" t="s">
        <v>57</v>
      </c>
      <c r="G2327" t="str">
        <f>INDEX(Risk_Matrix!$B$2:$D$4,MATCH(E2327,Risk_Matrix!$A$2:$A$4,0),MATCH(F2327,Risk_Matrix!$B$1:$D$1,0))</f>
        <v>Medium</v>
      </c>
      <c r="H2327" s="1">
        <v>46230</v>
      </c>
      <c r="I2327" t="s">
        <v>2025</v>
      </c>
      <c r="J2327" t="s">
        <v>2035</v>
      </c>
      <c r="K2327" t="s">
        <v>1993</v>
      </c>
      <c r="L2327">
        <f>IF(G2327="High",3,IF(G2327="Medium",2,1))</f>
        <v>2</v>
      </c>
    </row>
    <row r="2328" spans="1:12">
      <c r="A2328" t="s">
        <v>4354</v>
      </c>
      <c r="B2328" t="s">
        <v>1459</v>
      </c>
      <c r="C2328" t="s">
        <v>2005</v>
      </c>
      <c r="D2328" t="s">
        <v>2022</v>
      </c>
      <c r="E2328" t="s">
        <v>57</v>
      </c>
      <c r="F2328" t="s">
        <v>57</v>
      </c>
      <c r="G2328" t="str">
        <f>INDEX(Risk_Matrix!$B$2:$D$4,MATCH(E2328,Risk_Matrix!$A$2:$A$4,0),MATCH(F2328,Risk_Matrix!$B$1:$D$1,0))</f>
        <v>Low</v>
      </c>
      <c r="H2328" s="1">
        <v>46150</v>
      </c>
      <c r="I2328" t="s">
        <v>2002</v>
      </c>
      <c r="J2328" t="s">
        <v>2003</v>
      </c>
      <c r="K2328" t="s">
        <v>1993</v>
      </c>
      <c r="L2328">
        <f>IF(G2328="High",3,IF(G2328="Medium",2,1))</f>
        <v>1</v>
      </c>
    </row>
    <row r="2329" spans="1:12">
      <c r="A2329" t="s">
        <v>4355</v>
      </c>
      <c r="B2329" t="s">
        <v>1459</v>
      </c>
      <c r="C2329" t="s">
        <v>2008</v>
      </c>
      <c r="D2329" t="s">
        <v>2024</v>
      </c>
      <c r="E2329" t="s">
        <v>57</v>
      </c>
      <c r="F2329" t="s">
        <v>57</v>
      </c>
      <c r="G2329" t="str">
        <f>INDEX(Risk_Matrix!$B$2:$D$4,MATCH(E2329,Risk_Matrix!$A$2:$A$4,0),MATCH(F2329,Risk_Matrix!$B$1:$D$1,0))</f>
        <v>Low</v>
      </c>
      <c r="H2329" s="1">
        <v>46186</v>
      </c>
      <c r="I2329" t="s">
        <v>2015</v>
      </c>
      <c r="J2329" t="s">
        <v>2032</v>
      </c>
      <c r="K2329" t="s">
        <v>2010</v>
      </c>
      <c r="L2329">
        <f>IF(G2329="High",3,IF(G2329="Medium",2,1))</f>
        <v>1</v>
      </c>
    </row>
    <row r="2330" spans="1:12">
      <c r="A2330" t="s">
        <v>4356</v>
      </c>
      <c r="B2330" t="s">
        <v>1462</v>
      </c>
      <c r="C2330" t="s">
        <v>1985</v>
      </c>
      <c r="D2330" t="s">
        <v>2012</v>
      </c>
      <c r="E2330" t="s">
        <v>57</v>
      </c>
      <c r="F2330" t="s">
        <v>57</v>
      </c>
      <c r="G2330" t="str">
        <f>INDEX(Risk_Matrix!$B$2:$D$4,MATCH(E2330,Risk_Matrix!$A$2:$A$4,0),MATCH(F2330,Risk_Matrix!$B$1:$D$1,0))</f>
        <v>Low</v>
      </c>
      <c r="H2330" s="1">
        <v>46184</v>
      </c>
      <c r="I2330" t="s">
        <v>2015</v>
      </c>
      <c r="J2330" t="s">
        <v>2032</v>
      </c>
      <c r="K2330" t="s">
        <v>1989</v>
      </c>
      <c r="L2330">
        <f>IF(G2330="High",3,IF(G2330="Medium",2,1))</f>
        <v>1</v>
      </c>
    </row>
    <row r="2331" spans="1:12">
      <c r="A2331" t="s">
        <v>4357</v>
      </c>
      <c r="B2331" t="s">
        <v>1462</v>
      </c>
      <c r="C2331" t="s">
        <v>1991</v>
      </c>
      <c r="D2331" t="s">
        <v>2064</v>
      </c>
      <c r="E2331" t="s">
        <v>1971</v>
      </c>
      <c r="F2331" t="s">
        <v>57</v>
      </c>
      <c r="G2331" t="str">
        <f>INDEX(Risk_Matrix!$B$2:$D$4,MATCH(E2331,Risk_Matrix!$A$2:$A$4,0),MATCH(F2331,Risk_Matrix!$B$1:$D$1,0))</f>
        <v>Low</v>
      </c>
      <c r="H2331" s="1">
        <v>46170</v>
      </c>
      <c r="I2331" t="s">
        <v>2002</v>
      </c>
      <c r="J2331" t="s">
        <v>2029</v>
      </c>
      <c r="K2331" t="s">
        <v>2010</v>
      </c>
      <c r="L2331">
        <f>IF(G2331="High",3,IF(G2331="Medium",2,1))</f>
        <v>1</v>
      </c>
    </row>
    <row r="2332" spans="1:12">
      <c r="A2332" t="s">
        <v>4358</v>
      </c>
      <c r="B2332" t="s">
        <v>1462</v>
      </c>
      <c r="C2332" t="s">
        <v>1995</v>
      </c>
      <c r="D2332" t="s">
        <v>2018</v>
      </c>
      <c r="E2332" t="s">
        <v>1971</v>
      </c>
      <c r="F2332" t="s">
        <v>57</v>
      </c>
      <c r="G2332" t="str">
        <f>INDEX(Risk_Matrix!$B$2:$D$4,MATCH(E2332,Risk_Matrix!$A$2:$A$4,0),MATCH(F2332,Risk_Matrix!$B$1:$D$1,0))</f>
        <v>Low</v>
      </c>
      <c r="H2332" s="1">
        <v>46091</v>
      </c>
      <c r="I2332" t="s">
        <v>1987</v>
      </c>
      <c r="J2332" t="s">
        <v>1988</v>
      </c>
      <c r="K2332" t="s">
        <v>2036</v>
      </c>
      <c r="L2332">
        <f>IF(G2332="High",3,IF(G2332="Medium",2,1))</f>
        <v>1</v>
      </c>
    </row>
    <row r="2333" spans="1:12">
      <c r="A2333" t="s">
        <v>4359</v>
      </c>
      <c r="B2333" t="s">
        <v>1462</v>
      </c>
      <c r="C2333" t="s">
        <v>2000</v>
      </c>
      <c r="D2333" t="s">
        <v>2045</v>
      </c>
      <c r="E2333" t="s">
        <v>1971</v>
      </c>
      <c r="F2333" t="s">
        <v>1971</v>
      </c>
      <c r="G2333" t="str">
        <f>INDEX(Risk_Matrix!$B$2:$D$4,MATCH(E2333,Risk_Matrix!$A$2:$A$4,0),MATCH(F2333,Risk_Matrix!$B$1:$D$1,0))</f>
        <v>Medium</v>
      </c>
      <c r="H2333" s="1">
        <v>46204</v>
      </c>
      <c r="I2333" t="s">
        <v>2015</v>
      </c>
      <c r="J2333" t="s">
        <v>2032</v>
      </c>
      <c r="K2333" t="s">
        <v>1993</v>
      </c>
      <c r="L2333">
        <f>IF(G2333="High",3,IF(G2333="Medium",2,1))</f>
        <v>2</v>
      </c>
    </row>
    <row r="2334" spans="1:12">
      <c r="A2334" t="s">
        <v>4360</v>
      </c>
      <c r="B2334" t="s">
        <v>1462</v>
      </c>
      <c r="C2334" t="s">
        <v>2005</v>
      </c>
      <c r="D2334" t="s">
        <v>2039</v>
      </c>
      <c r="E2334" t="s">
        <v>57</v>
      </c>
      <c r="F2334" t="s">
        <v>47</v>
      </c>
      <c r="G2334" t="str">
        <f>INDEX(Risk_Matrix!$B$2:$D$4,MATCH(E2334,Risk_Matrix!$A$2:$A$4,0),MATCH(F2334,Risk_Matrix!$B$1:$D$1,0))</f>
        <v>Medium</v>
      </c>
      <c r="H2334" s="1">
        <v>46215</v>
      </c>
      <c r="I2334" t="s">
        <v>2025</v>
      </c>
      <c r="J2334" t="s">
        <v>2026</v>
      </c>
      <c r="K2334" t="s">
        <v>2036</v>
      </c>
      <c r="L2334">
        <f>IF(G2334="High",3,IF(G2334="Medium",2,1))</f>
        <v>2</v>
      </c>
    </row>
    <row r="2335" spans="1:12">
      <c r="A2335" t="s">
        <v>4361</v>
      </c>
      <c r="B2335" t="s">
        <v>1462</v>
      </c>
      <c r="C2335" t="s">
        <v>2008</v>
      </c>
      <c r="D2335" t="s">
        <v>2054</v>
      </c>
      <c r="E2335" t="s">
        <v>57</v>
      </c>
      <c r="F2335" t="s">
        <v>57</v>
      </c>
      <c r="G2335" t="str">
        <f>INDEX(Risk_Matrix!$B$2:$D$4,MATCH(E2335,Risk_Matrix!$A$2:$A$4,0),MATCH(F2335,Risk_Matrix!$B$1:$D$1,0))</f>
        <v>Low</v>
      </c>
      <c r="H2335" s="1">
        <v>46060</v>
      </c>
      <c r="I2335" t="s">
        <v>2002</v>
      </c>
      <c r="J2335" t="s">
        <v>2029</v>
      </c>
      <c r="K2335" t="s">
        <v>1998</v>
      </c>
      <c r="L2335">
        <f>IF(G2335="High",3,IF(G2335="Medium",2,1))</f>
        <v>1</v>
      </c>
    </row>
    <row r="2336" spans="1:12">
      <c r="A2336" t="s">
        <v>4362</v>
      </c>
      <c r="B2336" t="s">
        <v>1464</v>
      </c>
      <c r="C2336" t="s">
        <v>1985</v>
      </c>
      <c r="D2336" t="s">
        <v>2062</v>
      </c>
      <c r="E2336" t="s">
        <v>1971</v>
      </c>
      <c r="F2336" t="s">
        <v>57</v>
      </c>
      <c r="G2336" t="str">
        <f>INDEX(Risk_Matrix!$B$2:$D$4,MATCH(E2336,Risk_Matrix!$A$2:$A$4,0),MATCH(F2336,Risk_Matrix!$B$1:$D$1,0))</f>
        <v>Low</v>
      </c>
      <c r="H2336" s="1">
        <v>46202</v>
      </c>
      <c r="I2336" t="s">
        <v>1987</v>
      </c>
      <c r="J2336" t="s">
        <v>1988</v>
      </c>
      <c r="K2336" t="s">
        <v>1998</v>
      </c>
      <c r="L2336">
        <f>IF(G2336="High",3,IF(G2336="Medium",2,1))</f>
        <v>1</v>
      </c>
    </row>
    <row r="2337" spans="1:12">
      <c r="A2337" t="s">
        <v>4363</v>
      </c>
      <c r="B2337" t="s">
        <v>1464</v>
      </c>
      <c r="C2337" t="s">
        <v>1991</v>
      </c>
      <c r="D2337" t="s">
        <v>1992</v>
      </c>
      <c r="E2337" t="s">
        <v>1971</v>
      </c>
      <c r="F2337" t="s">
        <v>1971</v>
      </c>
      <c r="G2337" t="str">
        <f>INDEX(Risk_Matrix!$B$2:$D$4,MATCH(E2337,Risk_Matrix!$A$2:$A$4,0),MATCH(F2337,Risk_Matrix!$B$1:$D$1,0))</f>
        <v>Medium</v>
      </c>
      <c r="H2337" s="1">
        <v>46056</v>
      </c>
      <c r="I2337" t="s">
        <v>1987</v>
      </c>
      <c r="J2337" t="s">
        <v>1988</v>
      </c>
      <c r="K2337" t="s">
        <v>2010</v>
      </c>
      <c r="L2337">
        <f>IF(G2337="High",3,IF(G2337="Medium",2,1))</f>
        <v>2</v>
      </c>
    </row>
    <row r="2338" spans="1:12">
      <c r="A2338" t="s">
        <v>4364</v>
      </c>
      <c r="B2338" t="s">
        <v>1464</v>
      </c>
      <c r="C2338" t="s">
        <v>1995</v>
      </c>
      <c r="D2338" t="s">
        <v>2018</v>
      </c>
      <c r="E2338" t="s">
        <v>57</v>
      </c>
      <c r="F2338" t="s">
        <v>57</v>
      </c>
      <c r="G2338" t="str">
        <f>INDEX(Risk_Matrix!$B$2:$D$4,MATCH(E2338,Risk_Matrix!$A$2:$A$4,0),MATCH(F2338,Risk_Matrix!$B$1:$D$1,0))</f>
        <v>Low</v>
      </c>
      <c r="H2338" s="1">
        <v>46221</v>
      </c>
      <c r="I2338" t="s">
        <v>2002</v>
      </c>
      <c r="J2338" t="s">
        <v>2029</v>
      </c>
      <c r="K2338" t="s">
        <v>1998</v>
      </c>
      <c r="L2338">
        <f>IF(G2338="High",3,IF(G2338="Medium",2,1))</f>
        <v>1</v>
      </c>
    </row>
    <row r="2339" spans="1:12">
      <c r="A2339" t="s">
        <v>4365</v>
      </c>
      <c r="B2339" t="s">
        <v>1464</v>
      </c>
      <c r="C2339" t="s">
        <v>2000</v>
      </c>
      <c r="D2339" t="s">
        <v>2045</v>
      </c>
      <c r="E2339" t="s">
        <v>57</v>
      </c>
      <c r="F2339" t="s">
        <v>47</v>
      </c>
      <c r="G2339" t="str">
        <f>INDEX(Risk_Matrix!$B$2:$D$4,MATCH(E2339,Risk_Matrix!$A$2:$A$4,0),MATCH(F2339,Risk_Matrix!$B$1:$D$1,0))</f>
        <v>Medium</v>
      </c>
      <c r="H2339" s="1">
        <v>46119</v>
      </c>
      <c r="I2339" t="s">
        <v>2025</v>
      </c>
      <c r="J2339" t="s">
        <v>2026</v>
      </c>
      <c r="K2339" t="s">
        <v>1989</v>
      </c>
      <c r="L2339">
        <f>IF(G2339="High",3,IF(G2339="Medium",2,1))</f>
        <v>2</v>
      </c>
    </row>
    <row r="2340" spans="1:12">
      <c r="A2340" t="s">
        <v>4366</v>
      </c>
      <c r="B2340" t="s">
        <v>1464</v>
      </c>
      <c r="C2340" t="s">
        <v>2005</v>
      </c>
      <c r="D2340" t="s">
        <v>2022</v>
      </c>
      <c r="E2340" t="s">
        <v>57</v>
      </c>
      <c r="F2340" t="s">
        <v>57</v>
      </c>
      <c r="G2340" t="str">
        <f>INDEX(Risk_Matrix!$B$2:$D$4,MATCH(E2340,Risk_Matrix!$A$2:$A$4,0),MATCH(F2340,Risk_Matrix!$B$1:$D$1,0))</f>
        <v>Low</v>
      </c>
      <c r="H2340" s="1">
        <v>46083</v>
      </c>
      <c r="I2340" t="s">
        <v>1987</v>
      </c>
      <c r="J2340" t="s">
        <v>1997</v>
      </c>
      <c r="K2340" t="s">
        <v>1993</v>
      </c>
      <c r="L2340">
        <f>IF(G2340="High",3,IF(G2340="Medium",2,1))</f>
        <v>1</v>
      </c>
    </row>
    <row r="2341" spans="1:12">
      <c r="A2341" t="s">
        <v>4367</v>
      </c>
      <c r="B2341" t="s">
        <v>1464</v>
      </c>
      <c r="C2341" t="s">
        <v>2008</v>
      </c>
      <c r="D2341" t="s">
        <v>2009</v>
      </c>
      <c r="E2341" t="s">
        <v>47</v>
      </c>
      <c r="F2341" t="s">
        <v>57</v>
      </c>
      <c r="G2341" t="str">
        <f>INDEX(Risk_Matrix!$B$2:$D$4,MATCH(E2341,Risk_Matrix!$A$2:$A$4,0),MATCH(F2341,Risk_Matrix!$B$1:$D$1,0))</f>
        <v>Medium</v>
      </c>
      <c r="H2341" s="1">
        <v>46082</v>
      </c>
      <c r="I2341" t="s">
        <v>2025</v>
      </c>
      <c r="J2341" t="s">
        <v>2035</v>
      </c>
      <c r="K2341" t="s">
        <v>2010</v>
      </c>
      <c r="L2341">
        <f>IF(G2341="High",3,IF(G2341="Medium",2,1))</f>
        <v>2</v>
      </c>
    </row>
    <row r="2342" spans="1:12">
      <c r="A2342" t="s">
        <v>4368</v>
      </c>
      <c r="B2342" t="s">
        <v>1466</v>
      </c>
      <c r="C2342" t="s">
        <v>1985</v>
      </c>
      <c r="D2342" t="s">
        <v>2012</v>
      </c>
      <c r="E2342" t="s">
        <v>1971</v>
      </c>
      <c r="F2342" t="s">
        <v>57</v>
      </c>
      <c r="G2342" t="str">
        <f>INDEX(Risk_Matrix!$B$2:$D$4,MATCH(E2342,Risk_Matrix!$A$2:$A$4,0),MATCH(F2342,Risk_Matrix!$B$1:$D$1,0))</f>
        <v>Low</v>
      </c>
      <c r="H2342" s="1">
        <v>46097</v>
      </c>
      <c r="I2342" t="s">
        <v>2025</v>
      </c>
      <c r="J2342" t="s">
        <v>2026</v>
      </c>
      <c r="K2342" t="s">
        <v>1998</v>
      </c>
      <c r="L2342">
        <f>IF(G2342="High",3,IF(G2342="Medium",2,1))</f>
        <v>1</v>
      </c>
    </row>
    <row r="2343" spans="1:12">
      <c r="A2343" t="s">
        <v>4369</v>
      </c>
      <c r="B2343" t="s">
        <v>1466</v>
      </c>
      <c r="C2343" t="s">
        <v>1991</v>
      </c>
      <c r="D2343" t="s">
        <v>2014</v>
      </c>
      <c r="E2343" t="s">
        <v>57</v>
      </c>
      <c r="F2343" t="s">
        <v>57</v>
      </c>
      <c r="G2343" t="str">
        <f>INDEX(Risk_Matrix!$B$2:$D$4,MATCH(E2343,Risk_Matrix!$A$2:$A$4,0),MATCH(F2343,Risk_Matrix!$B$1:$D$1,0))</f>
        <v>Low</v>
      </c>
      <c r="H2343" s="1">
        <v>46163</v>
      </c>
      <c r="I2343" t="s">
        <v>2015</v>
      </c>
      <c r="J2343" t="s">
        <v>2016</v>
      </c>
      <c r="K2343" t="s">
        <v>1993</v>
      </c>
      <c r="L2343">
        <f>IF(G2343="High",3,IF(G2343="Medium",2,1))</f>
        <v>1</v>
      </c>
    </row>
    <row r="2344" spans="1:12">
      <c r="A2344" t="s">
        <v>4370</v>
      </c>
      <c r="B2344" t="s">
        <v>1466</v>
      </c>
      <c r="C2344" t="s">
        <v>1995</v>
      </c>
      <c r="D2344" t="s">
        <v>2150</v>
      </c>
      <c r="E2344" t="s">
        <v>1971</v>
      </c>
      <c r="F2344" t="s">
        <v>57</v>
      </c>
      <c r="G2344" t="str">
        <f>INDEX(Risk_Matrix!$B$2:$D$4,MATCH(E2344,Risk_Matrix!$A$2:$A$4,0),MATCH(F2344,Risk_Matrix!$B$1:$D$1,0))</f>
        <v>Low</v>
      </c>
      <c r="H2344" s="1">
        <v>46188</v>
      </c>
      <c r="I2344" t="s">
        <v>2002</v>
      </c>
      <c r="J2344" t="s">
        <v>2003</v>
      </c>
      <c r="K2344" t="s">
        <v>1998</v>
      </c>
      <c r="L2344">
        <f>IF(G2344="High",3,IF(G2344="Medium",2,1))</f>
        <v>1</v>
      </c>
    </row>
    <row r="2345" spans="1:12">
      <c r="A2345" t="s">
        <v>4371</v>
      </c>
      <c r="B2345" t="s">
        <v>1466</v>
      </c>
      <c r="C2345" t="s">
        <v>2000</v>
      </c>
      <c r="D2345" t="s">
        <v>2001</v>
      </c>
      <c r="E2345" t="s">
        <v>47</v>
      </c>
      <c r="F2345" t="s">
        <v>57</v>
      </c>
      <c r="G2345" t="str">
        <f>INDEX(Risk_Matrix!$B$2:$D$4,MATCH(E2345,Risk_Matrix!$A$2:$A$4,0),MATCH(F2345,Risk_Matrix!$B$1:$D$1,0))</f>
        <v>Medium</v>
      </c>
      <c r="H2345" s="1">
        <v>46179</v>
      </c>
      <c r="I2345" t="s">
        <v>2015</v>
      </c>
      <c r="J2345" t="s">
        <v>2032</v>
      </c>
      <c r="K2345" t="s">
        <v>1989</v>
      </c>
      <c r="L2345">
        <f>IF(G2345="High",3,IF(G2345="Medium",2,1))</f>
        <v>2</v>
      </c>
    </row>
    <row r="2346" spans="1:12">
      <c r="A2346" t="s">
        <v>4372</v>
      </c>
      <c r="B2346" t="s">
        <v>1466</v>
      </c>
      <c r="C2346" t="s">
        <v>2005</v>
      </c>
      <c r="D2346" t="s">
        <v>2006</v>
      </c>
      <c r="E2346" t="s">
        <v>57</v>
      </c>
      <c r="F2346" t="s">
        <v>57</v>
      </c>
      <c r="G2346" t="str">
        <f>INDEX(Risk_Matrix!$B$2:$D$4,MATCH(E2346,Risk_Matrix!$A$2:$A$4,0),MATCH(F2346,Risk_Matrix!$B$1:$D$1,0))</f>
        <v>Low</v>
      </c>
      <c r="H2346" s="1">
        <v>46056</v>
      </c>
      <c r="I2346" t="s">
        <v>2025</v>
      </c>
      <c r="J2346" t="s">
        <v>2026</v>
      </c>
      <c r="K2346" t="s">
        <v>1993</v>
      </c>
      <c r="L2346">
        <f>IF(G2346="High",3,IF(G2346="Medium",2,1))</f>
        <v>1</v>
      </c>
    </row>
    <row r="2347" spans="1:12">
      <c r="A2347" t="s">
        <v>4373</v>
      </c>
      <c r="B2347" t="s">
        <v>1466</v>
      </c>
      <c r="C2347" t="s">
        <v>2008</v>
      </c>
      <c r="D2347" t="s">
        <v>2054</v>
      </c>
      <c r="E2347" t="s">
        <v>57</v>
      </c>
      <c r="F2347" t="s">
        <v>57</v>
      </c>
      <c r="G2347" t="str">
        <f>INDEX(Risk_Matrix!$B$2:$D$4,MATCH(E2347,Risk_Matrix!$A$2:$A$4,0),MATCH(F2347,Risk_Matrix!$B$1:$D$1,0))</f>
        <v>Low</v>
      </c>
      <c r="H2347" s="1">
        <v>46176</v>
      </c>
      <c r="I2347" t="s">
        <v>2025</v>
      </c>
      <c r="J2347" t="s">
        <v>2026</v>
      </c>
      <c r="K2347" t="s">
        <v>2010</v>
      </c>
      <c r="L2347">
        <f>IF(G2347="High",3,IF(G2347="Medium",2,1))</f>
        <v>1</v>
      </c>
    </row>
    <row r="2348" spans="1:12">
      <c r="A2348" t="s">
        <v>4374</v>
      </c>
      <c r="B2348" t="s">
        <v>1468</v>
      </c>
      <c r="C2348" t="s">
        <v>1985</v>
      </c>
      <c r="D2348" t="s">
        <v>2062</v>
      </c>
      <c r="E2348" t="s">
        <v>1971</v>
      </c>
      <c r="F2348" t="s">
        <v>57</v>
      </c>
      <c r="G2348" t="str">
        <f>INDEX(Risk_Matrix!$B$2:$D$4,MATCH(E2348,Risk_Matrix!$A$2:$A$4,0),MATCH(F2348,Risk_Matrix!$B$1:$D$1,0))</f>
        <v>Low</v>
      </c>
      <c r="H2348" s="1">
        <v>46176</v>
      </c>
      <c r="I2348" t="s">
        <v>2002</v>
      </c>
      <c r="J2348" t="s">
        <v>2003</v>
      </c>
      <c r="K2348" t="s">
        <v>1998</v>
      </c>
      <c r="L2348">
        <f>IF(G2348="High",3,IF(G2348="Medium",2,1))</f>
        <v>1</v>
      </c>
    </row>
    <row r="2349" spans="1:12">
      <c r="A2349" t="s">
        <v>4375</v>
      </c>
      <c r="B2349" t="s">
        <v>1468</v>
      </c>
      <c r="C2349" t="s">
        <v>1991</v>
      </c>
      <c r="D2349" t="s">
        <v>1992</v>
      </c>
      <c r="E2349" t="s">
        <v>57</v>
      </c>
      <c r="F2349" t="s">
        <v>1971</v>
      </c>
      <c r="G2349" t="str">
        <f>INDEX(Risk_Matrix!$B$2:$D$4,MATCH(E2349,Risk_Matrix!$A$2:$A$4,0),MATCH(F2349,Risk_Matrix!$B$1:$D$1,0))</f>
        <v>Low</v>
      </c>
      <c r="H2349" s="1">
        <v>46083</v>
      </c>
      <c r="I2349" t="s">
        <v>2002</v>
      </c>
      <c r="J2349" t="s">
        <v>2003</v>
      </c>
      <c r="K2349" t="s">
        <v>1993</v>
      </c>
      <c r="L2349">
        <f>IF(G2349="High",3,IF(G2349="Medium",2,1))</f>
        <v>1</v>
      </c>
    </row>
    <row r="2350" spans="1:12">
      <c r="A2350" t="s">
        <v>4376</v>
      </c>
      <c r="B2350" t="s">
        <v>1468</v>
      </c>
      <c r="C2350" t="s">
        <v>1995</v>
      </c>
      <c r="D2350" t="s">
        <v>2034</v>
      </c>
      <c r="E2350" t="s">
        <v>47</v>
      </c>
      <c r="F2350" t="s">
        <v>57</v>
      </c>
      <c r="G2350" t="str">
        <f>INDEX(Risk_Matrix!$B$2:$D$4,MATCH(E2350,Risk_Matrix!$A$2:$A$4,0),MATCH(F2350,Risk_Matrix!$B$1:$D$1,0))</f>
        <v>Medium</v>
      </c>
      <c r="H2350" s="1">
        <v>46082</v>
      </c>
      <c r="I2350" t="s">
        <v>1987</v>
      </c>
      <c r="J2350" t="s">
        <v>1997</v>
      </c>
      <c r="K2350" t="s">
        <v>1998</v>
      </c>
      <c r="L2350">
        <f>IF(G2350="High",3,IF(G2350="Medium",2,1))</f>
        <v>2</v>
      </c>
    </row>
    <row r="2351" spans="1:12">
      <c r="A2351" t="s">
        <v>4377</v>
      </c>
      <c r="B2351" t="s">
        <v>1468</v>
      </c>
      <c r="C2351" t="s">
        <v>2000</v>
      </c>
      <c r="D2351" t="s">
        <v>2001</v>
      </c>
      <c r="E2351" t="s">
        <v>1971</v>
      </c>
      <c r="F2351" t="s">
        <v>1971</v>
      </c>
      <c r="G2351" t="str">
        <f>INDEX(Risk_Matrix!$B$2:$D$4,MATCH(E2351,Risk_Matrix!$A$2:$A$4,0),MATCH(F2351,Risk_Matrix!$B$1:$D$1,0))</f>
        <v>Medium</v>
      </c>
      <c r="H2351" s="1">
        <v>46115</v>
      </c>
      <c r="I2351" t="s">
        <v>2025</v>
      </c>
      <c r="J2351" t="s">
        <v>2026</v>
      </c>
      <c r="K2351" t="s">
        <v>1989</v>
      </c>
      <c r="L2351">
        <f>IF(G2351="High",3,IF(G2351="Medium",2,1))</f>
        <v>2</v>
      </c>
    </row>
    <row r="2352" spans="1:12">
      <c r="A2352" t="s">
        <v>4378</v>
      </c>
      <c r="B2352" t="s">
        <v>1468</v>
      </c>
      <c r="C2352" t="s">
        <v>2005</v>
      </c>
      <c r="D2352" t="s">
        <v>2022</v>
      </c>
      <c r="E2352" t="s">
        <v>1971</v>
      </c>
      <c r="F2352" t="s">
        <v>47</v>
      </c>
      <c r="G2352" t="str">
        <f>INDEX(Risk_Matrix!$B$2:$D$4,MATCH(E2352,Risk_Matrix!$A$2:$A$4,0),MATCH(F2352,Risk_Matrix!$B$1:$D$1,0))</f>
        <v>High</v>
      </c>
      <c r="H2352" s="1">
        <v>46191</v>
      </c>
      <c r="I2352" t="s">
        <v>2015</v>
      </c>
      <c r="J2352" t="s">
        <v>2032</v>
      </c>
      <c r="K2352" t="s">
        <v>1993</v>
      </c>
      <c r="L2352">
        <f>IF(G2352="High",3,IF(G2352="Medium",2,1))</f>
        <v>3</v>
      </c>
    </row>
    <row r="2353" spans="1:12">
      <c r="A2353" t="s">
        <v>4379</v>
      </c>
      <c r="B2353" t="s">
        <v>1468</v>
      </c>
      <c r="C2353" t="s">
        <v>2008</v>
      </c>
      <c r="D2353" t="s">
        <v>2024</v>
      </c>
      <c r="E2353" t="s">
        <v>1971</v>
      </c>
      <c r="F2353" t="s">
        <v>57</v>
      </c>
      <c r="G2353" t="str">
        <f>INDEX(Risk_Matrix!$B$2:$D$4,MATCH(E2353,Risk_Matrix!$A$2:$A$4,0),MATCH(F2353,Risk_Matrix!$B$1:$D$1,0))</f>
        <v>Low</v>
      </c>
      <c r="H2353" s="1">
        <v>46210</v>
      </c>
      <c r="I2353" t="s">
        <v>2015</v>
      </c>
      <c r="J2353" t="s">
        <v>2016</v>
      </c>
      <c r="K2353" t="s">
        <v>1998</v>
      </c>
      <c r="L2353">
        <f>IF(G2353="High",3,IF(G2353="Medium",2,1))</f>
        <v>1</v>
      </c>
    </row>
    <row r="2354" spans="1:12">
      <c r="A2354" t="s">
        <v>4380</v>
      </c>
      <c r="B2354" t="s">
        <v>1470</v>
      </c>
      <c r="C2354" t="s">
        <v>1985</v>
      </c>
      <c r="D2354" t="s">
        <v>1986</v>
      </c>
      <c r="E2354" t="s">
        <v>57</v>
      </c>
      <c r="F2354" t="s">
        <v>57</v>
      </c>
      <c r="G2354" t="str">
        <f>INDEX(Risk_Matrix!$B$2:$D$4,MATCH(E2354,Risk_Matrix!$A$2:$A$4,0),MATCH(F2354,Risk_Matrix!$B$1:$D$1,0))</f>
        <v>Low</v>
      </c>
      <c r="H2354" s="1">
        <v>46161</v>
      </c>
      <c r="I2354" t="s">
        <v>2002</v>
      </c>
      <c r="J2354" t="s">
        <v>2029</v>
      </c>
      <c r="K2354" t="s">
        <v>1998</v>
      </c>
      <c r="L2354">
        <f>IF(G2354="High",3,IF(G2354="Medium",2,1))</f>
        <v>1</v>
      </c>
    </row>
    <row r="2355" spans="1:12">
      <c r="A2355" t="s">
        <v>4381</v>
      </c>
      <c r="B2355" t="s">
        <v>1470</v>
      </c>
      <c r="C2355" t="s">
        <v>1991</v>
      </c>
      <c r="D2355" t="s">
        <v>2064</v>
      </c>
      <c r="E2355" t="s">
        <v>57</v>
      </c>
      <c r="F2355" t="s">
        <v>1971</v>
      </c>
      <c r="G2355" t="str">
        <f>INDEX(Risk_Matrix!$B$2:$D$4,MATCH(E2355,Risk_Matrix!$A$2:$A$4,0),MATCH(F2355,Risk_Matrix!$B$1:$D$1,0))</f>
        <v>Low</v>
      </c>
      <c r="H2355" s="1">
        <v>46188</v>
      </c>
      <c r="I2355" t="s">
        <v>1987</v>
      </c>
      <c r="J2355" t="s">
        <v>1997</v>
      </c>
      <c r="K2355" t="s">
        <v>1993</v>
      </c>
      <c r="L2355">
        <f>IF(G2355="High",3,IF(G2355="Medium",2,1))</f>
        <v>1</v>
      </c>
    </row>
    <row r="2356" spans="1:12">
      <c r="A2356" t="s">
        <v>4382</v>
      </c>
      <c r="B2356" t="s">
        <v>1470</v>
      </c>
      <c r="C2356" t="s">
        <v>1995</v>
      </c>
      <c r="D2356" t="s">
        <v>2018</v>
      </c>
      <c r="E2356" t="s">
        <v>1971</v>
      </c>
      <c r="F2356" t="s">
        <v>47</v>
      </c>
      <c r="G2356" t="str">
        <f>INDEX(Risk_Matrix!$B$2:$D$4,MATCH(E2356,Risk_Matrix!$A$2:$A$4,0),MATCH(F2356,Risk_Matrix!$B$1:$D$1,0))</f>
        <v>High</v>
      </c>
      <c r="H2356" s="1">
        <v>46138</v>
      </c>
      <c r="I2356" t="s">
        <v>1987</v>
      </c>
      <c r="J2356" t="s">
        <v>1997</v>
      </c>
      <c r="K2356" t="s">
        <v>1998</v>
      </c>
      <c r="L2356">
        <f>IF(G2356="High",3,IF(G2356="Medium",2,1))</f>
        <v>3</v>
      </c>
    </row>
    <row r="2357" spans="1:12">
      <c r="A2357" t="s">
        <v>4383</v>
      </c>
      <c r="B2357" t="s">
        <v>1470</v>
      </c>
      <c r="C2357" t="s">
        <v>2000</v>
      </c>
      <c r="D2357" t="s">
        <v>2001</v>
      </c>
      <c r="E2357" t="s">
        <v>1971</v>
      </c>
      <c r="F2357" t="s">
        <v>1971</v>
      </c>
      <c r="G2357" t="str">
        <f>INDEX(Risk_Matrix!$B$2:$D$4,MATCH(E2357,Risk_Matrix!$A$2:$A$4,0),MATCH(F2357,Risk_Matrix!$B$1:$D$1,0))</f>
        <v>Medium</v>
      </c>
      <c r="H2357" s="1">
        <v>46114</v>
      </c>
      <c r="I2357" t="s">
        <v>2025</v>
      </c>
      <c r="J2357" t="s">
        <v>2035</v>
      </c>
      <c r="K2357" t="s">
        <v>1989</v>
      </c>
      <c r="L2357">
        <f>IF(G2357="High",3,IF(G2357="Medium",2,1))</f>
        <v>2</v>
      </c>
    </row>
    <row r="2358" spans="1:12">
      <c r="A2358" t="s">
        <v>4384</v>
      </c>
      <c r="B2358" t="s">
        <v>1470</v>
      </c>
      <c r="C2358" t="s">
        <v>2005</v>
      </c>
      <c r="D2358" t="s">
        <v>2039</v>
      </c>
      <c r="E2358" t="s">
        <v>47</v>
      </c>
      <c r="F2358" t="s">
        <v>1971</v>
      </c>
      <c r="G2358" t="str">
        <f>INDEX(Risk_Matrix!$B$2:$D$4,MATCH(E2358,Risk_Matrix!$A$2:$A$4,0),MATCH(F2358,Risk_Matrix!$B$1:$D$1,0))</f>
        <v>High</v>
      </c>
      <c r="H2358" s="1">
        <v>46200</v>
      </c>
      <c r="I2358" t="s">
        <v>2025</v>
      </c>
      <c r="J2358" t="s">
        <v>2026</v>
      </c>
      <c r="K2358" t="s">
        <v>1993</v>
      </c>
      <c r="L2358">
        <f>IF(G2358="High",3,IF(G2358="Medium",2,1))</f>
        <v>3</v>
      </c>
    </row>
    <row r="2359" spans="1:12">
      <c r="A2359" t="s">
        <v>4385</v>
      </c>
      <c r="B2359" t="s">
        <v>1470</v>
      </c>
      <c r="C2359" t="s">
        <v>2008</v>
      </c>
      <c r="D2359" t="s">
        <v>2024</v>
      </c>
      <c r="E2359" t="s">
        <v>1971</v>
      </c>
      <c r="F2359" t="s">
        <v>57</v>
      </c>
      <c r="G2359" t="str">
        <f>INDEX(Risk_Matrix!$B$2:$D$4,MATCH(E2359,Risk_Matrix!$A$2:$A$4,0),MATCH(F2359,Risk_Matrix!$B$1:$D$1,0))</f>
        <v>Low</v>
      </c>
      <c r="H2359" s="1">
        <v>46161</v>
      </c>
      <c r="I2359" t="s">
        <v>1987</v>
      </c>
      <c r="J2359" t="s">
        <v>1988</v>
      </c>
      <c r="K2359" t="s">
        <v>2010</v>
      </c>
      <c r="L2359">
        <f>IF(G2359="High",3,IF(G2359="Medium",2,1))</f>
        <v>1</v>
      </c>
    </row>
    <row r="2360" spans="1:12">
      <c r="A2360" t="s">
        <v>4386</v>
      </c>
      <c r="B2360" t="s">
        <v>1472</v>
      </c>
      <c r="C2360" t="s">
        <v>1985</v>
      </c>
      <c r="D2360" t="s">
        <v>2028</v>
      </c>
      <c r="E2360" t="s">
        <v>1971</v>
      </c>
      <c r="F2360" t="s">
        <v>1971</v>
      </c>
      <c r="G2360" t="str">
        <f>INDEX(Risk_Matrix!$B$2:$D$4,MATCH(E2360,Risk_Matrix!$A$2:$A$4,0),MATCH(F2360,Risk_Matrix!$B$1:$D$1,0))</f>
        <v>Medium</v>
      </c>
      <c r="H2360" s="1">
        <v>46163</v>
      </c>
      <c r="I2360" t="s">
        <v>2015</v>
      </c>
      <c r="J2360" t="s">
        <v>2032</v>
      </c>
      <c r="K2360" t="s">
        <v>1998</v>
      </c>
      <c r="L2360">
        <f>IF(G2360="High",3,IF(G2360="Medium",2,1))</f>
        <v>2</v>
      </c>
    </row>
    <row r="2361" spans="1:12">
      <c r="A2361" t="s">
        <v>4387</v>
      </c>
      <c r="B2361" t="s">
        <v>1472</v>
      </c>
      <c r="C2361" t="s">
        <v>1991</v>
      </c>
      <c r="D2361" t="s">
        <v>1992</v>
      </c>
      <c r="E2361" t="s">
        <v>57</v>
      </c>
      <c r="F2361" t="s">
        <v>1971</v>
      </c>
      <c r="G2361" t="str">
        <f>INDEX(Risk_Matrix!$B$2:$D$4,MATCH(E2361,Risk_Matrix!$A$2:$A$4,0),MATCH(F2361,Risk_Matrix!$B$1:$D$1,0))</f>
        <v>Low</v>
      </c>
      <c r="H2361" s="1">
        <v>46164</v>
      </c>
      <c r="I2361" t="s">
        <v>2002</v>
      </c>
      <c r="J2361" t="s">
        <v>2003</v>
      </c>
      <c r="K2361" t="s">
        <v>1993</v>
      </c>
      <c r="L2361">
        <f>IF(G2361="High",3,IF(G2361="Medium",2,1))</f>
        <v>1</v>
      </c>
    </row>
    <row r="2362" spans="1:12">
      <c r="A2362" t="s">
        <v>4388</v>
      </c>
      <c r="B2362" t="s">
        <v>1472</v>
      </c>
      <c r="C2362" t="s">
        <v>1995</v>
      </c>
      <c r="D2362" t="s">
        <v>2018</v>
      </c>
      <c r="E2362" t="s">
        <v>1971</v>
      </c>
      <c r="F2362" t="s">
        <v>1971</v>
      </c>
      <c r="G2362" t="str">
        <f>INDEX(Risk_Matrix!$B$2:$D$4,MATCH(E2362,Risk_Matrix!$A$2:$A$4,0),MATCH(F2362,Risk_Matrix!$B$1:$D$1,0))</f>
        <v>Medium</v>
      </c>
      <c r="H2362" s="1">
        <v>46235</v>
      </c>
      <c r="I2362" t="s">
        <v>2015</v>
      </c>
      <c r="J2362" t="s">
        <v>2016</v>
      </c>
      <c r="K2362" t="s">
        <v>1998</v>
      </c>
      <c r="L2362">
        <f>IF(G2362="High",3,IF(G2362="Medium",2,1))</f>
        <v>2</v>
      </c>
    </row>
    <row r="2363" spans="1:12">
      <c r="A2363" t="s">
        <v>4389</v>
      </c>
      <c r="B2363" t="s">
        <v>1472</v>
      </c>
      <c r="C2363" t="s">
        <v>2000</v>
      </c>
      <c r="D2363" t="s">
        <v>2045</v>
      </c>
      <c r="E2363" t="s">
        <v>57</v>
      </c>
      <c r="F2363" t="s">
        <v>57</v>
      </c>
      <c r="G2363" t="str">
        <f>INDEX(Risk_Matrix!$B$2:$D$4,MATCH(E2363,Risk_Matrix!$A$2:$A$4,0),MATCH(F2363,Risk_Matrix!$B$1:$D$1,0))</f>
        <v>Low</v>
      </c>
      <c r="H2363" s="1">
        <v>46153</v>
      </c>
      <c r="I2363" t="s">
        <v>2015</v>
      </c>
      <c r="J2363" t="s">
        <v>2016</v>
      </c>
      <c r="K2363" t="s">
        <v>1993</v>
      </c>
      <c r="L2363">
        <f>IF(G2363="High",3,IF(G2363="Medium",2,1))</f>
        <v>1</v>
      </c>
    </row>
    <row r="2364" spans="1:12">
      <c r="A2364" t="s">
        <v>4390</v>
      </c>
      <c r="B2364" t="s">
        <v>1472</v>
      </c>
      <c r="C2364" t="s">
        <v>2005</v>
      </c>
      <c r="D2364" t="s">
        <v>2022</v>
      </c>
      <c r="E2364" t="s">
        <v>57</v>
      </c>
      <c r="F2364" t="s">
        <v>57</v>
      </c>
      <c r="G2364" t="str">
        <f>INDEX(Risk_Matrix!$B$2:$D$4,MATCH(E2364,Risk_Matrix!$A$2:$A$4,0),MATCH(F2364,Risk_Matrix!$B$1:$D$1,0))</f>
        <v>Low</v>
      </c>
      <c r="H2364" s="1">
        <v>46184</v>
      </c>
      <c r="I2364" t="s">
        <v>2002</v>
      </c>
      <c r="J2364" t="s">
        <v>2003</v>
      </c>
      <c r="K2364" t="s">
        <v>1993</v>
      </c>
      <c r="L2364">
        <f>IF(G2364="High",3,IF(G2364="Medium",2,1))</f>
        <v>1</v>
      </c>
    </row>
    <row r="2365" spans="1:12">
      <c r="A2365" t="s">
        <v>4391</v>
      </c>
      <c r="B2365" t="s">
        <v>1472</v>
      </c>
      <c r="C2365" t="s">
        <v>2008</v>
      </c>
      <c r="D2365" t="s">
        <v>2009</v>
      </c>
      <c r="E2365" t="s">
        <v>47</v>
      </c>
      <c r="F2365" t="s">
        <v>47</v>
      </c>
      <c r="G2365" t="str">
        <f>INDEX(Risk_Matrix!$B$2:$D$4,MATCH(E2365,Risk_Matrix!$A$2:$A$4,0),MATCH(F2365,Risk_Matrix!$B$1:$D$1,0))</f>
        <v>High</v>
      </c>
      <c r="H2365" s="1">
        <v>46209</v>
      </c>
      <c r="I2365" t="s">
        <v>2015</v>
      </c>
      <c r="J2365" t="s">
        <v>2032</v>
      </c>
      <c r="K2365" t="s">
        <v>2010</v>
      </c>
      <c r="L2365">
        <f>IF(G2365="High",3,IF(G2365="Medium",2,1))</f>
        <v>3</v>
      </c>
    </row>
    <row r="2366" spans="1:12">
      <c r="A2366" t="s">
        <v>4392</v>
      </c>
      <c r="B2366" t="s">
        <v>1474</v>
      </c>
      <c r="C2366" t="s">
        <v>1985</v>
      </c>
      <c r="D2366" t="s">
        <v>1986</v>
      </c>
      <c r="E2366" t="s">
        <v>57</v>
      </c>
      <c r="F2366" t="s">
        <v>57</v>
      </c>
      <c r="G2366" t="str">
        <f>INDEX(Risk_Matrix!$B$2:$D$4,MATCH(E2366,Risk_Matrix!$A$2:$A$4,0),MATCH(F2366,Risk_Matrix!$B$1:$D$1,0))</f>
        <v>Low</v>
      </c>
      <c r="H2366" s="1">
        <v>46124</v>
      </c>
      <c r="I2366" t="s">
        <v>1987</v>
      </c>
      <c r="J2366" t="s">
        <v>1997</v>
      </c>
      <c r="K2366" t="s">
        <v>1989</v>
      </c>
      <c r="L2366">
        <f>IF(G2366="High",3,IF(G2366="Medium",2,1))</f>
        <v>1</v>
      </c>
    </row>
    <row r="2367" spans="1:12">
      <c r="A2367" t="s">
        <v>4393</v>
      </c>
      <c r="B2367" t="s">
        <v>1474</v>
      </c>
      <c r="C2367" t="s">
        <v>1991</v>
      </c>
      <c r="D2367" t="s">
        <v>1992</v>
      </c>
      <c r="E2367" t="s">
        <v>57</v>
      </c>
      <c r="F2367" t="s">
        <v>57</v>
      </c>
      <c r="G2367" t="str">
        <f>INDEX(Risk_Matrix!$B$2:$D$4,MATCH(E2367,Risk_Matrix!$A$2:$A$4,0),MATCH(F2367,Risk_Matrix!$B$1:$D$1,0))</f>
        <v>Low</v>
      </c>
      <c r="H2367" s="1">
        <v>46086</v>
      </c>
      <c r="I2367" t="s">
        <v>2025</v>
      </c>
      <c r="J2367" t="s">
        <v>2026</v>
      </c>
      <c r="K2367" t="s">
        <v>1993</v>
      </c>
      <c r="L2367">
        <f>IF(G2367="High",3,IF(G2367="Medium",2,1))</f>
        <v>1</v>
      </c>
    </row>
    <row r="2368" spans="1:12">
      <c r="A2368" t="s">
        <v>4394</v>
      </c>
      <c r="B2368" t="s">
        <v>1474</v>
      </c>
      <c r="C2368" t="s">
        <v>1995</v>
      </c>
      <c r="D2368" t="s">
        <v>2034</v>
      </c>
      <c r="E2368" t="s">
        <v>47</v>
      </c>
      <c r="F2368" t="s">
        <v>1971</v>
      </c>
      <c r="G2368" t="str">
        <f>INDEX(Risk_Matrix!$B$2:$D$4,MATCH(E2368,Risk_Matrix!$A$2:$A$4,0),MATCH(F2368,Risk_Matrix!$B$1:$D$1,0))</f>
        <v>High</v>
      </c>
      <c r="H2368" s="1">
        <v>46204</v>
      </c>
      <c r="I2368" t="s">
        <v>1987</v>
      </c>
      <c r="J2368" t="s">
        <v>1997</v>
      </c>
      <c r="K2368" t="s">
        <v>2036</v>
      </c>
      <c r="L2368">
        <f>IF(G2368="High",3,IF(G2368="Medium",2,1))</f>
        <v>3</v>
      </c>
    </row>
    <row r="2369" spans="1:12">
      <c r="A2369" t="s">
        <v>4395</v>
      </c>
      <c r="B2369" t="s">
        <v>1474</v>
      </c>
      <c r="C2369" t="s">
        <v>2000</v>
      </c>
      <c r="D2369" t="s">
        <v>2045</v>
      </c>
      <c r="E2369" t="s">
        <v>1971</v>
      </c>
      <c r="F2369" t="s">
        <v>57</v>
      </c>
      <c r="G2369" t="str">
        <f>INDEX(Risk_Matrix!$B$2:$D$4,MATCH(E2369,Risk_Matrix!$A$2:$A$4,0),MATCH(F2369,Risk_Matrix!$B$1:$D$1,0))</f>
        <v>Low</v>
      </c>
      <c r="H2369" s="1">
        <v>46112</v>
      </c>
      <c r="I2369" t="s">
        <v>2002</v>
      </c>
      <c r="J2369" t="s">
        <v>2003</v>
      </c>
      <c r="K2369" t="s">
        <v>1993</v>
      </c>
      <c r="L2369">
        <f>IF(G2369="High",3,IF(G2369="Medium",2,1))</f>
        <v>1</v>
      </c>
    </row>
    <row r="2370" spans="1:12">
      <c r="A2370" t="s">
        <v>4396</v>
      </c>
      <c r="B2370" t="s">
        <v>1474</v>
      </c>
      <c r="C2370" t="s">
        <v>2005</v>
      </c>
      <c r="D2370" t="s">
        <v>2006</v>
      </c>
      <c r="E2370" t="s">
        <v>57</v>
      </c>
      <c r="F2370" t="s">
        <v>57</v>
      </c>
      <c r="G2370" t="str">
        <f>INDEX(Risk_Matrix!$B$2:$D$4,MATCH(E2370,Risk_Matrix!$A$2:$A$4,0),MATCH(F2370,Risk_Matrix!$B$1:$D$1,0))</f>
        <v>Low</v>
      </c>
      <c r="H2370" s="1">
        <v>46171</v>
      </c>
      <c r="I2370" t="s">
        <v>2025</v>
      </c>
      <c r="J2370" t="s">
        <v>2026</v>
      </c>
      <c r="K2370" t="s">
        <v>1993</v>
      </c>
      <c r="L2370">
        <f>IF(G2370="High",3,IF(G2370="Medium",2,1))</f>
        <v>1</v>
      </c>
    </row>
    <row r="2371" spans="1:12">
      <c r="A2371" t="s">
        <v>4397</v>
      </c>
      <c r="B2371" t="s">
        <v>1474</v>
      </c>
      <c r="C2371" t="s">
        <v>2008</v>
      </c>
      <c r="D2371" t="s">
        <v>2009</v>
      </c>
      <c r="E2371" t="s">
        <v>57</v>
      </c>
      <c r="F2371" t="s">
        <v>57</v>
      </c>
      <c r="G2371" t="str">
        <f>INDEX(Risk_Matrix!$B$2:$D$4,MATCH(E2371,Risk_Matrix!$A$2:$A$4,0),MATCH(F2371,Risk_Matrix!$B$1:$D$1,0))</f>
        <v>Low</v>
      </c>
      <c r="H2371" s="1">
        <v>46123</v>
      </c>
      <c r="I2371" t="s">
        <v>2025</v>
      </c>
      <c r="J2371" t="s">
        <v>2035</v>
      </c>
      <c r="K2371" t="s">
        <v>1998</v>
      </c>
      <c r="L2371">
        <f>IF(G2371="High",3,IF(G2371="Medium",2,1))</f>
        <v>1</v>
      </c>
    </row>
    <row r="2372" spans="1:12">
      <c r="A2372" t="s">
        <v>4398</v>
      </c>
      <c r="B2372" t="s">
        <v>1476</v>
      </c>
      <c r="C2372" t="s">
        <v>1985</v>
      </c>
      <c r="D2372" t="s">
        <v>2012</v>
      </c>
      <c r="E2372" t="s">
        <v>57</v>
      </c>
      <c r="F2372" t="s">
        <v>57</v>
      </c>
      <c r="G2372" t="str">
        <f>INDEX(Risk_Matrix!$B$2:$D$4,MATCH(E2372,Risk_Matrix!$A$2:$A$4,0),MATCH(F2372,Risk_Matrix!$B$1:$D$1,0))</f>
        <v>Low</v>
      </c>
      <c r="H2372" s="1">
        <v>46230</v>
      </c>
      <c r="I2372" t="s">
        <v>2002</v>
      </c>
      <c r="J2372" t="s">
        <v>2003</v>
      </c>
      <c r="K2372" t="s">
        <v>1989</v>
      </c>
      <c r="L2372">
        <f>IF(G2372="High",3,IF(G2372="Medium",2,1))</f>
        <v>1</v>
      </c>
    </row>
    <row r="2373" spans="1:12">
      <c r="A2373" t="s">
        <v>4399</v>
      </c>
      <c r="B2373" t="s">
        <v>1476</v>
      </c>
      <c r="C2373" t="s">
        <v>1991</v>
      </c>
      <c r="D2373" t="s">
        <v>1992</v>
      </c>
      <c r="E2373" t="s">
        <v>47</v>
      </c>
      <c r="F2373" t="s">
        <v>57</v>
      </c>
      <c r="G2373" t="str">
        <f>INDEX(Risk_Matrix!$B$2:$D$4,MATCH(E2373,Risk_Matrix!$A$2:$A$4,0),MATCH(F2373,Risk_Matrix!$B$1:$D$1,0))</f>
        <v>Medium</v>
      </c>
      <c r="H2373" s="1">
        <v>46127</v>
      </c>
      <c r="I2373" t="s">
        <v>2025</v>
      </c>
      <c r="J2373" t="s">
        <v>2035</v>
      </c>
      <c r="K2373" t="s">
        <v>2010</v>
      </c>
      <c r="L2373">
        <f>IF(G2373="High",3,IF(G2373="Medium",2,1))</f>
        <v>2</v>
      </c>
    </row>
    <row r="2374" spans="1:12">
      <c r="A2374" t="s">
        <v>4400</v>
      </c>
      <c r="B2374" t="s">
        <v>1476</v>
      </c>
      <c r="C2374" t="s">
        <v>1995</v>
      </c>
      <c r="D2374" t="s">
        <v>2034</v>
      </c>
      <c r="E2374" t="s">
        <v>1971</v>
      </c>
      <c r="F2374" t="s">
        <v>57</v>
      </c>
      <c r="G2374" t="str">
        <f>INDEX(Risk_Matrix!$B$2:$D$4,MATCH(E2374,Risk_Matrix!$A$2:$A$4,0),MATCH(F2374,Risk_Matrix!$B$1:$D$1,0))</f>
        <v>Low</v>
      </c>
      <c r="H2374" s="1">
        <v>46139</v>
      </c>
      <c r="I2374" t="s">
        <v>1987</v>
      </c>
      <c r="J2374" t="s">
        <v>1988</v>
      </c>
      <c r="K2374" t="s">
        <v>2036</v>
      </c>
      <c r="L2374">
        <f>IF(G2374="High",3,IF(G2374="Medium",2,1))</f>
        <v>1</v>
      </c>
    </row>
    <row r="2375" spans="1:12">
      <c r="A2375" t="s">
        <v>4401</v>
      </c>
      <c r="B2375" t="s">
        <v>1476</v>
      </c>
      <c r="C2375" t="s">
        <v>2000</v>
      </c>
      <c r="D2375" t="s">
        <v>2001</v>
      </c>
      <c r="E2375" t="s">
        <v>47</v>
      </c>
      <c r="F2375" t="s">
        <v>1971</v>
      </c>
      <c r="G2375" t="str">
        <f>INDEX(Risk_Matrix!$B$2:$D$4,MATCH(E2375,Risk_Matrix!$A$2:$A$4,0),MATCH(F2375,Risk_Matrix!$B$1:$D$1,0))</f>
        <v>High</v>
      </c>
      <c r="H2375" s="1">
        <v>46236</v>
      </c>
      <c r="I2375" t="s">
        <v>2015</v>
      </c>
      <c r="J2375" t="s">
        <v>2032</v>
      </c>
      <c r="K2375" t="s">
        <v>1989</v>
      </c>
      <c r="L2375">
        <f>IF(G2375="High",3,IF(G2375="Medium",2,1))</f>
        <v>3</v>
      </c>
    </row>
    <row r="2376" spans="1:12">
      <c r="A2376" t="s">
        <v>4402</v>
      </c>
      <c r="B2376" t="s">
        <v>1476</v>
      </c>
      <c r="C2376" t="s">
        <v>2005</v>
      </c>
      <c r="D2376" t="s">
        <v>2022</v>
      </c>
      <c r="E2376" t="s">
        <v>57</v>
      </c>
      <c r="F2376" t="s">
        <v>57</v>
      </c>
      <c r="G2376" t="str">
        <f>INDEX(Risk_Matrix!$B$2:$D$4,MATCH(E2376,Risk_Matrix!$A$2:$A$4,0),MATCH(F2376,Risk_Matrix!$B$1:$D$1,0))</f>
        <v>Low</v>
      </c>
      <c r="H2376" s="1">
        <v>46160</v>
      </c>
      <c r="I2376" t="s">
        <v>2025</v>
      </c>
      <c r="J2376" t="s">
        <v>2035</v>
      </c>
      <c r="K2376" t="s">
        <v>1993</v>
      </c>
      <c r="L2376">
        <f>IF(G2376="High",3,IF(G2376="Medium",2,1))</f>
        <v>1</v>
      </c>
    </row>
    <row r="2377" spans="1:12">
      <c r="A2377" t="s">
        <v>4403</v>
      </c>
      <c r="B2377" t="s">
        <v>1476</v>
      </c>
      <c r="C2377" t="s">
        <v>2008</v>
      </c>
      <c r="D2377" t="s">
        <v>2024</v>
      </c>
      <c r="E2377" t="s">
        <v>1971</v>
      </c>
      <c r="F2377" t="s">
        <v>1971</v>
      </c>
      <c r="G2377" t="str">
        <f>INDEX(Risk_Matrix!$B$2:$D$4,MATCH(E2377,Risk_Matrix!$A$2:$A$4,0),MATCH(F2377,Risk_Matrix!$B$1:$D$1,0))</f>
        <v>Medium</v>
      </c>
      <c r="H2377" s="1">
        <v>46150</v>
      </c>
      <c r="I2377" t="s">
        <v>2015</v>
      </c>
      <c r="J2377" t="s">
        <v>2016</v>
      </c>
      <c r="K2377" t="s">
        <v>2010</v>
      </c>
      <c r="L2377">
        <f>IF(G2377="High",3,IF(G2377="Medium",2,1))</f>
        <v>2</v>
      </c>
    </row>
    <row r="2378" spans="1:12">
      <c r="A2378" t="s">
        <v>4404</v>
      </c>
      <c r="B2378" t="s">
        <v>1479</v>
      </c>
      <c r="C2378" t="s">
        <v>1985</v>
      </c>
      <c r="D2378" t="s">
        <v>2012</v>
      </c>
      <c r="E2378" t="s">
        <v>57</v>
      </c>
      <c r="F2378" t="s">
        <v>57</v>
      </c>
      <c r="G2378" t="str">
        <f>INDEX(Risk_Matrix!$B$2:$D$4,MATCH(E2378,Risk_Matrix!$A$2:$A$4,0),MATCH(F2378,Risk_Matrix!$B$1:$D$1,0))</f>
        <v>Low</v>
      </c>
      <c r="H2378" s="1">
        <v>46104</v>
      </c>
      <c r="I2378" t="s">
        <v>1987</v>
      </c>
      <c r="J2378" t="s">
        <v>1988</v>
      </c>
      <c r="K2378" t="s">
        <v>1998</v>
      </c>
      <c r="L2378">
        <f>IF(G2378="High",3,IF(G2378="Medium",2,1))</f>
        <v>1</v>
      </c>
    </row>
    <row r="2379" spans="1:12">
      <c r="A2379" t="s">
        <v>4405</v>
      </c>
      <c r="B2379" t="s">
        <v>1479</v>
      </c>
      <c r="C2379" t="s">
        <v>1991</v>
      </c>
      <c r="D2379" t="s">
        <v>2064</v>
      </c>
      <c r="E2379" t="s">
        <v>1971</v>
      </c>
      <c r="F2379" t="s">
        <v>47</v>
      </c>
      <c r="G2379" t="str">
        <f>INDEX(Risk_Matrix!$B$2:$D$4,MATCH(E2379,Risk_Matrix!$A$2:$A$4,0),MATCH(F2379,Risk_Matrix!$B$1:$D$1,0))</f>
        <v>High</v>
      </c>
      <c r="H2379" s="1">
        <v>46055</v>
      </c>
      <c r="I2379" t="s">
        <v>2025</v>
      </c>
      <c r="J2379" t="s">
        <v>2035</v>
      </c>
      <c r="K2379" t="s">
        <v>1993</v>
      </c>
      <c r="L2379">
        <f>IF(G2379="High",3,IF(G2379="Medium",2,1))</f>
        <v>3</v>
      </c>
    </row>
    <row r="2380" spans="1:12">
      <c r="A2380" t="s">
        <v>4406</v>
      </c>
      <c r="B2380" t="s">
        <v>1479</v>
      </c>
      <c r="C2380" t="s">
        <v>1995</v>
      </c>
      <c r="D2380" t="s">
        <v>2150</v>
      </c>
      <c r="E2380" t="s">
        <v>1971</v>
      </c>
      <c r="F2380" t="s">
        <v>1971</v>
      </c>
      <c r="G2380" t="str">
        <f>INDEX(Risk_Matrix!$B$2:$D$4,MATCH(E2380,Risk_Matrix!$A$2:$A$4,0),MATCH(F2380,Risk_Matrix!$B$1:$D$1,0))</f>
        <v>Medium</v>
      </c>
      <c r="H2380" s="1">
        <v>46087</v>
      </c>
      <c r="I2380" t="s">
        <v>2025</v>
      </c>
      <c r="J2380" t="s">
        <v>2026</v>
      </c>
      <c r="K2380" t="s">
        <v>1998</v>
      </c>
      <c r="L2380">
        <f>IF(G2380="High",3,IF(G2380="Medium",2,1))</f>
        <v>2</v>
      </c>
    </row>
    <row r="2381" spans="1:12">
      <c r="A2381" t="s">
        <v>4407</v>
      </c>
      <c r="B2381" t="s">
        <v>1479</v>
      </c>
      <c r="C2381" t="s">
        <v>2000</v>
      </c>
      <c r="D2381" t="s">
        <v>2045</v>
      </c>
      <c r="E2381" t="s">
        <v>1971</v>
      </c>
      <c r="F2381" t="s">
        <v>1971</v>
      </c>
      <c r="G2381" t="str">
        <f>INDEX(Risk_Matrix!$B$2:$D$4,MATCH(E2381,Risk_Matrix!$A$2:$A$4,0),MATCH(F2381,Risk_Matrix!$B$1:$D$1,0))</f>
        <v>Medium</v>
      </c>
      <c r="H2381" s="1">
        <v>46197</v>
      </c>
      <c r="I2381" t="s">
        <v>2025</v>
      </c>
      <c r="J2381" t="s">
        <v>2026</v>
      </c>
      <c r="K2381" t="s">
        <v>1989</v>
      </c>
      <c r="L2381">
        <f>IF(G2381="High",3,IF(G2381="Medium",2,1))</f>
        <v>2</v>
      </c>
    </row>
    <row r="2382" spans="1:12">
      <c r="A2382" t="s">
        <v>4408</v>
      </c>
      <c r="B2382" t="s">
        <v>1479</v>
      </c>
      <c r="C2382" t="s">
        <v>2005</v>
      </c>
      <c r="D2382" t="s">
        <v>2022</v>
      </c>
      <c r="E2382" t="s">
        <v>57</v>
      </c>
      <c r="F2382" t="s">
        <v>57</v>
      </c>
      <c r="G2382" t="str">
        <f>INDEX(Risk_Matrix!$B$2:$D$4,MATCH(E2382,Risk_Matrix!$A$2:$A$4,0),MATCH(F2382,Risk_Matrix!$B$1:$D$1,0))</f>
        <v>Low</v>
      </c>
      <c r="H2382" s="1">
        <v>46098</v>
      </c>
      <c r="I2382" t="s">
        <v>2025</v>
      </c>
      <c r="J2382" t="s">
        <v>2026</v>
      </c>
      <c r="K2382" t="s">
        <v>1993</v>
      </c>
      <c r="L2382">
        <f>IF(G2382="High",3,IF(G2382="Medium",2,1))</f>
        <v>1</v>
      </c>
    </row>
    <row r="2383" spans="1:12">
      <c r="A2383" t="s">
        <v>4409</v>
      </c>
      <c r="B2383" t="s">
        <v>1479</v>
      </c>
      <c r="C2383" t="s">
        <v>2008</v>
      </c>
      <c r="D2383" t="s">
        <v>2054</v>
      </c>
      <c r="E2383" t="s">
        <v>57</v>
      </c>
      <c r="F2383" t="s">
        <v>57</v>
      </c>
      <c r="G2383" t="str">
        <f>INDEX(Risk_Matrix!$B$2:$D$4,MATCH(E2383,Risk_Matrix!$A$2:$A$4,0),MATCH(F2383,Risk_Matrix!$B$1:$D$1,0))</f>
        <v>Low</v>
      </c>
      <c r="H2383" s="1">
        <v>46154</v>
      </c>
      <c r="I2383" t="s">
        <v>2002</v>
      </c>
      <c r="J2383" t="s">
        <v>2003</v>
      </c>
      <c r="K2383" t="s">
        <v>2010</v>
      </c>
      <c r="L2383">
        <f>IF(G2383="High",3,IF(G2383="Medium",2,1))</f>
        <v>1</v>
      </c>
    </row>
    <row r="2384" spans="1:12">
      <c r="A2384" t="s">
        <v>4410</v>
      </c>
      <c r="B2384" t="s">
        <v>1481</v>
      </c>
      <c r="C2384" t="s">
        <v>1985</v>
      </c>
      <c r="D2384" t="s">
        <v>2062</v>
      </c>
      <c r="E2384" t="s">
        <v>57</v>
      </c>
      <c r="F2384" t="s">
        <v>1971</v>
      </c>
      <c r="G2384" t="str">
        <f>INDEX(Risk_Matrix!$B$2:$D$4,MATCH(E2384,Risk_Matrix!$A$2:$A$4,0),MATCH(F2384,Risk_Matrix!$B$1:$D$1,0))</f>
        <v>Low</v>
      </c>
      <c r="H2384" s="1">
        <v>46138</v>
      </c>
      <c r="I2384" t="s">
        <v>2025</v>
      </c>
      <c r="J2384" t="s">
        <v>2035</v>
      </c>
      <c r="K2384" t="s">
        <v>1998</v>
      </c>
      <c r="L2384">
        <f>IF(G2384="High",3,IF(G2384="Medium",2,1))</f>
        <v>1</v>
      </c>
    </row>
    <row r="2385" spans="1:12">
      <c r="A2385" t="s">
        <v>4411</v>
      </c>
      <c r="B2385" t="s">
        <v>1481</v>
      </c>
      <c r="C2385" t="s">
        <v>1991</v>
      </c>
      <c r="D2385" t="s">
        <v>2031</v>
      </c>
      <c r="E2385" t="s">
        <v>47</v>
      </c>
      <c r="F2385" t="s">
        <v>57</v>
      </c>
      <c r="G2385" t="str">
        <f>INDEX(Risk_Matrix!$B$2:$D$4,MATCH(E2385,Risk_Matrix!$A$2:$A$4,0),MATCH(F2385,Risk_Matrix!$B$1:$D$1,0))</f>
        <v>Medium</v>
      </c>
      <c r="H2385" s="1">
        <v>46090</v>
      </c>
      <c r="I2385" t="s">
        <v>1987</v>
      </c>
      <c r="J2385" t="s">
        <v>1988</v>
      </c>
      <c r="K2385" t="s">
        <v>1993</v>
      </c>
      <c r="L2385">
        <f>IF(G2385="High",3,IF(G2385="Medium",2,1))</f>
        <v>2</v>
      </c>
    </row>
    <row r="2386" spans="1:12">
      <c r="A2386" t="s">
        <v>4412</v>
      </c>
      <c r="B2386" t="s">
        <v>1481</v>
      </c>
      <c r="C2386" t="s">
        <v>1995</v>
      </c>
      <c r="D2386" t="s">
        <v>2018</v>
      </c>
      <c r="E2386" t="s">
        <v>57</v>
      </c>
      <c r="F2386" t="s">
        <v>47</v>
      </c>
      <c r="G2386" t="str">
        <f>INDEX(Risk_Matrix!$B$2:$D$4,MATCH(E2386,Risk_Matrix!$A$2:$A$4,0),MATCH(F2386,Risk_Matrix!$B$1:$D$1,0))</f>
        <v>Medium</v>
      </c>
      <c r="H2386" s="1">
        <v>46214</v>
      </c>
      <c r="I2386" t="s">
        <v>1987</v>
      </c>
      <c r="J2386" t="s">
        <v>1988</v>
      </c>
      <c r="K2386" t="s">
        <v>2036</v>
      </c>
      <c r="L2386">
        <f>IF(G2386="High",3,IF(G2386="Medium",2,1))</f>
        <v>2</v>
      </c>
    </row>
    <row r="2387" spans="1:12">
      <c r="A2387" t="s">
        <v>4413</v>
      </c>
      <c r="B2387" t="s">
        <v>1481</v>
      </c>
      <c r="C2387" t="s">
        <v>2000</v>
      </c>
      <c r="D2387" t="s">
        <v>2001</v>
      </c>
      <c r="E2387" t="s">
        <v>57</v>
      </c>
      <c r="F2387" t="s">
        <v>1971</v>
      </c>
      <c r="G2387" t="str">
        <f>INDEX(Risk_Matrix!$B$2:$D$4,MATCH(E2387,Risk_Matrix!$A$2:$A$4,0),MATCH(F2387,Risk_Matrix!$B$1:$D$1,0))</f>
        <v>Low</v>
      </c>
      <c r="H2387" s="1">
        <v>46125</v>
      </c>
      <c r="I2387" t="s">
        <v>2002</v>
      </c>
      <c r="J2387" t="s">
        <v>2029</v>
      </c>
      <c r="K2387" t="s">
        <v>1993</v>
      </c>
      <c r="L2387">
        <f>IF(G2387="High",3,IF(G2387="Medium",2,1))</f>
        <v>1</v>
      </c>
    </row>
    <row r="2388" spans="1:12">
      <c r="A2388" t="s">
        <v>4414</v>
      </c>
      <c r="B2388" t="s">
        <v>1481</v>
      </c>
      <c r="C2388" t="s">
        <v>2005</v>
      </c>
      <c r="D2388" t="s">
        <v>2022</v>
      </c>
      <c r="E2388" t="s">
        <v>1971</v>
      </c>
      <c r="F2388" t="s">
        <v>57</v>
      </c>
      <c r="G2388" t="str">
        <f>INDEX(Risk_Matrix!$B$2:$D$4,MATCH(E2388,Risk_Matrix!$A$2:$A$4,0),MATCH(F2388,Risk_Matrix!$B$1:$D$1,0))</f>
        <v>Low</v>
      </c>
      <c r="H2388" s="1">
        <v>46084</v>
      </c>
      <c r="I2388" t="s">
        <v>1987</v>
      </c>
      <c r="J2388" t="s">
        <v>1988</v>
      </c>
      <c r="K2388" t="s">
        <v>1993</v>
      </c>
      <c r="L2388">
        <f>IF(G2388="High",3,IF(G2388="Medium",2,1))</f>
        <v>1</v>
      </c>
    </row>
    <row r="2389" spans="1:12">
      <c r="A2389" t="s">
        <v>4415</v>
      </c>
      <c r="B2389" t="s">
        <v>1481</v>
      </c>
      <c r="C2389" t="s">
        <v>2008</v>
      </c>
      <c r="D2389" t="s">
        <v>2009</v>
      </c>
      <c r="E2389" t="s">
        <v>1971</v>
      </c>
      <c r="F2389" t="s">
        <v>57</v>
      </c>
      <c r="G2389" t="str">
        <f>INDEX(Risk_Matrix!$B$2:$D$4,MATCH(E2389,Risk_Matrix!$A$2:$A$4,0),MATCH(F2389,Risk_Matrix!$B$1:$D$1,0))</f>
        <v>Low</v>
      </c>
      <c r="H2389" s="1">
        <v>46178</v>
      </c>
      <c r="I2389" t="s">
        <v>2002</v>
      </c>
      <c r="J2389" t="s">
        <v>2003</v>
      </c>
      <c r="K2389" t="s">
        <v>2010</v>
      </c>
      <c r="L2389">
        <f>IF(G2389="High",3,IF(G2389="Medium",2,1))</f>
        <v>1</v>
      </c>
    </row>
    <row r="2390" spans="1:12">
      <c r="A2390" t="s">
        <v>4416</v>
      </c>
      <c r="B2390" t="s">
        <v>1484</v>
      </c>
      <c r="C2390" t="s">
        <v>1985</v>
      </c>
      <c r="D2390" t="s">
        <v>2062</v>
      </c>
      <c r="E2390" t="s">
        <v>47</v>
      </c>
      <c r="F2390" t="s">
        <v>57</v>
      </c>
      <c r="G2390" t="str">
        <f>INDEX(Risk_Matrix!$B$2:$D$4,MATCH(E2390,Risk_Matrix!$A$2:$A$4,0),MATCH(F2390,Risk_Matrix!$B$1:$D$1,0))</f>
        <v>Medium</v>
      </c>
      <c r="H2390" s="1">
        <v>46191</v>
      </c>
      <c r="I2390" t="s">
        <v>1987</v>
      </c>
      <c r="J2390" t="s">
        <v>1997</v>
      </c>
      <c r="K2390" t="s">
        <v>1989</v>
      </c>
      <c r="L2390">
        <f>IF(G2390="High",3,IF(G2390="Medium",2,1))</f>
        <v>2</v>
      </c>
    </row>
    <row r="2391" spans="1:12">
      <c r="A2391" t="s">
        <v>4417</v>
      </c>
      <c r="B2391" t="s">
        <v>1484</v>
      </c>
      <c r="C2391" t="s">
        <v>1991</v>
      </c>
      <c r="D2391" t="s">
        <v>2031</v>
      </c>
      <c r="E2391" t="s">
        <v>1971</v>
      </c>
      <c r="F2391" t="s">
        <v>57</v>
      </c>
      <c r="G2391" t="str">
        <f>INDEX(Risk_Matrix!$B$2:$D$4,MATCH(E2391,Risk_Matrix!$A$2:$A$4,0),MATCH(F2391,Risk_Matrix!$B$1:$D$1,0))</f>
        <v>Low</v>
      </c>
      <c r="H2391" s="1">
        <v>46079</v>
      </c>
      <c r="I2391" t="s">
        <v>2002</v>
      </c>
      <c r="J2391" t="s">
        <v>2029</v>
      </c>
      <c r="K2391" t="s">
        <v>1993</v>
      </c>
      <c r="L2391">
        <f>IF(G2391="High",3,IF(G2391="Medium",2,1))</f>
        <v>1</v>
      </c>
    </row>
    <row r="2392" spans="1:12">
      <c r="A2392" t="s">
        <v>4418</v>
      </c>
      <c r="B2392" t="s">
        <v>1484</v>
      </c>
      <c r="C2392" t="s">
        <v>1995</v>
      </c>
      <c r="D2392" t="s">
        <v>2150</v>
      </c>
      <c r="E2392" t="s">
        <v>1971</v>
      </c>
      <c r="F2392" t="s">
        <v>1971</v>
      </c>
      <c r="G2392" t="str">
        <f>INDEX(Risk_Matrix!$B$2:$D$4,MATCH(E2392,Risk_Matrix!$A$2:$A$4,0),MATCH(F2392,Risk_Matrix!$B$1:$D$1,0))</f>
        <v>Medium</v>
      </c>
      <c r="H2392" s="1">
        <v>46130</v>
      </c>
      <c r="I2392" t="s">
        <v>2025</v>
      </c>
      <c r="J2392" t="s">
        <v>2035</v>
      </c>
      <c r="K2392" t="s">
        <v>1998</v>
      </c>
      <c r="L2392">
        <f>IF(G2392="High",3,IF(G2392="Medium",2,1))</f>
        <v>2</v>
      </c>
    </row>
    <row r="2393" spans="1:12">
      <c r="A2393" t="s">
        <v>4419</v>
      </c>
      <c r="B2393" t="s">
        <v>1484</v>
      </c>
      <c r="C2393" t="s">
        <v>2000</v>
      </c>
      <c r="D2393" t="s">
        <v>2001</v>
      </c>
      <c r="E2393" t="s">
        <v>47</v>
      </c>
      <c r="F2393" t="s">
        <v>1971</v>
      </c>
      <c r="G2393" t="str">
        <f>INDEX(Risk_Matrix!$B$2:$D$4,MATCH(E2393,Risk_Matrix!$A$2:$A$4,0),MATCH(F2393,Risk_Matrix!$B$1:$D$1,0))</f>
        <v>High</v>
      </c>
      <c r="H2393" s="1">
        <v>46171</v>
      </c>
      <c r="I2393" t="s">
        <v>2015</v>
      </c>
      <c r="J2393" t="s">
        <v>2032</v>
      </c>
      <c r="K2393" t="s">
        <v>1989</v>
      </c>
      <c r="L2393">
        <f>IF(G2393="High",3,IF(G2393="Medium",2,1))</f>
        <v>3</v>
      </c>
    </row>
    <row r="2394" spans="1:12">
      <c r="A2394" t="s">
        <v>4420</v>
      </c>
      <c r="B2394" t="s">
        <v>1484</v>
      </c>
      <c r="C2394" t="s">
        <v>2005</v>
      </c>
      <c r="D2394" t="s">
        <v>2006</v>
      </c>
      <c r="E2394" t="s">
        <v>1971</v>
      </c>
      <c r="F2394" t="s">
        <v>57</v>
      </c>
      <c r="G2394" t="str">
        <f>INDEX(Risk_Matrix!$B$2:$D$4,MATCH(E2394,Risk_Matrix!$A$2:$A$4,0),MATCH(F2394,Risk_Matrix!$B$1:$D$1,0))</f>
        <v>Low</v>
      </c>
      <c r="H2394" s="1">
        <v>46180</v>
      </c>
      <c r="I2394" t="s">
        <v>2025</v>
      </c>
      <c r="J2394" t="s">
        <v>2026</v>
      </c>
      <c r="K2394" t="s">
        <v>1993</v>
      </c>
      <c r="L2394">
        <f>IF(G2394="High",3,IF(G2394="Medium",2,1))</f>
        <v>1</v>
      </c>
    </row>
    <row r="2395" spans="1:12">
      <c r="A2395" t="s">
        <v>4421</v>
      </c>
      <c r="B2395" t="s">
        <v>1484</v>
      </c>
      <c r="C2395" t="s">
        <v>2008</v>
      </c>
      <c r="D2395" t="s">
        <v>2054</v>
      </c>
      <c r="E2395" t="s">
        <v>1971</v>
      </c>
      <c r="F2395" t="s">
        <v>1971</v>
      </c>
      <c r="G2395" t="str">
        <f>INDEX(Risk_Matrix!$B$2:$D$4,MATCH(E2395,Risk_Matrix!$A$2:$A$4,0),MATCH(F2395,Risk_Matrix!$B$1:$D$1,0))</f>
        <v>Medium</v>
      </c>
      <c r="H2395" s="1">
        <v>46160</v>
      </c>
      <c r="I2395" t="s">
        <v>2015</v>
      </c>
      <c r="J2395" t="s">
        <v>2016</v>
      </c>
      <c r="K2395" t="s">
        <v>2010</v>
      </c>
      <c r="L2395">
        <f>IF(G2395="High",3,IF(G2395="Medium",2,1))</f>
        <v>2</v>
      </c>
    </row>
    <row r="2396" spans="1:12">
      <c r="A2396" t="s">
        <v>4422</v>
      </c>
      <c r="B2396" t="s">
        <v>1486</v>
      </c>
      <c r="C2396" t="s">
        <v>1985</v>
      </c>
      <c r="D2396" t="s">
        <v>2012</v>
      </c>
      <c r="E2396" t="s">
        <v>1971</v>
      </c>
      <c r="F2396" t="s">
        <v>1971</v>
      </c>
      <c r="G2396" t="str">
        <f>INDEX(Risk_Matrix!$B$2:$D$4,MATCH(E2396,Risk_Matrix!$A$2:$A$4,0),MATCH(F2396,Risk_Matrix!$B$1:$D$1,0))</f>
        <v>Medium</v>
      </c>
      <c r="H2396" s="1">
        <v>46090</v>
      </c>
      <c r="I2396" t="s">
        <v>2002</v>
      </c>
      <c r="J2396" t="s">
        <v>2003</v>
      </c>
      <c r="K2396" t="s">
        <v>1989</v>
      </c>
      <c r="L2396">
        <f>IF(G2396="High",3,IF(G2396="Medium",2,1))</f>
        <v>2</v>
      </c>
    </row>
    <row r="2397" spans="1:12">
      <c r="A2397" t="s">
        <v>4423</v>
      </c>
      <c r="B2397" t="s">
        <v>1486</v>
      </c>
      <c r="C2397" t="s">
        <v>1991</v>
      </c>
      <c r="D2397" t="s">
        <v>2014</v>
      </c>
      <c r="E2397" t="s">
        <v>1971</v>
      </c>
      <c r="F2397" t="s">
        <v>57</v>
      </c>
      <c r="G2397" t="str">
        <f>INDEX(Risk_Matrix!$B$2:$D$4,MATCH(E2397,Risk_Matrix!$A$2:$A$4,0),MATCH(F2397,Risk_Matrix!$B$1:$D$1,0))</f>
        <v>Low</v>
      </c>
      <c r="H2397" s="1">
        <v>46131</v>
      </c>
      <c r="I2397" t="s">
        <v>2002</v>
      </c>
      <c r="J2397" t="s">
        <v>2029</v>
      </c>
      <c r="K2397" t="s">
        <v>1993</v>
      </c>
      <c r="L2397">
        <f>IF(G2397="High",3,IF(G2397="Medium",2,1))</f>
        <v>1</v>
      </c>
    </row>
    <row r="2398" spans="1:12">
      <c r="A2398" t="s">
        <v>4424</v>
      </c>
      <c r="B2398" t="s">
        <v>1486</v>
      </c>
      <c r="C2398" t="s">
        <v>1995</v>
      </c>
      <c r="D2398" t="s">
        <v>2034</v>
      </c>
      <c r="E2398" t="s">
        <v>57</v>
      </c>
      <c r="F2398" t="s">
        <v>57</v>
      </c>
      <c r="G2398" t="str">
        <f>INDEX(Risk_Matrix!$B$2:$D$4,MATCH(E2398,Risk_Matrix!$A$2:$A$4,0),MATCH(F2398,Risk_Matrix!$B$1:$D$1,0))</f>
        <v>Low</v>
      </c>
      <c r="H2398" s="1">
        <v>46178</v>
      </c>
      <c r="I2398" t="s">
        <v>2015</v>
      </c>
      <c r="J2398" t="s">
        <v>2016</v>
      </c>
      <c r="K2398" t="s">
        <v>1998</v>
      </c>
      <c r="L2398">
        <f>IF(G2398="High",3,IF(G2398="Medium",2,1))</f>
        <v>1</v>
      </c>
    </row>
    <row r="2399" spans="1:12">
      <c r="A2399" t="s">
        <v>4425</v>
      </c>
      <c r="B2399" t="s">
        <v>1486</v>
      </c>
      <c r="C2399" t="s">
        <v>2000</v>
      </c>
      <c r="D2399" t="s">
        <v>2001</v>
      </c>
      <c r="E2399" t="s">
        <v>47</v>
      </c>
      <c r="F2399" t="s">
        <v>1971</v>
      </c>
      <c r="G2399" t="str">
        <f>INDEX(Risk_Matrix!$B$2:$D$4,MATCH(E2399,Risk_Matrix!$A$2:$A$4,0),MATCH(F2399,Risk_Matrix!$B$1:$D$1,0))</f>
        <v>High</v>
      </c>
      <c r="H2399" s="1">
        <v>46210</v>
      </c>
      <c r="I2399" t="s">
        <v>2015</v>
      </c>
      <c r="J2399" t="s">
        <v>2016</v>
      </c>
      <c r="K2399" t="s">
        <v>1989</v>
      </c>
      <c r="L2399">
        <f>IF(G2399="High",3,IF(G2399="Medium",2,1))</f>
        <v>3</v>
      </c>
    </row>
    <row r="2400" spans="1:12">
      <c r="A2400" t="s">
        <v>4426</v>
      </c>
      <c r="B2400" t="s">
        <v>1486</v>
      </c>
      <c r="C2400" t="s">
        <v>2005</v>
      </c>
      <c r="D2400" t="s">
        <v>2039</v>
      </c>
      <c r="E2400" t="s">
        <v>57</v>
      </c>
      <c r="F2400" t="s">
        <v>57</v>
      </c>
      <c r="G2400" t="str">
        <f>INDEX(Risk_Matrix!$B$2:$D$4,MATCH(E2400,Risk_Matrix!$A$2:$A$4,0),MATCH(F2400,Risk_Matrix!$B$1:$D$1,0))</f>
        <v>Low</v>
      </c>
      <c r="H2400" s="1">
        <v>46210</v>
      </c>
      <c r="I2400" t="s">
        <v>1987</v>
      </c>
      <c r="J2400" t="s">
        <v>1988</v>
      </c>
      <c r="K2400" t="s">
        <v>1993</v>
      </c>
      <c r="L2400">
        <f>IF(G2400="High",3,IF(G2400="Medium",2,1))</f>
        <v>1</v>
      </c>
    </row>
    <row r="2401" spans="1:12">
      <c r="A2401" t="s">
        <v>4427</v>
      </c>
      <c r="B2401" t="s">
        <v>1486</v>
      </c>
      <c r="C2401" t="s">
        <v>2008</v>
      </c>
      <c r="D2401" t="s">
        <v>2024</v>
      </c>
      <c r="E2401" t="s">
        <v>1971</v>
      </c>
      <c r="F2401" t="s">
        <v>1971</v>
      </c>
      <c r="G2401" t="str">
        <f>INDEX(Risk_Matrix!$B$2:$D$4,MATCH(E2401,Risk_Matrix!$A$2:$A$4,0),MATCH(F2401,Risk_Matrix!$B$1:$D$1,0))</f>
        <v>Medium</v>
      </c>
      <c r="H2401" s="1">
        <v>46155</v>
      </c>
      <c r="I2401" t="s">
        <v>2025</v>
      </c>
      <c r="J2401" t="s">
        <v>2035</v>
      </c>
      <c r="K2401" t="s">
        <v>2010</v>
      </c>
      <c r="L2401">
        <f>IF(G2401="High",3,IF(G2401="Medium",2,1))</f>
        <v>2</v>
      </c>
    </row>
    <row r="2402" spans="1:12">
      <c r="A2402" t="s">
        <v>4428</v>
      </c>
      <c r="B2402" t="s">
        <v>1489</v>
      </c>
      <c r="C2402" t="s">
        <v>1985</v>
      </c>
      <c r="D2402" t="s">
        <v>1986</v>
      </c>
      <c r="E2402" t="s">
        <v>47</v>
      </c>
      <c r="F2402" t="s">
        <v>57</v>
      </c>
      <c r="G2402" t="str">
        <f>INDEX(Risk_Matrix!$B$2:$D$4,MATCH(E2402,Risk_Matrix!$A$2:$A$4,0),MATCH(F2402,Risk_Matrix!$B$1:$D$1,0))</f>
        <v>Medium</v>
      </c>
      <c r="H2402" s="1">
        <v>46056</v>
      </c>
      <c r="I2402" t="s">
        <v>2025</v>
      </c>
      <c r="J2402" t="s">
        <v>2026</v>
      </c>
      <c r="K2402" t="s">
        <v>1989</v>
      </c>
      <c r="L2402">
        <f>IF(G2402="High",3,IF(G2402="Medium",2,1))</f>
        <v>2</v>
      </c>
    </row>
    <row r="2403" spans="1:12">
      <c r="A2403" t="s">
        <v>4429</v>
      </c>
      <c r="B2403" t="s">
        <v>1489</v>
      </c>
      <c r="C2403" t="s">
        <v>1991</v>
      </c>
      <c r="D2403" t="s">
        <v>2014</v>
      </c>
      <c r="E2403" t="s">
        <v>57</v>
      </c>
      <c r="F2403" t="s">
        <v>1971</v>
      </c>
      <c r="G2403" t="str">
        <f>INDEX(Risk_Matrix!$B$2:$D$4,MATCH(E2403,Risk_Matrix!$A$2:$A$4,0),MATCH(F2403,Risk_Matrix!$B$1:$D$1,0))</f>
        <v>Low</v>
      </c>
      <c r="H2403" s="1">
        <v>46168</v>
      </c>
      <c r="I2403" t="s">
        <v>1987</v>
      </c>
      <c r="J2403" t="s">
        <v>1988</v>
      </c>
      <c r="K2403" t="s">
        <v>1993</v>
      </c>
      <c r="L2403">
        <f>IF(G2403="High",3,IF(G2403="Medium",2,1))</f>
        <v>1</v>
      </c>
    </row>
    <row r="2404" spans="1:12">
      <c r="A2404" t="s">
        <v>4430</v>
      </c>
      <c r="B2404" t="s">
        <v>1489</v>
      </c>
      <c r="C2404" t="s">
        <v>1995</v>
      </c>
      <c r="D2404" t="s">
        <v>2150</v>
      </c>
      <c r="E2404" t="s">
        <v>47</v>
      </c>
      <c r="F2404" t="s">
        <v>1971</v>
      </c>
      <c r="G2404" t="str">
        <f>INDEX(Risk_Matrix!$B$2:$D$4,MATCH(E2404,Risk_Matrix!$A$2:$A$4,0),MATCH(F2404,Risk_Matrix!$B$1:$D$1,0))</f>
        <v>High</v>
      </c>
      <c r="H2404" s="1">
        <v>46085</v>
      </c>
      <c r="I2404" t="s">
        <v>1987</v>
      </c>
      <c r="J2404" t="s">
        <v>1988</v>
      </c>
      <c r="K2404" t="s">
        <v>2036</v>
      </c>
      <c r="L2404">
        <f>IF(G2404="High",3,IF(G2404="Medium",2,1))</f>
        <v>3</v>
      </c>
    </row>
    <row r="2405" spans="1:12">
      <c r="A2405" t="s">
        <v>4431</v>
      </c>
      <c r="B2405" t="s">
        <v>1489</v>
      </c>
      <c r="C2405" t="s">
        <v>2000</v>
      </c>
      <c r="D2405" t="s">
        <v>2001</v>
      </c>
      <c r="E2405" t="s">
        <v>47</v>
      </c>
      <c r="F2405" t="s">
        <v>47</v>
      </c>
      <c r="G2405" t="str">
        <f>INDEX(Risk_Matrix!$B$2:$D$4,MATCH(E2405,Risk_Matrix!$A$2:$A$4,0),MATCH(F2405,Risk_Matrix!$B$1:$D$1,0))</f>
        <v>High</v>
      </c>
      <c r="H2405" s="1">
        <v>46211</v>
      </c>
      <c r="I2405" t="s">
        <v>2015</v>
      </c>
      <c r="J2405" t="s">
        <v>2016</v>
      </c>
      <c r="K2405" t="s">
        <v>1989</v>
      </c>
      <c r="L2405">
        <f>IF(G2405="High",3,IF(G2405="Medium",2,1))</f>
        <v>3</v>
      </c>
    </row>
    <row r="2406" spans="1:12">
      <c r="A2406" t="s">
        <v>4432</v>
      </c>
      <c r="B2406" t="s">
        <v>1489</v>
      </c>
      <c r="C2406" t="s">
        <v>2005</v>
      </c>
      <c r="D2406" t="s">
        <v>2006</v>
      </c>
      <c r="E2406" t="s">
        <v>57</v>
      </c>
      <c r="F2406" t="s">
        <v>57</v>
      </c>
      <c r="G2406" t="str">
        <f>INDEX(Risk_Matrix!$B$2:$D$4,MATCH(E2406,Risk_Matrix!$A$2:$A$4,0),MATCH(F2406,Risk_Matrix!$B$1:$D$1,0))</f>
        <v>Low</v>
      </c>
      <c r="H2406" s="1">
        <v>46178</v>
      </c>
      <c r="I2406" t="s">
        <v>2015</v>
      </c>
      <c r="J2406" t="s">
        <v>2032</v>
      </c>
      <c r="K2406" t="s">
        <v>1993</v>
      </c>
      <c r="L2406">
        <f>IF(G2406="High",3,IF(G2406="Medium",2,1))</f>
        <v>1</v>
      </c>
    </row>
    <row r="2407" spans="1:12">
      <c r="A2407" t="s">
        <v>4433</v>
      </c>
      <c r="B2407" t="s">
        <v>1489</v>
      </c>
      <c r="C2407" t="s">
        <v>2008</v>
      </c>
      <c r="D2407" t="s">
        <v>2054</v>
      </c>
      <c r="E2407" t="s">
        <v>1971</v>
      </c>
      <c r="F2407" t="s">
        <v>47</v>
      </c>
      <c r="G2407" t="str">
        <f>INDEX(Risk_Matrix!$B$2:$D$4,MATCH(E2407,Risk_Matrix!$A$2:$A$4,0),MATCH(F2407,Risk_Matrix!$B$1:$D$1,0))</f>
        <v>High</v>
      </c>
      <c r="H2407" s="1">
        <v>46224</v>
      </c>
      <c r="I2407" t="s">
        <v>2015</v>
      </c>
      <c r="J2407" t="s">
        <v>2016</v>
      </c>
      <c r="K2407" t="s">
        <v>2010</v>
      </c>
      <c r="L2407">
        <f>IF(G2407="High",3,IF(G2407="Medium",2,1))</f>
        <v>3</v>
      </c>
    </row>
    <row r="2408" spans="1:12">
      <c r="A2408" t="s">
        <v>4434</v>
      </c>
      <c r="B2408" t="s">
        <v>1491</v>
      </c>
      <c r="C2408" t="s">
        <v>1985</v>
      </c>
      <c r="D2408" t="s">
        <v>1986</v>
      </c>
      <c r="E2408" t="s">
        <v>57</v>
      </c>
      <c r="F2408" t="s">
        <v>1971</v>
      </c>
      <c r="G2408" t="str">
        <f>INDEX(Risk_Matrix!$B$2:$D$4,MATCH(E2408,Risk_Matrix!$A$2:$A$4,0),MATCH(F2408,Risk_Matrix!$B$1:$D$1,0))</f>
        <v>Low</v>
      </c>
      <c r="H2408" s="1">
        <v>46073</v>
      </c>
      <c r="I2408" t="s">
        <v>1987</v>
      </c>
      <c r="J2408" t="s">
        <v>1997</v>
      </c>
      <c r="K2408" t="s">
        <v>1989</v>
      </c>
      <c r="L2408">
        <f>IF(G2408="High",3,IF(G2408="Medium",2,1))</f>
        <v>1</v>
      </c>
    </row>
    <row r="2409" spans="1:12">
      <c r="A2409" t="s">
        <v>4435</v>
      </c>
      <c r="B2409" t="s">
        <v>1491</v>
      </c>
      <c r="C2409" t="s">
        <v>1991</v>
      </c>
      <c r="D2409" t="s">
        <v>2064</v>
      </c>
      <c r="E2409" t="s">
        <v>1971</v>
      </c>
      <c r="F2409" t="s">
        <v>1971</v>
      </c>
      <c r="G2409" t="str">
        <f>INDEX(Risk_Matrix!$B$2:$D$4,MATCH(E2409,Risk_Matrix!$A$2:$A$4,0),MATCH(F2409,Risk_Matrix!$B$1:$D$1,0))</f>
        <v>Medium</v>
      </c>
      <c r="H2409" s="1">
        <v>46108</v>
      </c>
      <c r="I2409" t="s">
        <v>2025</v>
      </c>
      <c r="J2409" t="s">
        <v>2026</v>
      </c>
      <c r="K2409" t="s">
        <v>1993</v>
      </c>
      <c r="L2409">
        <f>IF(G2409="High",3,IF(G2409="Medium",2,1))</f>
        <v>2</v>
      </c>
    </row>
    <row r="2410" spans="1:12">
      <c r="A2410" t="s">
        <v>4436</v>
      </c>
      <c r="B2410" t="s">
        <v>1491</v>
      </c>
      <c r="C2410" t="s">
        <v>1995</v>
      </c>
      <c r="D2410" t="s">
        <v>1996</v>
      </c>
      <c r="E2410" t="s">
        <v>57</v>
      </c>
      <c r="F2410" t="s">
        <v>1971</v>
      </c>
      <c r="G2410" t="str">
        <f>INDEX(Risk_Matrix!$B$2:$D$4,MATCH(E2410,Risk_Matrix!$A$2:$A$4,0),MATCH(F2410,Risk_Matrix!$B$1:$D$1,0))</f>
        <v>Low</v>
      </c>
      <c r="H2410" s="1">
        <v>46194</v>
      </c>
      <c r="I2410" t="s">
        <v>1987</v>
      </c>
      <c r="J2410" t="s">
        <v>1988</v>
      </c>
      <c r="K2410" t="s">
        <v>2036</v>
      </c>
      <c r="L2410">
        <f>IF(G2410="High",3,IF(G2410="Medium",2,1))</f>
        <v>1</v>
      </c>
    </row>
    <row r="2411" spans="1:12">
      <c r="A2411" t="s">
        <v>4437</v>
      </c>
      <c r="B2411" t="s">
        <v>1491</v>
      </c>
      <c r="C2411" t="s">
        <v>2000</v>
      </c>
      <c r="D2411" t="s">
        <v>2001</v>
      </c>
      <c r="E2411" t="s">
        <v>47</v>
      </c>
      <c r="F2411" t="s">
        <v>47</v>
      </c>
      <c r="G2411" t="str">
        <f>INDEX(Risk_Matrix!$B$2:$D$4,MATCH(E2411,Risk_Matrix!$A$2:$A$4,0),MATCH(F2411,Risk_Matrix!$B$1:$D$1,0))</f>
        <v>High</v>
      </c>
      <c r="H2411" s="1">
        <v>46165</v>
      </c>
      <c r="I2411" t="s">
        <v>2025</v>
      </c>
      <c r="J2411" t="s">
        <v>2026</v>
      </c>
      <c r="K2411" t="s">
        <v>1989</v>
      </c>
      <c r="L2411">
        <f>IF(G2411="High",3,IF(G2411="Medium",2,1))</f>
        <v>3</v>
      </c>
    </row>
    <row r="2412" spans="1:12">
      <c r="A2412" t="s">
        <v>4438</v>
      </c>
      <c r="B2412" t="s">
        <v>1491</v>
      </c>
      <c r="C2412" t="s">
        <v>2005</v>
      </c>
      <c r="D2412" t="s">
        <v>2022</v>
      </c>
      <c r="E2412" t="s">
        <v>57</v>
      </c>
      <c r="F2412" t="s">
        <v>1971</v>
      </c>
      <c r="G2412" t="str">
        <f>INDEX(Risk_Matrix!$B$2:$D$4,MATCH(E2412,Risk_Matrix!$A$2:$A$4,0),MATCH(F2412,Risk_Matrix!$B$1:$D$1,0))</f>
        <v>Low</v>
      </c>
      <c r="H2412" s="1">
        <v>46185</v>
      </c>
      <c r="I2412" t="s">
        <v>2015</v>
      </c>
      <c r="J2412" t="s">
        <v>2032</v>
      </c>
      <c r="K2412" t="s">
        <v>1993</v>
      </c>
      <c r="L2412">
        <f>IF(G2412="High",3,IF(G2412="Medium",2,1))</f>
        <v>1</v>
      </c>
    </row>
    <row r="2413" spans="1:12">
      <c r="A2413" t="s">
        <v>4439</v>
      </c>
      <c r="B2413" t="s">
        <v>1491</v>
      </c>
      <c r="C2413" t="s">
        <v>2008</v>
      </c>
      <c r="D2413" t="s">
        <v>2009</v>
      </c>
      <c r="E2413" t="s">
        <v>57</v>
      </c>
      <c r="F2413" t="s">
        <v>57</v>
      </c>
      <c r="G2413" t="str">
        <f>INDEX(Risk_Matrix!$B$2:$D$4,MATCH(E2413,Risk_Matrix!$A$2:$A$4,0),MATCH(F2413,Risk_Matrix!$B$1:$D$1,0))</f>
        <v>Low</v>
      </c>
      <c r="H2413" s="1">
        <v>46204</v>
      </c>
      <c r="I2413" t="s">
        <v>2015</v>
      </c>
      <c r="J2413" t="s">
        <v>2016</v>
      </c>
      <c r="K2413" t="s">
        <v>2010</v>
      </c>
      <c r="L2413">
        <f>IF(G2413="High",3,IF(G2413="Medium",2,1))</f>
        <v>1</v>
      </c>
    </row>
    <row r="2414" spans="1:12">
      <c r="A2414" t="s">
        <v>4440</v>
      </c>
      <c r="B2414" t="s">
        <v>1494</v>
      </c>
      <c r="C2414" t="s">
        <v>1985</v>
      </c>
      <c r="D2414" t="s">
        <v>2028</v>
      </c>
      <c r="E2414" t="s">
        <v>57</v>
      </c>
      <c r="F2414" t="s">
        <v>47</v>
      </c>
      <c r="G2414" t="str">
        <f>INDEX(Risk_Matrix!$B$2:$D$4,MATCH(E2414,Risk_Matrix!$A$2:$A$4,0),MATCH(F2414,Risk_Matrix!$B$1:$D$1,0))</f>
        <v>Medium</v>
      </c>
      <c r="H2414" s="1">
        <v>46219</v>
      </c>
      <c r="I2414" t="s">
        <v>2015</v>
      </c>
      <c r="J2414" t="s">
        <v>2032</v>
      </c>
      <c r="K2414" t="s">
        <v>1998</v>
      </c>
      <c r="L2414">
        <f>IF(G2414="High",3,IF(G2414="Medium",2,1))</f>
        <v>2</v>
      </c>
    </row>
    <row r="2415" spans="1:12">
      <c r="A2415" t="s">
        <v>4441</v>
      </c>
      <c r="B2415" t="s">
        <v>1494</v>
      </c>
      <c r="C2415" t="s">
        <v>1991</v>
      </c>
      <c r="D2415" t="s">
        <v>2064</v>
      </c>
      <c r="E2415" t="s">
        <v>57</v>
      </c>
      <c r="F2415" t="s">
        <v>57</v>
      </c>
      <c r="G2415" t="str">
        <f>INDEX(Risk_Matrix!$B$2:$D$4,MATCH(E2415,Risk_Matrix!$A$2:$A$4,0),MATCH(F2415,Risk_Matrix!$B$1:$D$1,0))</f>
        <v>Low</v>
      </c>
      <c r="H2415" s="1">
        <v>46207</v>
      </c>
      <c r="I2415" t="s">
        <v>2015</v>
      </c>
      <c r="J2415" t="s">
        <v>2032</v>
      </c>
      <c r="K2415" t="s">
        <v>1993</v>
      </c>
      <c r="L2415">
        <f>IF(G2415="High",3,IF(G2415="Medium",2,1))</f>
        <v>1</v>
      </c>
    </row>
    <row r="2416" spans="1:12">
      <c r="A2416" t="s">
        <v>4442</v>
      </c>
      <c r="B2416" t="s">
        <v>1494</v>
      </c>
      <c r="C2416" t="s">
        <v>1995</v>
      </c>
      <c r="D2416" t="s">
        <v>2150</v>
      </c>
      <c r="E2416" t="s">
        <v>57</v>
      </c>
      <c r="F2416" t="s">
        <v>1971</v>
      </c>
      <c r="G2416" t="str">
        <f>INDEX(Risk_Matrix!$B$2:$D$4,MATCH(E2416,Risk_Matrix!$A$2:$A$4,0),MATCH(F2416,Risk_Matrix!$B$1:$D$1,0))</f>
        <v>Low</v>
      </c>
      <c r="H2416" s="1">
        <v>46155</v>
      </c>
      <c r="I2416" t="s">
        <v>2015</v>
      </c>
      <c r="J2416" t="s">
        <v>2032</v>
      </c>
      <c r="K2416" t="s">
        <v>2036</v>
      </c>
      <c r="L2416">
        <f>IF(G2416="High",3,IF(G2416="Medium",2,1))</f>
        <v>1</v>
      </c>
    </row>
    <row r="2417" spans="1:12">
      <c r="A2417" t="s">
        <v>4443</v>
      </c>
      <c r="B2417" t="s">
        <v>1494</v>
      </c>
      <c r="C2417" t="s">
        <v>2000</v>
      </c>
      <c r="D2417" t="s">
        <v>2001</v>
      </c>
      <c r="E2417" t="s">
        <v>1971</v>
      </c>
      <c r="F2417" t="s">
        <v>1971</v>
      </c>
      <c r="G2417" t="str">
        <f>INDEX(Risk_Matrix!$B$2:$D$4,MATCH(E2417,Risk_Matrix!$A$2:$A$4,0),MATCH(F2417,Risk_Matrix!$B$1:$D$1,0))</f>
        <v>Medium</v>
      </c>
      <c r="H2417" s="1">
        <v>46112</v>
      </c>
      <c r="I2417" t="s">
        <v>2025</v>
      </c>
      <c r="J2417" t="s">
        <v>2035</v>
      </c>
      <c r="K2417" t="s">
        <v>1989</v>
      </c>
      <c r="L2417">
        <f>IF(G2417="High",3,IF(G2417="Medium",2,1))</f>
        <v>2</v>
      </c>
    </row>
    <row r="2418" spans="1:12">
      <c r="A2418" t="s">
        <v>4444</v>
      </c>
      <c r="B2418" t="s">
        <v>1494</v>
      </c>
      <c r="C2418" t="s">
        <v>2005</v>
      </c>
      <c r="D2418" t="s">
        <v>2039</v>
      </c>
      <c r="E2418" t="s">
        <v>47</v>
      </c>
      <c r="F2418" t="s">
        <v>1971</v>
      </c>
      <c r="G2418" t="str">
        <f>INDEX(Risk_Matrix!$B$2:$D$4,MATCH(E2418,Risk_Matrix!$A$2:$A$4,0),MATCH(F2418,Risk_Matrix!$B$1:$D$1,0))</f>
        <v>High</v>
      </c>
      <c r="H2418" s="1">
        <v>46218</v>
      </c>
      <c r="I2418" t="s">
        <v>1987</v>
      </c>
      <c r="J2418" t="s">
        <v>1988</v>
      </c>
      <c r="K2418" t="s">
        <v>1993</v>
      </c>
      <c r="L2418">
        <f>IF(G2418="High",3,IF(G2418="Medium",2,1))</f>
        <v>3</v>
      </c>
    </row>
    <row r="2419" spans="1:12">
      <c r="A2419" t="s">
        <v>4445</v>
      </c>
      <c r="B2419" t="s">
        <v>1494</v>
      </c>
      <c r="C2419" t="s">
        <v>2008</v>
      </c>
      <c r="D2419" t="s">
        <v>2024</v>
      </c>
      <c r="E2419" t="s">
        <v>57</v>
      </c>
      <c r="F2419" t="s">
        <v>57</v>
      </c>
      <c r="G2419" t="str">
        <f>INDEX(Risk_Matrix!$B$2:$D$4,MATCH(E2419,Risk_Matrix!$A$2:$A$4,0),MATCH(F2419,Risk_Matrix!$B$1:$D$1,0))</f>
        <v>Low</v>
      </c>
      <c r="H2419" s="1">
        <v>46128</v>
      </c>
      <c r="I2419" t="s">
        <v>2025</v>
      </c>
      <c r="J2419" t="s">
        <v>2035</v>
      </c>
      <c r="K2419" t="s">
        <v>2010</v>
      </c>
      <c r="L2419">
        <f>IF(G2419="High",3,IF(G2419="Medium",2,1))</f>
        <v>1</v>
      </c>
    </row>
    <row r="2420" spans="1:12">
      <c r="A2420" t="s">
        <v>4446</v>
      </c>
      <c r="B2420" t="s">
        <v>1497</v>
      </c>
      <c r="C2420" t="s">
        <v>1985</v>
      </c>
      <c r="D2420" t="s">
        <v>2012</v>
      </c>
      <c r="E2420" t="s">
        <v>47</v>
      </c>
      <c r="F2420" t="s">
        <v>57</v>
      </c>
      <c r="G2420" t="str">
        <f>INDEX(Risk_Matrix!$B$2:$D$4,MATCH(E2420,Risk_Matrix!$A$2:$A$4,0),MATCH(F2420,Risk_Matrix!$B$1:$D$1,0))</f>
        <v>Medium</v>
      </c>
      <c r="H2420" s="1">
        <v>46153</v>
      </c>
      <c r="I2420" t="s">
        <v>2015</v>
      </c>
      <c r="J2420" t="s">
        <v>2032</v>
      </c>
      <c r="K2420" t="s">
        <v>1998</v>
      </c>
      <c r="L2420">
        <f>IF(G2420="High",3,IF(G2420="Medium",2,1))</f>
        <v>2</v>
      </c>
    </row>
    <row r="2421" spans="1:12">
      <c r="A2421" t="s">
        <v>4447</v>
      </c>
      <c r="B2421" t="s">
        <v>1497</v>
      </c>
      <c r="C2421" t="s">
        <v>1991</v>
      </c>
      <c r="D2421" t="s">
        <v>1992</v>
      </c>
      <c r="E2421" t="s">
        <v>47</v>
      </c>
      <c r="F2421" t="s">
        <v>57</v>
      </c>
      <c r="G2421" t="str">
        <f>INDEX(Risk_Matrix!$B$2:$D$4,MATCH(E2421,Risk_Matrix!$A$2:$A$4,0),MATCH(F2421,Risk_Matrix!$B$1:$D$1,0))</f>
        <v>Medium</v>
      </c>
      <c r="H2421" s="1">
        <v>46217</v>
      </c>
      <c r="I2421" t="s">
        <v>2015</v>
      </c>
      <c r="J2421" t="s">
        <v>2016</v>
      </c>
      <c r="K2421" t="s">
        <v>1993</v>
      </c>
      <c r="L2421">
        <f>IF(G2421="High",3,IF(G2421="Medium",2,1))</f>
        <v>2</v>
      </c>
    </row>
    <row r="2422" spans="1:12">
      <c r="A2422" t="s">
        <v>4448</v>
      </c>
      <c r="B2422" t="s">
        <v>1497</v>
      </c>
      <c r="C2422" t="s">
        <v>1995</v>
      </c>
      <c r="D2422" t="s">
        <v>2018</v>
      </c>
      <c r="E2422" t="s">
        <v>57</v>
      </c>
      <c r="F2422" t="s">
        <v>57</v>
      </c>
      <c r="G2422" t="str">
        <f>INDEX(Risk_Matrix!$B$2:$D$4,MATCH(E2422,Risk_Matrix!$A$2:$A$4,0),MATCH(F2422,Risk_Matrix!$B$1:$D$1,0))</f>
        <v>Low</v>
      </c>
      <c r="H2422" s="1">
        <v>46169</v>
      </c>
      <c r="I2422" t="s">
        <v>2025</v>
      </c>
      <c r="J2422" t="s">
        <v>2035</v>
      </c>
      <c r="K2422" t="s">
        <v>2036</v>
      </c>
      <c r="L2422">
        <f>IF(G2422="High",3,IF(G2422="Medium",2,1))</f>
        <v>1</v>
      </c>
    </row>
    <row r="2423" spans="1:12">
      <c r="A2423" t="s">
        <v>4449</v>
      </c>
      <c r="B2423" t="s">
        <v>1497</v>
      </c>
      <c r="C2423" t="s">
        <v>2000</v>
      </c>
      <c r="D2423" t="s">
        <v>2045</v>
      </c>
      <c r="E2423" t="s">
        <v>57</v>
      </c>
      <c r="F2423" t="s">
        <v>1971</v>
      </c>
      <c r="G2423" t="str">
        <f>INDEX(Risk_Matrix!$B$2:$D$4,MATCH(E2423,Risk_Matrix!$A$2:$A$4,0),MATCH(F2423,Risk_Matrix!$B$1:$D$1,0))</f>
        <v>Low</v>
      </c>
      <c r="H2423" s="1">
        <v>46146</v>
      </c>
      <c r="I2423" t="s">
        <v>2025</v>
      </c>
      <c r="J2423" t="s">
        <v>2026</v>
      </c>
      <c r="K2423" t="s">
        <v>1989</v>
      </c>
      <c r="L2423">
        <f>IF(G2423="High",3,IF(G2423="Medium",2,1))</f>
        <v>1</v>
      </c>
    </row>
    <row r="2424" spans="1:12">
      <c r="A2424" t="s">
        <v>4450</v>
      </c>
      <c r="B2424" t="s">
        <v>1497</v>
      </c>
      <c r="C2424" t="s">
        <v>2005</v>
      </c>
      <c r="D2424" t="s">
        <v>2039</v>
      </c>
      <c r="E2424" t="s">
        <v>57</v>
      </c>
      <c r="F2424" t="s">
        <v>57</v>
      </c>
      <c r="G2424" t="str">
        <f>INDEX(Risk_Matrix!$B$2:$D$4,MATCH(E2424,Risk_Matrix!$A$2:$A$4,0),MATCH(F2424,Risk_Matrix!$B$1:$D$1,0))</f>
        <v>Low</v>
      </c>
      <c r="H2424" s="1">
        <v>46202</v>
      </c>
      <c r="I2424" t="s">
        <v>2002</v>
      </c>
      <c r="J2424" t="s">
        <v>2003</v>
      </c>
      <c r="K2424" t="s">
        <v>1993</v>
      </c>
      <c r="L2424">
        <f>IF(G2424="High",3,IF(G2424="Medium",2,1))</f>
        <v>1</v>
      </c>
    </row>
    <row r="2425" spans="1:12">
      <c r="A2425" t="s">
        <v>4451</v>
      </c>
      <c r="B2425" t="s">
        <v>1497</v>
      </c>
      <c r="C2425" t="s">
        <v>2008</v>
      </c>
      <c r="D2425" t="s">
        <v>2024</v>
      </c>
      <c r="E2425" t="s">
        <v>1971</v>
      </c>
      <c r="F2425" t="s">
        <v>57</v>
      </c>
      <c r="G2425" t="str">
        <f>INDEX(Risk_Matrix!$B$2:$D$4,MATCH(E2425,Risk_Matrix!$A$2:$A$4,0),MATCH(F2425,Risk_Matrix!$B$1:$D$1,0))</f>
        <v>Low</v>
      </c>
      <c r="H2425" s="1">
        <v>46117</v>
      </c>
      <c r="I2425" t="s">
        <v>1987</v>
      </c>
      <c r="J2425" t="s">
        <v>1988</v>
      </c>
      <c r="K2425" t="s">
        <v>2010</v>
      </c>
      <c r="L2425">
        <f>IF(G2425="High",3,IF(G2425="Medium",2,1))</f>
        <v>1</v>
      </c>
    </row>
    <row r="2426" spans="1:12">
      <c r="A2426" t="s">
        <v>4452</v>
      </c>
      <c r="B2426" t="s">
        <v>1500</v>
      </c>
      <c r="C2426" t="s">
        <v>1985</v>
      </c>
      <c r="D2426" t="s">
        <v>1986</v>
      </c>
      <c r="E2426" t="s">
        <v>1971</v>
      </c>
      <c r="F2426" t="s">
        <v>57</v>
      </c>
      <c r="G2426" t="str">
        <f>INDEX(Risk_Matrix!$B$2:$D$4,MATCH(E2426,Risk_Matrix!$A$2:$A$4,0),MATCH(F2426,Risk_Matrix!$B$1:$D$1,0))</f>
        <v>Low</v>
      </c>
      <c r="H2426" s="1">
        <v>46232</v>
      </c>
      <c r="I2426" t="s">
        <v>2002</v>
      </c>
      <c r="J2426" t="s">
        <v>2003</v>
      </c>
      <c r="K2426" t="s">
        <v>1998</v>
      </c>
      <c r="L2426">
        <f>IF(G2426="High",3,IF(G2426="Medium",2,1))</f>
        <v>1</v>
      </c>
    </row>
    <row r="2427" spans="1:12">
      <c r="A2427" t="s">
        <v>4453</v>
      </c>
      <c r="B2427" t="s">
        <v>1500</v>
      </c>
      <c r="C2427" t="s">
        <v>1991</v>
      </c>
      <c r="D2427" t="s">
        <v>2014</v>
      </c>
      <c r="E2427" t="s">
        <v>57</v>
      </c>
      <c r="F2427" t="s">
        <v>57</v>
      </c>
      <c r="G2427" t="str">
        <f>INDEX(Risk_Matrix!$B$2:$D$4,MATCH(E2427,Risk_Matrix!$A$2:$A$4,0),MATCH(F2427,Risk_Matrix!$B$1:$D$1,0))</f>
        <v>Low</v>
      </c>
      <c r="H2427" s="1">
        <v>46134</v>
      </c>
      <c r="I2427" t="s">
        <v>2025</v>
      </c>
      <c r="J2427" t="s">
        <v>2026</v>
      </c>
      <c r="K2427" t="s">
        <v>2010</v>
      </c>
      <c r="L2427">
        <f>IF(G2427="High",3,IF(G2427="Medium",2,1))</f>
        <v>1</v>
      </c>
    </row>
    <row r="2428" spans="1:12">
      <c r="A2428" t="s">
        <v>4454</v>
      </c>
      <c r="B2428" t="s">
        <v>1500</v>
      </c>
      <c r="C2428" t="s">
        <v>1995</v>
      </c>
      <c r="D2428" t="s">
        <v>2150</v>
      </c>
      <c r="E2428" t="s">
        <v>57</v>
      </c>
      <c r="F2428" t="s">
        <v>1971</v>
      </c>
      <c r="G2428" t="str">
        <f>INDEX(Risk_Matrix!$B$2:$D$4,MATCH(E2428,Risk_Matrix!$A$2:$A$4,0),MATCH(F2428,Risk_Matrix!$B$1:$D$1,0))</f>
        <v>Low</v>
      </c>
      <c r="H2428" s="1">
        <v>46150</v>
      </c>
      <c r="I2428" t="s">
        <v>1987</v>
      </c>
      <c r="J2428" t="s">
        <v>1997</v>
      </c>
      <c r="K2428" t="s">
        <v>1998</v>
      </c>
      <c r="L2428">
        <f>IF(G2428="High",3,IF(G2428="Medium",2,1))</f>
        <v>1</v>
      </c>
    </row>
    <row r="2429" spans="1:12">
      <c r="A2429" t="s">
        <v>4455</v>
      </c>
      <c r="B2429" t="s">
        <v>1500</v>
      </c>
      <c r="C2429" t="s">
        <v>2000</v>
      </c>
      <c r="D2429" t="s">
        <v>2045</v>
      </c>
      <c r="E2429" t="s">
        <v>1971</v>
      </c>
      <c r="F2429" t="s">
        <v>47</v>
      </c>
      <c r="G2429" t="str">
        <f>INDEX(Risk_Matrix!$B$2:$D$4,MATCH(E2429,Risk_Matrix!$A$2:$A$4,0),MATCH(F2429,Risk_Matrix!$B$1:$D$1,0))</f>
        <v>High</v>
      </c>
      <c r="H2429" s="1">
        <v>46210</v>
      </c>
      <c r="I2429" t="s">
        <v>2015</v>
      </c>
      <c r="J2429" t="s">
        <v>2016</v>
      </c>
      <c r="K2429" t="s">
        <v>1993</v>
      </c>
      <c r="L2429">
        <f>IF(G2429="High",3,IF(G2429="Medium",2,1))</f>
        <v>3</v>
      </c>
    </row>
    <row r="2430" spans="1:12">
      <c r="A2430" t="s">
        <v>4456</v>
      </c>
      <c r="B2430" t="s">
        <v>1500</v>
      </c>
      <c r="C2430" t="s">
        <v>2005</v>
      </c>
      <c r="D2430" t="s">
        <v>2022</v>
      </c>
      <c r="E2430" t="s">
        <v>57</v>
      </c>
      <c r="F2430" t="s">
        <v>57</v>
      </c>
      <c r="G2430" t="str">
        <f>INDEX(Risk_Matrix!$B$2:$D$4,MATCH(E2430,Risk_Matrix!$A$2:$A$4,0),MATCH(F2430,Risk_Matrix!$B$1:$D$1,0))</f>
        <v>Low</v>
      </c>
      <c r="H2430" s="1">
        <v>46134</v>
      </c>
      <c r="I2430" t="s">
        <v>1987</v>
      </c>
      <c r="J2430" t="s">
        <v>1997</v>
      </c>
      <c r="K2430" t="s">
        <v>1993</v>
      </c>
      <c r="L2430">
        <f>IF(G2430="High",3,IF(G2430="Medium",2,1))</f>
        <v>1</v>
      </c>
    </row>
    <row r="2431" spans="1:12">
      <c r="A2431" t="s">
        <v>4457</v>
      </c>
      <c r="B2431" t="s">
        <v>1500</v>
      </c>
      <c r="C2431" t="s">
        <v>2008</v>
      </c>
      <c r="D2431" t="s">
        <v>2024</v>
      </c>
      <c r="E2431" t="s">
        <v>57</v>
      </c>
      <c r="F2431" t="s">
        <v>47</v>
      </c>
      <c r="G2431" t="str">
        <f>INDEX(Risk_Matrix!$B$2:$D$4,MATCH(E2431,Risk_Matrix!$A$2:$A$4,0),MATCH(F2431,Risk_Matrix!$B$1:$D$1,0))</f>
        <v>Medium</v>
      </c>
      <c r="H2431" s="1">
        <v>46148</v>
      </c>
      <c r="I2431" t="s">
        <v>1987</v>
      </c>
      <c r="J2431" t="s">
        <v>1988</v>
      </c>
      <c r="K2431" t="s">
        <v>2010</v>
      </c>
      <c r="L2431">
        <f>IF(G2431="High",3,IF(G2431="Medium",2,1))</f>
        <v>2</v>
      </c>
    </row>
    <row r="2432" spans="1:12">
      <c r="A2432" t="s">
        <v>4458</v>
      </c>
      <c r="B2432" t="s">
        <v>1502</v>
      </c>
      <c r="C2432" t="s">
        <v>1985</v>
      </c>
      <c r="D2432" t="s">
        <v>2062</v>
      </c>
      <c r="E2432" t="s">
        <v>47</v>
      </c>
      <c r="F2432" t="s">
        <v>57</v>
      </c>
      <c r="G2432" t="str">
        <f>INDEX(Risk_Matrix!$B$2:$D$4,MATCH(E2432,Risk_Matrix!$A$2:$A$4,0),MATCH(F2432,Risk_Matrix!$B$1:$D$1,0))</f>
        <v>Medium</v>
      </c>
      <c r="H2432" s="1">
        <v>46190</v>
      </c>
      <c r="I2432" t="s">
        <v>2015</v>
      </c>
      <c r="J2432" t="s">
        <v>2032</v>
      </c>
      <c r="K2432" t="s">
        <v>1998</v>
      </c>
      <c r="L2432">
        <f>IF(G2432="High",3,IF(G2432="Medium",2,1))</f>
        <v>2</v>
      </c>
    </row>
    <row r="2433" spans="1:12">
      <c r="A2433" t="s">
        <v>4459</v>
      </c>
      <c r="B2433" t="s">
        <v>1502</v>
      </c>
      <c r="C2433" t="s">
        <v>1991</v>
      </c>
      <c r="D2433" t="s">
        <v>2064</v>
      </c>
      <c r="E2433" t="s">
        <v>1971</v>
      </c>
      <c r="F2433" t="s">
        <v>47</v>
      </c>
      <c r="G2433" t="str">
        <f>INDEX(Risk_Matrix!$B$2:$D$4,MATCH(E2433,Risk_Matrix!$A$2:$A$4,0),MATCH(F2433,Risk_Matrix!$B$1:$D$1,0))</f>
        <v>High</v>
      </c>
      <c r="H2433" s="1">
        <v>46200</v>
      </c>
      <c r="I2433" t="s">
        <v>2015</v>
      </c>
      <c r="J2433" t="s">
        <v>2016</v>
      </c>
      <c r="K2433" t="s">
        <v>1993</v>
      </c>
      <c r="L2433">
        <f>IF(G2433="High",3,IF(G2433="Medium",2,1))</f>
        <v>3</v>
      </c>
    </row>
    <row r="2434" spans="1:12">
      <c r="A2434" t="s">
        <v>4460</v>
      </c>
      <c r="B2434" t="s">
        <v>1502</v>
      </c>
      <c r="C2434" t="s">
        <v>1995</v>
      </c>
      <c r="D2434" t="s">
        <v>2150</v>
      </c>
      <c r="E2434" t="s">
        <v>47</v>
      </c>
      <c r="F2434" t="s">
        <v>57</v>
      </c>
      <c r="G2434" t="str">
        <f>INDEX(Risk_Matrix!$B$2:$D$4,MATCH(E2434,Risk_Matrix!$A$2:$A$4,0),MATCH(F2434,Risk_Matrix!$B$1:$D$1,0))</f>
        <v>Medium</v>
      </c>
      <c r="H2434" s="1">
        <v>46183</v>
      </c>
      <c r="I2434" t="s">
        <v>2015</v>
      </c>
      <c r="J2434" t="s">
        <v>2032</v>
      </c>
      <c r="K2434" t="s">
        <v>1998</v>
      </c>
      <c r="L2434">
        <f>IF(G2434="High",3,IF(G2434="Medium",2,1))</f>
        <v>2</v>
      </c>
    </row>
    <row r="2435" spans="1:12">
      <c r="A2435" t="s">
        <v>4461</v>
      </c>
      <c r="B2435" t="s">
        <v>1502</v>
      </c>
      <c r="C2435" t="s">
        <v>2000</v>
      </c>
      <c r="D2435" t="s">
        <v>2020</v>
      </c>
      <c r="E2435" t="s">
        <v>57</v>
      </c>
      <c r="F2435" t="s">
        <v>57</v>
      </c>
      <c r="G2435" t="str">
        <f>INDEX(Risk_Matrix!$B$2:$D$4,MATCH(E2435,Risk_Matrix!$A$2:$A$4,0),MATCH(F2435,Risk_Matrix!$B$1:$D$1,0))</f>
        <v>Low</v>
      </c>
      <c r="H2435" s="1">
        <v>46194</v>
      </c>
      <c r="I2435" t="s">
        <v>1987</v>
      </c>
      <c r="J2435" t="s">
        <v>1988</v>
      </c>
      <c r="K2435" t="s">
        <v>1993</v>
      </c>
      <c r="L2435">
        <f>IF(G2435="High",3,IF(G2435="Medium",2,1))</f>
        <v>1</v>
      </c>
    </row>
    <row r="2436" spans="1:12">
      <c r="A2436" t="s">
        <v>4462</v>
      </c>
      <c r="B2436" t="s">
        <v>1502</v>
      </c>
      <c r="C2436" t="s">
        <v>2005</v>
      </c>
      <c r="D2436" t="s">
        <v>2039</v>
      </c>
      <c r="E2436" t="s">
        <v>57</v>
      </c>
      <c r="F2436" t="s">
        <v>1971</v>
      </c>
      <c r="G2436" t="str">
        <f>INDEX(Risk_Matrix!$B$2:$D$4,MATCH(E2436,Risk_Matrix!$A$2:$A$4,0),MATCH(F2436,Risk_Matrix!$B$1:$D$1,0))</f>
        <v>Low</v>
      </c>
      <c r="H2436" s="1">
        <v>46181</v>
      </c>
      <c r="I2436" t="s">
        <v>2025</v>
      </c>
      <c r="J2436" t="s">
        <v>2035</v>
      </c>
      <c r="K2436" t="s">
        <v>1993</v>
      </c>
      <c r="L2436">
        <f>IF(G2436="High",3,IF(G2436="Medium",2,1))</f>
        <v>1</v>
      </c>
    </row>
    <row r="2437" spans="1:12">
      <c r="A2437" t="s">
        <v>4463</v>
      </c>
      <c r="B2437" t="s">
        <v>1502</v>
      </c>
      <c r="C2437" t="s">
        <v>2008</v>
      </c>
      <c r="D2437" t="s">
        <v>2024</v>
      </c>
      <c r="E2437" t="s">
        <v>1971</v>
      </c>
      <c r="F2437" t="s">
        <v>1971</v>
      </c>
      <c r="G2437" t="str">
        <f>INDEX(Risk_Matrix!$B$2:$D$4,MATCH(E2437,Risk_Matrix!$A$2:$A$4,0),MATCH(F2437,Risk_Matrix!$B$1:$D$1,0))</f>
        <v>Medium</v>
      </c>
      <c r="H2437" s="1">
        <v>46163</v>
      </c>
      <c r="I2437" t="s">
        <v>2025</v>
      </c>
      <c r="J2437" t="s">
        <v>2035</v>
      </c>
      <c r="K2437" t="s">
        <v>2010</v>
      </c>
      <c r="L2437">
        <f>IF(G2437="High",3,IF(G2437="Medium",2,1))</f>
        <v>2</v>
      </c>
    </row>
    <row r="2438" spans="1:12">
      <c r="A2438" t="s">
        <v>4464</v>
      </c>
      <c r="B2438" t="s">
        <v>1505</v>
      </c>
      <c r="C2438" t="s">
        <v>1985</v>
      </c>
      <c r="D2438" t="s">
        <v>1986</v>
      </c>
      <c r="E2438" t="s">
        <v>1971</v>
      </c>
      <c r="F2438" t="s">
        <v>1971</v>
      </c>
      <c r="G2438" t="str">
        <f>INDEX(Risk_Matrix!$B$2:$D$4,MATCH(E2438,Risk_Matrix!$A$2:$A$4,0),MATCH(F2438,Risk_Matrix!$B$1:$D$1,0))</f>
        <v>Medium</v>
      </c>
      <c r="H2438" s="1">
        <v>46169</v>
      </c>
      <c r="I2438" t="s">
        <v>2025</v>
      </c>
      <c r="J2438" t="s">
        <v>2035</v>
      </c>
      <c r="K2438" t="s">
        <v>1989</v>
      </c>
      <c r="L2438">
        <f>IF(G2438="High",3,IF(G2438="Medium",2,1))</f>
        <v>2</v>
      </c>
    </row>
    <row r="2439" spans="1:12">
      <c r="A2439" t="s">
        <v>4465</v>
      </c>
      <c r="B2439" t="s">
        <v>1505</v>
      </c>
      <c r="C2439" t="s">
        <v>1991</v>
      </c>
      <c r="D2439" t="s">
        <v>2014</v>
      </c>
      <c r="E2439" t="s">
        <v>57</v>
      </c>
      <c r="F2439" t="s">
        <v>57</v>
      </c>
      <c r="G2439" t="str">
        <f>INDEX(Risk_Matrix!$B$2:$D$4,MATCH(E2439,Risk_Matrix!$A$2:$A$4,0),MATCH(F2439,Risk_Matrix!$B$1:$D$1,0))</f>
        <v>Low</v>
      </c>
      <c r="H2439" s="1">
        <v>46129</v>
      </c>
      <c r="I2439" t="s">
        <v>2025</v>
      </c>
      <c r="J2439" t="s">
        <v>2035</v>
      </c>
      <c r="K2439" t="s">
        <v>1993</v>
      </c>
      <c r="L2439">
        <f>IF(G2439="High",3,IF(G2439="Medium",2,1))</f>
        <v>1</v>
      </c>
    </row>
    <row r="2440" spans="1:12">
      <c r="A2440" t="s">
        <v>4466</v>
      </c>
      <c r="B2440" t="s">
        <v>1505</v>
      </c>
      <c r="C2440" t="s">
        <v>1995</v>
      </c>
      <c r="D2440" t="s">
        <v>2018</v>
      </c>
      <c r="E2440" t="s">
        <v>57</v>
      </c>
      <c r="F2440" t="s">
        <v>57</v>
      </c>
      <c r="G2440" t="str">
        <f>INDEX(Risk_Matrix!$B$2:$D$4,MATCH(E2440,Risk_Matrix!$A$2:$A$4,0),MATCH(F2440,Risk_Matrix!$B$1:$D$1,0))</f>
        <v>Low</v>
      </c>
      <c r="H2440" s="1">
        <v>46091</v>
      </c>
      <c r="I2440" t="s">
        <v>2025</v>
      </c>
      <c r="J2440" t="s">
        <v>2026</v>
      </c>
      <c r="K2440" t="s">
        <v>2036</v>
      </c>
      <c r="L2440">
        <f>IF(G2440="High",3,IF(G2440="Medium",2,1))</f>
        <v>1</v>
      </c>
    </row>
    <row r="2441" spans="1:12">
      <c r="A2441" t="s">
        <v>4467</v>
      </c>
      <c r="B2441" t="s">
        <v>1505</v>
      </c>
      <c r="C2441" t="s">
        <v>2000</v>
      </c>
      <c r="D2441" t="s">
        <v>2045</v>
      </c>
      <c r="E2441" t="s">
        <v>1971</v>
      </c>
      <c r="F2441" t="s">
        <v>47</v>
      </c>
      <c r="G2441" t="str">
        <f>INDEX(Risk_Matrix!$B$2:$D$4,MATCH(E2441,Risk_Matrix!$A$2:$A$4,0),MATCH(F2441,Risk_Matrix!$B$1:$D$1,0))</f>
        <v>High</v>
      </c>
      <c r="H2441" s="1">
        <v>46153</v>
      </c>
      <c r="I2441" t="s">
        <v>2015</v>
      </c>
      <c r="J2441" t="s">
        <v>2032</v>
      </c>
      <c r="K2441" t="s">
        <v>1993</v>
      </c>
      <c r="L2441">
        <f>IF(G2441="High",3,IF(G2441="Medium",2,1))</f>
        <v>3</v>
      </c>
    </row>
    <row r="2442" spans="1:12">
      <c r="A2442" t="s">
        <v>4468</v>
      </c>
      <c r="B2442" t="s">
        <v>1505</v>
      </c>
      <c r="C2442" t="s">
        <v>2005</v>
      </c>
      <c r="D2442" t="s">
        <v>2039</v>
      </c>
      <c r="E2442" t="s">
        <v>57</v>
      </c>
      <c r="F2442" t="s">
        <v>57</v>
      </c>
      <c r="G2442" t="str">
        <f>INDEX(Risk_Matrix!$B$2:$D$4,MATCH(E2442,Risk_Matrix!$A$2:$A$4,0),MATCH(F2442,Risk_Matrix!$B$1:$D$1,0))</f>
        <v>Low</v>
      </c>
      <c r="H2442" s="1">
        <v>46212</v>
      </c>
      <c r="I2442" t="s">
        <v>2015</v>
      </c>
      <c r="J2442" t="s">
        <v>2032</v>
      </c>
      <c r="K2442" t="s">
        <v>2036</v>
      </c>
      <c r="L2442">
        <f>IF(G2442="High",3,IF(G2442="Medium",2,1))</f>
        <v>1</v>
      </c>
    </row>
    <row r="2443" spans="1:12">
      <c r="A2443" t="s">
        <v>4469</v>
      </c>
      <c r="B2443" t="s">
        <v>1505</v>
      </c>
      <c r="C2443" t="s">
        <v>2008</v>
      </c>
      <c r="D2443" t="s">
        <v>2054</v>
      </c>
      <c r="E2443" t="s">
        <v>57</v>
      </c>
      <c r="F2443" t="s">
        <v>57</v>
      </c>
      <c r="G2443" t="str">
        <f>INDEX(Risk_Matrix!$B$2:$D$4,MATCH(E2443,Risk_Matrix!$A$2:$A$4,0),MATCH(F2443,Risk_Matrix!$B$1:$D$1,0))</f>
        <v>Low</v>
      </c>
      <c r="H2443" s="1">
        <v>46082</v>
      </c>
      <c r="I2443" t="s">
        <v>2002</v>
      </c>
      <c r="J2443" t="s">
        <v>2003</v>
      </c>
      <c r="K2443" t="s">
        <v>2010</v>
      </c>
      <c r="L2443">
        <f>IF(G2443="High",3,IF(G2443="Medium",2,1))</f>
        <v>1</v>
      </c>
    </row>
    <row r="2444" spans="1:12">
      <c r="A2444" t="s">
        <v>4470</v>
      </c>
      <c r="B2444" t="s">
        <v>1508</v>
      </c>
      <c r="C2444" t="s">
        <v>1985</v>
      </c>
      <c r="D2444" t="s">
        <v>2012</v>
      </c>
      <c r="E2444" t="s">
        <v>1971</v>
      </c>
      <c r="F2444" t="s">
        <v>47</v>
      </c>
      <c r="G2444" t="str">
        <f>INDEX(Risk_Matrix!$B$2:$D$4,MATCH(E2444,Risk_Matrix!$A$2:$A$4,0),MATCH(F2444,Risk_Matrix!$B$1:$D$1,0))</f>
        <v>High</v>
      </c>
      <c r="H2444" s="1">
        <v>46213</v>
      </c>
      <c r="I2444" t="s">
        <v>2015</v>
      </c>
      <c r="J2444" t="s">
        <v>2016</v>
      </c>
      <c r="K2444" t="s">
        <v>1989</v>
      </c>
      <c r="L2444">
        <f>IF(G2444="High",3,IF(G2444="Medium",2,1))</f>
        <v>3</v>
      </c>
    </row>
    <row r="2445" spans="1:12">
      <c r="A2445" t="s">
        <v>4471</v>
      </c>
      <c r="B2445" t="s">
        <v>1508</v>
      </c>
      <c r="C2445" t="s">
        <v>1991</v>
      </c>
      <c r="D2445" t="s">
        <v>1992</v>
      </c>
      <c r="E2445" t="s">
        <v>57</v>
      </c>
      <c r="F2445" t="s">
        <v>47</v>
      </c>
      <c r="G2445" t="str">
        <f>INDEX(Risk_Matrix!$B$2:$D$4,MATCH(E2445,Risk_Matrix!$A$2:$A$4,0),MATCH(F2445,Risk_Matrix!$B$1:$D$1,0))</f>
        <v>Medium</v>
      </c>
      <c r="H2445" s="1">
        <v>46065</v>
      </c>
      <c r="I2445" t="s">
        <v>2002</v>
      </c>
      <c r="J2445" t="s">
        <v>2003</v>
      </c>
      <c r="K2445" t="s">
        <v>1993</v>
      </c>
      <c r="L2445">
        <f>IF(G2445="High",3,IF(G2445="Medium",2,1))</f>
        <v>2</v>
      </c>
    </row>
    <row r="2446" spans="1:12">
      <c r="A2446" t="s">
        <v>4472</v>
      </c>
      <c r="B2446" t="s">
        <v>1508</v>
      </c>
      <c r="C2446" t="s">
        <v>1995</v>
      </c>
      <c r="D2446" t="s">
        <v>2018</v>
      </c>
      <c r="E2446" t="s">
        <v>57</v>
      </c>
      <c r="F2446" t="s">
        <v>1971</v>
      </c>
      <c r="G2446" t="str">
        <f>INDEX(Risk_Matrix!$B$2:$D$4,MATCH(E2446,Risk_Matrix!$A$2:$A$4,0),MATCH(F2446,Risk_Matrix!$B$1:$D$1,0))</f>
        <v>Low</v>
      </c>
      <c r="H2446" s="1">
        <v>46084</v>
      </c>
      <c r="I2446" t="s">
        <v>2002</v>
      </c>
      <c r="J2446" t="s">
        <v>2003</v>
      </c>
      <c r="K2446" t="s">
        <v>2036</v>
      </c>
      <c r="L2446">
        <f>IF(G2446="High",3,IF(G2446="Medium",2,1))</f>
        <v>1</v>
      </c>
    </row>
    <row r="2447" spans="1:12">
      <c r="A2447" t="s">
        <v>4473</v>
      </c>
      <c r="B2447" t="s">
        <v>1508</v>
      </c>
      <c r="C2447" t="s">
        <v>2000</v>
      </c>
      <c r="D2447" t="s">
        <v>2001</v>
      </c>
      <c r="E2447" t="s">
        <v>1971</v>
      </c>
      <c r="F2447" t="s">
        <v>1971</v>
      </c>
      <c r="G2447" t="str">
        <f>INDEX(Risk_Matrix!$B$2:$D$4,MATCH(E2447,Risk_Matrix!$A$2:$A$4,0),MATCH(F2447,Risk_Matrix!$B$1:$D$1,0))</f>
        <v>Medium</v>
      </c>
      <c r="H2447" s="1">
        <v>46100</v>
      </c>
      <c r="I2447" t="s">
        <v>2025</v>
      </c>
      <c r="J2447" t="s">
        <v>2035</v>
      </c>
      <c r="K2447" t="s">
        <v>1993</v>
      </c>
      <c r="L2447">
        <f>IF(G2447="High",3,IF(G2447="Medium",2,1))</f>
        <v>2</v>
      </c>
    </row>
    <row r="2448" spans="1:12">
      <c r="A2448" t="s">
        <v>4474</v>
      </c>
      <c r="B2448" t="s">
        <v>1508</v>
      </c>
      <c r="C2448" t="s">
        <v>2005</v>
      </c>
      <c r="D2448" t="s">
        <v>2006</v>
      </c>
      <c r="E2448" t="s">
        <v>57</v>
      </c>
      <c r="F2448" t="s">
        <v>1971</v>
      </c>
      <c r="G2448" t="str">
        <f>INDEX(Risk_Matrix!$B$2:$D$4,MATCH(E2448,Risk_Matrix!$A$2:$A$4,0),MATCH(F2448,Risk_Matrix!$B$1:$D$1,0))</f>
        <v>Low</v>
      </c>
      <c r="H2448" s="1">
        <v>46236</v>
      </c>
      <c r="I2448" t="s">
        <v>2025</v>
      </c>
      <c r="J2448" t="s">
        <v>2026</v>
      </c>
      <c r="K2448" t="s">
        <v>1993</v>
      </c>
      <c r="L2448">
        <f>IF(G2448="High",3,IF(G2448="Medium",2,1))</f>
        <v>1</v>
      </c>
    </row>
    <row r="2449" spans="1:12">
      <c r="A2449" t="s">
        <v>4475</v>
      </c>
      <c r="B2449" t="s">
        <v>1508</v>
      </c>
      <c r="C2449" t="s">
        <v>2008</v>
      </c>
      <c r="D2449" t="s">
        <v>2054</v>
      </c>
      <c r="E2449" t="s">
        <v>1971</v>
      </c>
      <c r="F2449" t="s">
        <v>1971</v>
      </c>
      <c r="G2449" t="str">
        <f>INDEX(Risk_Matrix!$B$2:$D$4,MATCH(E2449,Risk_Matrix!$A$2:$A$4,0),MATCH(F2449,Risk_Matrix!$B$1:$D$1,0))</f>
        <v>Medium</v>
      </c>
      <c r="H2449" s="1">
        <v>46168</v>
      </c>
      <c r="I2449" t="s">
        <v>2015</v>
      </c>
      <c r="J2449" t="s">
        <v>2016</v>
      </c>
      <c r="K2449" t="s">
        <v>2010</v>
      </c>
      <c r="L2449">
        <f>IF(G2449="High",3,IF(G2449="Medium",2,1))</f>
        <v>2</v>
      </c>
    </row>
    <row r="2450" spans="1:12">
      <c r="A2450" t="s">
        <v>4476</v>
      </c>
      <c r="B2450" t="s">
        <v>1509</v>
      </c>
      <c r="C2450" t="s">
        <v>1985</v>
      </c>
      <c r="D2450" t="s">
        <v>1986</v>
      </c>
      <c r="E2450" t="s">
        <v>47</v>
      </c>
      <c r="F2450" t="s">
        <v>1971</v>
      </c>
      <c r="G2450" t="str">
        <f>INDEX(Risk_Matrix!$B$2:$D$4,MATCH(E2450,Risk_Matrix!$A$2:$A$4,0),MATCH(F2450,Risk_Matrix!$B$1:$D$1,0))</f>
        <v>High</v>
      </c>
      <c r="H2450" s="1">
        <v>46161</v>
      </c>
      <c r="I2450" t="s">
        <v>2025</v>
      </c>
      <c r="J2450" t="s">
        <v>2035</v>
      </c>
      <c r="K2450" t="s">
        <v>1989</v>
      </c>
      <c r="L2450">
        <f>IF(G2450="High",3,IF(G2450="Medium",2,1))</f>
        <v>3</v>
      </c>
    </row>
    <row r="2451" spans="1:12">
      <c r="A2451" t="s">
        <v>4477</v>
      </c>
      <c r="B2451" t="s">
        <v>1509</v>
      </c>
      <c r="C2451" t="s">
        <v>1991</v>
      </c>
      <c r="D2451" t="s">
        <v>2064</v>
      </c>
      <c r="E2451" t="s">
        <v>57</v>
      </c>
      <c r="F2451" t="s">
        <v>1971</v>
      </c>
      <c r="G2451" t="str">
        <f>INDEX(Risk_Matrix!$B$2:$D$4,MATCH(E2451,Risk_Matrix!$A$2:$A$4,0),MATCH(F2451,Risk_Matrix!$B$1:$D$1,0))</f>
        <v>Low</v>
      </c>
      <c r="H2451" s="1">
        <v>46077</v>
      </c>
      <c r="I2451" t="s">
        <v>1987</v>
      </c>
      <c r="J2451" t="s">
        <v>1988</v>
      </c>
      <c r="K2451" t="s">
        <v>1993</v>
      </c>
      <c r="L2451">
        <f>IF(G2451="High",3,IF(G2451="Medium",2,1))</f>
        <v>1</v>
      </c>
    </row>
    <row r="2452" spans="1:12">
      <c r="A2452" t="s">
        <v>4478</v>
      </c>
      <c r="B2452" t="s">
        <v>1509</v>
      </c>
      <c r="C2452" t="s">
        <v>1995</v>
      </c>
      <c r="D2452" t="s">
        <v>2034</v>
      </c>
      <c r="E2452" t="s">
        <v>57</v>
      </c>
      <c r="F2452" t="s">
        <v>57</v>
      </c>
      <c r="G2452" t="str">
        <f>INDEX(Risk_Matrix!$B$2:$D$4,MATCH(E2452,Risk_Matrix!$A$2:$A$4,0),MATCH(F2452,Risk_Matrix!$B$1:$D$1,0))</f>
        <v>Low</v>
      </c>
      <c r="H2452" s="1">
        <v>46116</v>
      </c>
      <c r="I2452" t="s">
        <v>2025</v>
      </c>
      <c r="J2452" t="s">
        <v>2035</v>
      </c>
      <c r="K2452" t="s">
        <v>2036</v>
      </c>
      <c r="L2452">
        <f>IF(G2452="High",3,IF(G2452="Medium",2,1))</f>
        <v>1</v>
      </c>
    </row>
    <row r="2453" spans="1:12">
      <c r="A2453" t="s">
        <v>4479</v>
      </c>
      <c r="B2453" t="s">
        <v>1509</v>
      </c>
      <c r="C2453" t="s">
        <v>2000</v>
      </c>
      <c r="D2453" t="s">
        <v>2020</v>
      </c>
      <c r="E2453" t="s">
        <v>1971</v>
      </c>
      <c r="F2453" t="s">
        <v>1971</v>
      </c>
      <c r="G2453" t="str">
        <f>INDEX(Risk_Matrix!$B$2:$D$4,MATCH(E2453,Risk_Matrix!$A$2:$A$4,0),MATCH(F2453,Risk_Matrix!$B$1:$D$1,0))</f>
        <v>Medium</v>
      </c>
      <c r="H2453" s="1">
        <v>46154</v>
      </c>
      <c r="I2453" t="s">
        <v>2015</v>
      </c>
      <c r="J2453" t="s">
        <v>2032</v>
      </c>
      <c r="K2453" t="s">
        <v>1993</v>
      </c>
      <c r="L2453">
        <f>IF(G2453="High",3,IF(G2453="Medium",2,1))</f>
        <v>2</v>
      </c>
    </row>
    <row r="2454" spans="1:12">
      <c r="A2454" t="s">
        <v>4480</v>
      </c>
      <c r="B2454" t="s">
        <v>1509</v>
      </c>
      <c r="C2454" t="s">
        <v>2005</v>
      </c>
      <c r="D2454" t="s">
        <v>2022</v>
      </c>
      <c r="E2454" t="s">
        <v>57</v>
      </c>
      <c r="F2454" t="s">
        <v>57</v>
      </c>
      <c r="G2454" t="str">
        <f>INDEX(Risk_Matrix!$B$2:$D$4,MATCH(E2454,Risk_Matrix!$A$2:$A$4,0),MATCH(F2454,Risk_Matrix!$B$1:$D$1,0))</f>
        <v>Low</v>
      </c>
      <c r="H2454" s="1">
        <v>46090</v>
      </c>
      <c r="I2454" t="s">
        <v>2002</v>
      </c>
      <c r="J2454" t="s">
        <v>2003</v>
      </c>
      <c r="K2454" t="s">
        <v>2036</v>
      </c>
      <c r="L2454">
        <f>IF(G2454="High",3,IF(G2454="Medium",2,1))</f>
        <v>1</v>
      </c>
    </row>
    <row r="2455" spans="1:12">
      <c r="A2455" t="s">
        <v>4481</v>
      </c>
      <c r="B2455" t="s">
        <v>1509</v>
      </c>
      <c r="C2455" t="s">
        <v>2008</v>
      </c>
      <c r="D2455" t="s">
        <v>2054</v>
      </c>
      <c r="E2455" t="s">
        <v>47</v>
      </c>
      <c r="F2455" t="s">
        <v>57</v>
      </c>
      <c r="G2455" t="str">
        <f>INDEX(Risk_Matrix!$B$2:$D$4,MATCH(E2455,Risk_Matrix!$A$2:$A$4,0),MATCH(F2455,Risk_Matrix!$B$1:$D$1,0))</f>
        <v>Medium</v>
      </c>
      <c r="H2455" s="1">
        <v>46194</v>
      </c>
      <c r="I2455" t="s">
        <v>2015</v>
      </c>
      <c r="J2455" t="s">
        <v>2032</v>
      </c>
      <c r="K2455" t="s">
        <v>1998</v>
      </c>
      <c r="L2455">
        <f>IF(G2455="High",3,IF(G2455="Medium",2,1))</f>
        <v>2</v>
      </c>
    </row>
    <row r="2456" spans="1:12">
      <c r="A2456" t="s">
        <v>4482</v>
      </c>
      <c r="B2456" t="s">
        <v>1511</v>
      </c>
      <c r="C2456" t="s">
        <v>1985</v>
      </c>
      <c r="D2456" t="s">
        <v>1986</v>
      </c>
      <c r="E2456" t="s">
        <v>57</v>
      </c>
      <c r="F2456" t="s">
        <v>57</v>
      </c>
      <c r="G2456" t="str">
        <f>INDEX(Risk_Matrix!$B$2:$D$4,MATCH(E2456,Risk_Matrix!$A$2:$A$4,0),MATCH(F2456,Risk_Matrix!$B$1:$D$1,0))</f>
        <v>Low</v>
      </c>
      <c r="H2456" s="1">
        <v>46082</v>
      </c>
      <c r="I2456" t="s">
        <v>1987</v>
      </c>
      <c r="J2456" t="s">
        <v>1997</v>
      </c>
      <c r="K2456" t="s">
        <v>1989</v>
      </c>
      <c r="L2456">
        <f>IF(G2456="High",3,IF(G2456="Medium",2,1))</f>
        <v>1</v>
      </c>
    </row>
    <row r="2457" spans="1:12">
      <c r="A2457" t="s">
        <v>4483</v>
      </c>
      <c r="B2457" t="s">
        <v>1511</v>
      </c>
      <c r="C2457" t="s">
        <v>1991</v>
      </c>
      <c r="D2457" t="s">
        <v>2064</v>
      </c>
      <c r="E2457" t="s">
        <v>57</v>
      </c>
      <c r="F2457" t="s">
        <v>47</v>
      </c>
      <c r="G2457" t="str">
        <f>INDEX(Risk_Matrix!$B$2:$D$4,MATCH(E2457,Risk_Matrix!$A$2:$A$4,0),MATCH(F2457,Risk_Matrix!$B$1:$D$1,0))</f>
        <v>Medium</v>
      </c>
      <c r="H2457" s="1">
        <v>46125</v>
      </c>
      <c r="I2457" t="s">
        <v>2025</v>
      </c>
      <c r="J2457" t="s">
        <v>2035</v>
      </c>
      <c r="K2457" t="s">
        <v>2010</v>
      </c>
      <c r="L2457">
        <f>IF(G2457="High",3,IF(G2457="Medium",2,1))</f>
        <v>2</v>
      </c>
    </row>
    <row r="2458" spans="1:12">
      <c r="A2458" t="s">
        <v>4484</v>
      </c>
      <c r="B2458" t="s">
        <v>1511</v>
      </c>
      <c r="C2458" t="s">
        <v>1995</v>
      </c>
      <c r="D2458" t="s">
        <v>2150</v>
      </c>
      <c r="E2458" t="s">
        <v>1971</v>
      </c>
      <c r="F2458" t="s">
        <v>1971</v>
      </c>
      <c r="G2458" t="str">
        <f>INDEX(Risk_Matrix!$B$2:$D$4,MATCH(E2458,Risk_Matrix!$A$2:$A$4,0),MATCH(F2458,Risk_Matrix!$B$1:$D$1,0))</f>
        <v>Medium</v>
      </c>
      <c r="H2458" s="1">
        <v>46196</v>
      </c>
      <c r="I2458" t="s">
        <v>2015</v>
      </c>
      <c r="J2458" t="s">
        <v>2016</v>
      </c>
      <c r="K2458" t="s">
        <v>1998</v>
      </c>
      <c r="L2458">
        <f>IF(G2458="High",3,IF(G2458="Medium",2,1))</f>
        <v>2</v>
      </c>
    </row>
    <row r="2459" spans="1:12">
      <c r="A2459" t="s">
        <v>4485</v>
      </c>
      <c r="B2459" t="s">
        <v>1511</v>
      </c>
      <c r="C2459" t="s">
        <v>2000</v>
      </c>
      <c r="D2459" t="s">
        <v>2045</v>
      </c>
      <c r="E2459" t="s">
        <v>57</v>
      </c>
      <c r="F2459" t="s">
        <v>57</v>
      </c>
      <c r="G2459" t="str">
        <f>INDEX(Risk_Matrix!$B$2:$D$4,MATCH(E2459,Risk_Matrix!$A$2:$A$4,0),MATCH(F2459,Risk_Matrix!$B$1:$D$1,0))</f>
        <v>Low</v>
      </c>
      <c r="H2459" s="1">
        <v>46075</v>
      </c>
      <c r="I2459" t="s">
        <v>2002</v>
      </c>
      <c r="J2459" t="s">
        <v>2029</v>
      </c>
      <c r="K2459" t="s">
        <v>1989</v>
      </c>
      <c r="L2459">
        <f>IF(G2459="High",3,IF(G2459="Medium",2,1))</f>
        <v>1</v>
      </c>
    </row>
    <row r="2460" spans="1:12">
      <c r="A2460" t="s">
        <v>4486</v>
      </c>
      <c r="B2460" t="s">
        <v>1511</v>
      </c>
      <c r="C2460" t="s">
        <v>2005</v>
      </c>
      <c r="D2460" t="s">
        <v>2006</v>
      </c>
      <c r="E2460" t="s">
        <v>57</v>
      </c>
      <c r="F2460" t="s">
        <v>57</v>
      </c>
      <c r="G2460" t="str">
        <f>INDEX(Risk_Matrix!$B$2:$D$4,MATCH(E2460,Risk_Matrix!$A$2:$A$4,0),MATCH(F2460,Risk_Matrix!$B$1:$D$1,0))</f>
        <v>Low</v>
      </c>
      <c r="H2460" s="1">
        <v>46183</v>
      </c>
      <c r="I2460" t="s">
        <v>1987</v>
      </c>
      <c r="J2460" t="s">
        <v>1988</v>
      </c>
      <c r="K2460" t="s">
        <v>1993</v>
      </c>
      <c r="L2460">
        <f>IF(G2460="High",3,IF(G2460="Medium",2,1))</f>
        <v>1</v>
      </c>
    </row>
    <row r="2461" spans="1:12">
      <c r="A2461" t="s">
        <v>4487</v>
      </c>
      <c r="B2461" t="s">
        <v>1511</v>
      </c>
      <c r="C2461" t="s">
        <v>2008</v>
      </c>
      <c r="D2461" t="s">
        <v>2009</v>
      </c>
      <c r="E2461" t="s">
        <v>1971</v>
      </c>
      <c r="F2461" t="s">
        <v>47</v>
      </c>
      <c r="G2461" t="str">
        <f>INDEX(Risk_Matrix!$B$2:$D$4,MATCH(E2461,Risk_Matrix!$A$2:$A$4,0),MATCH(F2461,Risk_Matrix!$B$1:$D$1,0))</f>
        <v>High</v>
      </c>
      <c r="H2461" s="1">
        <v>46152</v>
      </c>
      <c r="I2461" t="s">
        <v>2015</v>
      </c>
      <c r="J2461" t="s">
        <v>2016</v>
      </c>
      <c r="K2461" t="s">
        <v>2010</v>
      </c>
      <c r="L2461">
        <f>IF(G2461="High",3,IF(G2461="Medium",2,1))</f>
        <v>3</v>
      </c>
    </row>
    <row r="2462" spans="1:12">
      <c r="A2462" t="s">
        <v>4488</v>
      </c>
      <c r="B2462" t="s">
        <v>1513</v>
      </c>
      <c r="C2462" t="s">
        <v>1985</v>
      </c>
      <c r="D2462" t="s">
        <v>2012</v>
      </c>
      <c r="E2462" t="s">
        <v>57</v>
      </c>
      <c r="F2462" t="s">
        <v>57</v>
      </c>
      <c r="G2462" t="str">
        <f>INDEX(Risk_Matrix!$B$2:$D$4,MATCH(E2462,Risk_Matrix!$A$2:$A$4,0),MATCH(F2462,Risk_Matrix!$B$1:$D$1,0))</f>
        <v>Low</v>
      </c>
      <c r="H2462" s="1">
        <v>46116</v>
      </c>
      <c r="I2462" t="s">
        <v>1987</v>
      </c>
      <c r="J2462" t="s">
        <v>1997</v>
      </c>
      <c r="K2462" t="s">
        <v>1998</v>
      </c>
      <c r="L2462">
        <f>IF(G2462="High",3,IF(G2462="Medium",2,1))</f>
        <v>1</v>
      </c>
    </row>
    <row r="2463" spans="1:12">
      <c r="A2463" t="s">
        <v>4489</v>
      </c>
      <c r="B2463" t="s">
        <v>1513</v>
      </c>
      <c r="C2463" t="s">
        <v>1991</v>
      </c>
      <c r="D2463" t="s">
        <v>2014</v>
      </c>
      <c r="E2463" t="s">
        <v>57</v>
      </c>
      <c r="F2463" t="s">
        <v>1971</v>
      </c>
      <c r="G2463" t="str">
        <f>INDEX(Risk_Matrix!$B$2:$D$4,MATCH(E2463,Risk_Matrix!$A$2:$A$4,0),MATCH(F2463,Risk_Matrix!$B$1:$D$1,0))</f>
        <v>Low</v>
      </c>
      <c r="H2463" s="1">
        <v>46183</v>
      </c>
      <c r="I2463" t="s">
        <v>2025</v>
      </c>
      <c r="J2463" t="s">
        <v>2035</v>
      </c>
      <c r="K2463" t="s">
        <v>1993</v>
      </c>
      <c r="L2463">
        <f>IF(G2463="High",3,IF(G2463="Medium",2,1))</f>
        <v>1</v>
      </c>
    </row>
    <row r="2464" spans="1:12">
      <c r="A2464" t="s">
        <v>4490</v>
      </c>
      <c r="B2464" t="s">
        <v>1513</v>
      </c>
      <c r="C2464" t="s">
        <v>1995</v>
      </c>
      <c r="D2464" t="s">
        <v>2034</v>
      </c>
      <c r="E2464" t="s">
        <v>57</v>
      </c>
      <c r="F2464" t="s">
        <v>1971</v>
      </c>
      <c r="G2464" t="str">
        <f>INDEX(Risk_Matrix!$B$2:$D$4,MATCH(E2464,Risk_Matrix!$A$2:$A$4,0),MATCH(F2464,Risk_Matrix!$B$1:$D$1,0))</f>
        <v>Low</v>
      </c>
      <c r="H2464" s="1">
        <v>46109</v>
      </c>
      <c r="I2464" t="s">
        <v>2025</v>
      </c>
      <c r="J2464" t="s">
        <v>2035</v>
      </c>
      <c r="K2464" t="s">
        <v>1998</v>
      </c>
      <c r="L2464">
        <f>IF(G2464="High",3,IF(G2464="Medium",2,1))</f>
        <v>1</v>
      </c>
    </row>
    <row r="2465" spans="1:12">
      <c r="A2465" t="s">
        <v>4491</v>
      </c>
      <c r="B2465" t="s">
        <v>1513</v>
      </c>
      <c r="C2465" t="s">
        <v>2000</v>
      </c>
      <c r="D2465" t="s">
        <v>2020</v>
      </c>
      <c r="E2465" t="s">
        <v>57</v>
      </c>
      <c r="F2465" t="s">
        <v>57</v>
      </c>
      <c r="G2465" t="str">
        <f>INDEX(Risk_Matrix!$B$2:$D$4,MATCH(E2465,Risk_Matrix!$A$2:$A$4,0),MATCH(F2465,Risk_Matrix!$B$1:$D$1,0))</f>
        <v>Low</v>
      </c>
      <c r="H2465" s="1">
        <v>46131</v>
      </c>
      <c r="I2465" t="s">
        <v>2002</v>
      </c>
      <c r="J2465" t="s">
        <v>2003</v>
      </c>
      <c r="K2465" t="s">
        <v>1989</v>
      </c>
      <c r="L2465">
        <f>IF(G2465="High",3,IF(G2465="Medium",2,1))</f>
        <v>1</v>
      </c>
    </row>
    <row r="2466" spans="1:12">
      <c r="A2466" t="s">
        <v>4492</v>
      </c>
      <c r="B2466" t="s">
        <v>1513</v>
      </c>
      <c r="C2466" t="s">
        <v>2005</v>
      </c>
      <c r="D2466" t="s">
        <v>2039</v>
      </c>
      <c r="E2466" t="s">
        <v>57</v>
      </c>
      <c r="F2466" t="s">
        <v>1971</v>
      </c>
      <c r="G2466" t="str">
        <f>INDEX(Risk_Matrix!$B$2:$D$4,MATCH(E2466,Risk_Matrix!$A$2:$A$4,0),MATCH(F2466,Risk_Matrix!$B$1:$D$1,0))</f>
        <v>Low</v>
      </c>
      <c r="H2466" s="1">
        <v>46100</v>
      </c>
      <c r="I2466" t="s">
        <v>2002</v>
      </c>
      <c r="J2466" t="s">
        <v>2003</v>
      </c>
      <c r="K2466" t="s">
        <v>2036</v>
      </c>
      <c r="L2466">
        <f>IF(G2466="High",3,IF(G2466="Medium",2,1))</f>
        <v>1</v>
      </c>
    </row>
    <row r="2467" spans="1:12">
      <c r="A2467" t="s">
        <v>4493</v>
      </c>
      <c r="B2467" t="s">
        <v>1513</v>
      </c>
      <c r="C2467" t="s">
        <v>2008</v>
      </c>
      <c r="D2467" t="s">
        <v>2054</v>
      </c>
      <c r="E2467" t="s">
        <v>57</v>
      </c>
      <c r="F2467" t="s">
        <v>1971</v>
      </c>
      <c r="G2467" t="str">
        <f>INDEX(Risk_Matrix!$B$2:$D$4,MATCH(E2467,Risk_Matrix!$A$2:$A$4,0),MATCH(F2467,Risk_Matrix!$B$1:$D$1,0))</f>
        <v>Low</v>
      </c>
      <c r="H2467" s="1">
        <v>46186</v>
      </c>
      <c r="I2467" t="s">
        <v>2015</v>
      </c>
      <c r="J2467" t="s">
        <v>2032</v>
      </c>
      <c r="K2467" t="s">
        <v>2010</v>
      </c>
      <c r="L2467">
        <f>IF(G2467="High",3,IF(G2467="Medium",2,1))</f>
        <v>1</v>
      </c>
    </row>
    <row r="2468" spans="1:12">
      <c r="A2468" t="s">
        <v>4494</v>
      </c>
      <c r="B2468" t="s">
        <v>1515</v>
      </c>
      <c r="C2468" t="s">
        <v>1985</v>
      </c>
      <c r="D2468" t="s">
        <v>2028</v>
      </c>
      <c r="E2468" t="s">
        <v>57</v>
      </c>
      <c r="F2468" t="s">
        <v>57</v>
      </c>
      <c r="G2468" t="str">
        <f>INDEX(Risk_Matrix!$B$2:$D$4,MATCH(E2468,Risk_Matrix!$A$2:$A$4,0),MATCH(F2468,Risk_Matrix!$B$1:$D$1,0))</f>
        <v>Low</v>
      </c>
      <c r="H2468" s="1">
        <v>46086</v>
      </c>
      <c r="I2468" t="s">
        <v>2002</v>
      </c>
      <c r="J2468" t="s">
        <v>2003</v>
      </c>
      <c r="K2468" t="s">
        <v>1989</v>
      </c>
      <c r="L2468">
        <f>IF(G2468="High",3,IF(G2468="Medium",2,1))</f>
        <v>1</v>
      </c>
    </row>
    <row r="2469" spans="1:12">
      <c r="A2469" t="s">
        <v>4495</v>
      </c>
      <c r="B2469" t="s">
        <v>1515</v>
      </c>
      <c r="C2469" t="s">
        <v>1991</v>
      </c>
      <c r="D2469" t="s">
        <v>2064</v>
      </c>
      <c r="E2469" t="s">
        <v>57</v>
      </c>
      <c r="F2469" t="s">
        <v>57</v>
      </c>
      <c r="G2469" t="str">
        <f>INDEX(Risk_Matrix!$B$2:$D$4,MATCH(E2469,Risk_Matrix!$A$2:$A$4,0),MATCH(F2469,Risk_Matrix!$B$1:$D$1,0))</f>
        <v>Low</v>
      </c>
      <c r="H2469" s="1">
        <v>46067</v>
      </c>
      <c r="I2469" t="s">
        <v>2002</v>
      </c>
      <c r="J2469" t="s">
        <v>2003</v>
      </c>
      <c r="K2469" t="s">
        <v>2010</v>
      </c>
      <c r="L2469">
        <f>IF(G2469="High",3,IF(G2469="Medium",2,1))</f>
        <v>1</v>
      </c>
    </row>
    <row r="2470" spans="1:12">
      <c r="A2470" t="s">
        <v>4496</v>
      </c>
      <c r="B2470" t="s">
        <v>1515</v>
      </c>
      <c r="C2470" t="s">
        <v>1995</v>
      </c>
      <c r="D2470" t="s">
        <v>2150</v>
      </c>
      <c r="E2470" t="s">
        <v>57</v>
      </c>
      <c r="F2470" t="s">
        <v>57</v>
      </c>
      <c r="G2470" t="str">
        <f>INDEX(Risk_Matrix!$B$2:$D$4,MATCH(E2470,Risk_Matrix!$A$2:$A$4,0),MATCH(F2470,Risk_Matrix!$B$1:$D$1,0))</f>
        <v>Low</v>
      </c>
      <c r="H2470" s="1">
        <v>46158</v>
      </c>
      <c r="I2470" t="s">
        <v>2015</v>
      </c>
      <c r="J2470" t="s">
        <v>2016</v>
      </c>
      <c r="K2470" t="s">
        <v>2036</v>
      </c>
      <c r="L2470">
        <f>IF(G2470="High",3,IF(G2470="Medium",2,1))</f>
        <v>1</v>
      </c>
    </row>
    <row r="2471" spans="1:12">
      <c r="A2471" t="s">
        <v>4497</v>
      </c>
      <c r="B2471" t="s">
        <v>1515</v>
      </c>
      <c r="C2471" t="s">
        <v>2000</v>
      </c>
      <c r="D2471" t="s">
        <v>2001</v>
      </c>
      <c r="E2471" t="s">
        <v>1971</v>
      </c>
      <c r="F2471" t="s">
        <v>47</v>
      </c>
      <c r="G2471" t="str">
        <f>INDEX(Risk_Matrix!$B$2:$D$4,MATCH(E2471,Risk_Matrix!$A$2:$A$4,0),MATCH(F2471,Risk_Matrix!$B$1:$D$1,0))</f>
        <v>High</v>
      </c>
      <c r="H2471" s="1">
        <v>46153</v>
      </c>
      <c r="I2471" t="s">
        <v>2015</v>
      </c>
      <c r="J2471" t="s">
        <v>2016</v>
      </c>
      <c r="K2471" t="s">
        <v>1989</v>
      </c>
      <c r="L2471">
        <f>IF(G2471="High",3,IF(G2471="Medium",2,1))</f>
        <v>3</v>
      </c>
    </row>
    <row r="2472" spans="1:12">
      <c r="A2472" t="s">
        <v>4498</v>
      </c>
      <c r="B2472" t="s">
        <v>1515</v>
      </c>
      <c r="C2472" t="s">
        <v>2005</v>
      </c>
      <c r="D2472" t="s">
        <v>2006</v>
      </c>
      <c r="E2472" t="s">
        <v>1971</v>
      </c>
      <c r="F2472" t="s">
        <v>57</v>
      </c>
      <c r="G2472" t="str">
        <f>INDEX(Risk_Matrix!$B$2:$D$4,MATCH(E2472,Risk_Matrix!$A$2:$A$4,0),MATCH(F2472,Risk_Matrix!$B$1:$D$1,0))</f>
        <v>Low</v>
      </c>
      <c r="H2472" s="1">
        <v>46176</v>
      </c>
      <c r="I2472" t="s">
        <v>1987</v>
      </c>
      <c r="J2472" t="s">
        <v>1988</v>
      </c>
      <c r="K2472" t="s">
        <v>1993</v>
      </c>
      <c r="L2472">
        <f>IF(G2472="High",3,IF(G2472="Medium",2,1))</f>
        <v>1</v>
      </c>
    </row>
    <row r="2473" spans="1:12">
      <c r="A2473" t="s">
        <v>4499</v>
      </c>
      <c r="B2473" t="s">
        <v>1515</v>
      </c>
      <c r="C2473" t="s">
        <v>2008</v>
      </c>
      <c r="D2473" t="s">
        <v>2054</v>
      </c>
      <c r="E2473" t="s">
        <v>57</v>
      </c>
      <c r="F2473" t="s">
        <v>57</v>
      </c>
      <c r="G2473" t="str">
        <f>INDEX(Risk_Matrix!$B$2:$D$4,MATCH(E2473,Risk_Matrix!$A$2:$A$4,0),MATCH(F2473,Risk_Matrix!$B$1:$D$1,0))</f>
        <v>Low</v>
      </c>
      <c r="H2473" s="1">
        <v>46061</v>
      </c>
      <c r="I2473" t="s">
        <v>2025</v>
      </c>
      <c r="J2473" t="s">
        <v>2035</v>
      </c>
      <c r="K2473" t="s">
        <v>2010</v>
      </c>
      <c r="L2473">
        <f>IF(G2473="High",3,IF(G2473="Medium",2,1))</f>
        <v>1</v>
      </c>
    </row>
    <row r="2474" spans="1:12">
      <c r="A2474" t="s">
        <v>4500</v>
      </c>
      <c r="B2474" t="s">
        <v>1517</v>
      </c>
      <c r="C2474" t="s">
        <v>1985</v>
      </c>
      <c r="D2474" t="s">
        <v>2062</v>
      </c>
      <c r="E2474" t="s">
        <v>1971</v>
      </c>
      <c r="F2474" t="s">
        <v>57</v>
      </c>
      <c r="G2474" t="str">
        <f>INDEX(Risk_Matrix!$B$2:$D$4,MATCH(E2474,Risk_Matrix!$A$2:$A$4,0),MATCH(F2474,Risk_Matrix!$B$1:$D$1,0))</f>
        <v>Low</v>
      </c>
      <c r="H2474" s="1">
        <v>46220</v>
      </c>
      <c r="I2474" t="s">
        <v>1987</v>
      </c>
      <c r="J2474" t="s">
        <v>1997</v>
      </c>
      <c r="K2474" t="s">
        <v>1989</v>
      </c>
      <c r="L2474">
        <f>IF(G2474="High",3,IF(G2474="Medium",2,1))</f>
        <v>1</v>
      </c>
    </row>
    <row r="2475" spans="1:12">
      <c r="A2475" t="s">
        <v>4501</v>
      </c>
      <c r="B2475" t="s">
        <v>1517</v>
      </c>
      <c r="C2475" t="s">
        <v>1991</v>
      </c>
      <c r="D2475" t="s">
        <v>1992</v>
      </c>
      <c r="E2475" t="s">
        <v>57</v>
      </c>
      <c r="F2475" t="s">
        <v>1971</v>
      </c>
      <c r="G2475" t="str">
        <f>INDEX(Risk_Matrix!$B$2:$D$4,MATCH(E2475,Risk_Matrix!$A$2:$A$4,0),MATCH(F2475,Risk_Matrix!$B$1:$D$1,0))</f>
        <v>Low</v>
      </c>
      <c r="H2475" s="1">
        <v>46214</v>
      </c>
      <c r="I2475" t="s">
        <v>2002</v>
      </c>
      <c r="J2475" t="s">
        <v>2029</v>
      </c>
      <c r="K2475" t="s">
        <v>2010</v>
      </c>
      <c r="L2475">
        <f>IF(G2475="High",3,IF(G2475="Medium",2,1))</f>
        <v>1</v>
      </c>
    </row>
    <row r="2476" spans="1:12">
      <c r="A2476" t="s">
        <v>4502</v>
      </c>
      <c r="B2476" t="s">
        <v>1517</v>
      </c>
      <c r="C2476" t="s">
        <v>1995</v>
      </c>
      <c r="D2476" t="s">
        <v>2034</v>
      </c>
      <c r="E2476" t="s">
        <v>47</v>
      </c>
      <c r="F2476" t="s">
        <v>57</v>
      </c>
      <c r="G2476" t="str">
        <f>INDEX(Risk_Matrix!$B$2:$D$4,MATCH(E2476,Risk_Matrix!$A$2:$A$4,0),MATCH(F2476,Risk_Matrix!$B$1:$D$1,0))</f>
        <v>Medium</v>
      </c>
      <c r="H2476" s="1">
        <v>46181</v>
      </c>
      <c r="I2476" t="s">
        <v>2015</v>
      </c>
      <c r="J2476" t="s">
        <v>2016</v>
      </c>
      <c r="K2476" t="s">
        <v>1998</v>
      </c>
      <c r="L2476">
        <f>IF(G2476="High",3,IF(G2476="Medium",2,1))</f>
        <v>2</v>
      </c>
    </row>
    <row r="2477" spans="1:12">
      <c r="A2477" t="s">
        <v>4503</v>
      </c>
      <c r="B2477" t="s">
        <v>1517</v>
      </c>
      <c r="C2477" t="s">
        <v>2000</v>
      </c>
      <c r="D2477" t="s">
        <v>2045</v>
      </c>
      <c r="E2477" t="s">
        <v>1971</v>
      </c>
      <c r="F2477" t="s">
        <v>1971</v>
      </c>
      <c r="G2477" t="str">
        <f>INDEX(Risk_Matrix!$B$2:$D$4,MATCH(E2477,Risk_Matrix!$A$2:$A$4,0),MATCH(F2477,Risk_Matrix!$B$1:$D$1,0))</f>
        <v>Medium</v>
      </c>
      <c r="H2477" s="1">
        <v>46237</v>
      </c>
      <c r="I2477" t="s">
        <v>2015</v>
      </c>
      <c r="J2477" t="s">
        <v>2032</v>
      </c>
      <c r="K2477" t="s">
        <v>1989</v>
      </c>
      <c r="L2477">
        <f>IF(G2477="High",3,IF(G2477="Medium",2,1))</f>
        <v>2</v>
      </c>
    </row>
    <row r="2478" spans="1:12">
      <c r="A2478" t="s">
        <v>4504</v>
      </c>
      <c r="B2478" t="s">
        <v>1517</v>
      </c>
      <c r="C2478" t="s">
        <v>2005</v>
      </c>
      <c r="D2478" t="s">
        <v>2006</v>
      </c>
      <c r="E2478" t="s">
        <v>1971</v>
      </c>
      <c r="F2478" t="s">
        <v>47</v>
      </c>
      <c r="G2478" t="str">
        <f>INDEX(Risk_Matrix!$B$2:$D$4,MATCH(E2478,Risk_Matrix!$A$2:$A$4,0),MATCH(F2478,Risk_Matrix!$B$1:$D$1,0))</f>
        <v>High</v>
      </c>
      <c r="H2478" s="1">
        <v>46181</v>
      </c>
      <c r="I2478" t="s">
        <v>2015</v>
      </c>
      <c r="J2478" t="s">
        <v>2016</v>
      </c>
      <c r="K2478" t="s">
        <v>1993</v>
      </c>
      <c r="L2478">
        <f>IF(G2478="High",3,IF(G2478="Medium",2,1))</f>
        <v>3</v>
      </c>
    </row>
    <row r="2479" spans="1:12">
      <c r="A2479" t="s">
        <v>4505</v>
      </c>
      <c r="B2479" t="s">
        <v>1517</v>
      </c>
      <c r="C2479" t="s">
        <v>2008</v>
      </c>
      <c r="D2479" t="s">
        <v>2054</v>
      </c>
      <c r="E2479" t="s">
        <v>1971</v>
      </c>
      <c r="F2479" t="s">
        <v>1971</v>
      </c>
      <c r="G2479" t="str">
        <f>INDEX(Risk_Matrix!$B$2:$D$4,MATCH(E2479,Risk_Matrix!$A$2:$A$4,0),MATCH(F2479,Risk_Matrix!$B$1:$D$1,0))</f>
        <v>Medium</v>
      </c>
      <c r="H2479" s="1">
        <v>46193</v>
      </c>
      <c r="I2479" t="s">
        <v>2015</v>
      </c>
      <c r="J2479" t="s">
        <v>2032</v>
      </c>
      <c r="K2479" t="s">
        <v>2010</v>
      </c>
      <c r="L2479">
        <f>IF(G2479="High",3,IF(G2479="Medium",2,1))</f>
        <v>2</v>
      </c>
    </row>
    <row r="2480" spans="1:12">
      <c r="A2480" t="s">
        <v>4506</v>
      </c>
      <c r="B2480" t="s">
        <v>1520</v>
      </c>
      <c r="C2480" t="s">
        <v>1985</v>
      </c>
      <c r="D2480" t="s">
        <v>2028</v>
      </c>
      <c r="E2480" t="s">
        <v>57</v>
      </c>
      <c r="F2480" t="s">
        <v>1971</v>
      </c>
      <c r="G2480" t="str">
        <f>INDEX(Risk_Matrix!$B$2:$D$4,MATCH(E2480,Risk_Matrix!$A$2:$A$4,0),MATCH(F2480,Risk_Matrix!$B$1:$D$1,0))</f>
        <v>Low</v>
      </c>
      <c r="H2480" s="1">
        <v>46074</v>
      </c>
      <c r="I2480" t="s">
        <v>2025</v>
      </c>
      <c r="J2480" t="s">
        <v>2026</v>
      </c>
      <c r="K2480" t="s">
        <v>1989</v>
      </c>
      <c r="L2480">
        <f>IF(G2480="High",3,IF(G2480="Medium",2,1))</f>
        <v>1</v>
      </c>
    </row>
    <row r="2481" spans="1:12">
      <c r="A2481" t="s">
        <v>4507</v>
      </c>
      <c r="B2481" t="s">
        <v>1520</v>
      </c>
      <c r="C2481" t="s">
        <v>1991</v>
      </c>
      <c r="D2481" t="s">
        <v>1992</v>
      </c>
      <c r="E2481" t="s">
        <v>57</v>
      </c>
      <c r="F2481" t="s">
        <v>57</v>
      </c>
      <c r="G2481" t="str">
        <f>INDEX(Risk_Matrix!$B$2:$D$4,MATCH(E2481,Risk_Matrix!$A$2:$A$4,0),MATCH(F2481,Risk_Matrix!$B$1:$D$1,0))</f>
        <v>Low</v>
      </c>
      <c r="H2481" s="1">
        <v>46124</v>
      </c>
      <c r="I2481" t="s">
        <v>1987</v>
      </c>
      <c r="J2481" t="s">
        <v>1988</v>
      </c>
      <c r="K2481" t="s">
        <v>1993</v>
      </c>
      <c r="L2481">
        <f>IF(G2481="High",3,IF(G2481="Medium",2,1))</f>
        <v>1</v>
      </c>
    </row>
    <row r="2482" spans="1:12">
      <c r="A2482" t="s">
        <v>4508</v>
      </c>
      <c r="B2482" t="s">
        <v>1520</v>
      </c>
      <c r="C2482" t="s">
        <v>1995</v>
      </c>
      <c r="D2482" t="s">
        <v>2150</v>
      </c>
      <c r="E2482" t="s">
        <v>1971</v>
      </c>
      <c r="F2482" t="s">
        <v>1971</v>
      </c>
      <c r="G2482" t="str">
        <f>INDEX(Risk_Matrix!$B$2:$D$4,MATCH(E2482,Risk_Matrix!$A$2:$A$4,0),MATCH(F2482,Risk_Matrix!$B$1:$D$1,0))</f>
        <v>Medium</v>
      </c>
      <c r="H2482" s="1">
        <v>46074</v>
      </c>
      <c r="I2482" t="s">
        <v>2025</v>
      </c>
      <c r="J2482" t="s">
        <v>2035</v>
      </c>
      <c r="K2482" t="s">
        <v>1998</v>
      </c>
      <c r="L2482">
        <f>IF(G2482="High",3,IF(G2482="Medium",2,1))</f>
        <v>2</v>
      </c>
    </row>
    <row r="2483" spans="1:12">
      <c r="A2483" t="s">
        <v>4509</v>
      </c>
      <c r="B2483" t="s">
        <v>1520</v>
      </c>
      <c r="C2483" t="s">
        <v>2000</v>
      </c>
      <c r="D2483" t="s">
        <v>2045</v>
      </c>
      <c r="E2483" t="s">
        <v>47</v>
      </c>
      <c r="F2483" t="s">
        <v>47</v>
      </c>
      <c r="G2483" t="str">
        <f>INDEX(Risk_Matrix!$B$2:$D$4,MATCH(E2483,Risk_Matrix!$A$2:$A$4,0),MATCH(F2483,Risk_Matrix!$B$1:$D$1,0))</f>
        <v>High</v>
      </c>
      <c r="H2483" s="1">
        <v>46205</v>
      </c>
      <c r="I2483" t="s">
        <v>2015</v>
      </c>
      <c r="J2483" t="s">
        <v>2032</v>
      </c>
      <c r="K2483" t="s">
        <v>1993</v>
      </c>
      <c r="L2483">
        <f>IF(G2483="High",3,IF(G2483="Medium",2,1))</f>
        <v>3</v>
      </c>
    </row>
    <row r="2484" spans="1:12">
      <c r="A2484" t="s">
        <v>4510</v>
      </c>
      <c r="B2484" t="s">
        <v>1520</v>
      </c>
      <c r="C2484" t="s">
        <v>2005</v>
      </c>
      <c r="D2484" t="s">
        <v>2039</v>
      </c>
      <c r="E2484" t="s">
        <v>1971</v>
      </c>
      <c r="F2484" t="s">
        <v>1971</v>
      </c>
      <c r="G2484" t="str">
        <f>INDEX(Risk_Matrix!$B$2:$D$4,MATCH(E2484,Risk_Matrix!$A$2:$A$4,0),MATCH(F2484,Risk_Matrix!$B$1:$D$1,0))</f>
        <v>Medium</v>
      </c>
      <c r="H2484" s="1">
        <v>46081</v>
      </c>
      <c r="I2484" t="s">
        <v>2002</v>
      </c>
      <c r="J2484" t="s">
        <v>2003</v>
      </c>
      <c r="K2484" t="s">
        <v>1993</v>
      </c>
      <c r="L2484">
        <f>IF(G2484="High",3,IF(G2484="Medium",2,1))</f>
        <v>2</v>
      </c>
    </row>
    <row r="2485" spans="1:12">
      <c r="A2485" t="s">
        <v>4511</v>
      </c>
      <c r="B2485" t="s">
        <v>1520</v>
      </c>
      <c r="C2485" t="s">
        <v>2008</v>
      </c>
      <c r="D2485" t="s">
        <v>2024</v>
      </c>
      <c r="E2485" t="s">
        <v>57</v>
      </c>
      <c r="F2485" t="s">
        <v>1971</v>
      </c>
      <c r="G2485" t="str">
        <f>INDEX(Risk_Matrix!$B$2:$D$4,MATCH(E2485,Risk_Matrix!$A$2:$A$4,0),MATCH(F2485,Risk_Matrix!$B$1:$D$1,0))</f>
        <v>Low</v>
      </c>
      <c r="H2485" s="1">
        <v>46220</v>
      </c>
      <c r="I2485" t="s">
        <v>2015</v>
      </c>
      <c r="J2485" t="s">
        <v>2016</v>
      </c>
      <c r="K2485" t="s">
        <v>2010</v>
      </c>
      <c r="L2485">
        <f>IF(G2485="High",3,IF(G2485="Medium",2,1))</f>
        <v>1</v>
      </c>
    </row>
    <row r="2486" spans="1:12">
      <c r="A2486" t="s">
        <v>4512</v>
      </c>
      <c r="B2486" t="s">
        <v>1523</v>
      </c>
      <c r="C2486" t="s">
        <v>1985</v>
      </c>
      <c r="D2486" t="s">
        <v>2062</v>
      </c>
      <c r="E2486" t="s">
        <v>57</v>
      </c>
      <c r="F2486" t="s">
        <v>57</v>
      </c>
      <c r="G2486" t="str">
        <f>INDEX(Risk_Matrix!$B$2:$D$4,MATCH(E2486,Risk_Matrix!$A$2:$A$4,0),MATCH(F2486,Risk_Matrix!$B$1:$D$1,0))</f>
        <v>Low</v>
      </c>
      <c r="H2486" s="1">
        <v>46086</v>
      </c>
      <c r="I2486" t="s">
        <v>2025</v>
      </c>
      <c r="J2486" t="s">
        <v>2026</v>
      </c>
      <c r="K2486" t="s">
        <v>1998</v>
      </c>
      <c r="L2486">
        <f>IF(G2486="High",3,IF(G2486="Medium",2,1))</f>
        <v>1</v>
      </c>
    </row>
    <row r="2487" spans="1:12">
      <c r="A2487" t="s">
        <v>4513</v>
      </c>
      <c r="B2487" t="s">
        <v>1523</v>
      </c>
      <c r="C2487" t="s">
        <v>1991</v>
      </c>
      <c r="D2487" t="s">
        <v>1992</v>
      </c>
      <c r="E2487" t="s">
        <v>57</v>
      </c>
      <c r="F2487" t="s">
        <v>57</v>
      </c>
      <c r="G2487" t="str">
        <f>INDEX(Risk_Matrix!$B$2:$D$4,MATCH(E2487,Risk_Matrix!$A$2:$A$4,0),MATCH(F2487,Risk_Matrix!$B$1:$D$1,0))</f>
        <v>Low</v>
      </c>
      <c r="H2487" s="1">
        <v>46222</v>
      </c>
      <c r="I2487" t="s">
        <v>1987</v>
      </c>
      <c r="J2487" t="s">
        <v>1997</v>
      </c>
      <c r="K2487" t="s">
        <v>1993</v>
      </c>
      <c r="L2487">
        <f>IF(G2487="High",3,IF(G2487="Medium",2,1))</f>
        <v>1</v>
      </c>
    </row>
    <row r="2488" spans="1:12">
      <c r="A2488" t="s">
        <v>4514</v>
      </c>
      <c r="B2488" t="s">
        <v>1523</v>
      </c>
      <c r="C2488" t="s">
        <v>1995</v>
      </c>
      <c r="D2488" t="s">
        <v>2150</v>
      </c>
      <c r="E2488" t="s">
        <v>1971</v>
      </c>
      <c r="F2488" t="s">
        <v>47</v>
      </c>
      <c r="G2488" t="str">
        <f>INDEX(Risk_Matrix!$B$2:$D$4,MATCH(E2488,Risk_Matrix!$A$2:$A$4,0),MATCH(F2488,Risk_Matrix!$B$1:$D$1,0))</f>
        <v>High</v>
      </c>
      <c r="H2488" s="1">
        <v>46224</v>
      </c>
      <c r="I2488" t="s">
        <v>2015</v>
      </c>
      <c r="J2488" t="s">
        <v>2032</v>
      </c>
      <c r="K2488" t="s">
        <v>2036</v>
      </c>
      <c r="L2488">
        <f>IF(G2488="High",3,IF(G2488="Medium",2,1))</f>
        <v>3</v>
      </c>
    </row>
    <row r="2489" spans="1:12">
      <c r="A2489" t="s">
        <v>4515</v>
      </c>
      <c r="B2489" t="s">
        <v>1523</v>
      </c>
      <c r="C2489" t="s">
        <v>2000</v>
      </c>
      <c r="D2489" t="s">
        <v>2045</v>
      </c>
      <c r="E2489" t="s">
        <v>57</v>
      </c>
      <c r="F2489" t="s">
        <v>1971</v>
      </c>
      <c r="G2489" t="str">
        <f>INDEX(Risk_Matrix!$B$2:$D$4,MATCH(E2489,Risk_Matrix!$A$2:$A$4,0),MATCH(F2489,Risk_Matrix!$B$1:$D$1,0))</f>
        <v>Low</v>
      </c>
      <c r="H2489" s="1">
        <v>46184</v>
      </c>
      <c r="I2489" t="s">
        <v>1987</v>
      </c>
      <c r="J2489" t="s">
        <v>1997</v>
      </c>
      <c r="K2489" t="s">
        <v>1989</v>
      </c>
      <c r="L2489">
        <f>IF(G2489="High",3,IF(G2489="Medium",2,1))</f>
        <v>1</v>
      </c>
    </row>
    <row r="2490" spans="1:12">
      <c r="A2490" t="s">
        <v>4516</v>
      </c>
      <c r="B2490" t="s">
        <v>1523</v>
      </c>
      <c r="C2490" t="s">
        <v>2005</v>
      </c>
      <c r="D2490" t="s">
        <v>2039</v>
      </c>
      <c r="E2490" t="s">
        <v>57</v>
      </c>
      <c r="F2490" t="s">
        <v>57</v>
      </c>
      <c r="G2490" t="str">
        <f>INDEX(Risk_Matrix!$B$2:$D$4,MATCH(E2490,Risk_Matrix!$A$2:$A$4,0),MATCH(F2490,Risk_Matrix!$B$1:$D$1,0))</f>
        <v>Low</v>
      </c>
      <c r="H2490" s="1">
        <v>46165</v>
      </c>
      <c r="I2490" t="s">
        <v>2015</v>
      </c>
      <c r="J2490" t="s">
        <v>2016</v>
      </c>
      <c r="K2490" t="s">
        <v>1993</v>
      </c>
      <c r="L2490">
        <f>IF(G2490="High",3,IF(G2490="Medium",2,1))</f>
        <v>1</v>
      </c>
    </row>
    <row r="2491" spans="1:12">
      <c r="A2491" t="s">
        <v>4517</v>
      </c>
      <c r="B2491" t="s">
        <v>1523</v>
      </c>
      <c r="C2491" t="s">
        <v>2008</v>
      </c>
      <c r="D2491" t="s">
        <v>2054</v>
      </c>
      <c r="E2491" t="s">
        <v>57</v>
      </c>
      <c r="F2491" t="s">
        <v>57</v>
      </c>
      <c r="G2491" t="str">
        <f>INDEX(Risk_Matrix!$B$2:$D$4,MATCH(E2491,Risk_Matrix!$A$2:$A$4,0),MATCH(F2491,Risk_Matrix!$B$1:$D$1,0))</f>
        <v>Low</v>
      </c>
      <c r="H2491" s="1">
        <v>46072</v>
      </c>
      <c r="I2491" t="s">
        <v>2002</v>
      </c>
      <c r="J2491" t="s">
        <v>2003</v>
      </c>
      <c r="K2491" t="s">
        <v>2010</v>
      </c>
      <c r="L2491">
        <f>IF(G2491="High",3,IF(G2491="Medium",2,1))</f>
        <v>1</v>
      </c>
    </row>
    <row r="2492" spans="1:12">
      <c r="A2492" t="s">
        <v>4518</v>
      </c>
      <c r="B2492" t="s">
        <v>1525</v>
      </c>
      <c r="C2492" t="s">
        <v>1985</v>
      </c>
      <c r="D2492" t="s">
        <v>2062</v>
      </c>
      <c r="E2492" t="s">
        <v>57</v>
      </c>
      <c r="F2492" t="s">
        <v>57</v>
      </c>
      <c r="G2492" t="str">
        <f>INDEX(Risk_Matrix!$B$2:$D$4,MATCH(E2492,Risk_Matrix!$A$2:$A$4,0),MATCH(F2492,Risk_Matrix!$B$1:$D$1,0))</f>
        <v>Low</v>
      </c>
      <c r="H2492" s="1">
        <v>46212</v>
      </c>
      <c r="I2492" t="s">
        <v>2025</v>
      </c>
      <c r="J2492" t="s">
        <v>2035</v>
      </c>
      <c r="K2492" t="s">
        <v>1989</v>
      </c>
      <c r="L2492">
        <f>IF(G2492="High",3,IF(G2492="Medium",2,1))</f>
        <v>1</v>
      </c>
    </row>
    <row r="2493" spans="1:12">
      <c r="A2493" t="s">
        <v>4519</v>
      </c>
      <c r="B2493" t="s">
        <v>1525</v>
      </c>
      <c r="C2493" t="s">
        <v>1991</v>
      </c>
      <c r="D2493" t="s">
        <v>2064</v>
      </c>
      <c r="E2493" t="s">
        <v>1971</v>
      </c>
      <c r="F2493" t="s">
        <v>47</v>
      </c>
      <c r="G2493" t="str">
        <f>INDEX(Risk_Matrix!$B$2:$D$4,MATCH(E2493,Risk_Matrix!$A$2:$A$4,0),MATCH(F2493,Risk_Matrix!$B$1:$D$1,0))</f>
        <v>High</v>
      </c>
      <c r="H2493" s="1">
        <v>46188</v>
      </c>
      <c r="I2493" t="s">
        <v>2015</v>
      </c>
      <c r="J2493" t="s">
        <v>2032</v>
      </c>
      <c r="K2493" t="s">
        <v>1993</v>
      </c>
      <c r="L2493">
        <f>IF(G2493="High",3,IF(G2493="Medium",2,1))</f>
        <v>3</v>
      </c>
    </row>
    <row r="2494" spans="1:12">
      <c r="A2494" t="s">
        <v>4520</v>
      </c>
      <c r="B2494" t="s">
        <v>1525</v>
      </c>
      <c r="C2494" t="s">
        <v>1995</v>
      </c>
      <c r="D2494" t="s">
        <v>2150</v>
      </c>
      <c r="E2494" t="s">
        <v>1971</v>
      </c>
      <c r="F2494" t="s">
        <v>1971</v>
      </c>
      <c r="G2494" t="str">
        <f>INDEX(Risk_Matrix!$B$2:$D$4,MATCH(E2494,Risk_Matrix!$A$2:$A$4,0),MATCH(F2494,Risk_Matrix!$B$1:$D$1,0))</f>
        <v>Medium</v>
      </c>
      <c r="H2494" s="1">
        <v>46213</v>
      </c>
      <c r="I2494" t="s">
        <v>2015</v>
      </c>
      <c r="J2494" t="s">
        <v>2032</v>
      </c>
      <c r="K2494" t="s">
        <v>2036</v>
      </c>
      <c r="L2494">
        <f>IF(G2494="High",3,IF(G2494="Medium",2,1))</f>
        <v>2</v>
      </c>
    </row>
    <row r="2495" spans="1:12">
      <c r="A2495" t="s">
        <v>4521</v>
      </c>
      <c r="B2495" t="s">
        <v>1525</v>
      </c>
      <c r="C2495" t="s">
        <v>2000</v>
      </c>
      <c r="D2495" t="s">
        <v>2001</v>
      </c>
      <c r="E2495" t="s">
        <v>47</v>
      </c>
      <c r="F2495" t="s">
        <v>47</v>
      </c>
      <c r="G2495" t="str">
        <f>INDEX(Risk_Matrix!$B$2:$D$4,MATCH(E2495,Risk_Matrix!$A$2:$A$4,0),MATCH(F2495,Risk_Matrix!$B$1:$D$1,0))</f>
        <v>High</v>
      </c>
      <c r="H2495" s="1">
        <v>46221</v>
      </c>
      <c r="I2495" t="s">
        <v>2015</v>
      </c>
      <c r="J2495" t="s">
        <v>2032</v>
      </c>
      <c r="K2495" t="s">
        <v>1993</v>
      </c>
      <c r="L2495">
        <f>IF(G2495="High",3,IF(G2495="Medium",2,1))</f>
        <v>3</v>
      </c>
    </row>
    <row r="2496" spans="1:12">
      <c r="A2496" t="s">
        <v>4522</v>
      </c>
      <c r="B2496" t="s">
        <v>1525</v>
      </c>
      <c r="C2496" t="s">
        <v>2005</v>
      </c>
      <c r="D2496" t="s">
        <v>2006</v>
      </c>
      <c r="E2496" t="s">
        <v>57</v>
      </c>
      <c r="F2496" t="s">
        <v>1971</v>
      </c>
      <c r="G2496" t="str">
        <f>INDEX(Risk_Matrix!$B$2:$D$4,MATCH(E2496,Risk_Matrix!$A$2:$A$4,0),MATCH(F2496,Risk_Matrix!$B$1:$D$1,0))</f>
        <v>Low</v>
      </c>
      <c r="H2496" s="1">
        <v>46101</v>
      </c>
      <c r="I2496" t="s">
        <v>2002</v>
      </c>
      <c r="J2496" t="s">
        <v>2029</v>
      </c>
      <c r="K2496" t="s">
        <v>1993</v>
      </c>
      <c r="L2496">
        <f>IF(G2496="High",3,IF(G2496="Medium",2,1))</f>
        <v>1</v>
      </c>
    </row>
    <row r="2497" spans="1:12">
      <c r="A2497" t="s">
        <v>4523</v>
      </c>
      <c r="B2497" t="s">
        <v>1525</v>
      </c>
      <c r="C2497" t="s">
        <v>2008</v>
      </c>
      <c r="D2497" t="s">
        <v>2054</v>
      </c>
      <c r="E2497" t="s">
        <v>47</v>
      </c>
      <c r="F2497" t="s">
        <v>47</v>
      </c>
      <c r="G2497" t="str">
        <f>INDEX(Risk_Matrix!$B$2:$D$4,MATCH(E2497,Risk_Matrix!$A$2:$A$4,0),MATCH(F2497,Risk_Matrix!$B$1:$D$1,0))</f>
        <v>High</v>
      </c>
      <c r="H2497" s="1">
        <v>46117</v>
      </c>
      <c r="I2497" t="s">
        <v>2025</v>
      </c>
      <c r="J2497" t="s">
        <v>2026</v>
      </c>
      <c r="K2497" t="s">
        <v>2010</v>
      </c>
      <c r="L2497">
        <f>IF(G2497="High",3,IF(G2497="Medium",2,1))</f>
        <v>3</v>
      </c>
    </row>
    <row r="2498" spans="1:12">
      <c r="A2498" t="s">
        <v>4524</v>
      </c>
      <c r="B2498" t="s">
        <v>1528</v>
      </c>
      <c r="C2498" t="s">
        <v>1985</v>
      </c>
      <c r="D2498" t="s">
        <v>2028</v>
      </c>
      <c r="E2498" t="s">
        <v>1971</v>
      </c>
      <c r="F2498" t="s">
        <v>57</v>
      </c>
      <c r="G2498" t="str">
        <f>INDEX(Risk_Matrix!$B$2:$D$4,MATCH(E2498,Risk_Matrix!$A$2:$A$4,0),MATCH(F2498,Risk_Matrix!$B$1:$D$1,0))</f>
        <v>Low</v>
      </c>
      <c r="H2498" s="1">
        <v>46189</v>
      </c>
      <c r="I2498" t="s">
        <v>1987</v>
      </c>
      <c r="J2498" t="s">
        <v>1988</v>
      </c>
      <c r="K2498" t="s">
        <v>1989</v>
      </c>
      <c r="L2498">
        <f>IF(G2498="High",3,IF(G2498="Medium",2,1))</f>
        <v>1</v>
      </c>
    </row>
    <row r="2499" spans="1:12">
      <c r="A2499" t="s">
        <v>4525</v>
      </c>
      <c r="B2499" t="s">
        <v>1528</v>
      </c>
      <c r="C2499" t="s">
        <v>1991</v>
      </c>
      <c r="D2499" t="s">
        <v>1992</v>
      </c>
      <c r="E2499" t="s">
        <v>1971</v>
      </c>
      <c r="F2499" t="s">
        <v>57</v>
      </c>
      <c r="G2499" t="str">
        <f>INDEX(Risk_Matrix!$B$2:$D$4,MATCH(E2499,Risk_Matrix!$A$2:$A$4,0),MATCH(F2499,Risk_Matrix!$B$1:$D$1,0))</f>
        <v>Low</v>
      </c>
      <c r="H2499" s="1">
        <v>46191</v>
      </c>
      <c r="I2499" t="s">
        <v>2015</v>
      </c>
      <c r="J2499" t="s">
        <v>2016</v>
      </c>
      <c r="K2499" t="s">
        <v>1993</v>
      </c>
      <c r="L2499">
        <f>IF(G2499="High",3,IF(G2499="Medium",2,1))</f>
        <v>1</v>
      </c>
    </row>
    <row r="2500" spans="1:12">
      <c r="A2500" t="s">
        <v>4526</v>
      </c>
      <c r="B2500" t="s">
        <v>1528</v>
      </c>
      <c r="C2500" t="s">
        <v>1995</v>
      </c>
      <c r="D2500" t="s">
        <v>1996</v>
      </c>
      <c r="E2500" t="s">
        <v>57</v>
      </c>
      <c r="F2500" t="s">
        <v>57</v>
      </c>
      <c r="G2500" t="str">
        <f>INDEX(Risk_Matrix!$B$2:$D$4,MATCH(E2500,Risk_Matrix!$A$2:$A$4,0),MATCH(F2500,Risk_Matrix!$B$1:$D$1,0))</f>
        <v>Low</v>
      </c>
      <c r="H2500" s="1">
        <v>46103</v>
      </c>
      <c r="I2500" t="s">
        <v>2002</v>
      </c>
      <c r="J2500" t="s">
        <v>2003</v>
      </c>
      <c r="K2500" t="s">
        <v>2036</v>
      </c>
      <c r="L2500">
        <f>IF(G2500="High",3,IF(G2500="Medium",2,1))</f>
        <v>1</v>
      </c>
    </row>
    <row r="2501" spans="1:12">
      <c r="A2501" t="s">
        <v>4527</v>
      </c>
      <c r="B2501" t="s">
        <v>1528</v>
      </c>
      <c r="C2501" t="s">
        <v>2000</v>
      </c>
      <c r="D2501" t="s">
        <v>2020</v>
      </c>
      <c r="E2501" t="s">
        <v>47</v>
      </c>
      <c r="F2501" t="s">
        <v>1971</v>
      </c>
      <c r="G2501" t="str">
        <f>INDEX(Risk_Matrix!$B$2:$D$4,MATCH(E2501,Risk_Matrix!$A$2:$A$4,0),MATCH(F2501,Risk_Matrix!$B$1:$D$1,0))</f>
        <v>High</v>
      </c>
      <c r="H2501" s="1">
        <v>46134</v>
      </c>
      <c r="I2501" t="s">
        <v>1987</v>
      </c>
      <c r="J2501" t="s">
        <v>1997</v>
      </c>
      <c r="K2501" t="s">
        <v>1989</v>
      </c>
      <c r="L2501">
        <f>IF(G2501="High",3,IF(G2501="Medium",2,1))</f>
        <v>3</v>
      </c>
    </row>
    <row r="2502" spans="1:12">
      <c r="A2502" t="s">
        <v>4528</v>
      </c>
      <c r="B2502" t="s">
        <v>1528</v>
      </c>
      <c r="C2502" t="s">
        <v>2005</v>
      </c>
      <c r="D2502" t="s">
        <v>2022</v>
      </c>
      <c r="E2502" t="s">
        <v>57</v>
      </c>
      <c r="F2502" t="s">
        <v>57</v>
      </c>
      <c r="G2502" t="str">
        <f>INDEX(Risk_Matrix!$B$2:$D$4,MATCH(E2502,Risk_Matrix!$A$2:$A$4,0),MATCH(F2502,Risk_Matrix!$B$1:$D$1,0))</f>
        <v>Low</v>
      </c>
      <c r="H2502" s="1">
        <v>46059</v>
      </c>
      <c r="I2502" t="s">
        <v>2025</v>
      </c>
      <c r="J2502" t="s">
        <v>2026</v>
      </c>
      <c r="K2502" t="s">
        <v>1993</v>
      </c>
      <c r="L2502">
        <f>IF(G2502="High",3,IF(G2502="Medium",2,1))</f>
        <v>1</v>
      </c>
    </row>
    <row r="2503" spans="1:12">
      <c r="A2503" t="s">
        <v>4529</v>
      </c>
      <c r="B2503" t="s">
        <v>1528</v>
      </c>
      <c r="C2503" t="s">
        <v>2008</v>
      </c>
      <c r="D2503" t="s">
        <v>2024</v>
      </c>
      <c r="E2503" t="s">
        <v>47</v>
      </c>
      <c r="F2503" t="s">
        <v>47</v>
      </c>
      <c r="G2503" t="str">
        <f>INDEX(Risk_Matrix!$B$2:$D$4,MATCH(E2503,Risk_Matrix!$A$2:$A$4,0),MATCH(F2503,Risk_Matrix!$B$1:$D$1,0))</f>
        <v>High</v>
      </c>
      <c r="H2503" s="1">
        <v>46234</v>
      </c>
      <c r="I2503" t="s">
        <v>2025</v>
      </c>
      <c r="J2503" t="s">
        <v>2026</v>
      </c>
      <c r="K2503" t="s">
        <v>1998</v>
      </c>
      <c r="L2503">
        <f>IF(G2503="High",3,IF(G2503="Medium",2,1))</f>
        <v>3</v>
      </c>
    </row>
    <row r="2504" spans="1:12">
      <c r="A2504" t="s">
        <v>4530</v>
      </c>
      <c r="B2504" t="s">
        <v>1530</v>
      </c>
      <c r="C2504" t="s">
        <v>1985</v>
      </c>
      <c r="D2504" t="s">
        <v>2028</v>
      </c>
      <c r="E2504" t="s">
        <v>57</v>
      </c>
      <c r="F2504" t="s">
        <v>1971</v>
      </c>
      <c r="G2504" t="str">
        <f>INDEX(Risk_Matrix!$B$2:$D$4,MATCH(E2504,Risk_Matrix!$A$2:$A$4,0),MATCH(F2504,Risk_Matrix!$B$1:$D$1,0))</f>
        <v>Low</v>
      </c>
      <c r="H2504" s="1">
        <v>46169</v>
      </c>
      <c r="I2504" t="s">
        <v>2025</v>
      </c>
      <c r="J2504" t="s">
        <v>2026</v>
      </c>
      <c r="K2504" t="s">
        <v>1998</v>
      </c>
      <c r="L2504">
        <f>IF(G2504="High",3,IF(G2504="Medium",2,1))</f>
        <v>1</v>
      </c>
    </row>
    <row r="2505" spans="1:12">
      <c r="A2505" t="s">
        <v>4531</v>
      </c>
      <c r="B2505" t="s">
        <v>1530</v>
      </c>
      <c r="C2505" t="s">
        <v>1991</v>
      </c>
      <c r="D2505" t="s">
        <v>2031</v>
      </c>
      <c r="E2505" t="s">
        <v>57</v>
      </c>
      <c r="F2505" t="s">
        <v>57</v>
      </c>
      <c r="G2505" t="str">
        <f>INDEX(Risk_Matrix!$B$2:$D$4,MATCH(E2505,Risk_Matrix!$A$2:$A$4,0),MATCH(F2505,Risk_Matrix!$B$1:$D$1,0))</f>
        <v>Low</v>
      </c>
      <c r="H2505" s="1">
        <v>46150</v>
      </c>
      <c r="I2505" t="s">
        <v>2015</v>
      </c>
      <c r="J2505" t="s">
        <v>2032</v>
      </c>
      <c r="K2505" t="s">
        <v>2010</v>
      </c>
      <c r="L2505">
        <f>IF(G2505="High",3,IF(G2505="Medium",2,1))</f>
        <v>1</v>
      </c>
    </row>
    <row r="2506" spans="1:12">
      <c r="A2506" t="s">
        <v>4532</v>
      </c>
      <c r="B2506" t="s">
        <v>1530</v>
      </c>
      <c r="C2506" t="s">
        <v>1995</v>
      </c>
      <c r="D2506" t="s">
        <v>2034</v>
      </c>
      <c r="E2506" t="s">
        <v>57</v>
      </c>
      <c r="F2506" t="s">
        <v>1971</v>
      </c>
      <c r="G2506" t="str">
        <f>INDEX(Risk_Matrix!$B$2:$D$4,MATCH(E2506,Risk_Matrix!$A$2:$A$4,0),MATCH(F2506,Risk_Matrix!$B$1:$D$1,0))</f>
        <v>Low</v>
      </c>
      <c r="H2506" s="1">
        <v>46113</v>
      </c>
      <c r="I2506" t="s">
        <v>1987</v>
      </c>
      <c r="J2506" t="s">
        <v>1988</v>
      </c>
      <c r="K2506" t="s">
        <v>2036</v>
      </c>
      <c r="L2506">
        <f>IF(G2506="High",3,IF(G2506="Medium",2,1))</f>
        <v>1</v>
      </c>
    </row>
    <row r="2507" spans="1:12">
      <c r="A2507" t="s">
        <v>4533</v>
      </c>
      <c r="B2507" t="s">
        <v>1530</v>
      </c>
      <c r="C2507" t="s">
        <v>2000</v>
      </c>
      <c r="D2507" t="s">
        <v>2001</v>
      </c>
      <c r="E2507" t="s">
        <v>57</v>
      </c>
      <c r="F2507" t="s">
        <v>1971</v>
      </c>
      <c r="G2507" t="str">
        <f>INDEX(Risk_Matrix!$B$2:$D$4,MATCH(E2507,Risk_Matrix!$A$2:$A$4,0),MATCH(F2507,Risk_Matrix!$B$1:$D$1,0))</f>
        <v>Low</v>
      </c>
      <c r="H2507" s="1">
        <v>46068</v>
      </c>
      <c r="I2507" t="s">
        <v>2002</v>
      </c>
      <c r="J2507" t="s">
        <v>2029</v>
      </c>
      <c r="K2507" t="s">
        <v>1993</v>
      </c>
      <c r="L2507">
        <f>IF(G2507="High",3,IF(G2507="Medium",2,1))</f>
        <v>1</v>
      </c>
    </row>
    <row r="2508" spans="1:12">
      <c r="A2508" t="s">
        <v>4534</v>
      </c>
      <c r="B2508" t="s">
        <v>1530</v>
      </c>
      <c r="C2508" t="s">
        <v>2005</v>
      </c>
      <c r="D2508" t="s">
        <v>2022</v>
      </c>
      <c r="E2508" t="s">
        <v>1971</v>
      </c>
      <c r="F2508" t="s">
        <v>57</v>
      </c>
      <c r="G2508" t="str">
        <f>INDEX(Risk_Matrix!$B$2:$D$4,MATCH(E2508,Risk_Matrix!$A$2:$A$4,0),MATCH(F2508,Risk_Matrix!$B$1:$D$1,0))</f>
        <v>Low</v>
      </c>
      <c r="H2508" s="1">
        <v>46202</v>
      </c>
      <c r="I2508" t="s">
        <v>2015</v>
      </c>
      <c r="J2508" t="s">
        <v>2016</v>
      </c>
      <c r="K2508" t="s">
        <v>2036</v>
      </c>
      <c r="L2508">
        <f>IF(G2508="High",3,IF(G2508="Medium",2,1))</f>
        <v>1</v>
      </c>
    </row>
    <row r="2509" spans="1:12">
      <c r="A2509" t="s">
        <v>4535</v>
      </c>
      <c r="B2509" t="s">
        <v>1530</v>
      </c>
      <c r="C2509" t="s">
        <v>2008</v>
      </c>
      <c r="D2509" t="s">
        <v>2024</v>
      </c>
      <c r="E2509" t="s">
        <v>57</v>
      </c>
      <c r="F2509" t="s">
        <v>1971</v>
      </c>
      <c r="G2509" t="str">
        <f>INDEX(Risk_Matrix!$B$2:$D$4,MATCH(E2509,Risk_Matrix!$A$2:$A$4,0),MATCH(F2509,Risk_Matrix!$B$1:$D$1,0))</f>
        <v>Low</v>
      </c>
      <c r="H2509" s="1">
        <v>46181</v>
      </c>
      <c r="I2509" t="s">
        <v>2015</v>
      </c>
      <c r="J2509" t="s">
        <v>2016</v>
      </c>
      <c r="K2509" t="s">
        <v>2010</v>
      </c>
      <c r="L2509">
        <f>IF(G2509="High",3,IF(G2509="Medium",2,1))</f>
        <v>1</v>
      </c>
    </row>
    <row r="2510" spans="1:12">
      <c r="A2510" t="s">
        <v>4536</v>
      </c>
      <c r="B2510" t="s">
        <v>1533</v>
      </c>
      <c r="C2510" t="s">
        <v>1985</v>
      </c>
      <c r="D2510" t="s">
        <v>2012</v>
      </c>
      <c r="E2510" t="s">
        <v>1971</v>
      </c>
      <c r="F2510" t="s">
        <v>57</v>
      </c>
      <c r="G2510" t="str">
        <f>INDEX(Risk_Matrix!$B$2:$D$4,MATCH(E2510,Risk_Matrix!$A$2:$A$4,0),MATCH(F2510,Risk_Matrix!$B$1:$D$1,0))</f>
        <v>Low</v>
      </c>
      <c r="H2510" s="1">
        <v>46191</v>
      </c>
      <c r="I2510" t="s">
        <v>2015</v>
      </c>
      <c r="J2510" t="s">
        <v>2032</v>
      </c>
      <c r="K2510" t="s">
        <v>1998</v>
      </c>
      <c r="L2510">
        <f>IF(G2510="High",3,IF(G2510="Medium",2,1))</f>
        <v>1</v>
      </c>
    </row>
    <row r="2511" spans="1:12">
      <c r="A2511" t="s">
        <v>4537</v>
      </c>
      <c r="B2511" t="s">
        <v>1533</v>
      </c>
      <c r="C2511" t="s">
        <v>1991</v>
      </c>
      <c r="D2511" t="s">
        <v>2031</v>
      </c>
      <c r="E2511" t="s">
        <v>57</v>
      </c>
      <c r="F2511" t="s">
        <v>57</v>
      </c>
      <c r="G2511" t="str">
        <f>INDEX(Risk_Matrix!$B$2:$D$4,MATCH(E2511,Risk_Matrix!$A$2:$A$4,0),MATCH(F2511,Risk_Matrix!$B$1:$D$1,0))</f>
        <v>Low</v>
      </c>
      <c r="H2511" s="1">
        <v>46237</v>
      </c>
      <c r="I2511" t="s">
        <v>2002</v>
      </c>
      <c r="J2511" t="s">
        <v>2003</v>
      </c>
      <c r="K2511" t="s">
        <v>1993</v>
      </c>
      <c r="L2511">
        <f>IF(G2511="High",3,IF(G2511="Medium",2,1))</f>
        <v>1</v>
      </c>
    </row>
    <row r="2512" spans="1:12">
      <c r="A2512" t="s">
        <v>4538</v>
      </c>
      <c r="B2512" t="s">
        <v>1533</v>
      </c>
      <c r="C2512" t="s">
        <v>1995</v>
      </c>
      <c r="D2512" t="s">
        <v>1996</v>
      </c>
      <c r="E2512" t="s">
        <v>47</v>
      </c>
      <c r="F2512" t="s">
        <v>47</v>
      </c>
      <c r="G2512" t="str">
        <f>INDEX(Risk_Matrix!$B$2:$D$4,MATCH(E2512,Risk_Matrix!$A$2:$A$4,0),MATCH(F2512,Risk_Matrix!$B$1:$D$1,0))</f>
        <v>High</v>
      </c>
      <c r="H2512" s="1">
        <v>46203</v>
      </c>
      <c r="I2512" t="s">
        <v>2025</v>
      </c>
      <c r="J2512" t="s">
        <v>2035</v>
      </c>
      <c r="K2512" t="s">
        <v>1998</v>
      </c>
      <c r="L2512">
        <f>IF(G2512="High",3,IF(G2512="Medium",2,1))</f>
        <v>3</v>
      </c>
    </row>
    <row r="2513" spans="1:12">
      <c r="A2513" t="s">
        <v>4539</v>
      </c>
      <c r="B2513" t="s">
        <v>1533</v>
      </c>
      <c r="C2513" t="s">
        <v>2000</v>
      </c>
      <c r="D2513" t="s">
        <v>2001</v>
      </c>
      <c r="E2513" t="s">
        <v>1971</v>
      </c>
      <c r="F2513" t="s">
        <v>1971</v>
      </c>
      <c r="G2513" t="str">
        <f>INDEX(Risk_Matrix!$B$2:$D$4,MATCH(E2513,Risk_Matrix!$A$2:$A$4,0),MATCH(F2513,Risk_Matrix!$B$1:$D$1,0))</f>
        <v>Medium</v>
      </c>
      <c r="H2513" s="1">
        <v>46148</v>
      </c>
      <c r="I2513" t="s">
        <v>2025</v>
      </c>
      <c r="J2513" t="s">
        <v>2035</v>
      </c>
      <c r="K2513" t="s">
        <v>1993</v>
      </c>
      <c r="L2513">
        <f>IF(G2513="High",3,IF(G2513="Medium",2,1))</f>
        <v>2</v>
      </c>
    </row>
    <row r="2514" spans="1:12">
      <c r="A2514" t="s">
        <v>4540</v>
      </c>
      <c r="B2514" t="s">
        <v>1533</v>
      </c>
      <c r="C2514" t="s">
        <v>2005</v>
      </c>
      <c r="D2514" t="s">
        <v>2022</v>
      </c>
      <c r="E2514" t="s">
        <v>57</v>
      </c>
      <c r="F2514" t="s">
        <v>1971</v>
      </c>
      <c r="G2514" t="str">
        <f>INDEX(Risk_Matrix!$B$2:$D$4,MATCH(E2514,Risk_Matrix!$A$2:$A$4,0),MATCH(F2514,Risk_Matrix!$B$1:$D$1,0))</f>
        <v>Low</v>
      </c>
      <c r="H2514" s="1">
        <v>46208</v>
      </c>
      <c r="I2514" t="s">
        <v>2015</v>
      </c>
      <c r="J2514" t="s">
        <v>2032</v>
      </c>
      <c r="K2514" t="s">
        <v>1993</v>
      </c>
      <c r="L2514">
        <f>IF(G2514="High",3,IF(G2514="Medium",2,1))</f>
        <v>1</v>
      </c>
    </row>
    <row r="2515" spans="1:12">
      <c r="A2515" t="s">
        <v>4541</v>
      </c>
      <c r="B2515" t="s">
        <v>1533</v>
      </c>
      <c r="C2515" t="s">
        <v>2008</v>
      </c>
      <c r="D2515" t="s">
        <v>2054</v>
      </c>
      <c r="E2515" t="s">
        <v>57</v>
      </c>
      <c r="F2515" t="s">
        <v>57</v>
      </c>
      <c r="G2515" t="str">
        <f>INDEX(Risk_Matrix!$B$2:$D$4,MATCH(E2515,Risk_Matrix!$A$2:$A$4,0),MATCH(F2515,Risk_Matrix!$B$1:$D$1,0))</f>
        <v>Low</v>
      </c>
      <c r="H2515" s="1">
        <v>46130</v>
      </c>
      <c r="I2515" t="s">
        <v>2002</v>
      </c>
      <c r="J2515" t="s">
        <v>2003</v>
      </c>
      <c r="K2515" t="s">
        <v>2010</v>
      </c>
      <c r="L2515">
        <f>IF(G2515="High",3,IF(G2515="Medium",2,1))</f>
        <v>1</v>
      </c>
    </row>
    <row r="2516" spans="1:12">
      <c r="A2516" t="s">
        <v>4542</v>
      </c>
      <c r="B2516" t="s">
        <v>1536</v>
      </c>
      <c r="C2516" t="s">
        <v>1985</v>
      </c>
      <c r="D2516" t="s">
        <v>2028</v>
      </c>
      <c r="E2516" t="s">
        <v>57</v>
      </c>
      <c r="F2516" t="s">
        <v>57</v>
      </c>
      <c r="G2516" t="str">
        <f>INDEX(Risk_Matrix!$B$2:$D$4,MATCH(E2516,Risk_Matrix!$A$2:$A$4,0),MATCH(F2516,Risk_Matrix!$B$1:$D$1,0))</f>
        <v>Low</v>
      </c>
      <c r="H2516" s="1">
        <v>46189</v>
      </c>
      <c r="I2516" t="s">
        <v>2025</v>
      </c>
      <c r="J2516" t="s">
        <v>2026</v>
      </c>
      <c r="K2516" t="s">
        <v>1989</v>
      </c>
      <c r="L2516">
        <f>IF(G2516="High",3,IF(G2516="Medium",2,1))</f>
        <v>1</v>
      </c>
    </row>
    <row r="2517" spans="1:12">
      <c r="A2517" t="s">
        <v>4543</v>
      </c>
      <c r="B2517" t="s">
        <v>1536</v>
      </c>
      <c r="C2517" t="s">
        <v>1991</v>
      </c>
      <c r="D2517" t="s">
        <v>1992</v>
      </c>
      <c r="E2517" t="s">
        <v>57</v>
      </c>
      <c r="F2517" t="s">
        <v>57</v>
      </c>
      <c r="G2517" t="str">
        <f>INDEX(Risk_Matrix!$B$2:$D$4,MATCH(E2517,Risk_Matrix!$A$2:$A$4,0),MATCH(F2517,Risk_Matrix!$B$1:$D$1,0))</f>
        <v>Low</v>
      </c>
      <c r="H2517" s="1">
        <v>46078</v>
      </c>
      <c r="I2517" t="s">
        <v>1987</v>
      </c>
      <c r="J2517" t="s">
        <v>1997</v>
      </c>
      <c r="K2517" t="s">
        <v>2010</v>
      </c>
      <c r="L2517">
        <f>IF(G2517="High",3,IF(G2517="Medium",2,1))</f>
        <v>1</v>
      </c>
    </row>
    <row r="2518" spans="1:12">
      <c r="A2518" t="s">
        <v>4544</v>
      </c>
      <c r="B2518" t="s">
        <v>1536</v>
      </c>
      <c r="C2518" t="s">
        <v>1995</v>
      </c>
      <c r="D2518" t="s">
        <v>2034</v>
      </c>
      <c r="E2518" t="s">
        <v>47</v>
      </c>
      <c r="F2518" t="s">
        <v>1971</v>
      </c>
      <c r="G2518" t="str">
        <f>INDEX(Risk_Matrix!$B$2:$D$4,MATCH(E2518,Risk_Matrix!$A$2:$A$4,0),MATCH(F2518,Risk_Matrix!$B$1:$D$1,0))</f>
        <v>High</v>
      </c>
      <c r="H2518" s="1">
        <v>46093</v>
      </c>
      <c r="I2518" t="s">
        <v>2025</v>
      </c>
      <c r="J2518" t="s">
        <v>2026</v>
      </c>
      <c r="K2518" t="s">
        <v>1998</v>
      </c>
      <c r="L2518">
        <f>IF(G2518="High",3,IF(G2518="Medium",2,1))</f>
        <v>3</v>
      </c>
    </row>
    <row r="2519" spans="1:12">
      <c r="A2519" t="s">
        <v>4545</v>
      </c>
      <c r="B2519" t="s">
        <v>1536</v>
      </c>
      <c r="C2519" t="s">
        <v>2000</v>
      </c>
      <c r="D2519" t="s">
        <v>2020</v>
      </c>
      <c r="E2519" t="s">
        <v>47</v>
      </c>
      <c r="F2519" t="s">
        <v>1971</v>
      </c>
      <c r="G2519" t="str">
        <f>INDEX(Risk_Matrix!$B$2:$D$4,MATCH(E2519,Risk_Matrix!$A$2:$A$4,0),MATCH(F2519,Risk_Matrix!$B$1:$D$1,0))</f>
        <v>High</v>
      </c>
      <c r="H2519" s="1">
        <v>46206</v>
      </c>
      <c r="I2519" t="s">
        <v>2015</v>
      </c>
      <c r="J2519" t="s">
        <v>2032</v>
      </c>
      <c r="K2519" t="s">
        <v>1993</v>
      </c>
      <c r="L2519">
        <f>IF(G2519="High",3,IF(G2519="Medium",2,1))</f>
        <v>3</v>
      </c>
    </row>
    <row r="2520" spans="1:12">
      <c r="A2520" t="s">
        <v>4546</v>
      </c>
      <c r="B2520" t="s">
        <v>1536</v>
      </c>
      <c r="C2520" t="s">
        <v>2005</v>
      </c>
      <c r="D2520" t="s">
        <v>2006</v>
      </c>
      <c r="E2520" t="s">
        <v>57</v>
      </c>
      <c r="F2520" t="s">
        <v>57</v>
      </c>
      <c r="G2520" t="str">
        <f>INDEX(Risk_Matrix!$B$2:$D$4,MATCH(E2520,Risk_Matrix!$A$2:$A$4,0),MATCH(F2520,Risk_Matrix!$B$1:$D$1,0))</f>
        <v>Low</v>
      </c>
      <c r="H2520" s="1">
        <v>46070</v>
      </c>
      <c r="I2520" t="s">
        <v>2002</v>
      </c>
      <c r="J2520" t="s">
        <v>2003</v>
      </c>
      <c r="K2520" t="s">
        <v>1993</v>
      </c>
      <c r="L2520">
        <f>IF(G2520="High",3,IF(G2520="Medium",2,1))</f>
        <v>1</v>
      </c>
    </row>
    <row r="2521" spans="1:12">
      <c r="A2521" t="s">
        <v>4547</v>
      </c>
      <c r="B2521" t="s">
        <v>1536</v>
      </c>
      <c r="C2521" t="s">
        <v>2008</v>
      </c>
      <c r="D2521" t="s">
        <v>2054</v>
      </c>
      <c r="E2521" t="s">
        <v>57</v>
      </c>
      <c r="F2521" t="s">
        <v>1971</v>
      </c>
      <c r="G2521" t="str">
        <f>INDEX(Risk_Matrix!$B$2:$D$4,MATCH(E2521,Risk_Matrix!$A$2:$A$4,0),MATCH(F2521,Risk_Matrix!$B$1:$D$1,0))</f>
        <v>Low</v>
      </c>
      <c r="H2521" s="1">
        <v>46160</v>
      </c>
      <c r="I2521" t="s">
        <v>2015</v>
      </c>
      <c r="J2521" t="s">
        <v>2032</v>
      </c>
      <c r="K2521" t="s">
        <v>2010</v>
      </c>
      <c r="L2521">
        <f>IF(G2521="High",3,IF(G2521="Medium",2,1))</f>
        <v>1</v>
      </c>
    </row>
    <row r="2522" spans="1:12">
      <c r="A2522" t="s">
        <v>4548</v>
      </c>
      <c r="B2522" t="s">
        <v>1538</v>
      </c>
      <c r="C2522" t="s">
        <v>1985</v>
      </c>
      <c r="D2522" t="s">
        <v>2062</v>
      </c>
      <c r="E2522" t="s">
        <v>1971</v>
      </c>
      <c r="F2522" t="s">
        <v>1971</v>
      </c>
      <c r="G2522" t="str">
        <f>INDEX(Risk_Matrix!$B$2:$D$4,MATCH(E2522,Risk_Matrix!$A$2:$A$4,0),MATCH(F2522,Risk_Matrix!$B$1:$D$1,0))</f>
        <v>Medium</v>
      </c>
      <c r="H2522" s="1">
        <v>46138</v>
      </c>
      <c r="I2522" t="s">
        <v>1987</v>
      </c>
      <c r="J2522" t="s">
        <v>1997</v>
      </c>
      <c r="K2522" t="s">
        <v>1998</v>
      </c>
      <c r="L2522">
        <f>IF(G2522="High",3,IF(G2522="Medium",2,1))</f>
        <v>2</v>
      </c>
    </row>
    <row r="2523" spans="1:12">
      <c r="A2523" t="s">
        <v>4549</v>
      </c>
      <c r="B2523" t="s">
        <v>1538</v>
      </c>
      <c r="C2523" t="s">
        <v>1991</v>
      </c>
      <c r="D2523" t="s">
        <v>2031</v>
      </c>
      <c r="E2523" t="s">
        <v>57</v>
      </c>
      <c r="F2523" t="s">
        <v>47</v>
      </c>
      <c r="G2523" t="str">
        <f>INDEX(Risk_Matrix!$B$2:$D$4,MATCH(E2523,Risk_Matrix!$A$2:$A$4,0),MATCH(F2523,Risk_Matrix!$B$1:$D$1,0))</f>
        <v>Medium</v>
      </c>
      <c r="H2523" s="1">
        <v>46220</v>
      </c>
      <c r="I2523" t="s">
        <v>2015</v>
      </c>
      <c r="J2523" t="s">
        <v>2032</v>
      </c>
      <c r="K2523" t="s">
        <v>1993</v>
      </c>
      <c r="L2523">
        <f>IF(G2523="High",3,IF(G2523="Medium",2,1))</f>
        <v>2</v>
      </c>
    </row>
    <row r="2524" spans="1:12">
      <c r="A2524" t="s">
        <v>4550</v>
      </c>
      <c r="B2524" t="s">
        <v>1538</v>
      </c>
      <c r="C2524" t="s">
        <v>1995</v>
      </c>
      <c r="D2524" t="s">
        <v>1996</v>
      </c>
      <c r="E2524" t="s">
        <v>57</v>
      </c>
      <c r="F2524" t="s">
        <v>57</v>
      </c>
      <c r="G2524" t="str">
        <f>INDEX(Risk_Matrix!$B$2:$D$4,MATCH(E2524,Risk_Matrix!$A$2:$A$4,0),MATCH(F2524,Risk_Matrix!$B$1:$D$1,0))</f>
        <v>Low</v>
      </c>
      <c r="H2524" s="1">
        <v>46067</v>
      </c>
      <c r="I2524" t="s">
        <v>2025</v>
      </c>
      <c r="J2524" t="s">
        <v>2026</v>
      </c>
      <c r="K2524" t="s">
        <v>2036</v>
      </c>
      <c r="L2524">
        <f>IF(G2524="High",3,IF(G2524="Medium",2,1))</f>
        <v>1</v>
      </c>
    </row>
    <row r="2525" spans="1:12">
      <c r="A2525" t="s">
        <v>4551</v>
      </c>
      <c r="B2525" t="s">
        <v>1538</v>
      </c>
      <c r="C2525" t="s">
        <v>2000</v>
      </c>
      <c r="D2525" t="s">
        <v>2045</v>
      </c>
      <c r="E2525" t="s">
        <v>57</v>
      </c>
      <c r="F2525" t="s">
        <v>57</v>
      </c>
      <c r="G2525" t="str">
        <f>INDEX(Risk_Matrix!$B$2:$D$4,MATCH(E2525,Risk_Matrix!$A$2:$A$4,0),MATCH(F2525,Risk_Matrix!$B$1:$D$1,0))</f>
        <v>Low</v>
      </c>
      <c r="H2525" s="1">
        <v>46157</v>
      </c>
      <c r="I2525" t="s">
        <v>2015</v>
      </c>
      <c r="J2525" t="s">
        <v>2032</v>
      </c>
      <c r="K2525" t="s">
        <v>1989</v>
      </c>
      <c r="L2525">
        <f>IF(G2525="High",3,IF(G2525="Medium",2,1))</f>
        <v>1</v>
      </c>
    </row>
    <row r="2526" spans="1:12">
      <c r="A2526" t="s">
        <v>4552</v>
      </c>
      <c r="B2526" t="s">
        <v>1538</v>
      </c>
      <c r="C2526" t="s">
        <v>2005</v>
      </c>
      <c r="D2526" t="s">
        <v>2022</v>
      </c>
      <c r="E2526" t="s">
        <v>57</v>
      </c>
      <c r="F2526" t="s">
        <v>57</v>
      </c>
      <c r="G2526" t="str">
        <f>INDEX(Risk_Matrix!$B$2:$D$4,MATCH(E2526,Risk_Matrix!$A$2:$A$4,0),MATCH(F2526,Risk_Matrix!$B$1:$D$1,0))</f>
        <v>Low</v>
      </c>
      <c r="H2526" s="1">
        <v>46076</v>
      </c>
      <c r="I2526" t="s">
        <v>2025</v>
      </c>
      <c r="J2526" t="s">
        <v>2035</v>
      </c>
      <c r="K2526" t="s">
        <v>1993</v>
      </c>
      <c r="L2526">
        <f>IF(G2526="High",3,IF(G2526="Medium",2,1))</f>
        <v>1</v>
      </c>
    </row>
    <row r="2527" spans="1:12">
      <c r="A2527" t="s">
        <v>4553</v>
      </c>
      <c r="B2527" t="s">
        <v>1538</v>
      </c>
      <c r="C2527" t="s">
        <v>2008</v>
      </c>
      <c r="D2527" t="s">
        <v>2009</v>
      </c>
      <c r="E2527" t="s">
        <v>57</v>
      </c>
      <c r="F2527" t="s">
        <v>57</v>
      </c>
      <c r="G2527" t="str">
        <f>INDEX(Risk_Matrix!$B$2:$D$4,MATCH(E2527,Risk_Matrix!$A$2:$A$4,0),MATCH(F2527,Risk_Matrix!$B$1:$D$1,0))</f>
        <v>Low</v>
      </c>
      <c r="H2527" s="1">
        <v>46212</v>
      </c>
      <c r="I2527" t="s">
        <v>2015</v>
      </c>
      <c r="J2527" t="s">
        <v>2016</v>
      </c>
      <c r="K2527" t="s">
        <v>2010</v>
      </c>
      <c r="L2527">
        <f>IF(G2527="High",3,IF(G2527="Medium",2,1))</f>
        <v>1</v>
      </c>
    </row>
    <row r="2528" spans="1:12">
      <c r="A2528" t="s">
        <v>4554</v>
      </c>
      <c r="B2528" t="s">
        <v>1540</v>
      </c>
      <c r="C2528" t="s">
        <v>1985</v>
      </c>
      <c r="D2528" t="s">
        <v>2012</v>
      </c>
      <c r="E2528" t="s">
        <v>1971</v>
      </c>
      <c r="F2528" t="s">
        <v>47</v>
      </c>
      <c r="G2528" t="str">
        <f>INDEX(Risk_Matrix!$B$2:$D$4,MATCH(E2528,Risk_Matrix!$A$2:$A$4,0),MATCH(F2528,Risk_Matrix!$B$1:$D$1,0))</f>
        <v>High</v>
      </c>
      <c r="H2528" s="1">
        <v>46226</v>
      </c>
      <c r="I2528" t="s">
        <v>2015</v>
      </c>
      <c r="J2528" t="s">
        <v>2016</v>
      </c>
      <c r="K2528" t="s">
        <v>1998</v>
      </c>
      <c r="L2528">
        <f>IF(G2528="High",3,IF(G2528="Medium",2,1))</f>
        <v>3</v>
      </c>
    </row>
    <row r="2529" spans="1:12">
      <c r="A2529" t="s">
        <v>4555</v>
      </c>
      <c r="B2529" t="s">
        <v>1540</v>
      </c>
      <c r="C2529" t="s">
        <v>1991</v>
      </c>
      <c r="D2529" t="s">
        <v>2031</v>
      </c>
      <c r="E2529" t="s">
        <v>57</v>
      </c>
      <c r="F2529" t="s">
        <v>47</v>
      </c>
      <c r="G2529" t="str">
        <f>INDEX(Risk_Matrix!$B$2:$D$4,MATCH(E2529,Risk_Matrix!$A$2:$A$4,0),MATCH(F2529,Risk_Matrix!$B$1:$D$1,0))</f>
        <v>Medium</v>
      </c>
      <c r="H2529" s="1">
        <v>46056</v>
      </c>
      <c r="I2529" t="s">
        <v>2025</v>
      </c>
      <c r="J2529" t="s">
        <v>2035</v>
      </c>
      <c r="K2529" t="s">
        <v>2010</v>
      </c>
      <c r="L2529">
        <f>IF(G2529="High",3,IF(G2529="Medium",2,1))</f>
        <v>2</v>
      </c>
    </row>
    <row r="2530" spans="1:12">
      <c r="A2530" t="s">
        <v>4556</v>
      </c>
      <c r="B2530" t="s">
        <v>1540</v>
      </c>
      <c r="C2530" t="s">
        <v>1995</v>
      </c>
      <c r="D2530" t="s">
        <v>1996</v>
      </c>
      <c r="E2530" t="s">
        <v>57</v>
      </c>
      <c r="F2530" t="s">
        <v>47</v>
      </c>
      <c r="G2530" t="str">
        <f>INDEX(Risk_Matrix!$B$2:$D$4,MATCH(E2530,Risk_Matrix!$A$2:$A$4,0),MATCH(F2530,Risk_Matrix!$B$1:$D$1,0))</f>
        <v>Medium</v>
      </c>
      <c r="H2530" s="1">
        <v>46094</v>
      </c>
      <c r="I2530" t="s">
        <v>2002</v>
      </c>
      <c r="J2530" t="s">
        <v>2029</v>
      </c>
      <c r="K2530" t="s">
        <v>2036</v>
      </c>
      <c r="L2530">
        <f>IF(G2530="High",3,IF(G2530="Medium",2,1))</f>
        <v>2</v>
      </c>
    </row>
    <row r="2531" spans="1:12">
      <c r="A2531" t="s">
        <v>4557</v>
      </c>
      <c r="B2531" t="s">
        <v>1540</v>
      </c>
      <c r="C2531" t="s">
        <v>2000</v>
      </c>
      <c r="D2531" t="s">
        <v>2045</v>
      </c>
      <c r="E2531" t="s">
        <v>47</v>
      </c>
      <c r="F2531" t="s">
        <v>1971</v>
      </c>
      <c r="G2531" t="str">
        <f>INDEX(Risk_Matrix!$B$2:$D$4,MATCH(E2531,Risk_Matrix!$A$2:$A$4,0),MATCH(F2531,Risk_Matrix!$B$1:$D$1,0))</f>
        <v>High</v>
      </c>
      <c r="H2531" s="1">
        <v>46186</v>
      </c>
      <c r="I2531" t="s">
        <v>2025</v>
      </c>
      <c r="J2531" t="s">
        <v>2035</v>
      </c>
      <c r="K2531" t="s">
        <v>1993</v>
      </c>
      <c r="L2531">
        <f>IF(G2531="High",3,IF(G2531="Medium",2,1))</f>
        <v>3</v>
      </c>
    </row>
    <row r="2532" spans="1:12">
      <c r="A2532" t="s">
        <v>4558</v>
      </c>
      <c r="B2532" t="s">
        <v>1540</v>
      </c>
      <c r="C2532" t="s">
        <v>2005</v>
      </c>
      <c r="D2532" t="s">
        <v>2006</v>
      </c>
      <c r="E2532" t="s">
        <v>57</v>
      </c>
      <c r="F2532" t="s">
        <v>57</v>
      </c>
      <c r="G2532" t="str">
        <f>INDEX(Risk_Matrix!$B$2:$D$4,MATCH(E2532,Risk_Matrix!$A$2:$A$4,0),MATCH(F2532,Risk_Matrix!$B$1:$D$1,0))</f>
        <v>Low</v>
      </c>
      <c r="H2532" s="1">
        <v>46228</v>
      </c>
      <c r="I2532" t="s">
        <v>2015</v>
      </c>
      <c r="J2532" t="s">
        <v>2016</v>
      </c>
      <c r="K2532" t="s">
        <v>1993</v>
      </c>
      <c r="L2532">
        <f>IF(G2532="High",3,IF(G2532="Medium",2,1))</f>
        <v>1</v>
      </c>
    </row>
    <row r="2533" spans="1:12">
      <c r="A2533" t="s">
        <v>4559</v>
      </c>
      <c r="B2533" t="s">
        <v>1540</v>
      </c>
      <c r="C2533" t="s">
        <v>2008</v>
      </c>
      <c r="D2533" t="s">
        <v>2024</v>
      </c>
      <c r="E2533" t="s">
        <v>47</v>
      </c>
      <c r="F2533" t="s">
        <v>47</v>
      </c>
      <c r="G2533" t="str">
        <f>INDEX(Risk_Matrix!$B$2:$D$4,MATCH(E2533,Risk_Matrix!$A$2:$A$4,0),MATCH(F2533,Risk_Matrix!$B$1:$D$1,0))</f>
        <v>High</v>
      </c>
      <c r="H2533" s="1">
        <v>46073</v>
      </c>
      <c r="I2533" t="s">
        <v>2025</v>
      </c>
      <c r="J2533" t="s">
        <v>2035</v>
      </c>
      <c r="K2533" t="s">
        <v>2010</v>
      </c>
      <c r="L2533">
        <f>IF(G2533="High",3,IF(G2533="Medium",2,1))</f>
        <v>3</v>
      </c>
    </row>
    <row r="2534" spans="1:12">
      <c r="A2534" t="s">
        <v>4560</v>
      </c>
      <c r="B2534" t="s">
        <v>1543</v>
      </c>
      <c r="C2534" t="s">
        <v>1985</v>
      </c>
      <c r="D2534" t="s">
        <v>2062</v>
      </c>
      <c r="E2534" t="s">
        <v>47</v>
      </c>
      <c r="F2534" t="s">
        <v>47</v>
      </c>
      <c r="G2534" t="str">
        <f>INDEX(Risk_Matrix!$B$2:$D$4,MATCH(E2534,Risk_Matrix!$A$2:$A$4,0),MATCH(F2534,Risk_Matrix!$B$1:$D$1,0))</f>
        <v>High</v>
      </c>
      <c r="H2534" s="1">
        <v>46211</v>
      </c>
      <c r="I2534" t="s">
        <v>2025</v>
      </c>
      <c r="J2534" t="s">
        <v>2026</v>
      </c>
      <c r="K2534" t="s">
        <v>1989</v>
      </c>
      <c r="L2534">
        <f>IF(G2534="High",3,IF(G2534="Medium",2,1))</f>
        <v>3</v>
      </c>
    </row>
    <row r="2535" spans="1:12">
      <c r="A2535" t="s">
        <v>4561</v>
      </c>
      <c r="B2535" t="s">
        <v>1543</v>
      </c>
      <c r="C2535" t="s">
        <v>1991</v>
      </c>
      <c r="D2535" t="s">
        <v>1992</v>
      </c>
      <c r="E2535" t="s">
        <v>1971</v>
      </c>
      <c r="F2535" t="s">
        <v>57</v>
      </c>
      <c r="G2535" t="str">
        <f>INDEX(Risk_Matrix!$B$2:$D$4,MATCH(E2535,Risk_Matrix!$A$2:$A$4,0),MATCH(F2535,Risk_Matrix!$B$1:$D$1,0))</f>
        <v>Low</v>
      </c>
      <c r="H2535" s="1">
        <v>46128</v>
      </c>
      <c r="I2535" t="s">
        <v>2025</v>
      </c>
      <c r="J2535" t="s">
        <v>2026</v>
      </c>
      <c r="K2535" t="s">
        <v>1993</v>
      </c>
      <c r="L2535">
        <f>IF(G2535="High",3,IF(G2535="Medium",2,1))</f>
        <v>1</v>
      </c>
    </row>
    <row r="2536" spans="1:12">
      <c r="A2536" t="s">
        <v>4562</v>
      </c>
      <c r="B2536" t="s">
        <v>1543</v>
      </c>
      <c r="C2536" t="s">
        <v>1995</v>
      </c>
      <c r="D2536" t="s">
        <v>2018</v>
      </c>
      <c r="E2536" t="s">
        <v>57</v>
      </c>
      <c r="F2536" t="s">
        <v>57</v>
      </c>
      <c r="G2536" t="str">
        <f>INDEX(Risk_Matrix!$B$2:$D$4,MATCH(E2536,Risk_Matrix!$A$2:$A$4,0),MATCH(F2536,Risk_Matrix!$B$1:$D$1,0))</f>
        <v>Low</v>
      </c>
      <c r="H2536" s="1">
        <v>46203</v>
      </c>
      <c r="I2536" t="s">
        <v>2015</v>
      </c>
      <c r="J2536" t="s">
        <v>2032</v>
      </c>
      <c r="K2536" t="s">
        <v>1998</v>
      </c>
      <c r="L2536">
        <f>IF(G2536="High",3,IF(G2536="Medium",2,1))</f>
        <v>1</v>
      </c>
    </row>
    <row r="2537" spans="1:12">
      <c r="A2537" t="s">
        <v>4563</v>
      </c>
      <c r="B2537" t="s">
        <v>1543</v>
      </c>
      <c r="C2537" t="s">
        <v>2000</v>
      </c>
      <c r="D2537" t="s">
        <v>2045</v>
      </c>
      <c r="E2537" t="s">
        <v>57</v>
      </c>
      <c r="F2537" t="s">
        <v>47</v>
      </c>
      <c r="G2537" t="str">
        <f>INDEX(Risk_Matrix!$B$2:$D$4,MATCH(E2537,Risk_Matrix!$A$2:$A$4,0),MATCH(F2537,Risk_Matrix!$B$1:$D$1,0))</f>
        <v>Medium</v>
      </c>
      <c r="H2537" s="1">
        <v>46225</v>
      </c>
      <c r="I2537" t="s">
        <v>2025</v>
      </c>
      <c r="J2537" t="s">
        <v>2026</v>
      </c>
      <c r="K2537" t="s">
        <v>1989</v>
      </c>
      <c r="L2537">
        <f>IF(G2537="High",3,IF(G2537="Medium",2,1))</f>
        <v>2</v>
      </c>
    </row>
    <row r="2538" spans="1:12">
      <c r="A2538" t="s">
        <v>4564</v>
      </c>
      <c r="B2538" t="s">
        <v>1543</v>
      </c>
      <c r="C2538" t="s">
        <v>2005</v>
      </c>
      <c r="D2538" t="s">
        <v>2039</v>
      </c>
      <c r="E2538" t="s">
        <v>1971</v>
      </c>
      <c r="F2538" t="s">
        <v>57</v>
      </c>
      <c r="G2538" t="str">
        <f>INDEX(Risk_Matrix!$B$2:$D$4,MATCH(E2538,Risk_Matrix!$A$2:$A$4,0),MATCH(F2538,Risk_Matrix!$B$1:$D$1,0))</f>
        <v>Low</v>
      </c>
      <c r="H2538" s="1">
        <v>46162</v>
      </c>
      <c r="I2538" t="s">
        <v>2002</v>
      </c>
      <c r="J2538" t="s">
        <v>2003</v>
      </c>
      <c r="K2538" t="s">
        <v>1993</v>
      </c>
      <c r="L2538">
        <f>IF(G2538="High",3,IF(G2538="Medium",2,1))</f>
        <v>1</v>
      </c>
    </row>
    <row r="2539" spans="1:12">
      <c r="A2539" t="s">
        <v>4565</v>
      </c>
      <c r="B2539" t="s">
        <v>1543</v>
      </c>
      <c r="C2539" t="s">
        <v>2008</v>
      </c>
      <c r="D2539" t="s">
        <v>2054</v>
      </c>
      <c r="E2539" t="s">
        <v>57</v>
      </c>
      <c r="F2539" t="s">
        <v>57</v>
      </c>
      <c r="G2539" t="str">
        <f>INDEX(Risk_Matrix!$B$2:$D$4,MATCH(E2539,Risk_Matrix!$A$2:$A$4,0),MATCH(F2539,Risk_Matrix!$B$1:$D$1,0))</f>
        <v>Low</v>
      </c>
      <c r="H2539" s="1">
        <v>46185</v>
      </c>
      <c r="I2539" t="s">
        <v>2015</v>
      </c>
      <c r="J2539" t="s">
        <v>2032</v>
      </c>
      <c r="K2539" t="s">
        <v>2010</v>
      </c>
      <c r="L2539">
        <f>IF(G2539="High",3,IF(G2539="Medium",2,1))</f>
        <v>1</v>
      </c>
    </row>
    <row r="2540" spans="1:12">
      <c r="A2540" t="s">
        <v>4566</v>
      </c>
      <c r="B2540" t="s">
        <v>1546</v>
      </c>
      <c r="C2540" t="s">
        <v>1985</v>
      </c>
      <c r="D2540" t="s">
        <v>2028</v>
      </c>
      <c r="E2540" t="s">
        <v>57</v>
      </c>
      <c r="F2540" t="s">
        <v>1971</v>
      </c>
      <c r="G2540" t="str">
        <f>INDEX(Risk_Matrix!$B$2:$D$4,MATCH(E2540,Risk_Matrix!$A$2:$A$4,0),MATCH(F2540,Risk_Matrix!$B$1:$D$1,0))</f>
        <v>Low</v>
      </c>
      <c r="H2540" s="1">
        <v>46232</v>
      </c>
      <c r="I2540" t="s">
        <v>1987</v>
      </c>
      <c r="J2540" t="s">
        <v>1988</v>
      </c>
      <c r="K2540" t="s">
        <v>1989</v>
      </c>
      <c r="L2540">
        <f>IF(G2540="High",3,IF(G2540="Medium",2,1))</f>
        <v>1</v>
      </c>
    </row>
    <row r="2541" spans="1:12">
      <c r="A2541" t="s">
        <v>4567</v>
      </c>
      <c r="B2541" t="s">
        <v>1546</v>
      </c>
      <c r="C2541" t="s">
        <v>1991</v>
      </c>
      <c r="D2541" t="s">
        <v>2064</v>
      </c>
      <c r="E2541" t="s">
        <v>57</v>
      </c>
      <c r="F2541" t="s">
        <v>57</v>
      </c>
      <c r="G2541" t="str">
        <f>INDEX(Risk_Matrix!$B$2:$D$4,MATCH(E2541,Risk_Matrix!$A$2:$A$4,0),MATCH(F2541,Risk_Matrix!$B$1:$D$1,0))</f>
        <v>Low</v>
      </c>
      <c r="H2541" s="1">
        <v>46077</v>
      </c>
      <c r="I2541" t="s">
        <v>2002</v>
      </c>
      <c r="J2541" t="s">
        <v>2003</v>
      </c>
      <c r="K2541" t="s">
        <v>1993</v>
      </c>
      <c r="L2541">
        <f>IF(G2541="High",3,IF(G2541="Medium",2,1))</f>
        <v>1</v>
      </c>
    </row>
    <row r="2542" spans="1:12">
      <c r="A2542" t="s">
        <v>4568</v>
      </c>
      <c r="B2542" t="s">
        <v>1546</v>
      </c>
      <c r="C2542" t="s">
        <v>1995</v>
      </c>
      <c r="D2542" t="s">
        <v>2150</v>
      </c>
      <c r="E2542" t="s">
        <v>1971</v>
      </c>
      <c r="F2542" t="s">
        <v>1971</v>
      </c>
      <c r="G2542" t="str">
        <f>INDEX(Risk_Matrix!$B$2:$D$4,MATCH(E2542,Risk_Matrix!$A$2:$A$4,0),MATCH(F2542,Risk_Matrix!$B$1:$D$1,0))</f>
        <v>Medium</v>
      </c>
      <c r="H2542" s="1">
        <v>46105</v>
      </c>
      <c r="I2542" t="s">
        <v>1987</v>
      </c>
      <c r="J2542" t="s">
        <v>1988</v>
      </c>
      <c r="K2542" t="s">
        <v>2036</v>
      </c>
      <c r="L2542">
        <f>IF(G2542="High",3,IF(G2542="Medium",2,1))</f>
        <v>2</v>
      </c>
    </row>
    <row r="2543" spans="1:12">
      <c r="A2543" t="s">
        <v>4569</v>
      </c>
      <c r="B2543" t="s">
        <v>1546</v>
      </c>
      <c r="C2543" t="s">
        <v>2000</v>
      </c>
      <c r="D2543" t="s">
        <v>2045</v>
      </c>
      <c r="E2543" t="s">
        <v>1971</v>
      </c>
      <c r="F2543" t="s">
        <v>1971</v>
      </c>
      <c r="G2543" t="str">
        <f>INDEX(Risk_Matrix!$B$2:$D$4,MATCH(E2543,Risk_Matrix!$A$2:$A$4,0),MATCH(F2543,Risk_Matrix!$B$1:$D$1,0))</f>
        <v>Medium</v>
      </c>
      <c r="H2543" s="1">
        <v>46227</v>
      </c>
      <c r="I2543" t="s">
        <v>2025</v>
      </c>
      <c r="J2543" t="s">
        <v>2026</v>
      </c>
      <c r="K2543" t="s">
        <v>1989</v>
      </c>
      <c r="L2543">
        <f>IF(G2543="High",3,IF(G2543="Medium",2,1))</f>
        <v>2</v>
      </c>
    </row>
    <row r="2544" spans="1:12">
      <c r="A2544" t="s">
        <v>4570</v>
      </c>
      <c r="B2544" t="s">
        <v>1546</v>
      </c>
      <c r="C2544" t="s">
        <v>2005</v>
      </c>
      <c r="D2544" t="s">
        <v>2039</v>
      </c>
      <c r="E2544" t="s">
        <v>57</v>
      </c>
      <c r="F2544" t="s">
        <v>57</v>
      </c>
      <c r="G2544" t="str">
        <f>INDEX(Risk_Matrix!$B$2:$D$4,MATCH(E2544,Risk_Matrix!$A$2:$A$4,0),MATCH(F2544,Risk_Matrix!$B$1:$D$1,0))</f>
        <v>Low</v>
      </c>
      <c r="H2544" s="1">
        <v>46160</v>
      </c>
      <c r="I2544" t="s">
        <v>2025</v>
      </c>
      <c r="J2544" t="s">
        <v>2035</v>
      </c>
      <c r="K2544" t="s">
        <v>2036</v>
      </c>
      <c r="L2544">
        <f>IF(G2544="High",3,IF(G2544="Medium",2,1))</f>
        <v>1</v>
      </c>
    </row>
    <row r="2545" spans="1:12">
      <c r="A2545" t="s">
        <v>4571</v>
      </c>
      <c r="B2545" t="s">
        <v>1546</v>
      </c>
      <c r="C2545" t="s">
        <v>2008</v>
      </c>
      <c r="D2545" t="s">
        <v>2024</v>
      </c>
      <c r="E2545" t="s">
        <v>57</v>
      </c>
      <c r="F2545" t="s">
        <v>57</v>
      </c>
      <c r="G2545" t="str">
        <f>INDEX(Risk_Matrix!$B$2:$D$4,MATCH(E2545,Risk_Matrix!$A$2:$A$4,0),MATCH(F2545,Risk_Matrix!$B$1:$D$1,0))</f>
        <v>Low</v>
      </c>
      <c r="H2545" s="1">
        <v>46178</v>
      </c>
      <c r="I2545" t="s">
        <v>1987</v>
      </c>
      <c r="J2545" t="s">
        <v>1988</v>
      </c>
      <c r="K2545" t="s">
        <v>2010</v>
      </c>
      <c r="L2545">
        <f>IF(G2545="High",3,IF(G2545="Medium",2,1))</f>
        <v>1</v>
      </c>
    </row>
    <row r="2546" spans="1:12">
      <c r="A2546" t="s">
        <v>4572</v>
      </c>
      <c r="B2546" t="s">
        <v>1549</v>
      </c>
      <c r="C2546" t="s">
        <v>1985</v>
      </c>
      <c r="D2546" t="s">
        <v>1986</v>
      </c>
      <c r="E2546" t="s">
        <v>57</v>
      </c>
      <c r="F2546" t="s">
        <v>1971</v>
      </c>
      <c r="G2546" t="str">
        <f>INDEX(Risk_Matrix!$B$2:$D$4,MATCH(E2546,Risk_Matrix!$A$2:$A$4,0),MATCH(F2546,Risk_Matrix!$B$1:$D$1,0))</f>
        <v>Low</v>
      </c>
      <c r="H2546" s="1">
        <v>46171</v>
      </c>
      <c r="I2546" t="s">
        <v>2015</v>
      </c>
      <c r="J2546" t="s">
        <v>2032</v>
      </c>
      <c r="K2546" t="s">
        <v>1998</v>
      </c>
      <c r="L2546">
        <f>IF(G2546="High",3,IF(G2546="Medium",2,1))</f>
        <v>1</v>
      </c>
    </row>
    <row r="2547" spans="1:12">
      <c r="A2547" t="s">
        <v>4573</v>
      </c>
      <c r="B2547" t="s">
        <v>1549</v>
      </c>
      <c r="C2547" t="s">
        <v>1991</v>
      </c>
      <c r="D2547" t="s">
        <v>2031</v>
      </c>
      <c r="E2547" t="s">
        <v>57</v>
      </c>
      <c r="F2547" t="s">
        <v>57</v>
      </c>
      <c r="G2547" t="str">
        <f>INDEX(Risk_Matrix!$B$2:$D$4,MATCH(E2547,Risk_Matrix!$A$2:$A$4,0),MATCH(F2547,Risk_Matrix!$B$1:$D$1,0))</f>
        <v>Low</v>
      </c>
      <c r="H2547" s="1">
        <v>46109</v>
      </c>
      <c r="I2547" t="s">
        <v>1987</v>
      </c>
      <c r="J2547" t="s">
        <v>1988</v>
      </c>
      <c r="K2547" t="s">
        <v>2010</v>
      </c>
      <c r="L2547">
        <f>IF(G2547="High",3,IF(G2547="Medium",2,1))</f>
        <v>1</v>
      </c>
    </row>
    <row r="2548" spans="1:12">
      <c r="A2548" t="s">
        <v>4574</v>
      </c>
      <c r="B2548" t="s">
        <v>1549</v>
      </c>
      <c r="C2548" t="s">
        <v>1995</v>
      </c>
      <c r="D2548" t="s">
        <v>1996</v>
      </c>
      <c r="E2548" t="s">
        <v>47</v>
      </c>
      <c r="F2548" t="s">
        <v>57</v>
      </c>
      <c r="G2548" t="str">
        <f>INDEX(Risk_Matrix!$B$2:$D$4,MATCH(E2548,Risk_Matrix!$A$2:$A$4,0),MATCH(F2548,Risk_Matrix!$B$1:$D$1,0))</f>
        <v>Medium</v>
      </c>
      <c r="H2548" s="1">
        <v>46201</v>
      </c>
      <c r="I2548" t="s">
        <v>1987</v>
      </c>
      <c r="J2548" t="s">
        <v>1988</v>
      </c>
      <c r="K2548" t="s">
        <v>2036</v>
      </c>
      <c r="L2548">
        <f>IF(G2548="High",3,IF(G2548="Medium",2,1))</f>
        <v>2</v>
      </c>
    </row>
    <row r="2549" spans="1:12">
      <c r="A2549" t="s">
        <v>4575</v>
      </c>
      <c r="B2549" t="s">
        <v>1549</v>
      </c>
      <c r="C2549" t="s">
        <v>2000</v>
      </c>
      <c r="D2549" t="s">
        <v>2045</v>
      </c>
      <c r="E2549" t="s">
        <v>57</v>
      </c>
      <c r="F2549" t="s">
        <v>57</v>
      </c>
      <c r="G2549" t="str">
        <f>INDEX(Risk_Matrix!$B$2:$D$4,MATCH(E2549,Risk_Matrix!$A$2:$A$4,0),MATCH(F2549,Risk_Matrix!$B$1:$D$1,0))</f>
        <v>Low</v>
      </c>
      <c r="H2549" s="1">
        <v>46055</v>
      </c>
      <c r="I2549" t="s">
        <v>2025</v>
      </c>
      <c r="J2549" t="s">
        <v>2035</v>
      </c>
      <c r="K2549" t="s">
        <v>1993</v>
      </c>
      <c r="L2549">
        <f>IF(G2549="High",3,IF(G2549="Medium",2,1))</f>
        <v>1</v>
      </c>
    </row>
    <row r="2550" spans="1:12">
      <c r="A2550" t="s">
        <v>4576</v>
      </c>
      <c r="B2550" t="s">
        <v>1549</v>
      </c>
      <c r="C2550" t="s">
        <v>2005</v>
      </c>
      <c r="D2550" t="s">
        <v>2039</v>
      </c>
      <c r="E2550" t="s">
        <v>57</v>
      </c>
      <c r="F2550" t="s">
        <v>57</v>
      </c>
      <c r="G2550" t="str">
        <f>INDEX(Risk_Matrix!$B$2:$D$4,MATCH(E2550,Risk_Matrix!$A$2:$A$4,0),MATCH(F2550,Risk_Matrix!$B$1:$D$1,0))</f>
        <v>Low</v>
      </c>
      <c r="H2550" s="1">
        <v>46205</v>
      </c>
      <c r="I2550" t="s">
        <v>2015</v>
      </c>
      <c r="J2550" t="s">
        <v>2032</v>
      </c>
      <c r="K2550" t="s">
        <v>1993</v>
      </c>
      <c r="L2550">
        <f>IF(G2550="High",3,IF(G2550="Medium",2,1))</f>
        <v>1</v>
      </c>
    </row>
    <row r="2551" spans="1:12">
      <c r="A2551" t="s">
        <v>4577</v>
      </c>
      <c r="B2551" t="s">
        <v>1549</v>
      </c>
      <c r="C2551" t="s">
        <v>2008</v>
      </c>
      <c r="D2551" t="s">
        <v>2054</v>
      </c>
      <c r="E2551" t="s">
        <v>57</v>
      </c>
      <c r="F2551" t="s">
        <v>47</v>
      </c>
      <c r="G2551" t="str">
        <f>INDEX(Risk_Matrix!$B$2:$D$4,MATCH(E2551,Risk_Matrix!$A$2:$A$4,0),MATCH(F2551,Risk_Matrix!$B$1:$D$1,0))</f>
        <v>Medium</v>
      </c>
      <c r="H2551" s="1">
        <v>46152</v>
      </c>
      <c r="I2551" t="s">
        <v>2015</v>
      </c>
      <c r="J2551" t="s">
        <v>2016</v>
      </c>
      <c r="K2551" t="s">
        <v>2010</v>
      </c>
      <c r="L2551">
        <f>IF(G2551="High",3,IF(G2551="Medium",2,1))</f>
        <v>2</v>
      </c>
    </row>
    <row r="2552" spans="1:12">
      <c r="A2552" t="s">
        <v>4578</v>
      </c>
      <c r="B2552" t="s">
        <v>1551</v>
      </c>
      <c r="C2552" t="s">
        <v>1985</v>
      </c>
      <c r="D2552" t="s">
        <v>1986</v>
      </c>
      <c r="E2552" t="s">
        <v>57</v>
      </c>
      <c r="F2552" t="s">
        <v>1971</v>
      </c>
      <c r="G2552" t="str">
        <f>INDEX(Risk_Matrix!$B$2:$D$4,MATCH(E2552,Risk_Matrix!$A$2:$A$4,0),MATCH(F2552,Risk_Matrix!$B$1:$D$1,0))</f>
        <v>Low</v>
      </c>
      <c r="H2552" s="1">
        <v>46207</v>
      </c>
      <c r="I2552" t="s">
        <v>2025</v>
      </c>
      <c r="J2552" t="s">
        <v>2026</v>
      </c>
      <c r="K2552" t="s">
        <v>1989</v>
      </c>
      <c r="L2552">
        <f>IF(G2552="High",3,IF(G2552="Medium",2,1))</f>
        <v>1</v>
      </c>
    </row>
    <row r="2553" spans="1:12">
      <c r="A2553" t="s">
        <v>4579</v>
      </c>
      <c r="B2553" t="s">
        <v>1551</v>
      </c>
      <c r="C2553" t="s">
        <v>1991</v>
      </c>
      <c r="D2553" t="s">
        <v>2064</v>
      </c>
      <c r="E2553" t="s">
        <v>57</v>
      </c>
      <c r="F2553" t="s">
        <v>57</v>
      </c>
      <c r="G2553" t="str">
        <f>INDEX(Risk_Matrix!$B$2:$D$4,MATCH(E2553,Risk_Matrix!$A$2:$A$4,0),MATCH(F2553,Risk_Matrix!$B$1:$D$1,0))</f>
        <v>Low</v>
      </c>
      <c r="H2553" s="1">
        <v>46187</v>
      </c>
      <c r="I2553" t="s">
        <v>2015</v>
      </c>
      <c r="J2553" t="s">
        <v>2016</v>
      </c>
      <c r="K2553" t="s">
        <v>1993</v>
      </c>
      <c r="L2553">
        <f>IF(G2553="High",3,IF(G2553="Medium",2,1))</f>
        <v>1</v>
      </c>
    </row>
    <row r="2554" spans="1:12">
      <c r="A2554" t="s">
        <v>4580</v>
      </c>
      <c r="B2554" t="s">
        <v>1551</v>
      </c>
      <c r="C2554" t="s">
        <v>1995</v>
      </c>
      <c r="D2554" t="s">
        <v>2034</v>
      </c>
      <c r="E2554" t="s">
        <v>57</v>
      </c>
      <c r="F2554" t="s">
        <v>47</v>
      </c>
      <c r="G2554" t="str">
        <f>INDEX(Risk_Matrix!$B$2:$D$4,MATCH(E2554,Risk_Matrix!$A$2:$A$4,0),MATCH(F2554,Risk_Matrix!$B$1:$D$1,0))</f>
        <v>Medium</v>
      </c>
      <c r="H2554" s="1">
        <v>46194</v>
      </c>
      <c r="I2554" t="s">
        <v>2015</v>
      </c>
      <c r="J2554" t="s">
        <v>2016</v>
      </c>
      <c r="K2554" t="s">
        <v>1998</v>
      </c>
      <c r="L2554">
        <f>IF(G2554="High",3,IF(G2554="Medium",2,1))</f>
        <v>2</v>
      </c>
    </row>
    <row r="2555" spans="1:12">
      <c r="A2555" t="s">
        <v>4581</v>
      </c>
      <c r="B2555" t="s">
        <v>1551</v>
      </c>
      <c r="C2555" t="s">
        <v>2000</v>
      </c>
      <c r="D2555" t="s">
        <v>2020</v>
      </c>
      <c r="E2555" t="s">
        <v>1971</v>
      </c>
      <c r="F2555" t="s">
        <v>1971</v>
      </c>
      <c r="G2555" t="str">
        <f>INDEX(Risk_Matrix!$B$2:$D$4,MATCH(E2555,Risk_Matrix!$A$2:$A$4,0),MATCH(F2555,Risk_Matrix!$B$1:$D$1,0))</f>
        <v>Medium</v>
      </c>
      <c r="H2555" s="1">
        <v>46200</v>
      </c>
      <c r="I2555" t="s">
        <v>2015</v>
      </c>
      <c r="J2555" t="s">
        <v>2016</v>
      </c>
      <c r="K2555" t="s">
        <v>1989</v>
      </c>
      <c r="L2555">
        <f>IF(G2555="High",3,IF(G2555="Medium",2,1))</f>
        <v>2</v>
      </c>
    </row>
    <row r="2556" spans="1:12">
      <c r="A2556" t="s">
        <v>4582</v>
      </c>
      <c r="B2556" t="s">
        <v>1551</v>
      </c>
      <c r="C2556" t="s">
        <v>2005</v>
      </c>
      <c r="D2556" t="s">
        <v>2039</v>
      </c>
      <c r="E2556" t="s">
        <v>1971</v>
      </c>
      <c r="F2556" t="s">
        <v>1971</v>
      </c>
      <c r="G2556" t="str">
        <f>INDEX(Risk_Matrix!$B$2:$D$4,MATCH(E2556,Risk_Matrix!$A$2:$A$4,0),MATCH(F2556,Risk_Matrix!$B$1:$D$1,0))</f>
        <v>Medium</v>
      </c>
      <c r="H2556" s="1">
        <v>46109</v>
      </c>
      <c r="I2556" t="s">
        <v>2025</v>
      </c>
      <c r="J2556" t="s">
        <v>2035</v>
      </c>
      <c r="K2556" t="s">
        <v>1993</v>
      </c>
      <c r="L2556">
        <f>IF(G2556="High",3,IF(G2556="Medium",2,1))</f>
        <v>2</v>
      </c>
    </row>
    <row r="2557" spans="1:12">
      <c r="A2557" t="s">
        <v>4583</v>
      </c>
      <c r="B2557" t="s">
        <v>1551</v>
      </c>
      <c r="C2557" t="s">
        <v>2008</v>
      </c>
      <c r="D2557" t="s">
        <v>2024</v>
      </c>
      <c r="E2557" t="s">
        <v>1971</v>
      </c>
      <c r="F2557" t="s">
        <v>1971</v>
      </c>
      <c r="G2557" t="str">
        <f>INDEX(Risk_Matrix!$B$2:$D$4,MATCH(E2557,Risk_Matrix!$A$2:$A$4,0),MATCH(F2557,Risk_Matrix!$B$1:$D$1,0))</f>
        <v>Medium</v>
      </c>
      <c r="H2557" s="1">
        <v>46164</v>
      </c>
      <c r="I2557" t="s">
        <v>2015</v>
      </c>
      <c r="J2557" t="s">
        <v>2032</v>
      </c>
      <c r="K2557" t="s">
        <v>2010</v>
      </c>
      <c r="L2557">
        <f>IF(G2557="High",3,IF(G2557="Medium",2,1))</f>
        <v>2</v>
      </c>
    </row>
    <row r="2558" spans="1:12">
      <c r="A2558" t="s">
        <v>4584</v>
      </c>
      <c r="B2558" t="s">
        <v>1554</v>
      </c>
      <c r="C2558" t="s">
        <v>1985</v>
      </c>
      <c r="D2558" t="s">
        <v>2062</v>
      </c>
      <c r="E2558" t="s">
        <v>57</v>
      </c>
      <c r="F2558" t="s">
        <v>57</v>
      </c>
      <c r="G2558" t="str">
        <f>INDEX(Risk_Matrix!$B$2:$D$4,MATCH(E2558,Risk_Matrix!$A$2:$A$4,0),MATCH(F2558,Risk_Matrix!$B$1:$D$1,0))</f>
        <v>Low</v>
      </c>
      <c r="H2558" s="1">
        <v>46129</v>
      </c>
      <c r="I2558" t="s">
        <v>2002</v>
      </c>
      <c r="J2558" t="s">
        <v>2003</v>
      </c>
      <c r="K2558" t="s">
        <v>1989</v>
      </c>
      <c r="L2558">
        <f>IF(G2558="High",3,IF(G2558="Medium",2,1))</f>
        <v>1</v>
      </c>
    </row>
    <row r="2559" spans="1:12">
      <c r="A2559" t="s">
        <v>4585</v>
      </c>
      <c r="B2559" t="s">
        <v>1554</v>
      </c>
      <c r="C2559" t="s">
        <v>1991</v>
      </c>
      <c r="D2559" t="s">
        <v>1992</v>
      </c>
      <c r="E2559" t="s">
        <v>1971</v>
      </c>
      <c r="F2559" t="s">
        <v>57</v>
      </c>
      <c r="G2559" t="str">
        <f>INDEX(Risk_Matrix!$B$2:$D$4,MATCH(E2559,Risk_Matrix!$A$2:$A$4,0),MATCH(F2559,Risk_Matrix!$B$1:$D$1,0))</f>
        <v>Low</v>
      </c>
      <c r="H2559" s="1">
        <v>46181</v>
      </c>
      <c r="I2559" t="s">
        <v>2002</v>
      </c>
      <c r="J2559" t="s">
        <v>2029</v>
      </c>
      <c r="K2559" t="s">
        <v>2010</v>
      </c>
      <c r="L2559">
        <f>IF(G2559="High",3,IF(G2559="Medium",2,1))</f>
        <v>1</v>
      </c>
    </row>
    <row r="2560" spans="1:12">
      <c r="A2560" t="s">
        <v>4586</v>
      </c>
      <c r="B2560" t="s">
        <v>1554</v>
      </c>
      <c r="C2560" t="s">
        <v>1995</v>
      </c>
      <c r="D2560" t="s">
        <v>2034</v>
      </c>
      <c r="E2560" t="s">
        <v>47</v>
      </c>
      <c r="F2560" t="s">
        <v>1971</v>
      </c>
      <c r="G2560" t="str">
        <f>INDEX(Risk_Matrix!$B$2:$D$4,MATCH(E2560,Risk_Matrix!$A$2:$A$4,0),MATCH(F2560,Risk_Matrix!$B$1:$D$1,0))</f>
        <v>High</v>
      </c>
      <c r="H2560" s="1">
        <v>46223</v>
      </c>
      <c r="I2560" t="s">
        <v>2015</v>
      </c>
      <c r="J2560" t="s">
        <v>2016</v>
      </c>
      <c r="K2560" t="s">
        <v>1998</v>
      </c>
      <c r="L2560">
        <f>IF(G2560="High",3,IF(G2560="Medium",2,1))</f>
        <v>3</v>
      </c>
    </row>
    <row r="2561" spans="1:12">
      <c r="A2561" t="s">
        <v>4587</v>
      </c>
      <c r="B2561" t="s">
        <v>1554</v>
      </c>
      <c r="C2561" t="s">
        <v>2000</v>
      </c>
      <c r="D2561" t="s">
        <v>2020</v>
      </c>
      <c r="E2561" t="s">
        <v>57</v>
      </c>
      <c r="F2561" t="s">
        <v>57</v>
      </c>
      <c r="G2561" t="str">
        <f>INDEX(Risk_Matrix!$B$2:$D$4,MATCH(E2561,Risk_Matrix!$A$2:$A$4,0),MATCH(F2561,Risk_Matrix!$B$1:$D$1,0))</f>
        <v>Low</v>
      </c>
      <c r="H2561" s="1">
        <v>46223</v>
      </c>
      <c r="I2561" t="s">
        <v>1987</v>
      </c>
      <c r="J2561" t="s">
        <v>1997</v>
      </c>
      <c r="K2561" t="s">
        <v>1989</v>
      </c>
      <c r="L2561">
        <f>IF(G2561="High",3,IF(G2561="Medium",2,1))</f>
        <v>1</v>
      </c>
    </row>
    <row r="2562" spans="1:12">
      <c r="A2562" t="s">
        <v>4588</v>
      </c>
      <c r="B2562" t="s">
        <v>1554</v>
      </c>
      <c r="C2562" t="s">
        <v>2005</v>
      </c>
      <c r="D2562" t="s">
        <v>2006</v>
      </c>
      <c r="E2562" t="s">
        <v>57</v>
      </c>
      <c r="F2562" t="s">
        <v>1971</v>
      </c>
      <c r="G2562" t="str">
        <f>INDEX(Risk_Matrix!$B$2:$D$4,MATCH(E2562,Risk_Matrix!$A$2:$A$4,0),MATCH(F2562,Risk_Matrix!$B$1:$D$1,0))</f>
        <v>Low</v>
      </c>
      <c r="H2562" s="1">
        <v>46164</v>
      </c>
      <c r="I2562" t="s">
        <v>2002</v>
      </c>
      <c r="J2562" t="s">
        <v>2029</v>
      </c>
      <c r="K2562" t="s">
        <v>1993</v>
      </c>
      <c r="L2562">
        <f>IF(G2562="High",3,IF(G2562="Medium",2,1))</f>
        <v>1</v>
      </c>
    </row>
    <row r="2563" spans="1:12">
      <c r="A2563" t="s">
        <v>4589</v>
      </c>
      <c r="B2563" t="s">
        <v>1554</v>
      </c>
      <c r="C2563" t="s">
        <v>2008</v>
      </c>
      <c r="D2563" t="s">
        <v>2054</v>
      </c>
      <c r="E2563" t="s">
        <v>1971</v>
      </c>
      <c r="F2563" t="s">
        <v>47</v>
      </c>
      <c r="G2563" t="str">
        <f>INDEX(Risk_Matrix!$B$2:$D$4,MATCH(E2563,Risk_Matrix!$A$2:$A$4,0),MATCH(F2563,Risk_Matrix!$B$1:$D$1,0))</f>
        <v>High</v>
      </c>
      <c r="H2563" s="1">
        <v>46198</v>
      </c>
      <c r="I2563" t="s">
        <v>2025</v>
      </c>
      <c r="J2563" t="s">
        <v>2035</v>
      </c>
      <c r="K2563" t="s">
        <v>2010</v>
      </c>
      <c r="L2563">
        <f>IF(G2563="High",3,IF(G2563="Medium",2,1))</f>
        <v>3</v>
      </c>
    </row>
    <row r="2564" spans="1:12">
      <c r="A2564" t="s">
        <v>4590</v>
      </c>
      <c r="B2564" t="s">
        <v>1556</v>
      </c>
      <c r="C2564" t="s">
        <v>1985</v>
      </c>
      <c r="D2564" t="s">
        <v>2028</v>
      </c>
      <c r="E2564" t="s">
        <v>1971</v>
      </c>
      <c r="F2564" t="s">
        <v>57</v>
      </c>
      <c r="G2564" t="str">
        <f>INDEX(Risk_Matrix!$B$2:$D$4,MATCH(E2564,Risk_Matrix!$A$2:$A$4,0),MATCH(F2564,Risk_Matrix!$B$1:$D$1,0))</f>
        <v>Low</v>
      </c>
      <c r="H2564" s="1">
        <v>46115</v>
      </c>
      <c r="I2564" t="s">
        <v>2025</v>
      </c>
      <c r="J2564" t="s">
        <v>2026</v>
      </c>
      <c r="K2564" t="s">
        <v>1998</v>
      </c>
      <c r="L2564">
        <f>IF(G2564="High",3,IF(G2564="Medium",2,1))</f>
        <v>1</v>
      </c>
    </row>
    <row r="2565" spans="1:12">
      <c r="A2565" t="s">
        <v>4591</v>
      </c>
      <c r="B2565" t="s">
        <v>1556</v>
      </c>
      <c r="C2565" t="s">
        <v>1991</v>
      </c>
      <c r="D2565" t="s">
        <v>1992</v>
      </c>
      <c r="E2565" t="s">
        <v>57</v>
      </c>
      <c r="F2565" t="s">
        <v>57</v>
      </c>
      <c r="G2565" t="str">
        <f>INDEX(Risk_Matrix!$B$2:$D$4,MATCH(E2565,Risk_Matrix!$A$2:$A$4,0),MATCH(F2565,Risk_Matrix!$B$1:$D$1,0))</f>
        <v>Low</v>
      </c>
      <c r="H2565" s="1">
        <v>46118</v>
      </c>
      <c r="I2565" t="s">
        <v>2025</v>
      </c>
      <c r="J2565" t="s">
        <v>2035</v>
      </c>
      <c r="K2565" t="s">
        <v>1993</v>
      </c>
      <c r="L2565">
        <f>IF(G2565="High",3,IF(G2565="Medium",2,1))</f>
        <v>1</v>
      </c>
    </row>
    <row r="2566" spans="1:12">
      <c r="A2566" t="s">
        <v>4592</v>
      </c>
      <c r="B2566" t="s">
        <v>1556</v>
      </c>
      <c r="C2566" t="s">
        <v>1995</v>
      </c>
      <c r="D2566" t="s">
        <v>2034</v>
      </c>
      <c r="E2566" t="s">
        <v>57</v>
      </c>
      <c r="F2566" t="s">
        <v>57</v>
      </c>
      <c r="G2566" t="str">
        <f>INDEX(Risk_Matrix!$B$2:$D$4,MATCH(E2566,Risk_Matrix!$A$2:$A$4,0),MATCH(F2566,Risk_Matrix!$B$1:$D$1,0))</f>
        <v>Low</v>
      </c>
      <c r="H2566" s="1">
        <v>46094</v>
      </c>
      <c r="I2566" t="s">
        <v>1987</v>
      </c>
      <c r="J2566" t="s">
        <v>1997</v>
      </c>
      <c r="K2566" t="s">
        <v>2036</v>
      </c>
      <c r="L2566">
        <f>IF(G2566="High",3,IF(G2566="Medium",2,1))</f>
        <v>1</v>
      </c>
    </row>
    <row r="2567" spans="1:12">
      <c r="A2567" t="s">
        <v>4593</v>
      </c>
      <c r="B2567" t="s">
        <v>1556</v>
      </c>
      <c r="C2567" t="s">
        <v>2000</v>
      </c>
      <c r="D2567" t="s">
        <v>2045</v>
      </c>
      <c r="E2567" t="s">
        <v>57</v>
      </c>
      <c r="F2567" t="s">
        <v>57</v>
      </c>
      <c r="G2567" t="str">
        <f>INDEX(Risk_Matrix!$B$2:$D$4,MATCH(E2567,Risk_Matrix!$A$2:$A$4,0),MATCH(F2567,Risk_Matrix!$B$1:$D$1,0))</f>
        <v>Low</v>
      </c>
      <c r="H2567" s="1">
        <v>46209</v>
      </c>
      <c r="I2567" t="s">
        <v>1987</v>
      </c>
      <c r="J2567" t="s">
        <v>1997</v>
      </c>
      <c r="K2567" t="s">
        <v>1993</v>
      </c>
      <c r="L2567">
        <f>IF(G2567="High",3,IF(G2567="Medium",2,1))</f>
        <v>1</v>
      </c>
    </row>
    <row r="2568" spans="1:12">
      <c r="A2568" t="s">
        <v>4594</v>
      </c>
      <c r="B2568" t="s">
        <v>1556</v>
      </c>
      <c r="C2568" t="s">
        <v>2005</v>
      </c>
      <c r="D2568" t="s">
        <v>2022</v>
      </c>
      <c r="E2568" t="s">
        <v>1971</v>
      </c>
      <c r="F2568" t="s">
        <v>57</v>
      </c>
      <c r="G2568" t="str">
        <f>INDEX(Risk_Matrix!$B$2:$D$4,MATCH(E2568,Risk_Matrix!$A$2:$A$4,0),MATCH(F2568,Risk_Matrix!$B$1:$D$1,0))</f>
        <v>Low</v>
      </c>
      <c r="H2568" s="1">
        <v>46199</v>
      </c>
      <c r="I2568" t="s">
        <v>2015</v>
      </c>
      <c r="J2568" t="s">
        <v>2032</v>
      </c>
      <c r="K2568" t="s">
        <v>2036</v>
      </c>
      <c r="L2568">
        <f>IF(G2568="High",3,IF(G2568="Medium",2,1))</f>
        <v>1</v>
      </c>
    </row>
    <row r="2569" spans="1:12">
      <c r="A2569" t="s">
        <v>4595</v>
      </c>
      <c r="B2569" t="s">
        <v>1556</v>
      </c>
      <c r="C2569" t="s">
        <v>2008</v>
      </c>
      <c r="D2569" t="s">
        <v>2024</v>
      </c>
      <c r="E2569" t="s">
        <v>1971</v>
      </c>
      <c r="F2569" t="s">
        <v>1971</v>
      </c>
      <c r="G2569" t="str">
        <f>INDEX(Risk_Matrix!$B$2:$D$4,MATCH(E2569,Risk_Matrix!$A$2:$A$4,0),MATCH(F2569,Risk_Matrix!$B$1:$D$1,0))</f>
        <v>Medium</v>
      </c>
      <c r="H2569" s="1">
        <v>46130</v>
      </c>
      <c r="I2569" t="s">
        <v>2002</v>
      </c>
      <c r="J2569" t="s">
        <v>2029</v>
      </c>
      <c r="K2569" t="s">
        <v>2010</v>
      </c>
      <c r="L2569">
        <f>IF(G2569="High",3,IF(G2569="Medium",2,1))</f>
        <v>2</v>
      </c>
    </row>
    <row r="2570" spans="1:12">
      <c r="A2570" t="s">
        <v>4596</v>
      </c>
      <c r="B2570" t="s">
        <v>1558</v>
      </c>
      <c r="C2570" t="s">
        <v>1985</v>
      </c>
      <c r="D2570" t="s">
        <v>2028</v>
      </c>
      <c r="E2570" t="s">
        <v>1971</v>
      </c>
      <c r="F2570" t="s">
        <v>57</v>
      </c>
      <c r="G2570" t="str">
        <f>INDEX(Risk_Matrix!$B$2:$D$4,MATCH(E2570,Risk_Matrix!$A$2:$A$4,0),MATCH(F2570,Risk_Matrix!$B$1:$D$1,0))</f>
        <v>Low</v>
      </c>
      <c r="H2570" s="1">
        <v>46066</v>
      </c>
      <c r="I2570" t="s">
        <v>2002</v>
      </c>
      <c r="J2570" t="s">
        <v>2029</v>
      </c>
      <c r="K2570" t="s">
        <v>1998</v>
      </c>
      <c r="L2570">
        <f>IF(G2570="High",3,IF(G2570="Medium",2,1))</f>
        <v>1</v>
      </c>
    </row>
    <row r="2571" spans="1:12">
      <c r="A2571" t="s">
        <v>4597</v>
      </c>
      <c r="B2571" t="s">
        <v>1558</v>
      </c>
      <c r="C2571" t="s">
        <v>1991</v>
      </c>
      <c r="D2571" t="s">
        <v>1992</v>
      </c>
      <c r="E2571" t="s">
        <v>57</v>
      </c>
      <c r="F2571" t="s">
        <v>57</v>
      </c>
      <c r="G2571" t="str">
        <f>INDEX(Risk_Matrix!$B$2:$D$4,MATCH(E2571,Risk_Matrix!$A$2:$A$4,0),MATCH(F2571,Risk_Matrix!$B$1:$D$1,0))</f>
        <v>Low</v>
      </c>
      <c r="H2571" s="1">
        <v>46179</v>
      </c>
      <c r="I2571" t="s">
        <v>2015</v>
      </c>
      <c r="J2571" t="s">
        <v>2016</v>
      </c>
      <c r="K2571" t="s">
        <v>1993</v>
      </c>
      <c r="L2571">
        <f>IF(G2571="High",3,IF(G2571="Medium",2,1))</f>
        <v>1</v>
      </c>
    </row>
    <row r="2572" spans="1:12">
      <c r="A2572" t="s">
        <v>4598</v>
      </c>
      <c r="B2572" t="s">
        <v>1558</v>
      </c>
      <c r="C2572" t="s">
        <v>1995</v>
      </c>
      <c r="D2572" t="s">
        <v>2150</v>
      </c>
      <c r="E2572" t="s">
        <v>57</v>
      </c>
      <c r="F2572" t="s">
        <v>57</v>
      </c>
      <c r="G2572" t="str">
        <f>INDEX(Risk_Matrix!$B$2:$D$4,MATCH(E2572,Risk_Matrix!$A$2:$A$4,0),MATCH(F2572,Risk_Matrix!$B$1:$D$1,0))</f>
        <v>Low</v>
      </c>
      <c r="H2572" s="1">
        <v>46218</v>
      </c>
      <c r="I2572" t="s">
        <v>2015</v>
      </c>
      <c r="J2572" t="s">
        <v>2032</v>
      </c>
      <c r="K2572" t="s">
        <v>1998</v>
      </c>
      <c r="L2572">
        <f>IF(G2572="High",3,IF(G2572="Medium",2,1))</f>
        <v>1</v>
      </c>
    </row>
    <row r="2573" spans="1:12">
      <c r="A2573" t="s">
        <v>4599</v>
      </c>
      <c r="B2573" t="s">
        <v>1558</v>
      </c>
      <c r="C2573" t="s">
        <v>2000</v>
      </c>
      <c r="D2573" t="s">
        <v>2045</v>
      </c>
      <c r="E2573" t="s">
        <v>1971</v>
      </c>
      <c r="F2573" t="s">
        <v>57</v>
      </c>
      <c r="G2573" t="str">
        <f>INDEX(Risk_Matrix!$B$2:$D$4,MATCH(E2573,Risk_Matrix!$A$2:$A$4,0),MATCH(F2573,Risk_Matrix!$B$1:$D$1,0))</f>
        <v>Low</v>
      </c>
      <c r="H2573" s="1">
        <v>46071</v>
      </c>
      <c r="I2573" t="s">
        <v>2025</v>
      </c>
      <c r="J2573" t="s">
        <v>2035</v>
      </c>
      <c r="K2573" t="s">
        <v>1989</v>
      </c>
      <c r="L2573">
        <f>IF(G2573="High",3,IF(G2573="Medium",2,1))</f>
        <v>1</v>
      </c>
    </row>
    <row r="2574" spans="1:12">
      <c r="A2574" t="s">
        <v>4600</v>
      </c>
      <c r="B2574" t="s">
        <v>1558</v>
      </c>
      <c r="C2574" t="s">
        <v>2005</v>
      </c>
      <c r="D2574" t="s">
        <v>2006</v>
      </c>
      <c r="E2574" t="s">
        <v>1971</v>
      </c>
      <c r="F2574" t="s">
        <v>57</v>
      </c>
      <c r="G2574" t="str">
        <f>INDEX(Risk_Matrix!$B$2:$D$4,MATCH(E2574,Risk_Matrix!$A$2:$A$4,0),MATCH(F2574,Risk_Matrix!$B$1:$D$1,0))</f>
        <v>Low</v>
      </c>
      <c r="H2574" s="1">
        <v>46138</v>
      </c>
      <c r="I2574" t="s">
        <v>2002</v>
      </c>
      <c r="J2574" t="s">
        <v>2029</v>
      </c>
      <c r="K2574" t="s">
        <v>2036</v>
      </c>
      <c r="L2574">
        <f>IF(G2574="High",3,IF(G2574="Medium",2,1))</f>
        <v>1</v>
      </c>
    </row>
    <row r="2575" spans="1:12">
      <c r="A2575" t="s">
        <v>4601</v>
      </c>
      <c r="B2575" t="s">
        <v>1558</v>
      </c>
      <c r="C2575" t="s">
        <v>2008</v>
      </c>
      <c r="D2575" t="s">
        <v>2024</v>
      </c>
      <c r="E2575" t="s">
        <v>1971</v>
      </c>
      <c r="F2575" t="s">
        <v>1971</v>
      </c>
      <c r="G2575" t="str">
        <f>INDEX(Risk_Matrix!$B$2:$D$4,MATCH(E2575,Risk_Matrix!$A$2:$A$4,0),MATCH(F2575,Risk_Matrix!$B$1:$D$1,0))</f>
        <v>Medium</v>
      </c>
      <c r="H2575" s="1">
        <v>46202</v>
      </c>
      <c r="I2575" t="s">
        <v>2015</v>
      </c>
      <c r="J2575" t="s">
        <v>2016</v>
      </c>
      <c r="K2575" t="s">
        <v>2010</v>
      </c>
      <c r="L2575">
        <f>IF(G2575="High",3,IF(G2575="Medium",2,1))</f>
        <v>2</v>
      </c>
    </row>
    <row r="2576" spans="1:12">
      <c r="A2576" t="s">
        <v>4602</v>
      </c>
      <c r="B2576" t="s">
        <v>1560</v>
      </c>
      <c r="C2576" t="s">
        <v>1985</v>
      </c>
      <c r="D2576" t="s">
        <v>1986</v>
      </c>
      <c r="E2576" t="s">
        <v>1971</v>
      </c>
      <c r="F2576" t="s">
        <v>57</v>
      </c>
      <c r="G2576" t="str">
        <f>INDEX(Risk_Matrix!$B$2:$D$4,MATCH(E2576,Risk_Matrix!$A$2:$A$4,0),MATCH(F2576,Risk_Matrix!$B$1:$D$1,0))</f>
        <v>Low</v>
      </c>
      <c r="H2576" s="1">
        <v>46077</v>
      </c>
      <c r="I2576" t="s">
        <v>1987</v>
      </c>
      <c r="J2576" t="s">
        <v>1988</v>
      </c>
      <c r="K2576" t="s">
        <v>1998</v>
      </c>
      <c r="L2576">
        <f>IF(G2576="High",3,IF(G2576="Medium",2,1))</f>
        <v>1</v>
      </c>
    </row>
    <row r="2577" spans="1:12">
      <c r="A2577" t="s">
        <v>4603</v>
      </c>
      <c r="B2577" t="s">
        <v>1560</v>
      </c>
      <c r="C2577" t="s">
        <v>1991</v>
      </c>
      <c r="D2577" t="s">
        <v>2064</v>
      </c>
      <c r="E2577" t="s">
        <v>57</v>
      </c>
      <c r="F2577" t="s">
        <v>57</v>
      </c>
      <c r="G2577" t="str">
        <f>INDEX(Risk_Matrix!$B$2:$D$4,MATCH(E2577,Risk_Matrix!$A$2:$A$4,0),MATCH(F2577,Risk_Matrix!$B$1:$D$1,0))</f>
        <v>Low</v>
      </c>
      <c r="H2577" s="1">
        <v>46144</v>
      </c>
      <c r="I2577" t="s">
        <v>2025</v>
      </c>
      <c r="J2577" t="s">
        <v>2026</v>
      </c>
      <c r="K2577" t="s">
        <v>2010</v>
      </c>
      <c r="L2577">
        <f>IF(G2577="High",3,IF(G2577="Medium",2,1))</f>
        <v>1</v>
      </c>
    </row>
    <row r="2578" spans="1:12">
      <c r="A2578" t="s">
        <v>4604</v>
      </c>
      <c r="B2578" t="s">
        <v>1560</v>
      </c>
      <c r="C2578" t="s">
        <v>1995</v>
      </c>
      <c r="D2578" t="s">
        <v>1996</v>
      </c>
      <c r="E2578" t="s">
        <v>57</v>
      </c>
      <c r="F2578" t="s">
        <v>57</v>
      </c>
      <c r="G2578" t="str">
        <f>INDEX(Risk_Matrix!$B$2:$D$4,MATCH(E2578,Risk_Matrix!$A$2:$A$4,0),MATCH(F2578,Risk_Matrix!$B$1:$D$1,0))</f>
        <v>Low</v>
      </c>
      <c r="H2578" s="1">
        <v>46171</v>
      </c>
      <c r="I2578" t="s">
        <v>2015</v>
      </c>
      <c r="J2578" t="s">
        <v>2016</v>
      </c>
      <c r="K2578" t="s">
        <v>2036</v>
      </c>
      <c r="L2578">
        <f>IF(G2578="High",3,IF(G2578="Medium",2,1))</f>
        <v>1</v>
      </c>
    </row>
    <row r="2579" spans="1:12">
      <c r="A2579" t="s">
        <v>4605</v>
      </c>
      <c r="B2579" t="s">
        <v>1560</v>
      </c>
      <c r="C2579" t="s">
        <v>2000</v>
      </c>
      <c r="D2579" t="s">
        <v>2001</v>
      </c>
      <c r="E2579" t="s">
        <v>1971</v>
      </c>
      <c r="F2579" t="s">
        <v>57</v>
      </c>
      <c r="G2579" t="str">
        <f>INDEX(Risk_Matrix!$B$2:$D$4,MATCH(E2579,Risk_Matrix!$A$2:$A$4,0),MATCH(F2579,Risk_Matrix!$B$1:$D$1,0))</f>
        <v>Low</v>
      </c>
      <c r="H2579" s="1">
        <v>46230</v>
      </c>
      <c r="I2579" t="s">
        <v>2015</v>
      </c>
      <c r="J2579" t="s">
        <v>2032</v>
      </c>
      <c r="K2579" t="s">
        <v>1993</v>
      </c>
      <c r="L2579">
        <f>IF(G2579="High",3,IF(G2579="Medium",2,1))</f>
        <v>1</v>
      </c>
    </row>
    <row r="2580" spans="1:12">
      <c r="A2580" t="s">
        <v>4606</v>
      </c>
      <c r="B2580" t="s">
        <v>1560</v>
      </c>
      <c r="C2580" t="s">
        <v>2005</v>
      </c>
      <c r="D2580" t="s">
        <v>2022</v>
      </c>
      <c r="E2580" t="s">
        <v>57</v>
      </c>
      <c r="F2580" t="s">
        <v>1971</v>
      </c>
      <c r="G2580" t="str">
        <f>INDEX(Risk_Matrix!$B$2:$D$4,MATCH(E2580,Risk_Matrix!$A$2:$A$4,0),MATCH(F2580,Risk_Matrix!$B$1:$D$1,0))</f>
        <v>Low</v>
      </c>
      <c r="H2580" s="1">
        <v>46143</v>
      </c>
      <c r="I2580" t="s">
        <v>2002</v>
      </c>
      <c r="J2580" t="s">
        <v>2029</v>
      </c>
      <c r="K2580" t="s">
        <v>1993</v>
      </c>
      <c r="L2580">
        <f>IF(G2580="High",3,IF(G2580="Medium",2,1))</f>
        <v>1</v>
      </c>
    </row>
    <row r="2581" spans="1:12">
      <c r="A2581" t="s">
        <v>4607</v>
      </c>
      <c r="B2581" t="s">
        <v>1560</v>
      </c>
      <c r="C2581" t="s">
        <v>2008</v>
      </c>
      <c r="D2581" t="s">
        <v>2009</v>
      </c>
      <c r="E2581" t="s">
        <v>1971</v>
      </c>
      <c r="F2581" t="s">
        <v>57</v>
      </c>
      <c r="G2581" t="str">
        <f>INDEX(Risk_Matrix!$B$2:$D$4,MATCH(E2581,Risk_Matrix!$A$2:$A$4,0),MATCH(F2581,Risk_Matrix!$B$1:$D$1,0))</f>
        <v>Low</v>
      </c>
      <c r="H2581" s="1">
        <v>46203</v>
      </c>
      <c r="I2581" t="s">
        <v>2002</v>
      </c>
      <c r="J2581" t="s">
        <v>2029</v>
      </c>
      <c r="K2581" t="s">
        <v>2010</v>
      </c>
      <c r="L2581">
        <f>IF(G2581="High",3,IF(G2581="Medium",2,1))</f>
        <v>1</v>
      </c>
    </row>
    <row r="2582" spans="1:12">
      <c r="A2582" t="s">
        <v>4608</v>
      </c>
      <c r="B2582" t="s">
        <v>1562</v>
      </c>
      <c r="C2582" t="s">
        <v>1985</v>
      </c>
      <c r="D2582" t="s">
        <v>2062</v>
      </c>
      <c r="E2582" t="s">
        <v>57</v>
      </c>
      <c r="F2582" t="s">
        <v>1971</v>
      </c>
      <c r="G2582" t="str">
        <f>INDEX(Risk_Matrix!$B$2:$D$4,MATCH(E2582,Risk_Matrix!$A$2:$A$4,0),MATCH(F2582,Risk_Matrix!$B$1:$D$1,0))</f>
        <v>Low</v>
      </c>
      <c r="H2582" s="1">
        <v>46156</v>
      </c>
      <c r="I2582" t="s">
        <v>2015</v>
      </c>
      <c r="J2582" t="s">
        <v>2016</v>
      </c>
      <c r="K2582" t="s">
        <v>1989</v>
      </c>
      <c r="L2582">
        <f>IF(G2582="High",3,IF(G2582="Medium",2,1))</f>
        <v>1</v>
      </c>
    </row>
    <row r="2583" spans="1:12">
      <c r="A2583" t="s">
        <v>4609</v>
      </c>
      <c r="B2583" t="s">
        <v>1562</v>
      </c>
      <c r="C2583" t="s">
        <v>1991</v>
      </c>
      <c r="D2583" t="s">
        <v>2064</v>
      </c>
      <c r="E2583" t="s">
        <v>47</v>
      </c>
      <c r="F2583" t="s">
        <v>1971</v>
      </c>
      <c r="G2583" t="str">
        <f>INDEX(Risk_Matrix!$B$2:$D$4,MATCH(E2583,Risk_Matrix!$A$2:$A$4,0),MATCH(F2583,Risk_Matrix!$B$1:$D$1,0))</f>
        <v>High</v>
      </c>
      <c r="H2583" s="1">
        <v>46153</v>
      </c>
      <c r="I2583" t="s">
        <v>2015</v>
      </c>
      <c r="J2583" t="s">
        <v>2032</v>
      </c>
      <c r="K2583" t="s">
        <v>2010</v>
      </c>
      <c r="L2583">
        <f>IF(G2583="High",3,IF(G2583="Medium",2,1))</f>
        <v>3</v>
      </c>
    </row>
    <row r="2584" spans="1:12">
      <c r="A2584" t="s">
        <v>4610</v>
      </c>
      <c r="B2584" t="s">
        <v>1562</v>
      </c>
      <c r="C2584" t="s">
        <v>1995</v>
      </c>
      <c r="D2584" t="s">
        <v>2034</v>
      </c>
      <c r="E2584" t="s">
        <v>1971</v>
      </c>
      <c r="F2584" t="s">
        <v>47</v>
      </c>
      <c r="G2584" t="str">
        <f>INDEX(Risk_Matrix!$B$2:$D$4,MATCH(E2584,Risk_Matrix!$A$2:$A$4,0),MATCH(F2584,Risk_Matrix!$B$1:$D$1,0))</f>
        <v>High</v>
      </c>
      <c r="H2584" s="1">
        <v>46057</v>
      </c>
      <c r="I2584" t="s">
        <v>1987</v>
      </c>
      <c r="J2584" t="s">
        <v>1988</v>
      </c>
      <c r="K2584" t="s">
        <v>1998</v>
      </c>
      <c r="L2584">
        <f>IF(G2584="High",3,IF(G2584="Medium",2,1))</f>
        <v>3</v>
      </c>
    </row>
    <row r="2585" spans="1:12">
      <c r="A2585" t="s">
        <v>4611</v>
      </c>
      <c r="B2585" t="s">
        <v>1562</v>
      </c>
      <c r="C2585" t="s">
        <v>2000</v>
      </c>
      <c r="D2585" t="s">
        <v>2020</v>
      </c>
      <c r="E2585" t="s">
        <v>47</v>
      </c>
      <c r="F2585" t="s">
        <v>47</v>
      </c>
      <c r="G2585" t="str">
        <f>INDEX(Risk_Matrix!$B$2:$D$4,MATCH(E2585,Risk_Matrix!$A$2:$A$4,0),MATCH(F2585,Risk_Matrix!$B$1:$D$1,0))</f>
        <v>High</v>
      </c>
      <c r="H2585" s="1">
        <v>46215</v>
      </c>
      <c r="I2585" t="s">
        <v>2015</v>
      </c>
      <c r="J2585" t="s">
        <v>2016</v>
      </c>
      <c r="K2585" t="s">
        <v>1993</v>
      </c>
      <c r="L2585">
        <f>IF(G2585="High",3,IF(G2585="Medium",2,1))</f>
        <v>3</v>
      </c>
    </row>
    <row r="2586" spans="1:12">
      <c r="A2586" t="s">
        <v>4612</v>
      </c>
      <c r="B2586" t="s">
        <v>1562</v>
      </c>
      <c r="C2586" t="s">
        <v>2005</v>
      </c>
      <c r="D2586" t="s">
        <v>2006</v>
      </c>
      <c r="E2586" t="s">
        <v>57</v>
      </c>
      <c r="F2586" t="s">
        <v>57</v>
      </c>
      <c r="G2586" t="str">
        <f>INDEX(Risk_Matrix!$B$2:$D$4,MATCH(E2586,Risk_Matrix!$A$2:$A$4,0),MATCH(F2586,Risk_Matrix!$B$1:$D$1,0))</f>
        <v>Low</v>
      </c>
      <c r="H2586" s="1">
        <v>46154</v>
      </c>
      <c r="I2586" t="s">
        <v>2015</v>
      </c>
      <c r="J2586" t="s">
        <v>2016</v>
      </c>
      <c r="K2586" t="s">
        <v>1993</v>
      </c>
      <c r="L2586">
        <f>IF(G2586="High",3,IF(G2586="Medium",2,1))</f>
        <v>1</v>
      </c>
    </row>
    <row r="2587" spans="1:12">
      <c r="A2587" t="s">
        <v>4613</v>
      </c>
      <c r="B2587" t="s">
        <v>1562</v>
      </c>
      <c r="C2587" t="s">
        <v>2008</v>
      </c>
      <c r="D2587" t="s">
        <v>2009</v>
      </c>
      <c r="E2587" t="s">
        <v>47</v>
      </c>
      <c r="F2587" t="s">
        <v>1971</v>
      </c>
      <c r="G2587" t="str">
        <f>INDEX(Risk_Matrix!$B$2:$D$4,MATCH(E2587,Risk_Matrix!$A$2:$A$4,0),MATCH(F2587,Risk_Matrix!$B$1:$D$1,0))</f>
        <v>High</v>
      </c>
      <c r="H2587" s="1">
        <v>46090</v>
      </c>
      <c r="I2587" t="s">
        <v>2025</v>
      </c>
      <c r="J2587" t="s">
        <v>2026</v>
      </c>
      <c r="K2587" t="s">
        <v>2010</v>
      </c>
      <c r="L2587">
        <f>IF(G2587="High",3,IF(G2587="Medium",2,1))</f>
        <v>3</v>
      </c>
    </row>
    <row r="2588" spans="1:12">
      <c r="A2588" t="s">
        <v>4614</v>
      </c>
      <c r="B2588" t="s">
        <v>1564</v>
      </c>
      <c r="C2588" t="s">
        <v>1985</v>
      </c>
      <c r="D2588" t="s">
        <v>2028</v>
      </c>
      <c r="E2588" t="s">
        <v>57</v>
      </c>
      <c r="F2588" t="s">
        <v>57</v>
      </c>
      <c r="G2588" t="str">
        <f>INDEX(Risk_Matrix!$B$2:$D$4,MATCH(E2588,Risk_Matrix!$A$2:$A$4,0),MATCH(F2588,Risk_Matrix!$B$1:$D$1,0))</f>
        <v>Low</v>
      </c>
      <c r="H2588" s="1">
        <v>46108</v>
      </c>
      <c r="I2588" t="s">
        <v>2002</v>
      </c>
      <c r="J2588" t="s">
        <v>2003</v>
      </c>
      <c r="K2588" t="s">
        <v>1998</v>
      </c>
      <c r="L2588">
        <f>IF(G2588="High",3,IF(G2588="Medium",2,1))</f>
        <v>1</v>
      </c>
    </row>
    <row r="2589" spans="1:12">
      <c r="A2589" t="s">
        <v>4615</v>
      </c>
      <c r="B2589" t="s">
        <v>1564</v>
      </c>
      <c r="C2589" t="s">
        <v>1991</v>
      </c>
      <c r="D2589" t="s">
        <v>1992</v>
      </c>
      <c r="E2589" t="s">
        <v>1971</v>
      </c>
      <c r="F2589" t="s">
        <v>57</v>
      </c>
      <c r="G2589" t="str">
        <f>INDEX(Risk_Matrix!$B$2:$D$4,MATCH(E2589,Risk_Matrix!$A$2:$A$4,0),MATCH(F2589,Risk_Matrix!$B$1:$D$1,0))</f>
        <v>Low</v>
      </c>
      <c r="H2589" s="1">
        <v>46160</v>
      </c>
      <c r="I2589" t="s">
        <v>1987</v>
      </c>
      <c r="J2589" t="s">
        <v>1988</v>
      </c>
      <c r="K2589" t="s">
        <v>1993</v>
      </c>
      <c r="L2589">
        <f>IF(G2589="High",3,IF(G2589="Medium",2,1))</f>
        <v>1</v>
      </c>
    </row>
    <row r="2590" spans="1:12">
      <c r="A2590" t="s">
        <v>4616</v>
      </c>
      <c r="B2590" t="s">
        <v>1564</v>
      </c>
      <c r="C2590" t="s">
        <v>1995</v>
      </c>
      <c r="D2590" t="s">
        <v>1996</v>
      </c>
      <c r="E2590" t="s">
        <v>47</v>
      </c>
      <c r="F2590" t="s">
        <v>47</v>
      </c>
      <c r="G2590" t="str">
        <f>INDEX(Risk_Matrix!$B$2:$D$4,MATCH(E2590,Risk_Matrix!$A$2:$A$4,0),MATCH(F2590,Risk_Matrix!$B$1:$D$1,0))</f>
        <v>High</v>
      </c>
      <c r="H2590" s="1">
        <v>46118</v>
      </c>
      <c r="I2590" t="s">
        <v>2025</v>
      </c>
      <c r="J2590" t="s">
        <v>2035</v>
      </c>
      <c r="K2590" t="s">
        <v>1998</v>
      </c>
      <c r="L2590">
        <f>IF(G2590="High",3,IF(G2590="Medium",2,1))</f>
        <v>3</v>
      </c>
    </row>
    <row r="2591" spans="1:12">
      <c r="A2591" t="s">
        <v>4617</v>
      </c>
      <c r="B2591" t="s">
        <v>1564</v>
      </c>
      <c r="C2591" t="s">
        <v>2000</v>
      </c>
      <c r="D2591" t="s">
        <v>2045</v>
      </c>
      <c r="E2591" t="s">
        <v>57</v>
      </c>
      <c r="F2591" t="s">
        <v>57</v>
      </c>
      <c r="G2591" t="str">
        <f>INDEX(Risk_Matrix!$B$2:$D$4,MATCH(E2591,Risk_Matrix!$A$2:$A$4,0),MATCH(F2591,Risk_Matrix!$B$1:$D$1,0))</f>
        <v>Low</v>
      </c>
      <c r="H2591" s="1">
        <v>46137</v>
      </c>
      <c r="I2591" t="s">
        <v>2025</v>
      </c>
      <c r="J2591" t="s">
        <v>2035</v>
      </c>
      <c r="K2591" t="s">
        <v>1989</v>
      </c>
      <c r="L2591">
        <f>IF(G2591="High",3,IF(G2591="Medium",2,1))</f>
        <v>1</v>
      </c>
    </row>
    <row r="2592" spans="1:12">
      <c r="A2592" t="s">
        <v>4618</v>
      </c>
      <c r="B2592" t="s">
        <v>1564</v>
      </c>
      <c r="C2592" t="s">
        <v>2005</v>
      </c>
      <c r="D2592" t="s">
        <v>2022</v>
      </c>
      <c r="E2592" t="s">
        <v>57</v>
      </c>
      <c r="F2592" t="s">
        <v>57</v>
      </c>
      <c r="G2592" t="str">
        <f>INDEX(Risk_Matrix!$B$2:$D$4,MATCH(E2592,Risk_Matrix!$A$2:$A$4,0),MATCH(F2592,Risk_Matrix!$B$1:$D$1,0))</f>
        <v>Low</v>
      </c>
      <c r="H2592" s="1">
        <v>46098</v>
      </c>
      <c r="I2592" t="s">
        <v>1987</v>
      </c>
      <c r="J2592" t="s">
        <v>1997</v>
      </c>
      <c r="K2592" t="s">
        <v>1993</v>
      </c>
      <c r="L2592">
        <f>IF(G2592="High",3,IF(G2592="Medium",2,1))</f>
        <v>1</v>
      </c>
    </row>
    <row r="2593" spans="1:12">
      <c r="A2593" t="s">
        <v>4619</v>
      </c>
      <c r="B2593" t="s">
        <v>1564</v>
      </c>
      <c r="C2593" t="s">
        <v>2008</v>
      </c>
      <c r="D2593" t="s">
        <v>2054</v>
      </c>
      <c r="E2593" t="s">
        <v>47</v>
      </c>
      <c r="F2593" t="s">
        <v>47</v>
      </c>
      <c r="G2593" t="str">
        <f>INDEX(Risk_Matrix!$B$2:$D$4,MATCH(E2593,Risk_Matrix!$A$2:$A$4,0),MATCH(F2593,Risk_Matrix!$B$1:$D$1,0))</f>
        <v>High</v>
      </c>
      <c r="H2593" s="1">
        <v>46187</v>
      </c>
      <c r="I2593" t="s">
        <v>2002</v>
      </c>
      <c r="J2593" t="s">
        <v>2029</v>
      </c>
      <c r="K2593" t="s">
        <v>2010</v>
      </c>
      <c r="L2593">
        <f>IF(G2593="High",3,IF(G2593="Medium",2,1))</f>
        <v>3</v>
      </c>
    </row>
    <row r="2594" spans="1:12">
      <c r="A2594" t="s">
        <v>4620</v>
      </c>
      <c r="B2594" t="s">
        <v>1567</v>
      </c>
      <c r="C2594" t="s">
        <v>1985</v>
      </c>
      <c r="D2594" t="s">
        <v>2012</v>
      </c>
      <c r="E2594" t="s">
        <v>47</v>
      </c>
      <c r="F2594" t="s">
        <v>1971</v>
      </c>
      <c r="G2594" t="str">
        <f>INDEX(Risk_Matrix!$B$2:$D$4,MATCH(E2594,Risk_Matrix!$A$2:$A$4,0),MATCH(F2594,Risk_Matrix!$B$1:$D$1,0))</f>
        <v>High</v>
      </c>
      <c r="H2594" s="1">
        <v>46161</v>
      </c>
      <c r="I2594" t="s">
        <v>2015</v>
      </c>
      <c r="J2594" t="s">
        <v>2016</v>
      </c>
      <c r="K2594" t="s">
        <v>1989</v>
      </c>
      <c r="L2594">
        <f>IF(G2594="High",3,IF(G2594="Medium",2,1))</f>
        <v>3</v>
      </c>
    </row>
    <row r="2595" spans="1:12">
      <c r="A2595" t="s">
        <v>4621</v>
      </c>
      <c r="B2595" t="s">
        <v>1567</v>
      </c>
      <c r="C2595" t="s">
        <v>1991</v>
      </c>
      <c r="D2595" t="s">
        <v>2064</v>
      </c>
      <c r="E2595" t="s">
        <v>1971</v>
      </c>
      <c r="F2595" t="s">
        <v>1971</v>
      </c>
      <c r="G2595" t="str">
        <f>INDEX(Risk_Matrix!$B$2:$D$4,MATCH(E2595,Risk_Matrix!$A$2:$A$4,0),MATCH(F2595,Risk_Matrix!$B$1:$D$1,0))</f>
        <v>Medium</v>
      </c>
      <c r="H2595" s="1">
        <v>46200</v>
      </c>
      <c r="I2595" t="s">
        <v>2015</v>
      </c>
      <c r="J2595" t="s">
        <v>2032</v>
      </c>
      <c r="K2595" t="s">
        <v>1993</v>
      </c>
      <c r="L2595">
        <f>IF(G2595="High",3,IF(G2595="Medium",2,1))</f>
        <v>2</v>
      </c>
    </row>
    <row r="2596" spans="1:12">
      <c r="A2596" t="s">
        <v>4622</v>
      </c>
      <c r="B2596" t="s">
        <v>1567</v>
      </c>
      <c r="C2596" t="s">
        <v>1995</v>
      </c>
      <c r="D2596" t="s">
        <v>2150</v>
      </c>
      <c r="E2596" t="s">
        <v>57</v>
      </c>
      <c r="F2596" t="s">
        <v>1971</v>
      </c>
      <c r="G2596" t="str">
        <f>INDEX(Risk_Matrix!$B$2:$D$4,MATCH(E2596,Risk_Matrix!$A$2:$A$4,0),MATCH(F2596,Risk_Matrix!$B$1:$D$1,0))</f>
        <v>Low</v>
      </c>
      <c r="H2596" s="1">
        <v>46163</v>
      </c>
      <c r="I2596" t="s">
        <v>2025</v>
      </c>
      <c r="J2596" t="s">
        <v>2035</v>
      </c>
      <c r="K2596" t="s">
        <v>2036</v>
      </c>
      <c r="L2596">
        <f>IF(G2596="High",3,IF(G2596="Medium",2,1))</f>
        <v>1</v>
      </c>
    </row>
    <row r="2597" spans="1:12">
      <c r="A2597" t="s">
        <v>4623</v>
      </c>
      <c r="B2597" t="s">
        <v>1567</v>
      </c>
      <c r="C2597" t="s">
        <v>2000</v>
      </c>
      <c r="D2597" t="s">
        <v>2045</v>
      </c>
      <c r="E2597" t="s">
        <v>57</v>
      </c>
      <c r="F2597" t="s">
        <v>57</v>
      </c>
      <c r="G2597" t="str">
        <f>INDEX(Risk_Matrix!$B$2:$D$4,MATCH(E2597,Risk_Matrix!$A$2:$A$4,0),MATCH(F2597,Risk_Matrix!$B$1:$D$1,0))</f>
        <v>Low</v>
      </c>
      <c r="H2597" s="1">
        <v>46174</v>
      </c>
      <c r="I2597" t="s">
        <v>1987</v>
      </c>
      <c r="J2597" t="s">
        <v>1988</v>
      </c>
      <c r="K2597" t="s">
        <v>1993</v>
      </c>
      <c r="L2597">
        <f>IF(G2597="High",3,IF(G2597="Medium",2,1))</f>
        <v>1</v>
      </c>
    </row>
    <row r="2598" spans="1:12">
      <c r="A2598" t="s">
        <v>4624</v>
      </c>
      <c r="B2598" t="s">
        <v>1567</v>
      </c>
      <c r="C2598" t="s">
        <v>2005</v>
      </c>
      <c r="D2598" t="s">
        <v>2006</v>
      </c>
      <c r="E2598" t="s">
        <v>57</v>
      </c>
      <c r="F2598" t="s">
        <v>57</v>
      </c>
      <c r="G2598" t="str">
        <f>INDEX(Risk_Matrix!$B$2:$D$4,MATCH(E2598,Risk_Matrix!$A$2:$A$4,0),MATCH(F2598,Risk_Matrix!$B$1:$D$1,0))</f>
        <v>Low</v>
      </c>
      <c r="H2598" s="1">
        <v>46201</v>
      </c>
      <c r="I2598" t="s">
        <v>1987</v>
      </c>
      <c r="J2598" t="s">
        <v>1997</v>
      </c>
      <c r="K2598" t="s">
        <v>2036</v>
      </c>
      <c r="L2598">
        <f>IF(G2598="High",3,IF(G2598="Medium",2,1))</f>
        <v>1</v>
      </c>
    </row>
    <row r="2599" spans="1:12">
      <c r="A2599" t="s">
        <v>4625</v>
      </c>
      <c r="B2599" t="s">
        <v>1567</v>
      </c>
      <c r="C2599" t="s">
        <v>2008</v>
      </c>
      <c r="D2599" t="s">
        <v>2009</v>
      </c>
      <c r="E2599" t="s">
        <v>57</v>
      </c>
      <c r="F2599" t="s">
        <v>57</v>
      </c>
      <c r="G2599" t="str">
        <f>INDEX(Risk_Matrix!$B$2:$D$4,MATCH(E2599,Risk_Matrix!$A$2:$A$4,0),MATCH(F2599,Risk_Matrix!$B$1:$D$1,0))</f>
        <v>Low</v>
      </c>
      <c r="H2599" s="1">
        <v>46167</v>
      </c>
      <c r="I2599" t="s">
        <v>2002</v>
      </c>
      <c r="J2599" t="s">
        <v>2003</v>
      </c>
      <c r="K2599" t="s">
        <v>2010</v>
      </c>
      <c r="L2599">
        <f>IF(G2599="High",3,IF(G2599="Medium",2,1))</f>
        <v>1</v>
      </c>
    </row>
    <row r="2600" spans="1:12">
      <c r="A2600" t="s">
        <v>4626</v>
      </c>
      <c r="B2600" t="s">
        <v>1570</v>
      </c>
      <c r="C2600" t="s">
        <v>1985</v>
      </c>
      <c r="D2600" t="s">
        <v>2012</v>
      </c>
      <c r="E2600" t="s">
        <v>47</v>
      </c>
      <c r="F2600" t="s">
        <v>47</v>
      </c>
      <c r="G2600" t="str">
        <f>INDEX(Risk_Matrix!$B$2:$D$4,MATCH(E2600,Risk_Matrix!$A$2:$A$4,0),MATCH(F2600,Risk_Matrix!$B$1:$D$1,0))</f>
        <v>High</v>
      </c>
      <c r="H2600" s="1">
        <v>46188</v>
      </c>
      <c r="I2600" t="s">
        <v>2015</v>
      </c>
      <c r="J2600" t="s">
        <v>2032</v>
      </c>
      <c r="K2600" t="s">
        <v>1989</v>
      </c>
      <c r="L2600">
        <f>IF(G2600="High",3,IF(G2600="Medium",2,1))</f>
        <v>3</v>
      </c>
    </row>
    <row r="2601" spans="1:12">
      <c r="A2601" t="s">
        <v>4627</v>
      </c>
      <c r="B2601" t="s">
        <v>1570</v>
      </c>
      <c r="C2601" t="s">
        <v>1991</v>
      </c>
      <c r="D2601" t="s">
        <v>2064</v>
      </c>
      <c r="E2601" t="s">
        <v>57</v>
      </c>
      <c r="F2601" t="s">
        <v>57</v>
      </c>
      <c r="G2601" t="str">
        <f>INDEX(Risk_Matrix!$B$2:$D$4,MATCH(E2601,Risk_Matrix!$A$2:$A$4,0),MATCH(F2601,Risk_Matrix!$B$1:$D$1,0))</f>
        <v>Low</v>
      </c>
      <c r="H2601" s="1">
        <v>46099</v>
      </c>
      <c r="I2601" t="s">
        <v>2002</v>
      </c>
      <c r="J2601" t="s">
        <v>2029</v>
      </c>
      <c r="K2601" t="s">
        <v>1993</v>
      </c>
      <c r="L2601">
        <f>IF(G2601="High",3,IF(G2601="Medium",2,1))</f>
        <v>1</v>
      </c>
    </row>
    <row r="2602" spans="1:12">
      <c r="A2602" t="s">
        <v>4628</v>
      </c>
      <c r="B2602" t="s">
        <v>1570</v>
      </c>
      <c r="C2602" t="s">
        <v>1995</v>
      </c>
      <c r="D2602" t="s">
        <v>2018</v>
      </c>
      <c r="E2602" t="s">
        <v>57</v>
      </c>
      <c r="F2602" t="s">
        <v>57</v>
      </c>
      <c r="G2602" t="str">
        <f>INDEX(Risk_Matrix!$B$2:$D$4,MATCH(E2602,Risk_Matrix!$A$2:$A$4,0),MATCH(F2602,Risk_Matrix!$B$1:$D$1,0))</f>
        <v>Low</v>
      </c>
      <c r="H2602" s="1">
        <v>46210</v>
      </c>
      <c r="I2602" t="s">
        <v>2015</v>
      </c>
      <c r="J2602" t="s">
        <v>2032</v>
      </c>
      <c r="K2602" t="s">
        <v>1998</v>
      </c>
      <c r="L2602">
        <f>IF(G2602="High",3,IF(G2602="Medium",2,1))</f>
        <v>1</v>
      </c>
    </row>
    <row r="2603" spans="1:12">
      <c r="A2603" t="s">
        <v>4629</v>
      </c>
      <c r="B2603" t="s">
        <v>1570</v>
      </c>
      <c r="C2603" t="s">
        <v>2000</v>
      </c>
      <c r="D2603" t="s">
        <v>2045</v>
      </c>
      <c r="E2603" t="s">
        <v>1971</v>
      </c>
      <c r="F2603" t="s">
        <v>47</v>
      </c>
      <c r="G2603" t="str">
        <f>INDEX(Risk_Matrix!$B$2:$D$4,MATCH(E2603,Risk_Matrix!$A$2:$A$4,0),MATCH(F2603,Risk_Matrix!$B$1:$D$1,0))</f>
        <v>High</v>
      </c>
      <c r="H2603" s="1">
        <v>46090</v>
      </c>
      <c r="I2603" t="s">
        <v>2025</v>
      </c>
      <c r="J2603" t="s">
        <v>2026</v>
      </c>
      <c r="K2603" t="s">
        <v>1993</v>
      </c>
      <c r="L2603">
        <f>IF(G2603="High",3,IF(G2603="Medium",2,1))</f>
        <v>3</v>
      </c>
    </row>
    <row r="2604" spans="1:12">
      <c r="A2604" t="s">
        <v>4630</v>
      </c>
      <c r="B2604" t="s">
        <v>1570</v>
      </c>
      <c r="C2604" t="s">
        <v>2005</v>
      </c>
      <c r="D2604" t="s">
        <v>2039</v>
      </c>
      <c r="E2604" t="s">
        <v>1971</v>
      </c>
      <c r="F2604" t="s">
        <v>57</v>
      </c>
      <c r="G2604" t="str">
        <f>INDEX(Risk_Matrix!$B$2:$D$4,MATCH(E2604,Risk_Matrix!$A$2:$A$4,0),MATCH(F2604,Risk_Matrix!$B$1:$D$1,0))</f>
        <v>Low</v>
      </c>
      <c r="H2604" s="1">
        <v>46076</v>
      </c>
      <c r="I2604" t="s">
        <v>2002</v>
      </c>
      <c r="J2604" t="s">
        <v>2029</v>
      </c>
      <c r="K2604" t="s">
        <v>1993</v>
      </c>
      <c r="L2604">
        <f>IF(G2604="High",3,IF(G2604="Medium",2,1))</f>
        <v>1</v>
      </c>
    </row>
    <row r="2605" spans="1:12">
      <c r="A2605" t="s">
        <v>4631</v>
      </c>
      <c r="B2605" t="s">
        <v>1570</v>
      </c>
      <c r="C2605" t="s">
        <v>2008</v>
      </c>
      <c r="D2605" t="s">
        <v>2024</v>
      </c>
      <c r="E2605" t="s">
        <v>57</v>
      </c>
      <c r="F2605" t="s">
        <v>1971</v>
      </c>
      <c r="G2605" t="str">
        <f>INDEX(Risk_Matrix!$B$2:$D$4,MATCH(E2605,Risk_Matrix!$A$2:$A$4,0),MATCH(F2605,Risk_Matrix!$B$1:$D$1,0))</f>
        <v>Low</v>
      </c>
      <c r="H2605" s="1">
        <v>46157</v>
      </c>
      <c r="I2605" t="s">
        <v>1987</v>
      </c>
      <c r="J2605" t="s">
        <v>1997</v>
      </c>
      <c r="K2605" t="s">
        <v>2010</v>
      </c>
      <c r="L2605">
        <f>IF(G2605="High",3,IF(G2605="Medium",2,1))</f>
        <v>1</v>
      </c>
    </row>
    <row r="2606" spans="1:12">
      <c r="A2606" t="s">
        <v>4632</v>
      </c>
      <c r="B2606" t="s">
        <v>1573</v>
      </c>
      <c r="C2606" t="s">
        <v>1985</v>
      </c>
      <c r="D2606" t="s">
        <v>2012</v>
      </c>
      <c r="E2606" t="s">
        <v>47</v>
      </c>
      <c r="F2606" t="s">
        <v>1971</v>
      </c>
      <c r="G2606" t="str">
        <f>INDEX(Risk_Matrix!$B$2:$D$4,MATCH(E2606,Risk_Matrix!$A$2:$A$4,0),MATCH(F2606,Risk_Matrix!$B$1:$D$1,0))</f>
        <v>High</v>
      </c>
      <c r="H2606" s="1">
        <v>46150</v>
      </c>
      <c r="I2606" t="s">
        <v>2015</v>
      </c>
      <c r="J2606" t="s">
        <v>2032</v>
      </c>
      <c r="K2606" t="s">
        <v>1989</v>
      </c>
      <c r="L2606">
        <f>IF(G2606="High",3,IF(G2606="Medium",2,1))</f>
        <v>3</v>
      </c>
    </row>
    <row r="2607" spans="1:12">
      <c r="A2607" t="s">
        <v>4633</v>
      </c>
      <c r="B2607" t="s">
        <v>1573</v>
      </c>
      <c r="C2607" t="s">
        <v>1991</v>
      </c>
      <c r="D2607" t="s">
        <v>2014</v>
      </c>
      <c r="E2607" t="s">
        <v>47</v>
      </c>
      <c r="F2607" t="s">
        <v>1971</v>
      </c>
      <c r="G2607" t="str">
        <f>INDEX(Risk_Matrix!$B$2:$D$4,MATCH(E2607,Risk_Matrix!$A$2:$A$4,0),MATCH(F2607,Risk_Matrix!$B$1:$D$1,0))</f>
        <v>High</v>
      </c>
      <c r="H2607" s="1">
        <v>46180</v>
      </c>
      <c r="I2607" t="s">
        <v>2015</v>
      </c>
      <c r="J2607" t="s">
        <v>2032</v>
      </c>
      <c r="K2607" t="s">
        <v>1993</v>
      </c>
      <c r="L2607">
        <f>IF(G2607="High",3,IF(G2607="Medium",2,1))</f>
        <v>3</v>
      </c>
    </row>
    <row r="2608" spans="1:12">
      <c r="A2608" t="s">
        <v>4634</v>
      </c>
      <c r="B2608" t="s">
        <v>1573</v>
      </c>
      <c r="C2608" t="s">
        <v>1995</v>
      </c>
      <c r="D2608" t="s">
        <v>1996</v>
      </c>
      <c r="E2608" t="s">
        <v>57</v>
      </c>
      <c r="F2608" t="s">
        <v>47</v>
      </c>
      <c r="G2608" t="str">
        <f>INDEX(Risk_Matrix!$B$2:$D$4,MATCH(E2608,Risk_Matrix!$A$2:$A$4,0),MATCH(F2608,Risk_Matrix!$B$1:$D$1,0))</f>
        <v>Medium</v>
      </c>
      <c r="H2608" s="1">
        <v>46205</v>
      </c>
      <c r="I2608" t="s">
        <v>2025</v>
      </c>
      <c r="J2608" t="s">
        <v>2026</v>
      </c>
      <c r="K2608" t="s">
        <v>1998</v>
      </c>
      <c r="L2608">
        <f>IF(G2608="High",3,IF(G2608="Medium",2,1))</f>
        <v>2</v>
      </c>
    </row>
    <row r="2609" spans="1:12">
      <c r="A2609" t="s">
        <v>4635</v>
      </c>
      <c r="B2609" t="s">
        <v>1573</v>
      </c>
      <c r="C2609" t="s">
        <v>2000</v>
      </c>
      <c r="D2609" t="s">
        <v>2020</v>
      </c>
      <c r="E2609" t="s">
        <v>1971</v>
      </c>
      <c r="F2609" t="s">
        <v>57</v>
      </c>
      <c r="G2609" t="str">
        <f>INDEX(Risk_Matrix!$B$2:$D$4,MATCH(E2609,Risk_Matrix!$A$2:$A$4,0),MATCH(F2609,Risk_Matrix!$B$1:$D$1,0))</f>
        <v>Low</v>
      </c>
      <c r="H2609" s="1">
        <v>46069</v>
      </c>
      <c r="I2609" t="s">
        <v>2025</v>
      </c>
      <c r="J2609" t="s">
        <v>2035</v>
      </c>
      <c r="K2609" t="s">
        <v>1993</v>
      </c>
      <c r="L2609">
        <f>IF(G2609="High",3,IF(G2609="Medium",2,1))</f>
        <v>1</v>
      </c>
    </row>
    <row r="2610" spans="1:12">
      <c r="A2610" t="s">
        <v>4636</v>
      </c>
      <c r="B2610" t="s">
        <v>1573</v>
      </c>
      <c r="C2610" t="s">
        <v>2005</v>
      </c>
      <c r="D2610" t="s">
        <v>2006</v>
      </c>
      <c r="E2610" t="s">
        <v>1971</v>
      </c>
      <c r="F2610" t="s">
        <v>47</v>
      </c>
      <c r="G2610" t="str">
        <f>INDEX(Risk_Matrix!$B$2:$D$4,MATCH(E2610,Risk_Matrix!$A$2:$A$4,0),MATCH(F2610,Risk_Matrix!$B$1:$D$1,0))</f>
        <v>High</v>
      </c>
      <c r="H2610" s="1">
        <v>46210</v>
      </c>
      <c r="I2610" t="s">
        <v>2015</v>
      </c>
      <c r="J2610" t="s">
        <v>2032</v>
      </c>
      <c r="K2610" t="s">
        <v>1993</v>
      </c>
      <c r="L2610">
        <f>IF(G2610="High",3,IF(G2610="Medium",2,1))</f>
        <v>3</v>
      </c>
    </row>
    <row r="2611" spans="1:12">
      <c r="A2611" t="s">
        <v>4637</v>
      </c>
      <c r="B2611" t="s">
        <v>1573</v>
      </c>
      <c r="C2611" t="s">
        <v>2008</v>
      </c>
      <c r="D2611" t="s">
        <v>2009</v>
      </c>
      <c r="E2611" t="s">
        <v>57</v>
      </c>
      <c r="F2611" t="s">
        <v>57</v>
      </c>
      <c r="G2611" t="str">
        <f>INDEX(Risk_Matrix!$B$2:$D$4,MATCH(E2611,Risk_Matrix!$A$2:$A$4,0),MATCH(F2611,Risk_Matrix!$B$1:$D$1,0))</f>
        <v>Low</v>
      </c>
      <c r="H2611" s="1">
        <v>46170</v>
      </c>
      <c r="I2611" t="s">
        <v>2015</v>
      </c>
      <c r="J2611" t="s">
        <v>2032</v>
      </c>
      <c r="K2611" t="s">
        <v>2010</v>
      </c>
      <c r="L2611">
        <f>IF(G2611="High",3,IF(G2611="Medium",2,1))</f>
        <v>1</v>
      </c>
    </row>
    <row r="2612" spans="1:12">
      <c r="A2612" t="s">
        <v>4638</v>
      </c>
      <c r="B2612" t="s">
        <v>1574</v>
      </c>
      <c r="C2612" t="s">
        <v>1985</v>
      </c>
      <c r="D2612" t="s">
        <v>2028</v>
      </c>
      <c r="E2612" t="s">
        <v>57</v>
      </c>
      <c r="F2612" t="s">
        <v>57</v>
      </c>
      <c r="G2612" t="str">
        <f>INDEX(Risk_Matrix!$B$2:$D$4,MATCH(E2612,Risk_Matrix!$A$2:$A$4,0),MATCH(F2612,Risk_Matrix!$B$1:$D$1,0))</f>
        <v>Low</v>
      </c>
      <c r="H2612" s="1">
        <v>46140</v>
      </c>
      <c r="I2612" t="s">
        <v>2025</v>
      </c>
      <c r="J2612" t="s">
        <v>2035</v>
      </c>
      <c r="K2612" t="s">
        <v>1998</v>
      </c>
      <c r="L2612">
        <f>IF(G2612="High",3,IF(G2612="Medium",2,1))</f>
        <v>1</v>
      </c>
    </row>
    <row r="2613" spans="1:12">
      <c r="A2613" t="s">
        <v>4639</v>
      </c>
      <c r="B2613" t="s">
        <v>1574</v>
      </c>
      <c r="C2613" t="s">
        <v>1991</v>
      </c>
      <c r="D2613" t="s">
        <v>2014</v>
      </c>
      <c r="E2613" t="s">
        <v>57</v>
      </c>
      <c r="F2613" t="s">
        <v>57</v>
      </c>
      <c r="G2613" t="str">
        <f>INDEX(Risk_Matrix!$B$2:$D$4,MATCH(E2613,Risk_Matrix!$A$2:$A$4,0),MATCH(F2613,Risk_Matrix!$B$1:$D$1,0))</f>
        <v>Low</v>
      </c>
      <c r="H2613" s="1">
        <v>46196</v>
      </c>
      <c r="I2613" t="s">
        <v>2015</v>
      </c>
      <c r="J2613" t="s">
        <v>2016</v>
      </c>
      <c r="K2613" t="s">
        <v>2010</v>
      </c>
      <c r="L2613">
        <f>IF(G2613="High",3,IF(G2613="Medium",2,1))</f>
        <v>1</v>
      </c>
    </row>
    <row r="2614" spans="1:12">
      <c r="A2614" t="s">
        <v>4640</v>
      </c>
      <c r="B2614" t="s">
        <v>1574</v>
      </c>
      <c r="C2614" t="s">
        <v>1995</v>
      </c>
      <c r="D2614" t="s">
        <v>2018</v>
      </c>
      <c r="E2614" t="s">
        <v>1971</v>
      </c>
      <c r="F2614" t="s">
        <v>47</v>
      </c>
      <c r="G2614" t="str">
        <f>INDEX(Risk_Matrix!$B$2:$D$4,MATCH(E2614,Risk_Matrix!$A$2:$A$4,0),MATCH(F2614,Risk_Matrix!$B$1:$D$1,0))</f>
        <v>High</v>
      </c>
      <c r="H2614" s="1">
        <v>46125</v>
      </c>
      <c r="I2614" t="s">
        <v>2025</v>
      </c>
      <c r="J2614" t="s">
        <v>2035</v>
      </c>
      <c r="K2614" t="s">
        <v>1998</v>
      </c>
      <c r="L2614">
        <f>IF(G2614="High",3,IF(G2614="Medium",2,1))</f>
        <v>3</v>
      </c>
    </row>
    <row r="2615" spans="1:12">
      <c r="A2615" t="s">
        <v>4641</v>
      </c>
      <c r="B2615" t="s">
        <v>1574</v>
      </c>
      <c r="C2615" t="s">
        <v>2000</v>
      </c>
      <c r="D2615" t="s">
        <v>2020</v>
      </c>
      <c r="E2615" t="s">
        <v>57</v>
      </c>
      <c r="F2615" t="s">
        <v>57</v>
      </c>
      <c r="G2615" t="str">
        <f>INDEX(Risk_Matrix!$B$2:$D$4,MATCH(E2615,Risk_Matrix!$A$2:$A$4,0),MATCH(F2615,Risk_Matrix!$B$1:$D$1,0))</f>
        <v>Low</v>
      </c>
      <c r="H2615" s="1">
        <v>46216</v>
      </c>
      <c r="I2615" t="s">
        <v>2025</v>
      </c>
      <c r="J2615" t="s">
        <v>2035</v>
      </c>
      <c r="K2615" t="s">
        <v>1989</v>
      </c>
      <c r="L2615">
        <f>IF(G2615="High",3,IF(G2615="Medium",2,1))</f>
        <v>1</v>
      </c>
    </row>
    <row r="2616" spans="1:12">
      <c r="A2616" t="s">
        <v>4642</v>
      </c>
      <c r="B2616" t="s">
        <v>1574</v>
      </c>
      <c r="C2616" t="s">
        <v>2005</v>
      </c>
      <c r="D2616" t="s">
        <v>2039</v>
      </c>
      <c r="E2616" t="s">
        <v>57</v>
      </c>
      <c r="F2616" t="s">
        <v>1971</v>
      </c>
      <c r="G2616" t="str">
        <f>INDEX(Risk_Matrix!$B$2:$D$4,MATCH(E2616,Risk_Matrix!$A$2:$A$4,0),MATCH(F2616,Risk_Matrix!$B$1:$D$1,0))</f>
        <v>Low</v>
      </c>
      <c r="H2616" s="1">
        <v>46090</v>
      </c>
      <c r="I2616" t="s">
        <v>1987</v>
      </c>
      <c r="J2616" t="s">
        <v>1997</v>
      </c>
      <c r="K2616" t="s">
        <v>2036</v>
      </c>
      <c r="L2616">
        <f>IF(G2616="High",3,IF(G2616="Medium",2,1))</f>
        <v>1</v>
      </c>
    </row>
    <row r="2617" spans="1:12">
      <c r="A2617" t="s">
        <v>4643</v>
      </c>
      <c r="B2617" t="s">
        <v>1574</v>
      </c>
      <c r="C2617" t="s">
        <v>2008</v>
      </c>
      <c r="D2617" t="s">
        <v>2009</v>
      </c>
      <c r="E2617" t="s">
        <v>57</v>
      </c>
      <c r="F2617" t="s">
        <v>1971</v>
      </c>
      <c r="G2617" t="str">
        <f>INDEX(Risk_Matrix!$B$2:$D$4,MATCH(E2617,Risk_Matrix!$A$2:$A$4,0),MATCH(F2617,Risk_Matrix!$B$1:$D$1,0))</f>
        <v>Low</v>
      </c>
      <c r="H2617" s="1">
        <v>46187</v>
      </c>
      <c r="I2617" t="s">
        <v>2025</v>
      </c>
      <c r="J2617" t="s">
        <v>2026</v>
      </c>
      <c r="K2617" t="s">
        <v>2010</v>
      </c>
      <c r="L2617">
        <f>IF(G2617="High",3,IF(G2617="Medium",2,1))</f>
        <v>1</v>
      </c>
    </row>
    <row r="2618" spans="1:12">
      <c r="A2618" t="s">
        <v>4644</v>
      </c>
      <c r="B2618" t="s">
        <v>1576</v>
      </c>
      <c r="C2618" t="s">
        <v>1985</v>
      </c>
      <c r="D2618" t="s">
        <v>2062</v>
      </c>
      <c r="E2618" t="s">
        <v>57</v>
      </c>
      <c r="F2618" t="s">
        <v>1971</v>
      </c>
      <c r="G2618" t="str">
        <f>INDEX(Risk_Matrix!$B$2:$D$4,MATCH(E2618,Risk_Matrix!$A$2:$A$4,0),MATCH(F2618,Risk_Matrix!$B$1:$D$1,0))</f>
        <v>Low</v>
      </c>
      <c r="H2618" s="1">
        <v>46222</v>
      </c>
      <c r="I2618" t="s">
        <v>2002</v>
      </c>
      <c r="J2618" t="s">
        <v>2003</v>
      </c>
      <c r="K2618" t="s">
        <v>1989</v>
      </c>
      <c r="L2618">
        <f>IF(G2618="High",3,IF(G2618="Medium",2,1))</f>
        <v>1</v>
      </c>
    </row>
    <row r="2619" spans="1:12">
      <c r="A2619" t="s">
        <v>4645</v>
      </c>
      <c r="B2619" t="s">
        <v>1576</v>
      </c>
      <c r="C2619" t="s">
        <v>1991</v>
      </c>
      <c r="D2619" t="s">
        <v>2014</v>
      </c>
      <c r="E2619" t="s">
        <v>47</v>
      </c>
      <c r="F2619" t="s">
        <v>1971</v>
      </c>
      <c r="G2619" t="str">
        <f>INDEX(Risk_Matrix!$B$2:$D$4,MATCH(E2619,Risk_Matrix!$A$2:$A$4,0),MATCH(F2619,Risk_Matrix!$B$1:$D$1,0))</f>
        <v>High</v>
      </c>
      <c r="H2619" s="1">
        <v>46205</v>
      </c>
      <c r="I2619" t="s">
        <v>2015</v>
      </c>
      <c r="J2619" t="s">
        <v>2032</v>
      </c>
      <c r="K2619" t="s">
        <v>2010</v>
      </c>
      <c r="L2619">
        <f>IF(G2619="High",3,IF(G2619="Medium",2,1))</f>
        <v>3</v>
      </c>
    </row>
    <row r="2620" spans="1:12">
      <c r="A2620" t="s">
        <v>4646</v>
      </c>
      <c r="B2620" t="s">
        <v>1576</v>
      </c>
      <c r="C2620" t="s">
        <v>1995</v>
      </c>
      <c r="D2620" t="s">
        <v>1996</v>
      </c>
      <c r="E2620" t="s">
        <v>57</v>
      </c>
      <c r="F2620" t="s">
        <v>1971</v>
      </c>
      <c r="G2620" t="str">
        <f>INDEX(Risk_Matrix!$B$2:$D$4,MATCH(E2620,Risk_Matrix!$A$2:$A$4,0),MATCH(F2620,Risk_Matrix!$B$1:$D$1,0))</f>
        <v>Low</v>
      </c>
      <c r="H2620" s="1">
        <v>46190</v>
      </c>
      <c r="I2620" t="s">
        <v>1987</v>
      </c>
      <c r="J2620" t="s">
        <v>1988</v>
      </c>
      <c r="K2620" t="s">
        <v>1998</v>
      </c>
      <c r="L2620">
        <f>IF(G2620="High",3,IF(G2620="Medium",2,1))</f>
        <v>1</v>
      </c>
    </row>
    <row r="2621" spans="1:12">
      <c r="A2621" t="s">
        <v>4647</v>
      </c>
      <c r="B2621" t="s">
        <v>1576</v>
      </c>
      <c r="C2621" t="s">
        <v>2000</v>
      </c>
      <c r="D2621" t="s">
        <v>2001</v>
      </c>
      <c r="E2621" t="s">
        <v>1971</v>
      </c>
      <c r="F2621" t="s">
        <v>47</v>
      </c>
      <c r="G2621" t="str">
        <f>INDEX(Risk_Matrix!$B$2:$D$4,MATCH(E2621,Risk_Matrix!$A$2:$A$4,0),MATCH(F2621,Risk_Matrix!$B$1:$D$1,0))</f>
        <v>High</v>
      </c>
      <c r="H2621" s="1">
        <v>46084</v>
      </c>
      <c r="I2621" t="s">
        <v>1987</v>
      </c>
      <c r="J2621" t="s">
        <v>1988</v>
      </c>
      <c r="K2621" t="s">
        <v>1993</v>
      </c>
      <c r="L2621">
        <f>IF(G2621="High",3,IF(G2621="Medium",2,1))</f>
        <v>3</v>
      </c>
    </row>
    <row r="2622" spans="1:12">
      <c r="A2622" t="s">
        <v>4648</v>
      </c>
      <c r="B2622" t="s">
        <v>1576</v>
      </c>
      <c r="C2622" t="s">
        <v>2005</v>
      </c>
      <c r="D2622" t="s">
        <v>2022</v>
      </c>
      <c r="E2622" t="s">
        <v>57</v>
      </c>
      <c r="F2622" t="s">
        <v>57</v>
      </c>
      <c r="G2622" t="str">
        <f>INDEX(Risk_Matrix!$B$2:$D$4,MATCH(E2622,Risk_Matrix!$A$2:$A$4,0),MATCH(F2622,Risk_Matrix!$B$1:$D$1,0))</f>
        <v>Low</v>
      </c>
      <c r="H2622" s="1">
        <v>46104</v>
      </c>
      <c r="I2622" t="s">
        <v>1987</v>
      </c>
      <c r="J2622" t="s">
        <v>1997</v>
      </c>
      <c r="K2622" t="s">
        <v>2036</v>
      </c>
      <c r="L2622">
        <f>IF(G2622="High",3,IF(G2622="Medium",2,1))</f>
        <v>1</v>
      </c>
    </row>
    <row r="2623" spans="1:12">
      <c r="A2623" t="s">
        <v>4649</v>
      </c>
      <c r="B2623" t="s">
        <v>1576</v>
      </c>
      <c r="C2623" t="s">
        <v>2008</v>
      </c>
      <c r="D2623" t="s">
        <v>2024</v>
      </c>
      <c r="E2623" t="s">
        <v>47</v>
      </c>
      <c r="F2623" t="s">
        <v>47</v>
      </c>
      <c r="G2623" t="str">
        <f>INDEX(Risk_Matrix!$B$2:$D$4,MATCH(E2623,Risk_Matrix!$A$2:$A$4,0),MATCH(F2623,Risk_Matrix!$B$1:$D$1,0))</f>
        <v>High</v>
      </c>
      <c r="H2623" s="1">
        <v>46130</v>
      </c>
      <c r="I2623" t="s">
        <v>2025</v>
      </c>
      <c r="J2623" t="s">
        <v>2026</v>
      </c>
      <c r="K2623" t="s">
        <v>2010</v>
      </c>
      <c r="L2623">
        <f>IF(G2623="High",3,IF(G2623="Medium",2,1))</f>
        <v>3</v>
      </c>
    </row>
    <row r="2624" spans="1:12">
      <c r="A2624" t="s">
        <v>4650</v>
      </c>
      <c r="B2624" t="s">
        <v>1579</v>
      </c>
      <c r="C2624" t="s">
        <v>1985</v>
      </c>
      <c r="D2624" t="s">
        <v>2028</v>
      </c>
      <c r="E2624" t="s">
        <v>57</v>
      </c>
      <c r="F2624" t="s">
        <v>57</v>
      </c>
      <c r="G2624" t="str">
        <f>INDEX(Risk_Matrix!$B$2:$D$4,MATCH(E2624,Risk_Matrix!$A$2:$A$4,0),MATCH(F2624,Risk_Matrix!$B$1:$D$1,0))</f>
        <v>Low</v>
      </c>
      <c r="H2624" s="1">
        <v>46156</v>
      </c>
      <c r="I2624" t="s">
        <v>1987</v>
      </c>
      <c r="J2624" t="s">
        <v>1997</v>
      </c>
      <c r="K2624" t="s">
        <v>1998</v>
      </c>
      <c r="L2624">
        <f>IF(G2624="High",3,IF(G2624="Medium",2,1))</f>
        <v>1</v>
      </c>
    </row>
    <row r="2625" spans="1:12">
      <c r="A2625" t="s">
        <v>4651</v>
      </c>
      <c r="B2625" t="s">
        <v>1579</v>
      </c>
      <c r="C2625" t="s">
        <v>1991</v>
      </c>
      <c r="D2625" t="s">
        <v>2064</v>
      </c>
      <c r="E2625" t="s">
        <v>57</v>
      </c>
      <c r="F2625" t="s">
        <v>57</v>
      </c>
      <c r="G2625" t="str">
        <f>INDEX(Risk_Matrix!$B$2:$D$4,MATCH(E2625,Risk_Matrix!$A$2:$A$4,0),MATCH(F2625,Risk_Matrix!$B$1:$D$1,0))</f>
        <v>Low</v>
      </c>
      <c r="H2625" s="1">
        <v>46116</v>
      </c>
      <c r="I2625" t="s">
        <v>2025</v>
      </c>
      <c r="J2625" t="s">
        <v>2026</v>
      </c>
      <c r="K2625" t="s">
        <v>1993</v>
      </c>
      <c r="L2625">
        <f>IF(G2625="High",3,IF(G2625="Medium",2,1))</f>
        <v>1</v>
      </c>
    </row>
    <row r="2626" spans="1:12">
      <c r="A2626" t="s">
        <v>4652</v>
      </c>
      <c r="B2626" t="s">
        <v>1579</v>
      </c>
      <c r="C2626" t="s">
        <v>1995</v>
      </c>
      <c r="D2626" t="s">
        <v>1996</v>
      </c>
      <c r="E2626" t="s">
        <v>1971</v>
      </c>
      <c r="F2626" t="s">
        <v>1971</v>
      </c>
      <c r="G2626" t="str">
        <f>INDEX(Risk_Matrix!$B$2:$D$4,MATCH(E2626,Risk_Matrix!$A$2:$A$4,0),MATCH(F2626,Risk_Matrix!$B$1:$D$1,0))</f>
        <v>Medium</v>
      </c>
      <c r="H2626" s="1">
        <v>46116</v>
      </c>
      <c r="I2626" t="s">
        <v>1987</v>
      </c>
      <c r="J2626" t="s">
        <v>1997</v>
      </c>
      <c r="K2626" t="s">
        <v>2036</v>
      </c>
      <c r="L2626">
        <f>IF(G2626="High",3,IF(G2626="Medium",2,1))</f>
        <v>2</v>
      </c>
    </row>
    <row r="2627" spans="1:12">
      <c r="A2627" t="s">
        <v>4653</v>
      </c>
      <c r="B2627" t="s">
        <v>1579</v>
      </c>
      <c r="C2627" t="s">
        <v>2000</v>
      </c>
      <c r="D2627" t="s">
        <v>2001</v>
      </c>
      <c r="E2627" t="s">
        <v>1971</v>
      </c>
      <c r="F2627" t="s">
        <v>57</v>
      </c>
      <c r="G2627" t="str">
        <f>INDEX(Risk_Matrix!$B$2:$D$4,MATCH(E2627,Risk_Matrix!$A$2:$A$4,0),MATCH(F2627,Risk_Matrix!$B$1:$D$1,0))</f>
        <v>Low</v>
      </c>
      <c r="H2627" s="1">
        <v>46089</v>
      </c>
      <c r="I2627" t="s">
        <v>1987</v>
      </c>
      <c r="J2627" t="s">
        <v>1988</v>
      </c>
      <c r="K2627" t="s">
        <v>1993</v>
      </c>
      <c r="L2627">
        <f>IF(G2627="High",3,IF(G2627="Medium",2,1))</f>
        <v>1</v>
      </c>
    </row>
    <row r="2628" spans="1:12">
      <c r="A2628" t="s">
        <v>4654</v>
      </c>
      <c r="B2628" t="s">
        <v>1579</v>
      </c>
      <c r="C2628" t="s">
        <v>2005</v>
      </c>
      <c r="D2628" t="s">
        <v>2039</v>
      </c>
      <c r="E2628" t="s">
        <v>47</v>
      </c>
      <c r="F2628" t="s">
        <v>57</v>
      </c>
      <c r="G2628" t="str">
        <f>INDEX(Risk_Matrix!$B$2:$D$4,MATCH(E2628,Risk_Matrix!$A$2:$A$4,0),MATCH(F2628,Risk_Matrix!$B$1:$D$1,0))</f>
        <v>Medium</v>
      </c>
      <c r="H2628" s="1">
        <v>46150</v>
      </c>
      <c r="I2628" t="s">
        <v>2015</v>
      </c>
      <c r="J2628" t="s">
        <v>2016</v>
      </c>
      <c r="K2628" t="s">
        <v>1993</v>
      </c>
      <c r="L2628">
        <f>IF(G2628="High",3,IF(G2628="Medium",2,1))</f>
        <v>2</v>
      </c>
    </row>
    <row r="2629" spans="1:12">
      <c r="A2629" t="s">
        <v>4655</v>
      </c>
      <c r="B2629" t="s">
        <v>1579</v>
      </c>
      <c r="C2629" t="s">
        <v>2008</v>
      </c>
      <c r="D2629" t="s">
        <v>2054</v>
      </c>
      <c r="E2629" t="s">
        <v>57</v>
      </c>
      <c r="F2629" t="s">
        <v>57</v>
      </c>
      <c r="G2629" t="str">
        <f>INDEX(Risk_Matrix!$B$2:$D$4,MATCH(E2629,Risk_Matrix!$A$2:$A$4,0),MATCH(F2629,Risk_Matrix!$B$1:$D$1,0))</f>
        <v>Low</v>
      </c>
      <c r="H2629" s="1">
        <v>46151</v>
      </c>
      <c r="I2629" t="s">
        <v>1987</v>
      </c>
      <c r="J2629" t="s">
        <v>1988</v>
      </c>
      <c r="K2629" t="s">
        <v>2010</v>
      </c>
      <c r="L2629">
        <f>IF(G2629="High",3,IF(G2629="Medium",2,1))</f>
        <v>1</v>
      </c>
    </row>
    <row r="2630" spans="1:12">
      <c r="A2630" t="s">
        <v>4656</v>
      </c>
      <c r="B2630" t="s">
        <v>1581</v>
      </c>
      <c r="C2630" t="s">
        <v>1985</v>
      </c>
      <c r="D2630" t="s">
        <v>1986</v>
      </c>
      <c r="E2630" t="s">
        <v>1971</v>
      </c>
      <c r="F2630" t="s">
        <v>57</v>
      </c>
      <c r="G2630" t="str">
        <f>INDEX(Risk_Matrix!$B$2:$D$4,MATCH(E2630,Risk_Matrix!$A$2:$A$4,0),MATCH(F2630,Risk_Matrix!$B$1:$D$1,0))</f>
        <v>Low</v>
      </c>
      <c r="H2630" s="1">
        <v>46209</v>
      </c>
      <c r="I2630" t="s">
        <v>1987</v>
      </c>
      <c r="J2630" t="s">
        <v>1988</v>
      </c>
      <c r="K2630" t="s">
        <v>1989</v>
      </c>
      <c r="L2630">
        <f>IF(G2630="High",3,IF(G2630="Medium",2,1))</f>
        <v>1</v>
      </c>
    </row>
    <row r="2631" spans="1:12">
      <c r="A2631" t="s">
        <v>4657</v>
      </c>
      <c r="B2631" t="s">
        <v>1581</v>
      </c>
      <c r="C2631" t="s">
        <v>1991</v>
      </c>
      <c r="D2631" t="s">
        <v>2031</v>
      </c>
      <c r="E2631" t="s">
        <v>1971</v>
      </c>
      <c r="F2631" t="s">
        <v>47</v>
      </c>
      <c r="G2631" t="str">
        <f>INDEX(Risk_Matrix!$B$2:$D$4,MATCH(E2631,Risk_Matrix!$A$2:$A$4,0),MATCH(F2631,Risk_Matrix!$B$1:$D$1,0))</f>
        <v>High</v>
      </c>
      <c r="H2631" s="1">
        <v>46211</v>
      </c>
      <c r="I2631" t="s">
        <v>2025</v>
      </c>
      <c r="J2631" t="s">
        <v>2026</v>
      </c>
      <c r="K2631" t="s">
        <v>2010</v>
      </c>
      <c r="L2631">
        <f>IF(G2631="High",3,IF(G2631="Medium",2,1))</f>
        <v>3</v>
      </c>
    </row>
    <row r="2632" spans="1:12">
      <c r="A2632" t="s">
        <v>4658</v>
      </c>
      <c r="B2632" t="s">
        <v>1581</v>
      </c>
      <c r="C2632" t="s">
        <v>1995</v>
      </c>
      <c r="D2632" t="s">
        <v>2018</v>
      </c>
      <c r="E2632" t="s">
        <v>47</v>
      </c>
      <c r="F2632" t="s">
        <v>47</v>
      </c>
      <c r="G2632" t="str">
        <f>INDEX(Risk_Matrix!$B$2:$D$4,MATCH(E2632,Risk_Matrix!$A$2:$A$4,0),MATCH(F2632,Risk_Matrix!$B$1:$D$1,0))</f>
        <v>High</v>
      </c>
      <c r="H2632" s="1">
        <v>46165</v>
      </c>
      <c r="I2632" t="s">
        <v>1987</v>
      </c>
      <c r="J2632" t="s">
        <v>1988</v>
      </c>
      <c r="K2632" t="s">
        <v>2036</v>
      </c>
      <c r="L2632">
        <f>IF(G2632="High",3,IF(G2632="Medium",2,1))</f>
        <v>3</v>
      </c>
    </row>
    <row r="2633" spans="1:12">
      <c r="A2633" t="s">
        <v>4659</v>
      </c>
      <c r="B2633" t="s">
        <v>1581</v>
      </c>
      <c r="C2633" t="s">
        <v>2000</v>
      </c>
      <c r="D2633" t="s">
        <v>2001</v>
      </c>
      <c r="E2633" t="s">
        <v>57</v>
      </c>
      <c r="F2633" t="s">
        <v>47</v>
      </c>
      <c r="G2633" t="str">
        <f>INDEX(Risk_Matrix!$B$2:$D$4,MATCH(E2633,Risk_Matrix!$A$2:$A$4,0),MATCH(F2633,Risk_Matrix!$B$1:$D$1,0))</f>
        <v>Medium</v>
      </c>
      <c r="H2633" s="1">
        <v>46077</v>
      </c>
      <c r="I2633" t="s">
        <v>2025</v>
      </c>
      <c r="J2633" t="s">
        <v>2026</v>
      </c>
      <c r="K2633" t="s">
        <v>1989</v>
      </c>
      <c r="L2633">
        <f>IF(G2633="High",3,IF(G2633="Medium",2,1))</f>
        <v>2</v>
      </c>
    </row>
    <row r="2634" spans="1:12">
      <c r="A2634" t="s">
        <v>4660</v>
      </c>
      <c r="B2634" t="s">
        <v>1581</v>
      </c>
      <c r="C2634" t="s">
        <v>2005</v>
      </c>
      <c r="D2634" t="s">
        <v>2022</v>
      </c>
      <c r="E2634" t="s">
        <v>57</v>
      </c>
      <c r="F2634" t="s">
        <v>57</v>
      </c>
      <c r="G2634" t="str">
        <f>INDEX(Risk_Matrix!$B$2:$D$4,MATCH(E2634,Risk_Matrix!$A$2:$A$4,0),MATCH(F2634,Risk_Matrix!$B$1:$D$1,0))</f>
        <v>Low</v>
      </c>
      <c r="H2634" s="1">
        <v>46174</v>
      </c>
      <c r="I2634" t="s">
        <v>2002</v>
      </c>
      <c r="J2634" t="s">
        <v>2003</v>
      </c>
      <c r="K2634" t="s">
        <v>1993</v>
      </c>
      <c r="L2634">
        <f>IF(G2634="High",3,IF(G2634="Medium",2,1))</f>
        <v>1</v>
      </c>
    </row>
    <row r="2635" spans="1:12">
      <c r="A2635" t="s">
        <v>4661</v>
      </c>
      <c r="B2635" t="s">
        <v>1581</v>
      </c>
      <c r="C2635" t="s">
        <v>2008</v>
      </c>
      <c r="D2635" t="s">
        <v>2024</v>
      </c>
      <c r="E2635" t="s">
        <v>1971</v>
      </c>
      <c r="F2635" t="s">
        <v>47</v>
      </c>
      <c r="G2635" t="str">
        <f>INDEX(Risk_Matrix!$B$2:$D$4,MATCH(E2635,Risk_Matrix!$A$2:$A$4,0),MATCH(F2635,Risk_Matrix!$B$1:$D$1,0))</f>
        <v>High</v>
      </c>
      <c r="H2635" s="1">
        <v>46210</v>
      </c>
      <c r="I2635" t="s">
        <v>2015</v>
      </c>
      <c r="J2635" t="s">
        <v>2032</v>
      </c>
      <c r="K2635" t="s">
        <v>2010</v>
      </c>
      <c r="L2635">
        <f>IF(G2635="High",3,IF(G2635="Medium",2,1))</f>
        <v>3</v>
      </c>
    </row>
    <row r="2636" spans="1:12">
      <c r="A2636" t="s">
        <v>4662</v>
      </c>
      <c r="B2636" t="s">
        <v>1584</v>
      </c>
      <c r="C2636" t="s">
        <v>1985</v>
      </c>
      <c r="D2636" t="s">
        <v>1986</v>
      </c>
      <c r="E2636" t="s">
        <v>47</v>
      </c>
      <c r="F2636" t="s">
        <v>1971</v>
      </c>
      <c r="G2636" t="str">
        <f>INDEX(Risk_Matrix!$B$2:$D$4,MATCH(E2636,Risk_Matrix!$A$2:$A$4,0),MATCH(F2636,Risk_Matrix!$B$1:$D$1,0))</f>
        <v>High</v>
      </c>
      <c r="H2636" s="1">
        <v>46177</v>
      </c>
      <c r="I2636" t="s">
        <v>2025</v>
      </c>
      <c r="J2636" t="s">
        <v>2035</v>
      </c>
      <c r="K2636" t="s">
        <v>1998</v>
      </c>
      <c r="L2636">
        <f>IF(G2636="High",3,IF(G2636="Medium",2,1))</f>
        <v>3</v>
      </c>
    </row>
    <row r="2637" spans="1:12">
      <c r="A2637" t="s">
        <v>4663</v>
      </c>
      <c r="B2637" t="s">
        <v>1584</v>
      </c>
      <c r="C2637" t="s">
        <v>1991</v>
      </c>
      <c r="D2637" t="s">
        <v>1992</v>
      </c>
      <c r="E2637" t="s">
        <v>47</v>
      </c>
      <c r="F2637" t="s">
        <v>1971</v>
      </c>
      <c r="G2637" t="str">
        <f>INDEX(Risk_Matrix!$B$2:$D$4,MATCH(E2637,Risk_Matrix!$A$2:$A$4,0),MATCH(F2637,Risk_Matrix!$B$1:$D$1,0))</f>
        <v>High</v>
      </c>
      <c r="H2637" s="1">
        <v>46189</v>
      </c>
      <c r="I2637" t="s">
        <v>2025</v>
      </c>
      <c r="J2637" t="s">
        <v>2026</v>
      </c>
      <c r="K2637" t="s">
        <v>1993</v>
      </c>
      <c r="L2637">
        <f>IF(G2637="High",3,IF(G2637="Medium",2,1))</f>
        <v>3</v>
      </c>
    </row>
    <row r="2638" spans="1:12">
      <c r="A2638" t="s">
        <v>4664</v>
      </c>
      <c r="B2638" t="s">
        <v>1584</v>
      </c>
      <c r="C2638" t="s">
        <v>1995</v>
      </c>
      <c r="D2638" t="s">
        <v>2018</v>
      </c>
      <c r="E2638" t="s">
        <v>57</v>
      </c>
      <c r="F2638" t="s">
        <v>1971</v>
      </c>
      <c r="G2638" t="str">
        <f>INDEX(Risk_Matrix!$B$2:$D$4,MATCH(E2638,Risk_Matrix!$A$2:$A$4,0),MATCH(F2638,Risk_Matrix!$B$1:$D$1,0))</f>
        <v>Low</v>
      </c>
      <c r="H2638" s="1">
        <v>46082</v>
      </c>
      <c r="I2638" t="s">
        <v>2025</v>
      </c>
      <c r="J2638" t="s">
        <v>2035</v>
      </c>
      <c r="K2638" t="s">
        <v>2036</v>
      </c>
      <c r="L2638">
        <f>IF(G2638="High",3,IF(G2638="Medium",2,1))</f>
        <v>1</v>
      </c>
    </row>
    <row r="2639" spans="1:12">
      <c r="A2639" t="s">
        <v>4665</v>
      </c>
      <c r="B2639" t="s">
        <v>1584</v>
      </c>
      <c r="C2639" t="s">
        <v>2000</v>
      </c>
      <c r="D2639" t="s">
        <v>2020</v>
      </c>
      <c r="E2639" t="s">
        <v>47</v>
      </c>
      <c r="F2639" t="s">
        <v>1971</v>
      </c>
      <c r="G2639" t="str">
        <f>INDEX(Risk_Matrix!$B$2:$D$4,MATCH(E2639,Risk_Matrix!$A$2:$A$4,0),MATCH(F2639,Risk_Matrix!$B$1:$D$1,0))</f>
        <v>High</v>
      </c>
      <c r="H2639" s="1">
        <v>46064</v>
      </c>
      <c r="I2639" t="s">
        <v>1987</v>
      </c>
      <c r="J2639" t="s">
        <v>1997</v>
      </c>
      <c r="K2639" t="s">
        <v>1993</v>
      </c>
      <c r="L2639">
        <f>IF(G2639="High",3,IF(G2639="Medium",2,1))</f>
        <v>3</v>
      </c>
    </row>
    <row r="2640" spans="1:12">
      <c r="A2640" t="s">
        <v>4666</v>
      </c>
      <c r="B2640" t="s">
        <v>1584</v>
      </c>
      <c r="C2640" t="s">
        <v>2005</v>
      </c>
      <c r="D2640" t="s">
        <v>2006</v>
      </c>
      <c r="E2640" t="s">
        <v>57</v>
      </c>
      <c r="F2640" t="s">
        <v>1971</v>
      </c>
      <c r="G2640" t="str">
        <f>INDEX(Risk_Matrix!$B$2:$D$4,MATCH(E2640,Risk_Matrix!$A$2:$A$4,0),MATCH(F2640,Risk_Matrix!$B$1:$D$1,0))</f>
        <v>Low</v>
      </c>
      <c r="H2640" s="1">
        <v>46182</v>
      </c>
      <c r="I2640" t="s">
        <v>1987</v>
      </c>
      <c r="J2640" t="s">
        <v>1988</v>
      </c>
      <c r="K2640" t="s">
        <v>1993</v>
      </c>
      <c r="L2640">
        <f>IF(G2640="High",3,IF(G2640="Medium",2,1))</f>
        <v>1</v>
      </c>
    </row>
    <row r="2641" spans="1:12">
      <c r="A2641" t="s">
        <v>4667</v>
      </c>
      <c r="B2641" t="s">
        <v>1584</v>
      </c>
      <c r="C2641" t="s">
        <v>2008</v>
      </c>
      <c r="D2641" t="s">
        <v>2054</v>
      </c>
      <c r="E2641" t="s">
        <v>47</v>
      </c>
      <c r="F2641" t="s">
        <v>1971</v>
      </c>
      <c r="G2641" t="str">
        <f>INDEX(Risk_Matrix!$B$2:$D$4,MATCH(E2641,Risk_Matrix!$A$2:$A$4,0),MATCH(F2641,Risk_Matrix!$B$1:$D$1,0))</f>
        <v>High</v>
      </c>
      <c r="H2641" s="1">
        <v>46232</v>
      </c>
      <c r="I2641" t="s">
        <v>2015</v>
      </c>
      <c r="J2641" t="s">
        <v>2032</v>
      </c>
      <c r="K2641" t="s">
        <v>2010</v>
      </c>
      <c r="L2641">
        <f>IF(G2641="High",3,IF(G2641="Medium",2,1))</f>
        <v>3</v>
      </c>
    </row>
    <row r="2642" spans="1:12">
      <c r="A2642" t="s">
        <v>4668</v>
      </c>
      <c r="B2642" t="s">
        <v>1586</v>
      </c>
      <c r="C2642" t="s">
        <v>1985</v>
      </c>
      <c r="D2642" t="s">
        <v>2012</v>
      </c>
      <c r="E2642" t="s">
        <v>1971</v>
      </c>
      <c r="F2642" t="s">
        <v>1971</v>
      </c>
      <c r="G2642" t="str">
        <f>INDEX(Risk_Matrix!$B$2:$D$4,MATCH(E2642,Risk_Matrix!$A$2:$A$4,0),MATCH(F2642,Risk_Matrix!$B$1:$D$1,0))</f>
        <v>Medium</v>
      </c>
      <c r="H2642" s="1">
        <v>46182</v>
      </c>
      <c r="I2642" t="s">
        <v>2025</v>
      </c>
      <c r="J2642" t="s">
        <v>2035</v>
      </c>
      <c r="K2642" t="s">
        <v>1989</v>
      </c>
      <c r="L2642">
        <f>IF(G2642="High",3,IF(G2642="Medium",2,1))</f>
        <v>2</v>
      </c>
    </row>
    <row r="2643" spans="1:12">
      <c r="A2643" t="s">
        <v>4669</v>
      </c>
      <c r="B2643" t="s">
        <v>1586</v>
      </c>
      <c r="C2643" t="s">
        <v>1991</v>
      </c>
      <c r="D2643" t="s">
        <v>1992</v>
      </c>
      <c r="E2643" t="s">
        <v>47</v>
      </c>
      <c r="F2643" t="s">
        <v>57</v>
      </c>
      <c r="G2643" t="str">
        <f>INDEX(Risk_Matrix!$B$2:$D$4,MATCH(E2643,Risk_Matrix!$A$2:$A$4,0),MATCH(F2643,Risk_Matrix!$B$1:$D$1,0))</f>
        <v>Medium</v>
      </c>
      <c r="H2643" s="1">
        <v>46224</v>
      </c>
      <c r="I2643" t="s">
        <v>2025</v>
      </c>
      <c r="J2643" t="s">
        <v>2026</v>
      </c>
      <c r="K2643" t="s">
        <v>2010</v>
      </c>
      <c r="L2643">
        <f>IF(G2643="High",3,IF(G2643="Medium",2,1))</f>
        <v>2</v>
      </c>
    </row>
    <row r="2644" spans="1:12">
      <c r="A2644" t="s">
        <v>4670</v>
      </c>
      <c r="B2644" t="s">
        <v>1586</v>
      </c>
      <c r="C2644" t="s">
        <v>1995</v>
      </c>
      <c r="D2644" t="s">
        <v>1996</v>
      </c>
      <c r="E2644" t="s">
        <v>47</v>
      </c>
      <c r="F2644" t="s">
        <v>57</v>
      </c>
      <c r="G2644" t="str">
        <f>INDEX(Risk_Matrix!$B$2:$D$4,MATCH(E2644,Risk_Matrix!$A$2:$A$4,0),MATCH(F2644,Risk_Matrix!$B$1:$D$1,0))</f>
        <v>Medium</v>
      </c>
      <c r="H2644" s="1">
        <v>46079</v>
      </c>
      <c r="I2644" t="s">
        <v>1987</v>
      </c>
      <c r="J2644" t="s">
        <v>1988</v>
      </c>
      <c r="K2644" t="s">
        <v>2036</v>
      </c>
      <c r="L2644">
        <f>IF(G2644="High",3,IF(G2644="Medium",2,1))</f>
        <v>2</v>
      </c>
    </row>
    <row r="2645" spans="1:12">
      <c r="A2645" t="s">
        <v>4671</v>
      </c>
      <c r="B2645" t="s">
        <v>1586</v>
      </c>
      <c r="C2645" t="s">
        <v>2000</v>
      </c>
      <c r="D2645" t="s">
        <v>2045</v>
      </c>
      <c r="E2645" t="s">
        <v>57</v>
      </c>
      <c r="F2645" t="s">
        <v>1971</v>
      </c>
      <c r="G2645" t="str">
        <f>INDEX(Risk_Matrix!$B$2:$D$4,MATCH(E2645,Risk_Matrix!$A$2:$A$4,0),MATCH(F2645,Risk_Matrix!$B$1:$D$1,0))</f>
        <v>Low</v>
      </c>
      <c r="H2645" s="1">
        <v>46141</v>
      </c>
      <c r="I2645" t="s">
        <v>2025</v>
      </c>
      <c r="J2645" t="s">
        <v>2026</v>
      </c>
      <c r="K2645" t="s">
        <v>1989</v>
      </c>
      <c r="L2645">
        <f>IF(G2645="High",3,IF(G2645="Medium",2,1))</f>
        <v>1</v>
      </c>
    </row>
    <row r="2646" spans="1:12">
      <c r="A2646" t="s">
        <v>4672</v>
      </c>
      <c r="B2646" t="s">
        <v>1586</v>
      </c>
      <c r="C2646" t="s">
        <v>2005</v>
      </c>
      <c r="D2646" t="s">
        <v>2006</v>
      </c>
      <c r="E2646" t="s">
        <v>57</v>
      </c>
      <c r="F2646" t="s">
        <v>57</v>
      </c>
      <c r="G2646" t="str">
        <f>INDEX(Risk_Matrix!$B$2:$D$4,MATCH(E2646,Risk_Matrix!$A$2:$A$4,0),MATCH(F2646,Risk_Matrix!$B$1:$D$1,0))</f>
        <v>Low</v>
      </c>
      <c r="H2646" s="1">
        <v>46194</v>
      </c>
      <c r="I2646" t="s">
        <v>2015</v>
      </c>
      <c r="J2646" t="s">
        <v>2032</v>
      </c>
      <c r="K2646" t="s">
        <v>2036</v>
      </c>
      <c r="L2646">
        <f>IF(G2646="High",3,IF(G2646="Medium",2,1))</f>
        <v>1</v>
      </c>
    </row>
    <row r="2647" spans="1:12">
      <c r="A2647" t="s">
        <v>4673</v>
      </c>
      <c r="B2647" t="s">
        <v>1586</v>
      </c>
      <c r="C2647" t="s">
        <v>2008</v>
      </c>
      <c r="D2647" t="s">
        <v>2054</v>
      </c>
      <c r="E2647" t="s">
        <v>57</v>
      </c>
      <c r="F2647" t="s">
        <v>57</v>
      </c>
      <c r="G2647" t="str">
        <f>INDEX(Risk_Matrix!$B$2:$D$4,MATCH(E2647,Risk_Matrix!$A$2:$A$4,0),MATCH(F2647,Risk_Matrix!$B$1:$D$1,0))</f>
        <v>Low</v>
      </c>
      <c r="H2647" s="1">
        <v>46154</v>
      </c>
      <c r="I2647" t="s">
        <v>2015</v>
      </c>
      <c r="J2647" t="s">
        <v>2032</v>
      </c>
      <c r="K2647" t="s">
        <v>2010</v>
      </c>
      <c r="L2647">
        <f>IF(G2647="High",3,IF(G2647="Medium",2,1))</f>
        <v>1</v>
      </c>
    </row>
    <row r="2648" spans="1:12">
      <c r="A2648" t="s">
        <v>4674</v>
      </c>
      <c r="B2648" t="s">
        <v>1589</v>
      </c>
      <c r="C2648" t="s">
        <v>1985</v>
      </c>
      <c r="D2648" t="s">
        <v>2062</v>
      </c>
      <c r="E2648" t="s">
        <v>57</v>
      </c>
      <c r="F2648" t="s">
        <v>1971</v>
      </c>
      <c r="G2648" t="str">
        <f>INDEX(Risk_Matrix!$B$2:$D$4,MATCH(E2648,Risk_Matrix!$A$2:$A$4,0),MATCH(F2648,Risk_Matrix!$B$1:$D$1,0))</f>
        <v>Low</v>
      </c>
      <c r="H2648" s="1">
        <v>46142</v>
      </c>
      <c r="I2648" t="s">
        <v>1987</v>
      </c>
      <c r="J2648" t="s">
        <v>1988</v>
      </c>
      <c r="K2648" t="s">
        <v>1998</v>
      </c>
      <c r="L2648">
        <f>IF(G2648="High",3,IF(G2648="Medium",2,1))</f>
        <v>1</v>
      </c>
    </row>
    <row r="2649" spans="1:12">
      <c r="A2649" t="s">
        <v>4675</v>
      </c>
      <c r="B2649" t="s">
        <v>1589</v>
      </c>
      <c r="C2649" t="s">
        <v>1991</v>
      </c>
      <c r="D2649" t="s">
        <v>2064</v>
      </c>
      <c r="E2649" t="s">
        <v>1971</v>
      </c>
      <c r="F2649" t="s">
        <v>1971</v>
      </c>
      <c r="G2649" t="str">
        <f>INDEX(Risk_Matrix!$B$2:$D$4,MATCH(E2649,Risk_Matrix!$A$2:$A$4,0),MATCH(F2649,Risk_Matrix!$B$1:$D$1,0))</f>
        <v>Medium</v>
      </c>
      <c r="H2649" s="1">
        <v>46195</v>
      </c>
      <c r="I2649" t="s">
        <v>2015</v>
      </c>
      <c r="J2649" t="s">
        <v>2032</v>
      </c>
      <c r="K2649" t="s">
        <v>2010</v>
      </c>
      <c r="L2649">
        <f>IF(G2649="High",3,IF(G2649="Medium",2,1))</f>
        <v>2</v>
      </c>
    </row>
    <row r="2650" spans="1:12">
      <c r="A2650" t="s">
        <v>4676</v>
      </c>
      <c r="B2650" t="s">
        <v>1589</v>
      </c>
      <c r="C2650" t="s">
        <v>1995</v>
      </c>
      <c r="D2650" t="s">
        <v>2034</v>
      </c>
      <c r="E2650" t="s">
        <v>57</v>
      </c>
      <c r="F2650" t="s">
        <v>1971</v>
      </c>
      <c r="G2650" t="str">
        <f>INDEX(Risk_Matrix!$B$2:$D$4,MATCH(E2650,Risk_Matrix!$A$2:$A$4,0),MATCH(F2650,Risk_Matrix!$B$1:$D$1,0))</f>
        <v>Low</v>
      </c>
      <c r="H2650" s="1">
        <v>46184</v>
      </c>
      <c r="I2650" t="s">
        <v>2015</v>
      </c>
      <c r="J2650" t="s">
        <v>2016</v>
      </c>
      <c r="K2650" t="s">
        <v>1998</v>
      </c>
      <c r="L2650">
        <f>IF(G2650="High",3,IF(G2650="Medium",2,1))</f>
        <v>1</v>
      </c>
    </row>
    <row r="2651" spans="1:12">
      <c r="A2651" t="s">
        <v>4677</v>
      </c>
      <c r="B2651" t="s">
        <v>1589</v>
      </c>
      <c r="C2651" t="s">
        <v>2000</v>
      </c>
      <c r="D2651" t="s">
        <v>2045</v>
      </c>
      <c r="E2651" t="s">
        <v>1971</v>
      </c>
      <c r="F2651" t="s">
        <v>1971</v>
      </c>
      <c r="G2651" t="str">
        <f>INDEX(Risk_Matrix!$B$2:$D$4,MATCH(E2651,Risk_Matrix!$A$2:$A$4,0),MATCH(F2651,Risk_Matrix!$B$1:$D$1,0))</f>
        <v>Medium</v>
      </c>
      <c r="H2651" s="1">
        <v>46107</v>
      </c>
      <c r="I2651" t="s">
        <v>2025</v>
      </c>
      <c r="J2651" t="s">
        <v>2035</v>
      </c>
      <c r="K2651" t="s">
        <v>1989</v>
      </c>
      <c r="L2651">
        <f>IF(G2651="High",3,IF(G2651="Medium",2,1))</f>
        <v>2</v>
      </c>
    </row>
    <row r="2652" spans="1:12">
      <c r="A2652" t="s">
        <v>4678</v>
      </c>
      <c r="B2652" t="s">
        <v>1589</v>
      </c>
      <c r="C2652" t="s">
        <v>2005</v>
      </c>
      <c r="D2652" t="s">
        <v>2022</v>
      </c>
      <c r="E2652" t="s">
        <v>57</v>
      </c>
      <c r="F2652" t="s">
        <v>57</v>
      </c>
      <c r="G2652" t="str">
        <f>INDEX(Risk_Matrix!$B$2:$D$4,MATCH(E2652,Risk_Matrix!$A$2:$A$4,0),MATCH(F2652,Risk_Matrix!$B$1:$D$1,0))</f>
        <v>Low</v>
      </c>
      <c r="H2652" s="1">
        <v>46135</v>
      </c>
      <c r="I2652" t="s">
        <v>1987</v>
      </c>
      <c r="J2652" t="s">
        <v>1988</v>
      </c>
      <c r="K2652" t="s">
        <v>1993</v>
      </c>
      <c r="L2652">
        <f>IF(G2652="High",3,IF(G2652="Medium",2,1))</f>
        <v>1</v>
      </c>
    </row>
    <row r="2653" spans="1:12">
      <c r="A2653" t="s">
        <v>4679</v>
      </c>
      <c r="B2653" t="s">
        <v>1589</v>
      </c>
      <c r="C2653" t="s">
        <v>2008</v>
      </c>
      <c r="D2653" t="s">
        <v>2054</v>
      </c>
      <c r="E2653" t="s">
        <v>57</v>
      </c>
      <c r="F2653" t="s">
        <v>1971</v>
      </c>
      <c r="G2653" t="str">
        <f>INDEX(Risk_Matrix!$B$2:$D$4,MATCH(E2653,Risk_Matrix!$A$2:$A$4,0),MATCH(F2653,Risk_Matrix!$B$1:$D$1,0))</f>
        <v>Low</v>
      </c>
      <c r="H2653" s="1">
        <v>46189</v>
      </c>
      <c r="I2653" t="s">
        <v>2002</v>
      </c>
      <c r="J2653" t="s">
        <v>2029</v>
      </c>
      <c r="K2653" t="s">
        <v>2010</v>
      </c>
      <c r="L2653">
        <f>IF(G2653="High",3,IF(G2653="Medium",2,1))</f>
        <v>1</v>
      </c>
    </row>
    <row r="2654" spans="1:12">
      <c r="A2654" t="s">
        <v>4680</v>
      </c>
      <c r="B2654" t="s">
        <v>1591</v>
      </c>
      <c r="C2654" t="s">
        <v>1985</v>
      </c>
      <c r="D2654" t="s">
        <v>1986</v>
      </c>
      <c r="E2654" t="s">
        <v>57</v>
      </c>
      <c r="F2654" t="s">
        <v>1971</v>
      </c>
      <c r="G2654" t="str">
        <f>INDEX(Risk_Matrix!$B$2:$D$4,MATCH(E2654,Risk_Matrix!$A$2:$A$4,0),MATCH(F2654,Risk_Matrix!$B$1:$D$1,0))</f>
        <v>Low</v>
      </c>
      <c r="H2654" s="1">
        <v>46178</v>
      </c>
      <c r="I2654" t="s">
        <v>1987</v>
      </c>
      <c r="J2654" t="s">
        <v>1997</v>
      </c>
      <c r="K2654" t="s">
        <v>1989</v>
      </c>
      <c r="L2654">
        <f>IF(G2654="High",3,IF(G2654="Medium",2,1))</f>
        <v>1</v>
      </c>
    </row>
    <row r="2655" spans="1:12">
      <c r="A2655" t="s">
        <v>4681</v>
      </c>
      <c r="B2655" t="s">
        <v>1591</v>
      </c>
      <c r="C2655" t="s">
        <v>1991</v>
      </c>
      <c r="D2655" t="s">
        <v>2014</v>
      </c>
      <c r="E2655" t="s">
        <v>1971</v>
      </c>
      <c r="F2655" t="s">
        <v>57</v>
      </c>
      <c r="G2655" t="str">
        <f>INDEX(Risk_Matrix!$B$2:$D$4,MATCH(E2655,Risk_Matrix!$A$2:$A$4,0),MATCH(F2655,Risk_Matrix!$B$1:$D$1,0))</f>
        <v>Low</v>
      </c>
      <c r="H2655" s="1">
        <v>46162</v>
      </c>
      <c r="I2655" t="s">
        <v>2015</v>
      </c>
      <c r="J2655" t="s">
        <v>2032</v>
      </c>
      <c r="K2655" t="s">
        <v>1993</v>
      </c>
      <c r="L2655">
        <f>IF(G2655="High",3,IF(G2655="Medium",2,1))</f>
        <v>1</v>
      </c>
    </row>
    <row r="2656" spans="1:12">
      <c r="A2656" t="s">
        <v>4682</v>
      </c>
      <c r="B2656" t="s">
        <v>1591</v>
      </c>
      <c r="C2656" t="s">
        <v>1995</v>
      </c>
      <c r="D2656" t="s">
        <v>1996</v>
      </c>
      <c r="E2656" t="s">
        <v>47</v>
      </c>
      <c r="F2656" t="s">
        <v>57</v>
      </c>
      <c r="G2656" t="str">
        <f>INDEX(Risk_Matrix!$B$2:$D$4,MATCH(E2656,Risk_Matrix!$A$2:$A$4,0),MATCH(F2656,Risk_Matrix!$B$1:$D$1,0))</f>
        <v>Medium</v>
      </c>
      <c r="H2656" s="1">
        <v>46218</v>
      </c>
      <c r="I2656" t="s">
        <v>2025</v>
      </c>
      <c r="J2656" t="s">
        <v>2026</v>
      </c>
      <c r="K2656" t="s">
        <v>1998</v>
      </c>
      <c r="L2656">
        <f>IF(G2656="High",3,IF(G2656="Medium",2,1))</f>
        <v>2</v>
      </c>
    </row>
    <row r="2657" spans="1:12">
      <c r="A2657" t="s">
        <v>4683</v>
      </c>
      <c r="B2657" t="s">
        <v>1591</v>
      </c>
      <c r="C2657" t="s">
        <v>2000</v>
      </c>
      <c r="D2657" t="s">
        <v>2020</v>
      </c>
      <c r="E2657" t="s">
        <v>47</v>
      </c>
      <c r="F2657" t="s">
        <v>1971</v>
      </c>
      <c r="G2657" t="str">
        <f>INDEX(Risk_Matrix!$B$2:$D$4,MATCH(E2657,Risk_Matrix!$A$2:$A$4,0),MATCH(F2657,Risk_Matrix!$B$1:$D$1,0))</f>
        <v>High</v>
      </c>
      <c r="H2657" s="1">
        <v>46235</v>
      </c>
      <c r="I2657" t="s">
        <v>2015</v>
      </c>
      <c r="J2657" t="s">
        <v>2016</v>
      </c>
      <c r="K2657" t="s">
        <v>1993</v>
      </c>
      <c r="L2657">
        <f>IF(G2657="High",3,IF(G2657="Medium",2,1))</f>
        <v>3</v>
      </c>
    </row>
    <row r="2658" spans="1:12">
      <c r="A2658" t="s">
        <v>4684</v>
      </c>
      <c r="B2658" t="s">
        <v>1591</v>
      </c>
      <c r="C2658" t="s">
        <v>2005</v>
      </c>
      <c r="D2658" t="s">
        <v>2006</v>
      </c>
      <c r="E2658" t="s">
        <v>57</v>
      </c>
      <c r="F2658" t="s">
        <v>1971</v>
      </c>
      <c r="G2658" t="str">
        <f>INDEX(Risk_Matrix!$B$2:$D$4,MATCH(E2658,Risk_Matrix!$A$2:$A$4,0),MATCH(F2658,Risk_Matrix!$B$1:$D$1,0))</f>
        <v>Low</v>
      </c>
      <c r="H2658" s="1">
        <v>46143</v>
      </c>
      <c r="I2658" t="s">
        <v>2002</v>
      </c>
      <c r="J2658" t="s">
        <v>2003</v>
      </c>
      <c r="K2658" t="s">
        <v>2036</v>
      </c>
      <c r="L2658">
        <f>IF(G2658="High",3,IF(G2658="Medium",2,1))</f>
        <v>1</v>
      </c>
    </row>
    <row r="2659" spans="1:12">
      <c r="A2659" t="s">
        <v>4685</v>
      </c>
      <c r="B2659" t="s">
        <v>1591</v>
      </c>
      <c r="C2659" t="s">
        <v>2008</v>
      </c>
      <c r="D2659" t="s">
        <v>2054</v>
      </c>
      <c r="E2659" t="s">
        <v>57</v>
      </c>
      <c r="F2659" t="s">
        <v>57</v>
      </c>
      <c r="G2659" t="str">
        <f>INDEX(Risk_Matrix!$B$2:$D$4,MATCH(E2659,Risk_Matrix!$A$2:$A$4,0),MATCH(F2659,Risk_Matrix!$B$1:$D$1,0))</f>
        <v>Low</v>
      </c>
      <c r="H2659" s="1">
        <v>46150</v>
      </c>
      <c r="I2659" t="s">
        <v>1987</v>
      </c>
      <c r="J2659" t="s">
        <v>1988</v>
      </c>
      <c r="K2659" t="s">
        <v>2010</v>
      </c>
      <c r="L2659">
        <f>IF(G2659="High",3,IF(G2659="Medium",2,1))</f>
        <v>1</v>
      </c>
    </row>
    <row r="2660" spans="1:12">
      <c r="A2660" t="s">
        <v>4686</v>
      </c>
      <c r="B2660" t="s">
        <v>1593</v>
      </c>
      <c r="C2660" t="s">
        <v>1985</v>
      </c>
      <c r="D2660" t="s">
        <v>2012</v>
      </c>
      <c r="E2660" t="s">
        <v>1971</v>
      </c>
      <c r="F2660" t="s">
        <v>57</v>
      </c>
      <c r="G2660" t="str">
        <f>INDEX(Risk_Matrix!$B$2:$D$4,MATCH(E2660,Risk_Matrix!$A$2:$A$4,0),MATCH(F2660,Risk_Matrix!$B$1:$D$1,0))</f>
        <v>Low</v>
      </c>
      <c r="H2660" s="1">
        <v>46145</v>
      </c>
      <c r="I2660" t="s">
        <v>1987</v>
      </c>
      <c r="J2660" t="s">
        <v>1988</v>
      </c>
      <c r="K2660" t="s">
        <v>1998</v>
      </c>
      <c r="L2660">
        <f>IF(G2660="High",3,IF(G2660="Medium",2,1))</f>
        <v>1</v>
      </c>
    </row>
    <row r="2661" spans="1:12">
      <c r="A2661" t="s">
        <v>4687</v>
      </c>
      <c r="B2661" t="s">
        <v>1593</v>
      </c>
      <c r="C2661" t="s">
        <v>1991</v>
      </c>
      <c r="D2661" t="s">
        <v>2064</v>
      </c>
      <c r="E2661" t="s">
        <v>1971</v>
      </c>
      <c r="F2661" t="s">
        <v>57</v>
      </c>
      <c r="G2661" t="str">
        <f>INDEX(Risk_Matrix!$B$2:$D$4,MATCH(E2661,Risk_Matrix!$A$2:$A$4,0),MATCH(F2661,Risk_Matrix!$B$1:$D$1,0))</f>
        <v>Low</v>
      </c>
      <c r="H2661" s="1">
        <v>46159</v>
      </c>
      <c r="I2661" t="s">
        <v>2002</v>
      </c>
      <c r="J2661" t="s">
        <v>2003</v>
      </c>
      <c r="K2661" t="s">
        <v>2010</v>
      </c>
      <c r="L2661">
        <f>IF(G2661="High",3,IF(G2661="Medium",2,1))</f>
        <v>1</v>
      </c>
    </row>
    <row r="2662" spans="1:12">
      <c r="A2662" t="s">
        <v>4688</v>
      </c>
      <c r="B2662" t="s">
        <v>1593</v>
      </c>
      <c r="C2662" t="s">
        <v>1995</v>
      </c>
      <c r="D2662" t="s">
        <v>2018</v>
      </c>
      <c r="E2662" t="s">
        <v>57</v>
      </c>
      <c r="F2662" t="s">
        <v>57</v>
      </c>
      <c r="G2662" t="str">
        <f>INDEX(Risk_Matrix!$B$2:$D$4,MATCH(E2662,Risk_Matrix!$A$2:$A$4,0),MATCH(F2662,Risk_Matrix!$B$1:$D$1,0))</f>
        <v>Low</v>
      </c>
      <c r="H2662" s="1">
        <v>46168</v>
      </c>
      <c r="I2662" t="s">
        <v>2015</v>
      </c>
      <c r="J2662" t="s">
        <v>2016</v>
      </c>
      <c r="K2662" t="s">
        <v>2036</v>
      </c>
      <c r="L2662">
        <f>IF(G2662="High",3,IF(G2662="Medium",2,1))</f>
        <v>1</v>
      </c>
    </row>
    <row r="2663" spans="1:12">
      <c r="A2663" t="s">
        <v>4689</v>
      </c>
      <c r="B2663" t="s">
        <v>1593</v>
      </c>
      <c r="C2663" t="s">
        <v>2000</v>
      </c>
      <c r="D2663" t="s">
        <v>2020</v>
      </c>
      <c r="E2663" t="s">
        <v>1971</v>
      </c>
      <c r="F2663" t="s">
        <v>1971</v>
      </c>
      <c r="G2663" t="str">
        <f>INDEX(Risk_Matrix!$B$2:$D$4,MATCH(E2663,Risk_Matrix!$A$2:$A$4,0),MATCH(F2663,Risk_Matrix!$B$1:$D$1,0))</f>
        <v>Medium</v>
      </c>
      <c r="H2663" s="1">
        <v>46184</v>
      </c>
      <c r="I2663" t="s">
        <v>1987</v>
      </c>
      <c r="J2663" t="s">
        <v>1988</v>
      </c>
      <c r="K2663" t="s">
        <v>1989</v>
      </c>
      <c r="L2663">
        <f>IF(G2663="High",3,IF(G2663="Medium",2,1))</f>
        <v>2</v>
      </c>
    </row>
    <row r="2664" spans="1:12">
      <c r="A2664" t="s">
        <v>4690</v>
      </c>
      <c r="B2664" t="s">
        <v>1593</v>
      </c>
      <c r="C2664" t="s">
        <v>2005</v>
      </c>
      <c r="D2664" t="s">
        <v>2006</v>
      </c>
      <c r="E2664" t="s">
        <v>57</v>
      </c>
      <c r="F2664" t="s">
        <v>57</v>
      </c>
      <c r="G2664" t="str">
        <f>INDEX(Risk_Matrix!$B$2:$D$4,MATCH(E2664,Risk_Matrix!$A$2:$A$4,0),MATCH(F2664,Risk_Matrix!$B$1:$D$1,0))</f>
        <v>Low</v>
      </c>
      <c r="H2664" s="1">
        <v>46166</v>
      </c>
      <c r="I2664" t="s">
        <v>2015</v>
      </c>
      <c r="J2664" t="s">
        <v>2016</v>
      </c>
      <c r="K2664" t="s">
        <v>2036</v>
      </c>
      <c r="L2664">
        <f>IF(G2664="High",3,IF(G2664="Medium",2,1))</f>
        <v>1</v>
      </c>
    </row>
    <row r="2665" spans="1:12">
      <c r="A2665" t="s">
        <v>4691</v>
      </c>
      <c r="B2665" t="s">
        <v>1593</v>
      </c>
      <c r="C2665" t="s">
        <v>2008</v>
      </c>
      <c r="D2665" t="s">
        <v>2009</v>
      </c>
      <c r="E2665" t="s">
        <v>57</v>
      </c>
      <c r="F2665" t="s">
        <v>57</v>
      </c>
      <c r="G2665" t="str">
        <f>INDEX(Risk_Matrix!$B$2:$D$4,MATCH(E2665,Risk_Matrix!$A$2:$A$4,0),MATCH(F2665,Risk_Matrix!$B$1:$D$1,0))</f>
        <v>Low</v>
      </c>
      <c r="H2665" s="1">
        <v>46090</v>
      </c>
      <c r="I2665" t="s">
        <v>1987</v>
      </c>
      <c r="J2665" t="s">
        <v>1988</v>
      </c>
      <c r="K2665" t="s">
        <v>2010</v>
      </c>
      <c r="L2665">
        <f>IF(G2665="High",3,IF(G2665="Medium",2,1))</f>
        <v>1</v>
      </c>
    </row>
    <row r="2666" spans="1:12">
      <c r="A2666" t="s">
        <v>4692</v>
      </c>
      <c r="B2666" t="s">
        <v>1596</v>
      </c>
      <c r="C2666" t="s">
        <v>1985</v>
      </c>
      <c r="D2666" t="s">
        <v>2012</v>
      </c>
      <c r="E2666" t="s">
        <v>57</v>
      </c>
      <c r="F2666" t="s">
        <v>1971</v>
      </c>
      <c r="G2666" t="str">
        <f>INDEX(Risk_Matrix!$B$2:$D$4,MATCH(E2666,Risk_Matrix!$A$2:$A$4,0),MATCH(F2666,Risk_Matrix!$B$1:$D$1,0))</f>
        <v>Low</v>
      </c>
      <c r="H2666" s="1">
        <v>46126</v>
      </c>
      <c r="I2666" t="s">
        <v>2002</v>
      </c>
      <c r="J2666" t="s">
        <v>2029</v>
      </c>
      <c r="K2666" t="s">
        <v>1998</v>
      </c>
      <c r="L2666">
        <f>IF(G2666="High",3,IF(G2666="Medium",2,1))</f>
        <v>1</v>
      </c>
    </row>
    <row r="2667" spans="1:12">
      <c r="A2667" t="s">
        <v>4693</v>
      </c>
      <c r="B2667" t="s">
        <v>1596</v>
      </c>
      <c r="C2667" t="s">
        <v>1991</v>
      </c>
      <c r="D2667" t="s">
        <v>2031</v>
      </c>
      <c r="E2667" t="s">
        <v>1971</v>
      </c>
      <c r="F2667" t="s">
        <v>57</v>
      </c>
      <c r="G2667" t="str">
        <f>INDEX(Risk_Matrix!$B$2:$D$4,MATCH(E2667,Risk_Matrix!$A$2:$A$4,0),MATCH(F2667,Risk_Matrix!$B$1:$D$1,0))</f>
        <v>Low</v>
      </c>
      <c r="H2667" s="1">
        <v>46148</v>
      </c>
      <c r="I2667" t="s">
        <v>2025</v>
      </c>
      <c r="J2667" t="s">
        <v>2035</v>
      </c>
      <c r="K2667" t="s">
        <v>1993</v>
      </c>
      <c r="L2667">
        <f>IF(G2667="High",3,IF(G2667="Medium",2,1))</f>
        <v>1</v>
      </c>
    </row>
    <row r="2668" spans="1:12">
      <c r="A2668" t="s">
        <v>4694</v>
      </c>
      <c r="B2668" t="s">
        <v>1596</v>
      </c>
      <c r="C2668" t="s">
        <v>1995</v>
      </c>
      <c r="D2668" t="s">
        <v>2034</v>
      </c>
      <c r="E2668" t="s">
        <v>57</v>
      </c>
      <c r="F2668" t="s">
        <v>57</v>
      </c>
      <c r="G2668" t="str">
        <f>INDEX(Risk_Matrix!$B$2:$D$4,MATCH(E2668,Risk_Matrix!$A$2:$A$4,0),MATCH(F2668,Risk_Matrix!$B$1:$D$1,0))</f>
        <v>Low</v>
      </c>
      <c r="H2668" s="1">
        <v>46095</v>
      </c>
      <c r="I2668" t="s">
        <v>2002</v>
      </c>
      <c r="J2668" t="s">
        <v>2029</v>
      </c>
      <c r="K2668" t="s">
        <v>2036</v>
      </c>
      <c r="L2668">
        <f>IF(G2668="High",3,IF(G2668="Medium",2,1))</f>
        <v>1</v>
      </c>
    </row>
    <row r="2669" spans="1:12">
      <c r="A2669" t="s">
        <v>4695</v>
      </c>
      <c r="B2669" t="s">
        <v>1596</v>
      </c>
      <c r="C2669" t="s">
        <v>2000</v>
      </c>
      <c r="D2669" t="s">
        <v>2001</v>
      </c>
      <c r="E2669" t="s">
        <v>47</v>
      </c>
      <c r="F2669" t="s">
        <v>57</v>
      </c>
      <c r="G2669" t="str">
        <f>INDEX(Risk_Matrix!$B$2:$D$4,MATCH(E2669,Risk_Matrix!$A$2:$A$4,0),MATCH(F2669,Risk_Matrix!$B$1:$D$1,0))</f>
        <v>Medium</v>
      </c>
      <c r="H2669" s="1">
        <v>46154</v>
      </c>
      <c r="I2669" t="s">
        <v>2015</v>
      </c>
      <c r="J2669" t="s">
        <v>2032</v>
      </c>
      <c r="K2669" t="s">
        <v>1993</v>
      </c>
      <c r="L2669">
        <f>IF(G2669="High",3,IF(G2669="Medium",2,1))</f>
        <v>2</v>
      </c>
    </row>
    <row r="2670" spans="1:12">
      <c r="A2670" t="s">
        <v>4696</v>
      </c>
      <c r="B2670" t="s">
        <v>1596</v>
      </c>
      <c r="C2670" t="s">
        <v>2005</v>
      </c>
      <c r="D2670" t="s">
        <v>2006</v>
      </c>
      <c r="E2670" t="s">
        <v>57</v>
      </c>
      <c r="F2670" t="s">
        <v>57</v>
      </c>
      <c r="G2670" t="str">
        <f>INDEX(Risk_Matrix!$B$2:$D$4,MATCH(E2670,Risk_Matrix!$A$2:$A$4,0),MATCH(F2670,Risk_Matrix!$B$1:$D$1,0))</f>
        <v>Low</v>
      </c>
      <c r="H2670" s="1">
        <v>46181</v>
      </c>
      <c r="I2670" t="s">
        <v>2015</v>
      </c>
      <c r="J2670" t="s">
        <v>2016</v>
      </c>
      <c r="K2670" t="s">
        <v>2036</v>
      </c>
      <c r="L2670">
        <f>IF(G2670="High",3,IF(G2670="Medium",2,1))</f>
        <v>1</v>
      </c>
    </row>
    <row r="2671" spans="1:12">
      <c r="A2671" t="s">
        <v>4697</v>
      </c>
      <c r="B2671" t="s">
        <v>1596</v>
      </c>
      <c r="C2671" t="s">
        <v>2008</v>
      </c>
      <c r="D2671" t="s">
        <v>2054</v>
      </c>
      <c r="E2671" t="s">
        <v>57</v>
      </c>
      <c r="F2671" t="s">
        <v>47</v>
      </c>
      <c r="G2671" t="str">
        <f>INDEX(Risk_Matrix!$B$2:$D$4,MATCH(E2671,Risk_Matrix!$A$2:$A$4,0),MATCH(F2671,Risk_Matrix!$B$1:$D$1,0))</f>
        <v>Medium</v>
      </c>
      <c r="H2671" s="1">
        <v>46182</v>
      </c>
      <c r="I2671" t="s">
        <v>2025</v>
      </c>
      <c r="J2671" t="s">
        <v>2026</v>
      </c>
      <c r="K2671" t="s">
        <v>2010</v>
      </c>
      <c r="L2671">
        <f>IF(G2671="High",3,IF(G2671="Medium",2,1))</f>
        <v>2</v>
      </c>
    </row>
    <row r="2672" spans="1:12">
      <c r="A2672" t="s">
        <v>4698</v>
      </c>
      <c r="B2672" t="s">
        <v>1598</v>
      </c>
      <c r="C2672" t="s">
        <v>1985</v>
      </c>
      <c r="D2672" t="s">
        <v>2062</v>
      </c>
      <c r="E2672" t="s">
        <v>47</v>
      </c>
      <c r="F2672" t="s">
        <v>57</v>
      </c>
      <c r="G2672" t="str">
        <f>INDEX(Risk_Matrix!$B$2:$D$4,MATCH(E2672,Risk_Matrix!$A$2:$A$4,0),MATCH(F2672,Risk_Matrix!$B$1:$D$1,0))</f>
        <v>Medium</v>
      </c>
      <c r="H2672" s="1">
        <v>46152</v>
      </c>
      <c r="I2672" t="s">
        <v>1987</v>
      </c>
      <c r="J2672" t="s">
        <v>1997</v>
      </c>
      <c r="K2672" t="s">
        <v>1989</v>
      </c>
      <c r="L2672">
        <f>IF(G2672="High",3,IF(G2672="Medium",2,1))</f>
        <v>2</v>
      </c>
    </row>
    <row r="2673" spans="1:12">
      <c r="A2673" t="s">
        <v>4699</v>
      </c>
      <c r="B2673" t="s">
        <v>1598</v>
      </c>
      <c r="C2673" t="s">
        <v>1991</v>
      </c>
      <c r="D2673" t="s">
        <v>2031</v>
      </c>
      <c r="E2673" t="s">
        <v>57</v>
      </c>
      <c r="F2673" t="s">
        <v>57</v>
      </c>
      <c r="G2673" t="str">
        <f>INDEX(Risk_Matrix!$B$2:$D$4,MATCH(E2673,Risk_Matrix!$A$2:$A$4,0),MATCH(F2673,Risk_Matrix!$B$1:$D$1,0))</f>
        <v>Low</v>
      </c>
      <c r="H2673" s="1">
        <v>46190</v>
      </c>
      <c r="I2673" t="s">
        <v>2015</v>
      </c>
      <c r="J2673" t="s">
        <v>2016</v>
      </c>
      <c r="K2673" t="s">
        <v>1993</v>
      </c>
      <c r="L2673">
        <f>IF(G2673="High",3,IF(G2673="Medium",2,1))</f>
        <v>1</v>
      </c>
    </row>
    <row r="2674" spans="1:12">
      <c r="A2674" t="s">
        <v>4700</v>
      </c>
      <c r="B2674" t="s">
        <v>1598</v>
      </c>
      <c r="C2674" t="s">
        <v>1995</v>
      </c>
      <c r="D2674" t="s">
        <v>2018</v>
      </c>
      <c r="E2674" t="s">
        <v>57</v>
      </c>
      <c r="F2674" t="s">
        <v>57</v>
      </c>
      <c r="G2674" t="str">
        <f>INDEX(Risk_Matrix!$B$2:$D$4,MATCH(E2674,Risk_Matrix!$A$2:$A$4,0),MATCH(F2674,Risk_Matrix!$B$1:$D$1,0))</f>
        <v>Low</v>
      </c>
      <c r="H2674" s="1">
        <v>46236</v>
      </c>
      <c r="I2674" t="s">
        <v>1987</v>
      </c>
      <c r="J2674" t="s">
        <v>1997</v>
      </c>
      <c r="K2674" t="s">
        <v>2036</v>
      </c>
      <c r="L2674">
        <f>IF(G2674="High",3,IF(G2674="Medium",2,1))</f>
        <v>1</v>
      </c>
    </row>
    <row r="2675" spans="1:12">
      <c r="A2675" t="s">
        <v>4701</v>
      </c>
      <c r="B2675" t="s">
        <v>1598</v>
      </c>
      <c r="C2675" t="s">
        <v>2000</v>
      </c>
      <c r="D2675" t="s">
        <v>2045</v>
      </c>
      <c r="E2675" t="s">
        <v>57</v>
      </c>
      <c r="F2675" t="s">
        <v>57</v>
      </c>
      <c r="G2675" t="str">
        <f>INDEX(Risk_Matrix!$B$2:$D$4,MATCH(E2675,Risk_Matrix!$A$2:$A$4,0),MATCH(F2675,Risk_Matrix!$B$1:$D$1,0))</f>
        <v>Low</v>
      </c>
      <c r="H2675" s="1">
        <v>46197</v>
      </c>
      <c r="I2675" t="s">
        <v>2025</v>
      </c>
      <c r="J2675" t="s">
        <v>2035</v>
      </c>
      <c r="K2675" t="s">
        <v>1989</v>
      </c>
      <c r="L2675">
        <f>IF(G2675="High",3,IF(G2675="Medium",2,1))</f>
        <v>1</v>
      </c>
    </row>
    <row r="2676" spans="1:12">
      <c r="A2676" t="s">
        <v>4702</v>
      </c>
      <c r="B2676" t="s">
        <v>1598</v>
      </c>
      <c r="C2676" t="s">
        <v>2005</v>
      </c>
      <c r="D2676" t="s">
        <v>2022</v>
      </c>
      <c r="E2676" t="s">
        <v>57</v>
      </c>
      <c r="F2676" t="s">
        <v>1971</v>
      </c>
      <c r="G2676" t="str">
        <f>INDEX(Risk_Matrix!$B$2:$D$4,MATCH(E2676,Risk_Matrix!$A$2:$A$4,0),MATCH(F2676,Risk_Matrix!$B$1:$D$1,0))</f>
        <v>Low</v>
      </c>
      <c r="H2676" s="1">
        <v>46071</v>
      </c>
      <c r="I2676" t="s">
        <v>1987</v>
      </c>
      <c r="J2676" t="s">
        <v>1988</v>
      </c>
      <c r="K2676" t="s">
        <v>1993</v>
      </c>
      <c r="L2676">
        <f>IF(G2676="High",3,IF(G2676="Medium",2,1))</f>
        <v>1</v>
      </c>
    </row>
    <row r="2677" spans="1:12">
      <c r="A2677" t="s">
        <v>4703</v>
      </c>
      <c r="B2677" t="s">
        <v>1598</v>
      </c>
      <c r="C2677" t="s">
        <v>2008</v>
      </c>
      <c r="D2677" t="s">
        <v>2009</v>
      </c>
      <c r="E2677" t="s">
        <v>57</v>
      </c>
      <c r="F2677" t="s">
        <v>57</v>
      </c>
      <c r="G2677" t="str">
        <f>INDEX(Risk_Matrix!$B$2:$D$4,MATCH(E2677,Risk_Matrix!$A$2:$A$4,0),MATCH(F2677,Risk_Matrix!$B$1:$D$1,0))</f>
        <v>Low</v>
      </c>
      <c r="H2677" s="1">
        <v>46123</v>
      </c>
      <c r="I2677" t="s">
        <v>1987</v>
      </c>
      <c r="J2677" t="s">
        <v>1997</v>
      </c>
      <c r="K2677" t="s">
        <v>2010</v>
      </c>
      <c r="L2677">
        <f>IF(G2677="High",3,IF(G2677="Medium",2,1))</f>
        <v>1</v>
      </c>
    </row>
    <row r="2678" spans="1:12">
      <c r="A2678" t="s">
        <v>4704</v>
      </c>
      <c r="B2678" t="s">
        <v>1601</v>
      </c>
      <c r="C2678" t="s">
        <v>1985</v>
      </c>
      <c r="D2678" t="s">
        <v>2012</v>
      </c>
      <c r="E2678" t="s">
        <v>1971</v>
      </c>
      <c r="F2678" t="s">
        <v>57</v>
      </c>
      <c r="G2678" t="str">
        <f>INDEX(Risk_Matrix!$B$2:$D$4,MATCH(E2678,Risk_Matrix!$A$2:$A$4,0),MATCH(F2678,Risk_Matrix!$B$1:$D$1,0))</f>
        <v>Low</v>
      </c>
      <c r="H2678" s="1">
        <v>46159</v>
      </c>
      <c r="I2678" t="s">
        <v>2015</v>
      </c>
      <c r="J2678" t="s">
        <v>2016</v>
      </c>
      <c r="K2678" t="s">
        <v>1998</v>
      </c>
      <c r="L2678">
        <f>IF(G2678="High",3,IF(G2678="Medium",2,1))</f>
        <v>1</v>
      </c>
    </row>
    <row r="2679" spans="1:12">
      <c r="A2679" t="s">
        <v>4705</v>
      </c>
      <c r="B2679" t="s">
        <v>1601</v>
      </c>
      <c r="C2679" t="s">
        <v>1991</v>
      </c>
      <c r="D2679" t="s">
        <v>2031</v>
      </c>
      <c r="E2679" t="s">
        <v>57</v>
      </c>
      <c r="F2679" t="s">
        <v>57</v>
      </c>
      <c r="G2679" t="str">
        <f>INDEX(Risk_Matrix!$B$2:$D$4,MATCH(E2679,Risk_Matrix!$A$2:$A$4,0),MATCH(F2679,Risk_Matrix!$B$1:$D$1,0))</f>
        <v>Low</v>
      </c>
      <c r="H2679" s="1">
        <v>46130</v>
      </c>
      <c r="I2679" t="s">
        <v>2025</v>
      </c>
      <c r="J2679" t="s">
        <v>2035</v>
      </c>
      <c r="K2679" t="s">
        <v>2010</v>
      </c>
      <c r="L2679">
        <f>IF(G2679="High",3,IF(G2679="Medium",2,1))</f>
        <v>1</v>
      </c>
    </row>
    <row r="2680" spans="1:12">
      <c r="A2680" t="s">
        <v>4706</v>
      </c>
      <c r="B2680" t="s">
        <v>1601</v>
      </c>
      <c r="C2680" t="s">
        <v>1995</v>
      </c>
      <c r="D2680" t="s">
        <v>2150</v>
      </c>
      <c r="E2680" t="s">
        <v>47</v>
      </c>
      <c r="F2680" t="s">
        <v>57</v>
      </c>
      <c r="G2680" t="str">
        <f>INDEX(Risk_Matrix!$B$2:$D$4,MATCH(E2680,Risk_Matrix!$A$2:$A$4,0),MATCH(F2680,Risk_Matrix!$B$1:$D$1,0))</f>
        <v>Medium</v>
      </c>
      <c r="H2680" s="1">
        <v>46235</v>
      </c>
      <c r="I2680" t="s">
        <v>2025</v>
      </c>
      <c r="J2680" t="s">
        <v>2026</v>
      </c>
      <c r="K2680" t="s">
        <v>2036</v>
      </c>
      <c r="L2680">
        <f>IF(G2680="High",3,IF(G2680="Medium",2,1))</f>
        <v>2</v>
      </c>
    </row>
    <row r="2681" spans="1:12">
      <c r="A2681" t="s">
        <v>4707</v>
      </c>
      <c r="B2681" t="s">
        <v>1601</v>
      </c>
      <c r="C2681" t="s">
        <v>2000</v>
      </c>
      <c r="D2681" t="s">
        <v>2001</v>
      </c>
      <c r="E2681" t="s">
        <v>1971</v>
      </c>
      <c r="F2681" t="s">
        <v>47</v>
      </c>
      <c r="G2681" t="str">
        <f>INDEX(Risk_Matrix!$B$2:$D$4,MATCH(E2681,Risk_Matrix!$A$2:$A$4,0),MATCH(F2681,Risk_Matrix!$B$1:$D$1,0))</f>
        <v>High</v>
      </c>
      <c r="H2681" s="1">
        <v>46160</v>
      </c>
      <c r="I2681" t="s">
        <v>2015</v>
      </c>
      <c r="J2681" t="s">
        <v>2016</v>
      </c>
      <c r="K2681" t="s">
        <v>1993</v>
      </c>
      <c r="L2681">
        <f>IF(G2681="High",3,IF(G2681="Medium",2,1))</f>
        <v>3</v>
      </c>
    </row>
    <row r="2682" spans="1:12">
      <c r="A2682" t="s">
        <v>4708</v>
      </c>
      <c r="B2682" t="s">
        <v>1601</v>
      </c>
      <c r="C2682" t="s">
        <v>2005</v>
      </c>
      <c r="D2682" t="s">
        <v>2006</v>
      </c>
      <c r="E2682" t="s">
        <v>47</v>
      </c>
      <c r="F2682" t="s">
        <v>57</v>
      </c>
      <c r="G2682" t="str">
        <f>INDEX(Risk_Matrix!$B$2:$D$4,MATCH(E2682,Risk_Matrix!$A$2:$A$4,0),MATCH(F2682,Risk_Matrix!$B$1:$D$1,0))</f>
        <v>Medium</v>
      </c>
      <c r="H2682" s="1">
        <v>46180</v>
      </c>
      <c r="I2682" t="s">
        <v>2015</v>
      </c>
      <c r="J2682" t="s">
        <v>2016</v>
      </c>
      <c r="K2682" t="s">
        <v>1993</v>
      </c>
      <c r="L2682">
        <f>IF(G2682="High",3,IF(G2682="Medium",2,1))</f>
        <v>2</v>
      </c>
    </row>
    <row r="2683" spans="1:12">
      <c r="A2683" t="s">
        <v>4709</v>
      </c>
      <c r="B2683" t="s">
        <v>1601</v>
      </c>
      <c r="C2683" t="s">
        <v>2008</v>
      </c>
      <c r="D2683" t="s">
        <v>2024</v>
      </c>
      <c r="E2683" t="s">
        <v>47</v>
      </c>
      <c r="F2683" t="s">
        <v>47</v>
      </c>
      <c r="G2683" t="str">
        <f>INDEX(Risk_Matrix!$B$2:$D$4,MATCH(E2683,Risk_Matrix!$A$2:$A$4,0),MATCH(F2683,Risk_Matrix!$B$1:$D$1,0))</f>
        <v>High</v>
      </c>
      <c r="H2683" s="1">
        <v>46227</v>
      </c>
      <c r="I2683" t="s">
        <v>2015</v>
      </c>
      <c r="J2683" t="s">
        <v>2016</v>
      </c>
      <c r="K2683" t="s">
        <v>2010</v>
      </c>
      <c r="L2683">
        <f>IF(G2683="High",3,IF(G2683="Medium",2,1))</f>
        <v>3</v>
      </c>
    </row>
    <row r="2684" spans="1:12">
      <c r="A2684" t="s">
        <v>4710</v>
      </c>
      <c r="B2684" t="s">
        <v>1603</v>
      </c>
      <c r="C2684" t="s">
        <v>1985</v>
      </c>
      <c r="D2684" t="s">
        <v>2028</v>
      </c>
      <c r="E2684" t="s">
        <v>57</v>
      </c>
      <c r="F2684" t="s">
        <v>1971</v>
      </c>
      <c r="G2684" t="str">
        <f>INDEX(Risk_Matrix!$B$2:$D$4,MATCH(E2684,Risk_Matrix!$A$2:$A$4,0),MATCH(F2684,Risk_Matrix!$B$1:$D$1,0))</f>
        <v>Low</v>
      </c>
      <c r="H2684" s="1">
        <v>46095</v>
      </c>
      <c r="I2684" t="s">
        <v>1987</v>
      </c>
      <c r="J2684" t="s">
        <v>1988</v>
      </c>
      <c r="K2684" t="s">
        <v>1989</v>
      </c>
      <c r="L2684">
        <f>IF(G2684="High",3,IF(G2684="Medium",2,1))</f>
        <v>1</v>
      </c>
    </row>
    <row r="2685" spans="1:12">
      <c r="A2685" t="s">
        <v>4711</v>
      </c>
      <c r="B2685" t="s">
        <v>1603</v>
      </c>
      <c r="C2685" t="s">
        <v>1991</v>
      </c>
      <c r="D2685" t="s">
        <v>2064</v>
      </c>
      <c r="E2685" t="s">
        <v>57</v>
      </c>
      <c r="F2685" t="s">
        <v>47</v>
      </c>
      <c r="G2685" t="str">
        <f>INDEX(Risk_Matrix!$B$2:$D$4,MATCH(E2685,Risk_Matrix!$A$2:$A$4,0),MATCH(F2685,Risk_Matrix!$B$1:$D$1,0))</f>
        <v>Medium</v>
      </c>
      <c r="H2685" s="1">
        <v>46056</v>
      </c>
      <c r="I2685" t="s">
        <v>1987</v>
      </c>
      <c r="J2685" t="s">
        <v>1988</v>
      </c>
      <c r="K2685" t="s">
        <v>2010</v>
      </c>
      <c r="L2685">
        <f>IF(G2685="High",3,IF(G2685="Medium",2,1))</f>
        <v>2</v>
      </c>
    </row>
    <row r="2686" spans="1:12">
      <c r="A2686" t="s">
        <v>4712</v>
      </c>
      <c r="B2686" t="s">
        <v>1603</v>
      </c>
      <c r="C2686" t="s">
        <v>1995</v>
      </c>
      <c r="D2686" t="s">
        <v>2034</v>
      </c>
      <c r="E2686" t="s">
        <v>57</v>
      </c>
      <c r="F2686" t="s">
        <v>57</v>
      </c>
      <c r="G2686" t="str">
        <f>INDEX(Risk_Matrix!$B$2:$D$4,MATCH(E2686,Risk_Matrix!$A$2:$A$4,0),MATCH(F2686,Risk_Matrix!$B$1:$D$1,0))</f>
        <v>Low</v>
      </c>
      <c r="H2686" s="1">
        <v>46060</v>
      </c>
      <c r="I2686" t="s">
        <v>2002</v>
      </c>
      <c r="J2686" t="s">
        <v>2003</v>
      </c>
      <c r="K2686" t="s">
        <v>1998</v>
      </c>
      <c r="L2686">
        <f>IF(G2686="High",3,IF(G2686="Medium",2,1))</f>
        <v>1</v>
      </c>
    </row>
    <row r="2687" spans="1:12">
      <c r="A2687" t="s">
        <v>4713</v>
      </c>
      <c r="B2687" t="s">
        <v>1603</v>
      </c>
      <c r="C2687" t="s">
        <v>2000</v>
      </c>
      <c r="D2687" t="s">
        <v>2001</v>
      </c>
      <c r="E2687" t="s">
        <v>47</v>
      </c>
      <c r="F2687" t="s">
        <v>57</v>
      </c>
      <c r="G2687" t="str">
        <f>INDEX(Risk_Matrix!$B$2:$D$4,MATCH(E2687,Risk_Matrix!$A$2:$A$4,0),MATCH(F2687,Risk_Matrix!$B$1:$D$1,0))</f>
        <v>Medium</v>
      </c>
      <c r="H2687" s="1">
        <v>46164</v>
      </c>
      <c r="I2687" t="s">
        <v>2025</v>
      </c>
      <c r="J2687" t="s">
        <v>2035</v>
      </c>
      <c r="K2687" t="s">
        <v>1989</v>
      </c>
      <c r="L2687">
        <f>IF(G2687="High",3,IF(G2687="Medium",2,1))</f>
        <v>2</v>
      </c>
    </row>
    <row r="2688" spans="1:12">
      <c r="A2688" t="s">
        <v>4714</v>
      </c>
      <c r="B2688" t="s">
        <v>1603</v>
      </c>
      <c r="C2688" t="s">
        <v>2005</v>
      </c>
      <c r="D2688" t="s">
        <v>2006</v>
      </c>
      <c r="E2688" t="s">
        <v>57</v>
      </c>
      <c r="F2688" t="s">
        <v>57</v>
      </c>
      <c r="G2688" t="str">
        <f>INDEX(Risk_Matrix!$B$2:$D$4,MATCH(E2688,Risk_Matrix!$A$2:$A$4,0),MATCH(F2688,Risk_Matrix!$B$1:$D$1,0))</f>
        <v>Low</v>
      </c>
      <c r="H2688" s="1">
        <v>46152</v>
      </c>
      <c r="I2688" t="s">
        <v>2002</v>
      </c>
      <c r="J2688" t="s">
        <v>2029</v>
      </c>
      <c r="K2688" t="s">
        <v>1993</v>
      </c>
      <c r="L2688">
        <f>IF(G2688="High",3,IF(G2688="Medium",2,1))</f>
        <v>1</v>
      </c>
    </row>
    <row r="2689" spans="1:12">
      <c r="A2689" t="s">
        <v>4715</v>
      </c>
      <c r="B2689" t="s">
        <v>1603</v>
      </c>
      <c r="C2689" t="s">
        <v>2008</v>
      </c>
      <c r="D2689" t="s">
        <v>2009</v>
      </c>
      <c r="E2689" t="s">
        <v>57</v>
      </c>
      <c r="F2689" t="s">
        <v>47</v>
      </c>
      <c r="G2689" t="str">
        <f>INDEX(Risk_Matrix!$B$2:$D$4,MATCH(E2689,Risk_Matrix!$A$2:$A$4,0),MATCH(F2689,Risk_Matrix!$B$1:$D$1,0))</f>
        <v>Medium</v>
      </c>
      <c r="H2689" s="1">
        <v>46060</v>
      </c>
      <c r="I2689" t="s">
        <v>1987</v>
      </c>
      <c r="J2689" t="s">
        <v>1997</v>
      </c>
      <c r="K2689" t="s">
        <v>2010</v>
      </c>
      <c r="L2689">
        <f>IF(G2689="High",3,IF(G2689="Medium",2,1))</f>
        <v>2</v>
      </c>
    </row>
    <row r="2690" spans="1:12">
      <c r="A2690" t="s">
        <v>4716</v>
      </c>
      <c r="B2690" t="s">
        <v>1605</v>
      </c>
      <c r="C2690" t="s">
        <v>1985</v>
      </c>
      <c r="D2690" t="s">
        <v>1986</v>
      </c>
      <c r="E2690" t="s">
        <v>1971</v>
      </c>
      <c r="F2690" t="s">
        <v>57</v>
      </c>
      <c r="G2690" t="str">
        <f>INDEX(Risk_Matrix!$B$2:$D$4,MATCH(E2690,Risk_Matrix!$A$2:$A$4,0),MATCH(F2690,Risk_Matrix!$B$1:$D$1,0))</f>
        <v>Low</v>
      </c>
      <c r="H2690" s="1">
        <v>46167</v>
      </c>
      <c r="I2690" t="s">
        <v>2002</v>
      </c>
      <c r="J2690" t="s">
        <v>2003</v>
      </c>
      <c r="K2690" t="s">
        <v>1998</v>
      </c>
      <c r="L2690">
        <f>IF(G2690="High",3,IF(G2690="Medium",2,1))</f>
        <v>1</v>
      </c>
    </row>
    <row r="2691" spans="1:12">
      <c r="A2691" t="s">
        <v>4717</v>
      </c>
      <c r="B2691" t="s">
        <v>1605</v>
      </c>
      <c r="C2691" t="s">
        <v>1991</v>
      </c>
      <c r="D2691" t="s">
        <v>2064</v>
      </c>
      <c r="E2691" t="s">
        <v>47</v>
      </c>
      <c r="F2691" t="s">
        <v>47</v>
      </c>
      <c r="G2691" t="str">
        <f>INDEX(Risk_Matrix!$B$2:$D$4,MATCH(E2691,Risk_Matrix!$A$2:$A$4,0),MATCH(F2691,Risk_Matrix!$B$1:$D$1,0))</f>
        <v>High</v>
      </c>
      <c r="H2691" s="1">
        <v>46191</v>
      </c>
      <c r="I2691" t="s">
        <v>2015</v>
      </c>
      <c r="J2691" t="s">
        <v>2032</v>
      </c>
      <c r="K2691" t="s">
        <v>1993</v>
      </c>
      <c r="L2691">
        <f>IF(G2691="High",3,IF(G2691="Medium",2,1))</f>
        <v>3</v>
      </c>
    </row>
    <row r="2692" spans="1:12">
      <c r="A2692" t="s">
        <v>4718</v>
      </c>
      <c r="B2692" t="s">
        <v>1605</v>
      </c>
      <c r="C2692" t="s">
        <v>1995</v>
      </c>
      <c r="D2692" t="s">
        <v>2018</v>
      </c>
      <c r="E2692" t="s">
        <v>57</v>
      </c>
      <c r="F2692" t="s">
        <v>57</v>
      </c>
      <c r="G2692" t="str">
        <f>INDEX(Risk_Matrix!$B$2:$D$4,MATCH(E2692,Risk_Matrix!$A$2:$A$4,0),MATCH(F2692,Risk_Matrix!$B$1:$D$1,0))</f>
        <v>Low</v>
      </c>
      <c r="H2692" s="1">
        <v>46218</v>
      </c>
      <c r="I2692" t="s">
        <v>2002</v>
      </c>
      <c r="J2692" t="s">
        <v>2029</v>
      </c>
      <c r="K2692" t="s">
        <v>2036</v>
      </c>
      <c r="L2692">
        <f>IF(G2692="High",3,IF(G2692="Medium",2,1))</f>
        <v>1</v>
      </c>
    </row>
    <row r="2693" spans="1:12">
      <c r="A2693" t="s">
        <v>4719</v>
      </c>
      <c r="B2693" t="s">
        <v>1605</v>
      </c>
      <c r="C2693" t="s">
        <v>2000</v>
      </c>
      <c r="D2693" t="s">
        <v>2045</v>
      </c>
      <c r="E2693" t="s">
        <v>1971</v>
      </c>
      <c r="F2693" t="s">
        <v>47</v>
      </c>
      <c r="G2693" t="str">
        <f>INDEX(Risk_Matrix!$B$2:$D$4,MATCH(E2693,Risk_Matrix!$A$2:$A$4,0),MATCH(F2693,Risk_Matrix!$B$1:$D$1,0))</f>
        <v>High</v>
      </c>
      <c r="H2693" s="1">
        <v>46061</v>
      </c>
      <c r="I2693" t="s">
        <v>2025</v>
      </c>
      <c r="J2693" t="s">
        <v>2035</v>
      </c>
      <c r="K2693" t="s">
        <v>1989</v>
      </c>
      <c r="L2693">
        <f>IF(G2693="High",3,IF(G2693="Medium",2,1))</f>
        <v>3</v>
      </c>
    </row>
    <row r="2694" spans="1:12">
      <c r="A2694" t="s">
        <v>4720</v>
      </c>
      <c r="B2694" t="s">
        <v>1605</v>
      </c>
      <c r="C2694" t="s">
        <v>2005</v>
      </c>
      <c r="D2694" t="s">
        <v>2039</v>
      </c>
      <c r="E2694" t="s">
        <v>57</v>
      </c>
      <c r="F2694" t="s">
        <v>47</v>
      </c>
      <c r="G2694" t="str">
        <f>INDEX(Risk_Matrix!$B$2:$D$4,MATCH(E2694,Risk_Matrix!$A$2:$A$4,0),MATCH(F2694,Risk_Matrix!$B$1:$D$1,0))</f>
        <v>Medium</v>
      </c>
      <c r="H2694" s="1">
        <v>46209</v>
      </c>
      <c r="I2694" t="s">
        <v>2015</v>
      </c>
      <c r="J2694" t="s">
        <v>2032</v>
      </c>
      <c r="K2694" t="s">
        <v>1993</v>
      </c>
      <c r="L2694">
        <f>IF(G2694="High",3,IF(G2694="Medium",2,1))</f>
        <v>2</v>
      </c>
    </row>
    <row r="2695" spans="1:12">
      <c r="A2695" t="s">
        <v>4721</v>
      </c>
      <c r="B2695" t="s">
        <v>1605</v>
      </c>
      <c r="C2695" t="s">
        <v>2008</v>
      </c>
      <c r="D2695" t="s">
        <v>2054</v>
      </c>
      <c r="E2695" t="s">
        <v>1971</v>
      </c>
      <c r="F2695" t="s">
        <v>1971</v>
      </c>
      <c r="G2695" t="str">
        <f>INDEX(Risk_Matrix!$B$2:$D$4,MATCH(E2695,Risk_Matrix!$A$2:$A$4,0),MATCH(F2695,Risk_Matrix!$B$1:$D$1,0))</f>
        <v>Medium</v>
      </c>
      <c r="H2695" s="1">
        <v>46060</v>
      </c>
      <c r="I2695" t="s">
        <v>1987</v>
      </c>
      <c r="J2695" t="s">
        <v>1997</v>
      </c>
      <c r="K2695" t="s">
        <v>2010</v>
      </c>
      <c r="L2695">
        <f>IF(G2695="High",3,IF(G2695="Medium",2,1))</f>
        <v>2</v>
      </c>
    </row>
    <row r="2696" spans="1:12">
      <c r="A2696" t="s">
        <v>4722</v>
      </c>
      <c r="B2696" t="s">
        <v>1607</v>
      </c>
      <c r="C2696" t="s">
        <v>1985</v>
      </c>
      <c r="D2696" t="s">
        <v>2012</v>
      </c>
      <c r="E2696" t="s">
        <v>1971</v>
      </c>
      <c r="F2696" t="s">
        <v>57</v>
      </c>
      <c r="G2696" t="str">
        <f>INDEX(Risk_Matrix!$B$2:$D$4,MATCH(E2696,Risk_Matrix!$A$2:$A$4,0),MATCH(F2696,Risk_Matrix!$B$1:$D$1,0))</f>
        <v>Low</v>
      </c>
      <c r="H2696" s="1">
        <v>46209</v>
      </c>
      <c r="I2696" t="s">
        <v>2025</v>
      </c>
      <c r="J2696" t="s">
        <v>2035</v>
      </c>
      <c r="K2696" t="s">
        <v>1989</v>
      </c>
      <c r="L2696">
        <f>IF(G2696="High",3,IF(G2696="Medium",2,1))</f>
        <v>1</v>
      </c>
    </row>
    <row r="2697" spans="1:12">
      <c r="A2697" t="s">
        <v>4723</v>
      </c>
      <c r="B2697" t="s">
        <v>1607</v>
      </c>
      <c r="C2697" t="s">
        <v>1991</v>
      </c>
      <c r="D2697" t="s">
        <v>2064</v>
      </c>
      <c r="E2697" t="s">
        <v>1971</v>
      </c>
      <c r="F2697" t="s">
        <v>1971</v>
      </c>
      <c r="G2697" t="str">
        <f>INDEX(Risk_Matrix!$B$2:$D$4,MATCH(E2697,Risk_Matrix!$A$2:$A$4,0),MATCH(F2697,Risk_Matrix!$B$1:$D$1,0))</f>
        <v>Medium</v>
      </c>
      <c r="H2697" s="1">
        <v>46104</v>
      </c>
      <c r="I2697" t="s">
        <v>1987</v>
      </c>
      <c r="J2697" t="s">
        <v>1988</v>
      </c>
      <c r="K2697" t="s">
        <v>2010</v>
      </c>
      <c r="L2697">
        <f>IF(G2697="High",3,IF(G2697="Medium",2,1))</f>
        <v>2</v>
      </c>
    </row>
    <row r="2698" spans="1:12">
      <c r="A2698" t="s">
        <v>4724</v>
      </c>
      <c r="B2698" t="s">
        <v>1607</v>
      </c>
      <c r="C2698" t="s">
        <v>1995</v>
      </c>
      <c r="D2698" t="s">
        <v>2018</v>
      </c>
      <c r="E2698" t="s">
        <v>57</v>
      </c>
      <c r="F2698" t="s">
        <v>47</v>
      </c>
      <c r="G2698" t="str">
        <f>INDEX(Risk_Matrix!$B$2:$D$4,MATCH(E2698,Risk_Matrix!$A$2:$A$4,0),MATCH(F2698,Risk_Matrix!$B$1:$D$1,0))</f>
        <v>Medium</v>
      </c>
      <c r="H2698" s="1">
        <v>46107</v>
      </c>
      <c r="I2698" t="s">
        <v>2025</v>
      </c>
      <c r="J2698" t="s">
        <v>2035</v>
      </c>
      <c r="K2698" t="s">
        <v>1998</v>
      </c>
      <c r="L2698">
        <f>IF(G2698="High",3,IF(G2698="Medium",2,1))</f>
        <v>2</v>
      </c>
    </row>
    <row r="2699" spans="1:12">
      <c r="A2699" t="s">
        <v>4725</v>
      </c>
      <c r="B2699" t="s">
        <v>1607</v>
      </c>
      <c r="C2699" t="s">
        <v>2000</v>
      </c>
      <c r="D2699" t="s">
        <v>2020</v>
      </c>
      <c r="E2699" t="s">
        <v>1971</v>
      </c>
      <c r="F2699" t="s">
        <v>57</v>
      </c>
      <c r="G2699" t="str">
        <f>INDEX(Risk_Matrix!$B$2:$D$4,MATCH(E2699,Risk_Matrix!$A$2:$A$4,0),MATCH(F2699,Risk_Matrix!$B$1:$D$1,0))</f>
        <v>Low</v>
      </c>
      <c r="H2699" s="1">
        <v>46149</v>
      </c>
      <c r="I2699" t="s">
        <v>2002</v>
      </c>
      <c r="J2699" t="s">
        <v>2029</v>
      </c>
      <c r="K2699" t="s">
        <v>1993</v>
      </c>
      <c r="L2699">
        <f>IF(G2699="High",3,IF(G2699="Medium",2,1))</f>
        <v>1</v>
      </c>
    </row>
    <row r="2700" spans="1:12">
      <c r="A2700" t="s">
        <v>4726</v>
      </c>
      <c r="B2700" t="s">
        <v>1607</v>
      </c>
      <c r="C2700" t="s">
        <v>2005</v>
      </c>
      <c r="D2700" t="s">
        <v>2022</v>
      </c>
      <c r="E2700" t="s">
        <v>57</v>
      </c>
      <c r="F2700" t="s">
        <v>47</v>
      </c>
      <c r="G2700" t="str">
        <f>INDEX(Risk_Matrix!$B$2:$D$4,MATCH(E2700,Risk_Matrix!$A$2:$A$4,0),MATCH(F2700,Risk_Matrix!$B$1:$D$1,0))</f>
        <v>Medium</v>
      </c>
      <c r="H2700" s="1">
        <v>46186</v>
      </c>
      <c r="I2700" t="s">
        <v>2025</v>
      </c>
      <c r="J2700" t="s">
        <v>2026</v>
      </c>
      <c r="K2700" t="s">
        <v>1993</v>
      </c>
      <c r="L2700">
        <f>IF(G2700="High",3,IF(G2700="Medium",2,1))</f>
        <v>2</v>
      </c>
    </row>
    <row r="2701" spans="1:12">
      <c r="A2701" t="s">
        <v>4727</v>
      </c>
      <c r="B2701" t="s">
        <v>1607</v>
      </c>
      <c r="C2701" t="s">
        <v>2008</v>
      </c>
      <c r="D2701" t="s">
        <v>2009</v>
      </c>
      <c r="E2701" t="s">
        <v>1971</v>
      </c>
      <c r="F2701" t="s">
        <v>1971</v>
      </c>
      <c r="G2701" t="str">
        <f>INDEX(Risk_Matrix!$B$2:$D$4,MATCH(E2701,Risk_Matrix!$A$2:$A$4,0),MATCH(F2701,Risk_Matrix!$B$1:$D$1,0))</f>
        <v>Medium</v>
      </c>
      <c r="H2701" s="1">
        <v>46208</v>
      </c>
      <c r="I2701" t="s">
        <v>2015</v>
      </c>
      <c r="J2701" t="s">
        <v>2016</v>
      </c>
      <c r="K2701" t="s">
        <v>2010</v>
      </c>
      <c r="L2701">
        <f>IF(G2701="High",3,IF(G2701="Medium",2,1))</f>
        <v>2</v>
      </c>
    </row>
    <row r="2702" spans="1:12">
      <c r="A2702" t="s">
        <v>4728</v>
      </c>
      <c r="B2702" t="s">
        <v>1609</v>
      </c>
      <c r="C2702" t="s">
        <v>1985</v>
      </c>
      <c r="D2702" t="s">
        <v>2012</v>
      </c>
      <c r="E2702" t="s">
        <v>47</v>
      </c>
      <c r="F2702" t="s">
        <v>57</v>
      </c>
      <c r="G2702" t="str">
        <f>INDEX(Risk_Matrix!$B$2:$D$4,MATCH(E2702,Risk_Matrix!$A$2:$A$4,0),MATCH(F2702,Risk_Matrix!$B$1:$D$1,0))</f>
        <v>Medium</v>
      </c>
      <c r="H2702" s="1">
        <v>46158</v>
      </c>
      <c r="I2702" t="s">
        <v>1987</v>
      </c>
      <c r="J2702" t="s">
        <v>1997</v>
      </c>
      <c r="K2702" t="s">
        <v>1998</v>
      </c>
      <c r="L2702">
        <f>IF(G2702="High",3,IF(G2702="Medium",2,1))</f>
        <v>2</v>
      </c>
    </row>
    <row r="2703" spans="1:12">
      <c r="A2703" t="s">
        <v>4729</v>
      </c>
      <c r="B2703" t="s">
        <v>1609</v>
      </c>
      <c r="C2703" t="s">
        <v>1991</v>
      </c>
      <c r="D2703" t="s">
        <v>2031</v>
      </c>
      <c r="E2703" t="s">
        <v>1971</v>
      </c>
      <c r="F2703" t="s">
        <v>47</v>
      </c>
      <c r="G2703" t="str">
        <f>INDEX(Risk_Matrix!$B$2:$D$4,MATCH(E2703,Risk_Matrix!$A$2:$A$4,0),MATCH(F2703,Risk_Matrix!$B$1:$D$1,0))</f>
        <v>High</v>
      </c>
      <c r="H2703" s="1">
        <v>46237</v>
      </c>
      <c r="I2703" t="s">
        <v>2015</v>
      </c>
      <c r="J2703" t="s">
        <v>2032</v>
      </c>
      <c r="K2703" t="s">
        <v>2010</v>
      </c>
      <c r="L2703">
        <f>IF(G2703="High",3,IF(G2703="Medium",2,1))</f>
        <v>3</v>
      </c>
    </row>
    <row r="2704" spans="1:12">
      <c r="A2704" t="s">
        <v>4730</v>
      </c>
      <c r="B2704" t="s">
        <v>1609</v>
      </c>
      <c r="C2704" t="s">
        <v>1995</v>
      </c>
      <c r="D2704" t="s">
        <v>2150</v>
      </c>
      <c r="E2704" t="s">
        <v>57</v>
      </c>
      <c r="F2704" t="s">
        <v>57</v>
      </c>
      <c r="G2704" t="str">
        <f>INDEX(Risk_Matrix!$B$2:$D$4,MATCH(E2704,Risk_Matrix!$A$2:$A$4,0),MATCH(F2704,Risk_Matrix!$B$1:$D$1,0))</f>
        <v>Low</v>
      </c>
      <c r="H2704" s="1">
        <v>46132</v>
      </c>
      <c r="I2704" t="s">
        <v>1987</v>
      </c>
      <c r="J2704" t="s">
        <v>1988</v>
      </c>
      <c r="K2704" t="s">
        <v>2036</v>
      </c>
      <c r="L2704">
        <f>IF(G2704="High",3,IF(G2704="Medium",2,1))</f>
        <v>1</v>
      </c>
    </row>
    <row r="2705" spans="1:12">
      <c r="A2705" t="s">
        <v>4731</v>
      </c>
      <c r="B2705" t="s">
        <v>1609</v>
      </c>
      <c r="C2705" t="s">
        <v>2000</v>
      </c>
      <c r="D2705" t="s">
        <v>2020</v>
      </c>
      <c r="E2705" t="s">
        <v>1971</v>
      </c>
      <c r="F2705" t="s">
        <v>57</v>
      </c>
      <c r="G2705" t="str">
        <f>INDEX(Risk_Matrix!$B$2:$D$4,MATCH(E2705,Risk_Matrix!$A$2:$A$4,0),MATCH(F2705,Risk_Matrix!$B$1:$D$1,0))</f>
        <v>Low</v>
      </c>
      <c r="H2705" s="1">
        <v>46226</v>
      </c>
      <c r="I2705" t="s">
        <v>2015</v>
      </c>
      <c r="J2705" t="s">
        <v>2016</v>
      </c>
      <c r="K2705" t="s">
        <v>1993</v>
      </c>
      <c r="L2705">
        <f>IF(G2705="High",3,IF(G2705="Medium",2,1))</f>
        <v>1</v>
      </c>
    </row>
    <row r="2706" spans="1:12">
      <c r="A2706" t="s">
        <v>4732</v>
      </c>
      <c r="B2706" t="s">
        <v>1609</v>
      </c>
      <c r="C2706" t="s">
        <v>2005</v>
      </c>
      <c r="D2706" t="s">
        <v>2022</v>
      </c>
      <c r="E2706" t="s">
        <v>47</v>
      </c>
      <c r="F2706" t="s">
        <v>57</v>
      </c>
      <c r="G2706" t="str">
        <f>INDEX(Risk_Matrix!$B$2:$D$4,MATCH(E2706,Risk_Matrix!$A$2:$A$4,0),MATCH(F2706,Risk_Matrix!$B$1:$D$1,0))</f>
        <v>Medium</v>
      </c>
      <c r="H2706" s="1">
        <v>46227</v>
      </c>
      <c r="I2706" t="s">
        <v>2015</v>
      </c>
      <c r="J2706" t="s">
        <v>2032</v>
      </c>
      <c r="K2706" t="s">
        <v>2036</v>
      </c>
      <c r="L2706">
        <f>IF(G2706="High",3,IF(G2706="Medium",2,1))</f>
        <v>2</v>
      </c>
    </row>
    <row r="2707" spans="1:12">
      <c r="A2707" t="s">
        <v>4733</v>
      </c>
      <c r="B2707" t="s">
        <v>1609</v>
      </c>
      <c r="C2707" t="s">
        <v>2008</v>
      </c>
      <c r="D2707" t="s">
        <v>2024</v>
      </c>
      <c r="E2707" t="s">
        <v>57</v>
      </c>
      <c r="F2707" t="s">
        <v>1971</v>
      </c>
      <c r="G2707" t="str">
        <f>INDEX(Risk_Matrix!$B$2:$D$4,MATCH(E2707,Risk_Matrix!$A$2:$A$4,0),MATCH(F2707,Risk_Matrix!$B$1:$D$1,0))</f>
        <v>Low</v>
      </c>
      <c r="H2707" s="1">
        <v>46194</v>
      </c>
      <c r="I2707" t="s">
        <v>2002</v>
      </c>
      <c r="J2707" t="s">
        <v>2029</v>
      </c>
      <c r="K2707" t="s">
        <v>2010</v>
      </c>
      <c r="L2707">
        <f>IF(G2707="High",3,IF(G2707="Medium",2,1))</f>
        <v>1</v>
      </c>
    </row>
    <row r="2708" spans="1:12">
      <c r="A2708" t="s">
        <v>4734</v>
      </c>
      <c r="B2708" t="s">
        <v>1611</v>
      </c>
      <c r="C2708" t="s">
        <v>1985</v>
      </c>
      <c r="D2708" t="s">
        <v>2028</v>
      </c>
      <c r="E2708" t="s">
        <v>47</v>
      </c>
      <c r="F2708" t="s">
        <v>57</v>
      </c>
      <c r="G2708" t="str">
        <f>INDEX(Risk_Matrix!$B$2:$D$4,MATCH(E2708,Risk_Matrix!$A$2:$A$4,0),MATCH(F2708,Risk_Matrix!$B$1:$D$1,0))</f>
        <v>Medium</v>
      </c>
      <c r="H2708" s="1">
        <v>46124</v>
      </c>
      <c r="I2708" t="s">
        <v>2002</v>
      </c>
      <c r="J2708" t="s">
        <v>2029</v>
      </c>
      <c r="K2708" t="s">
        <v>1998</v>
      </c>
      <c r="L2708">
        <f>IF(G2708="High",3,IF(G2708="Medium",2,1))</f>
        <v>2</v>
      </c>
    </row>
    <row r="2709" spans="1:12">
      <c r="A2709" t="s">
        <v>4735</v>
      </c>
      <c r="B2709" t="s">
        <v>1611</v>
      </c>
      <c r="C2709" t="s">
        <v>1991</v>
      </c>
      <c r="D2709" t="s">
        <v>2064</v>
      </c>
      <c r="E2709" t="s">
        <v>57</v>
      </c>
      <c r="F2709" t="s">
        <v>57</v>
      </c>
      <c r="G2709" t="str">
        <f>INDEX(Risk_Matrix!$B$2:$D$4,MATCH(E2709,Risk_Matrix!$A$2:$A$4,0),MATCH(F2709,Risk_Matrix!$B$1:$D$1,0))</f>
        <v>Low</v>
      </c>
      <c r="H2709" s="1">
        <v>46133</v>
      </c>
      <c r="I2709" t="s">
        <v>1987</v>
      </c>
      <c r="J2709" t="s">
        <v>1997</v>
      </c>
      <c r="K2709" t="s">
        <v>1993</v>
      </c>
      <c r="L2709">
        <f>IF(G2709="High",3,IF(G2709="Medium",2,1))</f>
        <v>1</v>
      </c>
    </row>
    <row r="2710" spans="1:12">
      <c r="A2710" t="s">
        <v>4736</v>
      </c>
      <c r="B2710" t="s">
        <v>1611</v>
      </c>
      <c r="C2710" t="s">
        <v>1995</v>
      </c>
      <c r="D2710" t="s">
        <v>2018</v>
      </c>
      <c r="E2710" t="s">
        <v>57</v>
      </c>
      <c r="F2710" t="s">
        <v>57</v>
      </c>
      <c r="G2710" t="str">
        <f>INDEX(Risk_Matrix!$B$2:$D$4,MATCH(E2710,Risk_Matrix!$A$2:$A$4,0),MATCH(F2710,Risk_Matrix!$B$1:$D$1,0))</f>
        <v>Low</v>
      </c>
      <c r="H2710" s="1">
        <v>46098</v>
      </c>
      <c r="I2710" t="s">
        <v>2002</v>
      </c>
      <c r="J2710" t="s">
        <v>2003</v>
      </c>
      <c r="K2710" t="s">
        <v>2036</v>
      </c>
      <c r="L2710">
        <f>IF(G2710="High",3,IF(G2710="Medium",2,1))</f>
        <v>1</v>
      </c>
    </row>
    <row r="2711" spans="1:12">
      <c r="A2711" t="s">
        <v>4737</v>
      </c>
      <c r="B2711" t="s">
        <v>1611</v>
      </c>
      <c r="C2711" t="s">
        <v>2000</v>
      </c>
      <c r="D2711" t="s">
        <v>2001</v>
      </c>
      <c r="E2711" t="s">
        <v>57</v>
      </c>
      <c r="F2711" t="s">
        <v>57</v>
      </c>
      <c r="G2711" t="str">
        <f>INDEX(Risk_Matrix!$B$2:$D$4,MATCH(E2711,Risk_Matrix!$A$2:$A$4,0),MATCH(F2711,Risk_Matrix!$B$1:$D$1,0))</f>
        <v>Low</v>
      </c>
      <c r="H2711" s="1">
        <v>46222</v>
      </c>
      <c r="I2711" t="s">
        <v>1987</v>
      </c>
      <c r="J2711" t="s">
        <v>1997</v>
      </c>
      <c r="K2711" t="s">
        <v>1993</v>
      </c>
      <c r="L2711">
        <f>IF(G2711="High",3,IF(G2711="Medium",2,1))</f>
        <v>1</v>
      </c>
    </row>
    <row r="2712" spans="1:12">
      <c r="A2712" t="s">
        <v>4738</v>
      </c>
      <c r="B2712" t="s">
        <v>1611</v>
      </c>
      <c r="C2712" t="s">
        <v>2005</v>
      </c>
      <c r="D2712" t="s">
        <v>2022</v>
      </c>
      <c r="E2712" t="s">
        <v>57</v>
      </c>
      <c r="F2712" t="s">
        <v>57</v>
      </c>
      <c r="G2712" t="str">
        <f>INDEX(Risk_Matrix!$B$2:$D$4,MATCH(E2712,Risk_Matrix!$A$2:$A$4,0),MATCH(F2712,Risk_Matrix!$B$1:$D$1,0))</f>
        <v>Low</v>
      </c>
      <c r="H2712" s="1">
        <v>46115</v>
      </c>
      <c r="I2712" t="s">
        <v>2025</v>
      </c>
      <c r="J2712" t="s">
        <v>2026</v>
      </c>
      <c r="K2712" t="s">
        <v>1993</v>
      </c>
      <c r="L2712">
        <f>IF(G2712="High",3,IF(G2712="Medium",2,1))</f>
        <v>1</v>
      </c>
    </row>
    <row r="2713" spans="1:12">
      <c r="A2713" t="s">
        <v>4739</v>
      </c>
      <c r="B2713" t="s">
        <v>1611</v>
      </c>
      <c r="C2713" t="s">
        <v>2008</v>
      </c>
      <c r="D2713" t="s">
        <v>2009</v>
      </c>
      <c r="E2713" t="s">
        <v>57</v>
      </c>
      <c r="F2713" t="s">
        <v>1971</v>
      </c>
      <c r="G2713" t="str">
        <f>INDEX(Risk_Matrix!$B$2:$D$4,MATCH(E2713,Risk_Matrix!$A$2:$A$4,0),MATCH(F2713,Risk_Matrix!$B$1:$D$1,0))</f>
        <v>Low</v>
      </c>
      <c r="H2713" s="1">
        <v>46152</v>
      </c>
      <c r="I2713" t="s">
        <v>2002</v>
      </c>
      <c r="J2713" t="s">
        <v>2029</v>
      </c>
      <c r="K2713" t="s">
        <v>2010</v>
      </c>
      <c r="L2713">
        <f>IF(G2713="High",3,IF(G2713="Medium",2,1))</f>
        <v>1</v>
      </c>
    </row>
    <row r="2714" spans="1:12">
      <c r="A2714" t="s">
        <v>4740</v>
      </c>
      <c r="B2714" t="s">
        <v>1613</v>
      </c>
      <c r="C2714" t="s">
        <v>1985</v>
      </c>
      <c r="D2714" t="s">
        <v>2012</v>
      </c>
      <c r="E2714" t="s">
        <v>57</v>
      </c>
      <c r="F2714" t="s">
        <v>1971</v>
      </c>
      <c r="G2714" t="str">
        <f>INDEX(Risk_Matrix!$B$2:$D$4,MATCH(E2714,Risk_Matrix!$A$2:$A$4,0),MATCH(F2714,Risk_Matrix!$B$1:$D$1,0))</f>
        <v>Low</v>
      </c>
      <c r="H2714" s="1">
        <v>46234</v>
      </c>
      <c r="I2714" t="s">
        <v>1987</v>
      </c>
      <c r="J2714" t="s">
        <v>1997</v>
      </c>
      <c r="K2714" t="s">
        <v>1998</v>
      </c>
      <c r="L2714">
        <f>IF(G2714="High",3,IF(G2714="Medium",2,1))</f>
        <v>1</v>
      </c>
    </row>
    <row r="2715" spans="1:12">
      <c r="A2715" t="s">
        <v>4741</v>
      </c>
      <c r="B2715" t="s">
        <v>1613</v>
      </c>
      <c r="C2715" t="s">
        <v>1991</v>
      </c>
      <c r="D2715" t="s">
        <v>2031</v>
      </c>
      <c r="E2715" t="s">
        <v>57</v>
      </c>
      <c r="F2715" t="s">
        <v>57</v>
      </c>
      <c r="G2715" t="str">
        <f>INDEX(Risk_Matrix!$B$2:$D$4,MATCH(E2715,Risk_Matrix!$A$2:$A$4,0),MATCH(F2715,Risk_Matrix!$B$1:$D$1,0))</f>
        <v>Low</v>
      </c>
      <c r="H2715" s="1">
        <v>46130</v>
      </c>
      <c r="I2715" t="s">
        <v>1987</v>
      </c>
      <c r="J2715" t="s">
        <v>1997</v>
      </c>
      <c r="K2715" t="s">
        <v>1993</v>
      </c>
      <c r="L2715">
        <f>IF(G2715="High",3,IF(G2715="Medium",2,1))</f>
        <v>1</v>
      </c>
    </row>
    <row r="2716" spans="1:12">
      <c r="A2716" t="s">
        <v>4742</v>
      </c>
      <c r="B2716" t="s">
        <v>1613</v>
      </c>
      <c r="C2716" t="s">
        <v>1995</v>
      </c>
      <c r="D2716" t="s">
        <v>2018</v>
      </c>
      <c r="E2716" t="s">
        <v>47</v>
      </c>
      <c r="F2716" t="s">
        <v>57</v>
      </c>
      <c r="G2716" t="str">
        <f>INDEX(Risk_Matrix!$B$2:$D$4,MATCH(E2716,Risk_Matrix!$A$2:$A$4,0),MATCH(F2716,Risk_Matrix!$B$1:$D$1,0))</f>
        <v>Medium</v>
      </c>
      <c r="H2716" s="1">
        <v>46209</v>
      </c>
      <c r="I2716" t="s">
        <v>2015</v>
      </c>
      <c r="J2716" t="s">
        <v>2016</v>
      </c>
      <c r="K2716" t="s">
        <v>1998</v>
      </c>
      <c r="L2716">
        <f>IF(G2716="High",3,IF(G2716="Medium",2,1))</f>
        <v>2</v>
      </c>
    </row>
    <row r="2717" spans="1:12">
      <c r="A2717" t="s">
        <v>4743</v>
      </c>
      <c r="B2717" t="s">
        <v>1613</v>
      </c>
      <c r="C2717" t="s">
        <v>2000</v>
      </c>
      <c r="D2717" t="s">
        <v>2020</v>
      </c>
      <c r="E2717" t="s">
        <v>57</v>
      </c>
      <c r="F2717" t="s">
        <v>1971</v>
      </c>
      <c r="G2717" t="str">
        <f>INDEX(Risk_Matrix!$B$2:$D$4,MATCH(E2717,Risk_Matrix!$A$2:$A$4,0),MATCH(F2717,Risk_Matrix!$B$1:$D$1,0))</f>
        <v>Low</v>
      </c>
      <c r="H2717" s="1">
        <v>46095</v>
      </c>
      <c r="I2717" t="s">
        <v>1987</v>
      </c>
      <c r="J2717" t="s">
        <v>1997</v>
      </c>
      <c r="K2717" t="s">
        <v>1993</v>
      </c>
      <c r="L2717">
        <f>IF(G2717="High",3,IF(G2717="Medium",2,1))</f>
        <v>1</v>
      </c>
    </row>
    <row r="2718" spans="1:12">
      <c r="A2718" t="s">
        <v>4744</v>
      </c>
      <c r="B2718" t="s">
        <v>1613</v>
      </c>
      <c r="C2718" t="s">
        <v>2005</v>
      </c>
      <c r="D2718" t="s">
        <v>2022</v>
      </c>
      <c r="E2718" t="s">
        <v>57</v>
      </c>
      <c r="F2718" t="s">
        <v>1971</v>
      </c>
      <c r="G2718" t="str">
        <f>INDEX(Risk_Matrix!$B$2:$D$4,MATCH(E2718,Risk_Matrix!$A$2:$A$4,0),MATCH(F2718,Risk_Matrix!$B$1:$D$1,0))</f>
        <v>Low</v>
      </c>
      <c r="H2718" s="1">
        <v>46219</v>
      </c>
      <c r="I2718" t="s">
        <v>2025</v>
      </c>
      <c r="J2718" t="s">
        <v>2035</v>
      </c>
      <c r="K2718" t="s">
        <v>1993</v>
      </c>
      <c r="L2718">
        <f>IF(G2718="High",3,IF(G2718="Medium",2,1))</f>
        <v>1</v>
      </c>
    </row>
    <row r="2719" spans="1:12">
      <c r="A2719" t="s">
        <v>4745</v>
      </c>
      <c r="B2719" t="s">
        <v>1613</v>
      </c>
      <c r="C2719" t="s">
        <v>2008</v>
      </c>
      <c r="D2719" t="s">
        <v>2024</v>
      </c>
      <c r="E2719" t="s">
        <v>57</v>
      </c>
      <c r="F2719" t="s">
        <v>57</v>
      </c>
      <c r="G2719" t="str">
        <f>INDEX(Risk_Matrix!$B$2:$D$4,MATCH(E2719,Risk_Matrix!$A$2:$A$4,0),MATCH(F2719,Risk_Matrix!$B$1:$D$1,0))</f>
        <v>Low</v>
      </c>
      <c r="H2719" s="1">
        <v>46208</v>
      </c>
      <c r="I2719" t="s">
        <v>2002</v>
      </c>
      <c r="J2719" t="s">
        <v>2029</v>
      </c>
      <c r="K2719" t="s">
        <v>2010</v>
      </c>
      <c r="L2719">
        <f>IF(G2719="High",3,IF(G2719="Medium",2,1))</f>
        <v>1</v>
      </c>
    </row>
    <row r="2720" spans="1:12">
      <c r="A2720" t="s">
        <v>4746</v>
      </c>
      <c r="B2720" t="s">
        <v>1615</v>
      </c>
      <c r="C2720" t="s">
        <v>1985</v>
      </c>
      <c r="D2720" t="s">
        <v>2012</v>
      </c>
      <c r="E2720" t="s">
        <v>57</v>
      </c>
      <c r="F2720" t="s">
        <v>1971</v>
      </c>
      <c r="G2720" t="str">
        <f>INDEX(Risk_Matrix!$B$2:$D$4,MATCH(E2720,Risk_Matrix!$A$2:$A$4,0),MATCH(F2720,Risk_Matrix!$B$1:$D$1,0))</f>
        <v>Low</v>
      </c>
      <c r="H2720" s="1">
        <v>46223</v>
      </c>
      <c r="I2720" t="s">
        <v>2015</v>
      </c>
      <c r="J2720" t="s">
        <v>2016</v>
      </c>
      <c r="K2720" t="s">
        <v>1998</v>
      </c>
      <c r="L2720">
        <f>IF(G2720="High",3,IF(G2720="Medium",2,1))</f>
        <v>1</v>
      </c>
    </row>
    <row r="2721" spans="1:12">
      <c r="A2721" t="s">
        <v>4747</v>
      </c>
      <c r="B2721" t="s">
        <v>1615</v>
      </c>
      <c r="C2721" t="s">
        <v>1991</v>
      </c>
      <c r="D2721" t="s">
        <v>2064</v>
      </c>
      <c r="E2721" t="s">
        <v>1971</v>
      </c>
      <c r="F2721" t="s">
        <v>1971</v>
      </c>
      <c r="G2721" t="str">
        <f>INDEX(Risk_Matrix!$B$2:$D$4,MATCH(E2721,Risk_Matrix!$A$2:$A$4,0),MATCH(F2721,Risk_Matrix!$B$1:$D$1,0))</f>
        <v>Medium</v>
      </c>
      <c r="H2721" s="1">
        <v>46220</v>
      </c>
      <c r="I2721" t="s">
        <v>2015</v>
      </c>
      <c r="J2721" t="s">
        <v>2032</v>
      </c>
      <c r="K2721" t="s">
        <v>2010</v>
      </c>
      <c r="L2721">
        <f>IF(G2721="High",3,IF(G2721="Medium",2,1))</f>
        <v>2</v>
      </c>
    </row>
    <row r="2722" spans="1:12">
      <c r="A2722" t="s">
        <v>4748</v>
      </c>
      <c r="B2722" t="s">
        <v>1615</v>
      </c>
      <c r="C2722" t="s">
        <v>1995</v>
      </c>
      <c r="D2722" t="s">
        <v>2034</v>
      </c>
      <c r="E2722" t="s">
        <v>57</v>
      </c>
      <c r="F2722" t="s">
        <v>57</v>
      </c>
      <c r="G2722" t="str">
        <f>INDEX(Risk_Matrix!$B$2:$D$4,MATCH(E2722,Risk_Matrix!$A$2:$A$4,0),MATCH(F2722,Risk_Matrix!$B$1:$D$1,0))</f>
        <v>Low</v>
      </c>
      <c r="H2722" s="1">
        <v>46202</v>
      </c>
      <c r="I2722" t="s">
        <v>2015</v>
      </c>
      <c r="J2722" t="s">
        <v>2032</v>
      </c>
      <c r="K2722" t="s">
        <v>1998</v>
      </c>
      <c r="L2722">
        <f>IF(G2722="High",3,IF(G2722="Medium",2,1))</f>
        <v>1</v>
      </c>
    </row>
    <row r="2723" spans="1:12">
      <c r="A2723" t="s">
        <v>4749</v>
      </c>
      <c r="B2723" t="s">
        <v>1615</v>
      </c>
      <c r="C2723" t="s">
        <v>2000</v>
      </c>
      <c r="D2723" t="s">
        <v>2001</v>
      </c>
      <c r="E2723" t="s">
        <v>47</v>
      </c>
      <c r="F2723" t="s">
        <v>57</v>
      </c>
      <c r="G2723" t="str">
        <f>INDEX(Risk_Matrix!$B$2:$D$4,MATCH(E2723,Risk_Matrix!$A$2:$A$4,0),MATCH(F2723,Risk_Matrix!$B$1:$D$1,0))</f>
        <v>Medium</v>
      </c>
      <c r="H2723" s="1">
        <v>46229</v>
      </c>
      <c r="I2723" t="s">
        <v>2015</v>
      </c>
      <c r="J2723" t="s">
        <v>2016</v>
      </c>
      <c r="K2723" t="s">
        <v>1993</v>
      </c>
      <c r="L2723">
        <f>IF(G2723="High",3,IF(G2723="Medium",2,1))</f>
        <v>2</v>
      </c>
    </row>
    <row r="2724" spans="1:12">
      <c r="A2724" t="s">
        <v>4750</v>
      </c>
      <c r="B2724" t="s">
        <v>1615</v>
      </c>
      <c r="C2724" t="s">
        <v>2005</v>
      </c>
      <c r="D2724" t="s">
        <v>2006</v>
      </c>
      <c r="E2724" t="s">
        <v>57</v>
      </c>
      <c r="F2724" t="s">
        <v>47</v>
      </c>
      <c r="G2724" t="str">
        <f>INDEX(Risk_Matrix!$B$2:$D$4,MATCH(E2724,Risk_Matrix!$A$2:$A$4,0),MATCH(F2724,Risk_Matrix!$B$1:$D$1,0))</f>
        <v>Medium</v>
      </c>
      <c r="H2724" s="1">
        <v>46065</v>
      </c>
      <c r="I2724" t="s">
        <v>1987</v>
      </c>
      <c r="J2724" t="s">
        <v>1988</v>
      </c>
      <c r="K2724" t="s">
        <v>1993</v>
      </c>
      <c r="L2724">
        <f>IF(G2724="High",3,IF(G2724="Medium",2,1))</f>
        <v>2</v>
      </c>
    </row>
    <row r="2725" spans="1:12">
      <c r="A2725" t="s">
        <v>4751</v>
      </c>
      <c r="B2725" t="s">
        <v>1615</v>
      </c>
      <c r="C2725" t="s">
        <v>2008</v>
      </c>
      <c r="D2725" t="s">
        <v>2054</v>
      </c>
      <c r="E2725" t="s">
        <v>47</v>
      </c>
      <c r="F2725" t="s">
        <v>1971</v>
      </c>
      <c r="G2725" t="str">
        <f>INDEX(Risk_Matrix!$B$2:$D$4,MATCH(E2725,Risk_Matrix!$A$2:$A$4,0),MATCH(F2725,Risk_Matrix!$B$1:$D$1,0))</f>
        <v>High</v>
      </c>
      <c r="H2725" s="1">
        <v>46150</v>
      </c>
      <c r="I2725" t="s">
        <v>2015</v>
      </c>
      <c r="J2725" t="s">
        <v>2032</v>
      </c>
      <c r="K2725" t="s">
        <v>2010</v>
      </c>
      <c r="L2725">
        <f>IF(G2725="High",3,IF(G2725="Medium",2,1))</f>
        <v>3</v>
      </c>
    </row>
    <row r="2726" spans="1:12">
      <c r="A2726" t="s">
        <v>4752</v>
      </c>
      <c r="B2726" t="s">
        <v>1617</v>
      </c>
      <c r="C2726" t="s">
        <v>1985</v>
      </c>
      <c r="D2726" t="s">
        <v>2062</v>
      </c>
      <c r="E2726" t="s">
        <v>57</v>
      </c>
      <c r="F2726" t="s">
        <v>57</v>
      </c>
      <c r="G2726" t="str">
        <f>INDEX(Risk_Matrix!$B$2:$D$4,MATCH(E2726,Risk_Matrix!$A$2:$A$4,0),MATCH(F2726,Risk_Matrix!$B$1:$D$1,0))</f>
        <v>Low</v>
      </c>
      <c r="H2726" s="1">
        <v>46148</v>
      </c>
      <c r="I2726" t="s">
        <v>1987</v>
      </c>
      <c r="J2726" t="s">
        <v>1997</v>
      </c>
      <c r="K2726" t="s">
        <v>1998</v>
      </c>
      <c r="L2726">
        <f>IF(G2726="High",3,IF(G2726="Medium",2,1))</f>
        <v>1</v>
      </c>
    </row>
    <row r="2727" spans="1:12">
      <c r="A2727" t="s">
        <v>4753</v>
      </c>
      <c r="B2727" t="s">
        <v>1617</v>
      </c>
      <c r="C2727" t="s">
        <v>1991</v>
      </c>
      <c r="D2727" t="s">
        <v>2031</v>
      </c>
      <c r="E2727" t="s">
        <v>57</v>
      </c>
      <c r="F2727" t="s">
        <v>57</v>
      </c>
      <c r="G2727" t="str">
        <f>INDEX(Risk_Matrix!$B$2:$D$4,MATCH(E2727,Risk_Matrix!$A$2:$A$4,0),MATCH(F2727,Risk_Matrix!$B$1:$D$1,0))</f>
        <v>Low</v>
      </c>
      <c r="H2727" s="1">
        <v>46101</v>
      </c>
      <c r="I2727" t="s">
        <v>2002</v>
      </c>
      <c r="J2727" t="s">
        <v>2003</v>
      </c>
      <c r="K2727" t="s">
        <v>1993</v>
      </c>
      <c r="L2727">
        <f>IF(G2727="High",3,IF(G2727="Medium",2,1))</f>
        <v>1</v>
      </c>
    </row>
    <row r="2728" spans="1:12">
      <c r="A2728" t="s">
        <v>4754</v>
      </c>
      <c r="B2728" t="s">
        <v>1617</v>
      </c>
      <c r="C2728" t="s">
        <v>1995</v>
      </c>
      <c r="D2728" t="s">
        <v>2018</v>
      </c>
      <c r="E2728" t="s">
        <v>47</v>
      </c>
      <c r="F2728" t="s">
        <v>1971</v>
      </c>
      <c r="G2728" t="str">
        <f>INDEX(Risk_Matrix!$B$2:$D$4,MATCH(E2728,Risk_Matrix!$A$2:$A$4,0),MATCH(F2728,Risk_Matrix!$B$1:$D$1,0))</f>
        <v>High</v>
      </c>
      <c r="H2728" s="1">
        <v>46191</v>
      </c>
      <c r="I2728" t="s">
        <v>2015</v>
      </c>
      <c r="J2728" t="s">
        <v>2032</v>
      </c>
      <c r="K2728" t="s">
        <v>1998</v>
      </c>
      <c r="L2728">
        <f>IF(G2728="High",3,IF(G2728="Medium",2,1))</f>
        <v>3</v>
      </c>
    </row>
    <row r="2729" spans="1:12">
      <c r="A2729" t="s">
        <v>4755</v>
      </c>
      <c r="B2729" t="s">
        <v>1617</v>
      </c>
      <c r="C2729" t="s">
        <v>2000</v>
      </c>
      <c r="D2729" t="s">
        <v>2020</v>
      </c>
      <c r="E2729" t="s">
        <v>1971</v>
      </c>
      <c r="F2729" t="s">
        <v>57</v>
      </c>
      <c r="G2729" t="str">
        <f>INDEX(Risk_Matrix!$B$2:$D$4,MATCH(E2729,Risk_Matrix!$A$2:$A$4,0),MATCH(F2729,Risk_Matrix!$B$1:$D$1,0))</f>
        <v>Low</v>
      </c>
      <c r="H2729" s="1">
        <v>46167</v>
      </c>
      <c r="I2729" t="s">
        <v>2002</v>
      </c>
      <c r="J2729" t="s">
        <v>2029</v>
      </c>
      <c r="K2729" t="s">
        <v>1989</v>
      </c>
      <c r="L2729">
        <f>IF(G2729="High",3,IF(G2729="Medium",2,1))</f>
        <v>1</v>
      </c>
    </row>
    <row r="2730" spans="1:12">
      <c r="A2730" t="s">
        <v>4756</v>
      </c>
      <c r="B2730" t="s">
        <v>1617</v>
      </c>
      <c r="C2730" t="s">
        <v>2005</v>
      </c>
      <c r="D2730" t="s">
        <v>2039</v>
      </c>
      <c r="E2730" t="s">
        <v>47</v>
      </c>
      <c r="F2730" t="s">
        <v>57</v>
      </c>
      <c r="G2730" t="str">
        <f>INDEX(Risk_Matrix!$B$2:$D$4,MATCH(E2730,Risk_Matrix!$A$2:$A$4,0),MATCH(F2730,Risk_Matrix!$B$1:$D$1,0))</f>
        <v>Medium</v>
      </c>
      <c r="H2730" s="1">
        <v>46237</v>
      </c>
      <c r="I2730" t="s">
        <v>2025</v>
      </c>
      <c r="J2730" t="s">
        <v>2026</v>
      </c>
      <c r="K2730" t="s">
        <v>1993</v>
      </c>
      <c r="L2730">
        <f>IF(G2730="High",3,IF(G2730="Medium",2,1))</f>
        <v>2</v>
      </c>
    </row>
    <row r="2731" spans="1:12">
      <c r="A2731" t="s">
        <v>4757</v>
      </c>
      <c r="B2731" t="s">
        <v>1617</v>
      </c>
      <c r="C2731" t="s">
        <v>2008</v>
      </c>
      <c r="D2731" t="s">
        <v>2054</v>
      </c>
      <c r="E2731" t="s">
        <v>47</v>
      </c>
      <c r="F2731" t="s">
        <v>1971</v>
      </c>
      <c r="G2731" t="str">
        <f>INDEX(Risk_Matrix!$B$2:$D$4,MATCH(E2731,Risk_Matrix!$A$2:$A$4,0),MATCH(F2731,Risk_Matrix!$B$1:$D$1,0))</f>
        <v>High</v>
      </c>
      <c r="H2731" s="1">
        <v>46157</v>
      </c>
      <c r="I2731" t="s">
        <v>2015</v>
      </c>
      <c r="J2731" t="s">
        <v>2032</v>
      </c>
      <c r="K2731" t="s">
        <v>2010</v>
      </c>
      <c r="L2731">
        <f>IF(G2731="High",3,IF(G2731="Medium",2,1))</f>
        <v>3</v>
      </c>
    </row>
    <row r="2732" spans="1:12">
      <c r="A2732" t="s">
        <v>4758</v>
      </c>
      <c r="B2732" t="s">
        <v>1619</v>
      </c>
      <c r="C2732" t="s">
        <v>1985</v>
      </c>
      <c r="D2732" t="s">
        <v>2012</v>
      </c>
      <c r="E2732" t="s">
        <v>57</v>
      </c>
      <c r="F2732" t="s">
        <v>57</v>
      </c>
      <c r="G2732" t="str">
        <f>INDEX(Risk_Matrix!$B$2:$D$4,MATCH(E2732,Risk_Matrix!$A$2:$A$4,0),MATCH(F2732,Risk_Matrix!$B$1:$D$1,0))</f>
        <v>Low</v>
      </c>
      <c r="H2732" s="1">
        <v>46055</v>
      </c>
      <c r="I2732" t="s">
        <v>1987</v>
      </c>
      <c r="J2732" t="s">
        <v>1988</v>
      </c>
      <c r="K2732" t="s">
        <v>1989</v>
      </c>
      <c r="L2732">
        <f>IF(G2732="High",3,IF(G2732="Medium",2,1))</f>
        <v>1</v>
      </c>
    </row>
    <row r="2733" spans="1:12">
      <c r="A2733" t="s">
        <v>4759</v>
      </c>
      <c r="B2733" t="s">
        <v>1619</v>
      </c>
      <c r="C2733" t="s">
        <v>1991</v>
      </c>
      <c r="D2733" t="s">
        <v>2031</v>
      </c>
      <c r="E2733" t="s">
        <v>47</v>
      </c>
      <c r="F2733" t="s">
        <v>57</v>
      </c>
      <c r="G2733" t="str">
        <f>INDEX(Risk_Matrix!$B$2:$D$4,MATCH(E2733,Risk_Matrix!$A$2:$A$4,0),MATCH(F2733,Risk_Matrix!$B$1:$D$1,0))</f>
        <v>Medium</v>
      </c>
      <c r="H2733" s="1">
        <v>46099</v>
      </c>
      <c r="I2733" t="s">
        <v>2025</v>
      </c>
      <c r="J2733" t="s">
        <v>2026</v>
      </c>
      <c r="K2733" t="s">
        <v>2010</v>
      </c>
      <c r="L2733">
        <f>IF(G2733="High",3,IF(G2733="Medium",2,1))</f>
        <v>2</v>
      </c>
    </row>
    <row r="2734" spans="1:12">
      <c r="A2734" t="s">
        <v>4760</v>
      </c>
      <c r="B2734" t="s">
        <v>1619</v>
      </c>
      <c r="C2734" t="s">
        <v>1995</v>
      </c>
      <c r="D2734" t="s">
        <v>2034</v>
      </c>
      <c r="E2734" t="s">
        <v>57</v>
      </c>
      <c r="F2734" t="s">
        <v>57</v>
      </c>
      <c r="G2734" t="str">
        <f>INDEX(Risk_Matrix!$B$2:$D$4,MATCH(E2734,Risk_Matrix!$A$2:$A$4,0),MATCH(F2734,Risk_Matrix!$B$1:$D$1,0))</f>
        <v>Low</v>
      </c>
      <c r="H2734" s="1">
        <v>46195</v>
      </c>
      <c r="I2734" t="s">
        <v>1987</v>
      </c>
      <c r="J2734" t="s">
        <v>1988</v>
      </c>
      <c r="K2734" t="s">
        <v>2036</v>
      </c>
      <c r="L2734">
        <f>IF(G2734="High",3,IF(G2734="Medium",2,1))</f>
        <v>1</v>
      </c>
    </row>
    <row r="2735" spans="1:12">
      <c r="A2735" t="s">
        <v>4761</v>
      </c>
      <c r="B2735" t="s">
        <v>1619</v>
      </c>
      <c r="C2735" t="s">
        <v>2000</v>
      </c>
      <c r="D2735" t="s">
        <v>2001</v>
      </c>
      <c r="E2735" t="s">
        <v>1971</v>
      </c>
      <c r="F2735" t="s">
        <v>1971</v>
      </c>
      <c r="G2735" t="str">
        <f>INDEX(Risk_Matrix!$B$2:$D$4,MATCH(E2735,Risk_Matrix!$A$2:$A$4,0),MATCH(F2735,Risk_Matrix!$B$1:$D$1,0))</f>
        <v>Medium</v>
      </c>
      <c r="H2735" s="1">
        <v>46147</v>
      </c>
      <c r="I2735" t="s">
        <v>2025</v>
      </c>
      <c r="J2735" t="s">
        <v>2035</v>
      </c>
      <c r="K2735" t="s">
        <v>1993</v>
      </c>
      <c r="L2735">
        <f>IF(G2735="High",3,IF(G2735="Medium",2,1))</f>
        <v>2</v>
      </c>
    </row>
    <row r="2736" spans="1:12">
      <c r="A2736" t="s">
        <v>4762</v>
      </c>
      <c r="B2736" t="s">
        <v>1619</v>
      </c>
      <c r="C2736" t="s">
        <v>2005</v>
      </c>
      <c r="D2736" t="s">
        <v>2039</v>
      </c>
      <c r="E2736" t="s">
        <v>47</v>
      </c>
      <c r="F2736" t="s">
        <v>1971</v>
      </c>
      <c r="G2736" t="str">
        <f>INDEX(Risk_Matrix!$B$2:$D$4,MATCH(E2736,Risk_Matrix!$A$2:$A$4,0),MATCH(F2736,Risk_Matrix!$B$1:$D$1,0))</f>
        <v>High</v>
      </c>
      <c r="H2736" s="1">
        <v>46189</v>
      </c>
      <c r="I2736" t="s">
        <v>2025</v>
      </c>
      <c r="J2736" t="s">
        <v>2035</v>
      </c>
      <c r="K2736" t="s">
        <v>1993</v>
      </c>
      <c r="L2736">
        <f>IF(G2736="High",3,IF(G2736="Medium",2,1))</f>
        <v>3</v>
      </c>
    </row>
    <row r="2737" spans="1:12">
      <c r="A2737" t="s">
        <v>4763</v>
      </c>
      <c r="B2737" t="s">
        <v>1619</v>
      </c>
      <c r="C2737" t="s">
        <v>2008</v>
      </c>
      <c r="D2737" t="s">
        <v>2054</v>
      </c>
      <c r="E2737" t="s">
        <v>1971</v>
      </c>
      <c r="F2737" t="s">
        <v>57</v>
      </c>
      <c r="G2737" t="str">
        <f>INDEX(Risk_Matrix!$B$2:$D$4,MATCH(E2737,Risk_Matrix!$A$2:$A$4,0),MATCH(F2737,Risk_Matrix!$B$1:$D$1,0))</f>
        <v>Low</v>
      </c>
      <c r="H2737" s="1">
        <v>46192</v>
      </c>
      <c r="I2737" t="s">
        <v>2002</v>
      </c>
      <c r="J2737" t="s">
        <v>2029</v>
      </c>
      <c r="K2737" t="s">
        <v>2010</v>
      </c>
      <c r="L2737">
        <f>IF(G2737="High",3,IF(G2737="Medium",2,1))</f>
        <v>1</v>
      </c>
    </row>
    <row r="2738" spans="1:12">
      <c r="A2738" t="s">
        <v>4764</v>
      </c>
      <c r="B2738" t="s">
        <v>1621</v>
      </c>
      <c r="C2738" t="s">
        <v>1985</v>
      </c>
      <c r="D2738" t="s">
        <v>1986</v>
      </c>
      <c r="E2738" t="s">
        <v>1971</v>
      </c>
      <c r="F2738" t="s">
        <v>57</v>
      </c>
      <c r="G2738" t="str">
        <f>INDEX(Risk_Matrix!$B$2:$D$4,MATCH(E2738,Risk_Matrix!$A$2:$A$4,0),MATCH(F2738,Risk_Matrix!$B$1:$D$1,0))</f>
        <v>Low</v>
      </c>
      <c r="H2738" s="1">
        <v>46219</v>
      </c>
      <c r="I2738" t="s">
        <v>1987</v>
      </c>
      <c r="J2738" t="s">
        <v>1997</v>
      </c>
      <c r="K2738" t="s">
        <v>1989</v>
      </c>
      <c r="L2738">
        <f>IF(G2738="High",3,IF(G2738="Medium",2,1))</f>
        <v>1</v>
      </c>
    </row>
    <row r="2739" spans="1:12">
      <c r="A2739" t="s">
        <v>4765</v>
      </c>
      <c r="B2739" t="s">
        <v>1621</v>
      </c>
      <c r="C2739" t="s">
        <v>1991</v>
      </c>
      <c r="D2739" t="s">
        <v>1992</v>
      </c>
      <c r="E2739" t="s">
        <v>1971</v>
      </c>
      <c r="F2739" t="s">
        <v>57</v>
      </c>
      <c r="G2739" t="str">
        <f>INDEX(Risk_Matrix!$B$2:$D$4,MATCH(E2739,Risk_Matrix!$A$2:$A$4,0),MATCH(F2739,Risk_Matrix!$B$1:$D$1,0))</f>
        <v>Low</v>
      </c>
      <c r="H2739" s="1">
        <v>46072</v>
      </c>
      <c r="I2739" t="s">
        <v>1987</v>
      </c>
      <c r="J2739" t="s">
        <v>1997</v>
      </c>
      <c r="K2739" t="s">
        <v>2010</v>
      </c>
      <c r="L2739">
        <f>IF(G2739="High",3,IF(G2739="Medium",2,1))</f>
        <v>1</v>
      </c>
    </row>
    <row r="2740" spans="1:12">
      <c r="A2740" t="s">
        <v>4766</v>
      </c>
      <c r="B2740" t="s">
        <v>1621</v>
      </c>
      <c r="C2740" t="s">
        <v>1995</v>
      </c>
      <c r="D2740" t="s">
        <v>2034</v>
      </c>
      <c r="E2740" t="s">
        <v>57</v>
      </c>
      <c r="F2740" t="s">
        <v>57</v>
      </c>
      <c r="G2740" t="str">
        <f>INDEX(Risk_Matrix!$B$2:$D$4,MATCH(E2740,Risk_Matrix!$A$2:$A$4,0),MATCH(F2740,Risk_Matrix!$B$1:$D$1,0))</f>
        <v>Low</v>
      </c>
      <c r="H2740" s="1">
        <v>46207</v>
      </c>
      <c r="I2740" t="s">
        <v>1987</v>
      </c>
      <c r="J2740" t="s">
        <v>1997</v>
      </c>
      <c r="K2740" t="s">
        <v>1998</v>
      </c>
      <c r="L2740">
        <f>IF(G2740="High",3,IF(G2740="Medium",2,1))</f>
        <v>1</v>
      </c>
    </row>
    <row r="2741" spans="1:12">
      <c r="A2741" t="s">
        <v>4767</v>
      </c>
      <c r="B2741" t="s">
        <v>1621</v>
      </c>
      <c r="C2741" t="s">
        <v>2000</v>
      </c>
      <c r="D2741" t="s">
        <v>2001</v>
      </c>
      <c r="E2741" t="s">
        <v>1971</v>
      </c>
      <c r="F2741" t="s">
        <v>1971</v>
      </c>
      <c r="G2741" t="str">
        <f>INDEX(Risk_Matrix!$B$2:$D$4,MATCH(E2741,Risk_Matrix!$A$2:$A$4,0),MATCH(F2741,Risk_Matrix!$B$1:$D$1,0))</f>
        <v>Medium</v>
      </c>
      <c r="H2741" s="1">
        <v>46150</v>
      </c>
      <c r="I2741" t="s">
        <v>2015</v>
      </c>
      <c r="J2741" t="s">
        <v>2016</v>
      </c>
      <c r="K2741" t="s">
        <v>1989</v>
      </c>
      <c r="L2741">
        <f>IF(G2741="High",3,IF(G2741="Medium",2,1))</f>
        <v>2</v>
      </c>
    </row>
    <row r="2742" spans="1:12">
      <c r="A2742" t="s">
        <v>4768</v>
      </c>
      <c r="B2742" t="s">
        <v>1621</v>
      </c>
      <c r="C2742" t="s">
        <v>2005</v>
      </c>
      <c r="D2742" t="s">
        <v>2006</v>
      </c>
      <c r="E2742" t="s">
        <v>1971</v>
      </c>
      <c r="F2742" t="s">
        <v>57</v>
      </c>
      <c r="G2742" t="str">
        <f>INDEX(Risk_Matrix!$B$2:$D$4,MATCH(E2742,Risk_Matrix!$A$2:$A$4,0),MATCH(F2742,Risk_Matrix!$B$1:$D$1,0))</f>
        <v>Low</v>
      </c>
      <c r="H2742" s="1">
        <v>46149</v>
      </c>
      <c r="I2742" t="s">
        <v>2025</v>
      </c>
      <c r="J2742" t="s">
        <v>2035</v>
      </c>
      <c r="K2742" t="s">
        <v>1993</v>
      </c>
      <c r="L2742">
        <f>IF(G2742="High",3,IF(G2742="Medium",2,1))</f>
        <v>1</v>
      </c>
    </row>
    <row r="2743" spans="1:12">
      <c r="A2743" t="s">
        <v>4769</v>
      </c>
      <c r="B2743" t="s">
        <v>1621</v>
      </c>
      <c r="C2743" t="s">
        <v>2008</v>
      </c>
      <c r="D2743" t="s">
        <v>2024</v>
      </c>
      <c r="E2743" t="s">
        <v>57</v>
      </c>
      <c r="F2743" t="s">
        <v>57</v>
      </c>
      <c r="G2743" t="str">
        <f>INDEX(Risk_Matrix!$B$2:$D$4,MATCH(E2743,Risk_Matrix!$A$2:$A$4,0),MATCH(F2743,Risk_Matrix!$B$1:$D$1,0))</f>
        <v>Low</v>
      </c>
      <c r="H2743" s="1">
        <v>46099</v>
      </c>
      <c r="I2743" t="s">
        <v>2002</v>
      </c>
      <c r="J2743" t="s">
        <v>2029</v>
      </c>
      <c r="K2743" t="s">
        <v>2010</v>
      </c>
      <c r="L2743">
        <f>IF(G2743="High",3,IF(G2743="Medium",2,1))</f>
        <v>1</v>
      </c>
    </row>
    <row r="2744" spans="1:12">
      <c r="A2744" t="s">
        <v>4770</v>
      </c>
      <c r="B2744" t="s">
        <v>1623</v>
      </c>
      <c r="C2744" t="s">
        <v>1985</v>
      </c>
      <c r="D2744" t="s">
        <v>2062</v>
      </c>
      <c r="E2744" t="s">
        <v>57</v>
      </c>
      <c r="F2744" t="s">
        <v>57</v>
      </c>
      <c r="G2744" t="str">
        <f>INDEX(Risk_Matrix!$B$2:$D$4,MATCH(E2744,Risk_Matrix!$A$2:$A$4,0),MATCH(F2744,Risk_Matrix!$B$1:$D$1,0))</f>
        <v>Low</v>
      </c>
      <c r="H2744" s="1">
        <v>46162</v>
      </c>
      <c r="I2744" t="s">
        <v>2015</v>
      </c>
      <c r="J2744" t="s">
        <v>2016</v>
      </c>
      <c r="K2744" t="s">
        <v>1989</v>
      </c>
      <c r="L2744">
        <f>IF(G2744="High",3,IF(G2744="Medium",2,1))</f>
        <v>1</v>
      </c>
    </row>
    <row r="2745" spans="1:12">
      <c r="A2745" t="s">
        <v>4771</v>
      </c>
      <c r="B2745" t="s">
        <v>1623</v>
      </c>
      <c r="C2745" t="s">
        <v>1991</v>
      </c>
      <c r="D2745" t="s">
        <v>1992</v>
      </c>
      <c r="E2745" t="s">
        <v>57</v>
      </c>
      <c r="F2745" t="s">
        <v>1971</v>
      </c>
      <c r="G2745" t="str">
        <f>INDEX(Risk_Matrix!$B$2:$D$4,MATCH(E2745,Risk_Matrix!$A$2:$A$4,0),MATCH(F2745,Risk_Matrix!$B$1:$D$1,0))</f>
        <v>Low</v>
      </c>
      <c r="H2745" s="1">
        <v>46190</v>
      </c>
      <c r="I2745" t="s">
        <v>2025</v>
      </c>
      <c r="J2745" t="s">
        <v>2035</v>
      </c>
      <c r="K2745" t="s">
        <v>2010</v>
      </c>
      <c r="L2745">
        <f>IF(G2745="High",3,IF(G2745="Medium",2,1))</f>
        <v>1</v>
      </c>
    </row>
    <row r="2746" spans="1:12">
      <c r="A2746" t="s">
        <v>4772</v>
      </c>
      <c r="B2746" t="s">
        <v>1623</v>
      </c>
      <c r="C2746" t="s">
        <v>1995</v>
      </c>
      <c r="D2746" t="s">
        <v>2034</v>
      </c>
      <c r="E2746" t="s">
        <v>57</v>
      </c>
      <c r="F2746" t="s">
        <v>57</v>
      </c>
      <c r="G2746" t="str">
        <f>INDEX(Risk_Matrix!$B$2:$D$4,MATCH(E2746,Risk_Matrix!$A$2:$A$4,0),MATCH(F2746,Risk_Matrix!$B$1:$D$1,0))</f>
        <v>Low</v>
      </c>
      <c r="H2746" s="1">
        <v>46222</v>
      </c>
      <c r="I2746" t="s">
        <v>2025</v>
      </c>
      <c r="J2746" t="s">
        <v>2035</v>
      </c>
      <c r="K2746" t="s">
        <v>1998</v>
      </c>
      <c r="L2746">
        <f>IF(G2746="High",3,IF(G2746="Medium",2,1))</f>
        <v>1</v>
      </c>
    </row>
    <row r="2747" spans="1:12">
      <c r="A2747" t="s">
        <v>4773</v>
      </c>
      <c r="B2747" t="s">
        <v>1623</v>
      </c>
      <c r="C2747" t="s">
        <v>2000</v>
      </c>
      <c r="D2747" t="s">
        <v>2001</v>
      </c>
      <c r="E2747" t="s">
        <v>47</v>
      </c>
      <c r="F2747" t="s">
        <v>47</v>
      </c>
      <c r="G2747" t="str">
        <f>INDEX(Risk_Matrix!$B$2:$D$4,MATCH(E2747,Risk_Matrix!$A$2:$A$4,0),MATCH(F2747,Risk_Matrix!$B$1:$D$1,0))</f>
        <v>High</v>
      </c>
      <c r="H2747" s="1">
        <v>46147</v>
      </c>
      <c r="I2747" t="s">
        <v>2025</v>
      </c>
      <c r="J2747" t="s">
        <v>2026</v>
      </c>
      <c r="K2747" t="s">
        <v>1989</v>
      </c>
      <c r="L2747">
        <f>IF(G2747="High",3,IF(G2747="Medium",2,1))</f>
        <v>3</v>
      </c>
    </row>
    <row r="2748" spans="1:12">
      <c r="A2748" t="s">
        <v>4774</v>
      </c>
      <c r="B2748" t="s">
        <v>1623</v>
      </c>
      <c r="C2748" t="s">
        <v>2005</v>
      </c>
      <c r="D2748" t="s">
        <v>2006</v>
      </c>
      <c r="E2748" t="s">
        <v>57</v>
      </c>
      <c r="F2748" t="s">
        <v>57</v>
      </c>
      <c r="G2748" t="str">
        <f>INDEX(Risk_Matrix!$B$2:$D$4,MATCH(E2748,Risk_Matrix!$A$2:$A$4,0),MATCH(F2748,Risk_Matrix!$B$1:$D$1,0))</f>
        <v>Low</v>
      </c>
      <c r="H2748" s="1">
        <v>46232</v>
      </c>
      <c r="I2748" t="s">
        <v>1987</v>
      </c>
      <c r="J2748" t="s">
        <v>1997</v>
      </c>
      <c r="K2748" t="s">
        <v>1993</v>
      </c>
      <c r="L2748">
        <f>IF(G2748="High",3,IF(G2748="Medium",2,1))</f>
        <v>1</v>
      </c>
    </row>
    <row r="2749" spans="1:12">
      <c r="A2749" t="s">
        <v>4775</v>
      </c>
      <c r="B2749" t="s">
        <v>1623</v>
      </c>
      <c r="C2749" t="s">
        <v>2008</v>
      </c>
      <c r="D2749" t="s">
        <v>2024</v>
      </c>
      <c r="E2749" t="s">
        <v>57</v>
      </c>
      <c r="F2749" t="s">
        <v>1971</v>
      </c>
      <c r="G2749" t="str">
        <f>INDEX(Risk_Matrix!$B$2:$D$4,MATCH(E2749,Risk_Matrix!$A$2:$A$4,0),MATCH(F2749,Risk_Matrix!$B$1:$D$1,0))</f>
        <v>Low</v>
      </c>
      <c r="H2749" s="1">
        <v>46063</v>
      </c>
      <c r="I2749" t="s">
        <v>1987</v>
      </c>
      <c r="J2749" t="s">
        <v>1997</v>
      </c>
      <c r="K2749" t="s">
        <v>2010</v>
      </c>
      <c r="L2749">
        <f>IF(G2749="High",3,IF(G2749="Medium",2,1))</f>
        <v>1</v>
      </c>
    </row>
    <row r="2750" spans="1:12">
      <c r="A2750" t="s">
        <v>4776</v>
      </c>
      <c r="B2750" t="s">
        <v>1626</v>
      </c>
      <c r="C2750" t="s">
        <v>1985</v>
      </c>
      <c r="D2750" t="s">
        <v>2062</v>
      </c>
      <c r="E2750" t="s">
        <v>1971</v>
      </c>
      <c r="F2750" t="s">
        <v>1971</v>
      </c>
      <c r="G2750" t="str">
        <f>INDEX(Risk_Matrix!$B$2:$D$4,MATCH(E2750,Risk_Matrix!$A$2:$A$4,0),MATCH(F2750,Risk_Matrix!$B$1:$D$1,0))</f>
        <v>Medium</v>
      </c>
      <c r="H2750" s="1">
        <v>46082</v>
      </c>
      <c r="I2750" t="s">
        <v>2025</v>
      </c>
      <c r="J2750" t="s">
        <v>2026</v>
      </c>
      <c r="K2750" t="s">
        <v>1989</v>
      </c>
      <c r="L2750">
        <f>IF(G2750="High",3,IF(G2750="Medium",2,1))</f>
        <v>2</v>
      </c>
    </row>
    <row r="2751" spans="1:12">
      <c r="A2751" t="s">
        <v>4777</v>
      </c>
      <c r="B2751" t="s">
        <v>1626</v>
      </c>
      <c r="C2751" t="s">
        <v>1991</v>
      </c>
      <c r="D2751" t="s">
        <v>2014</v>
      </c>
      <c r="E2751" t="s">
        <v>47</v>
      </c>
      <c r="F2751" t="s">
        <v>57</v>
      </c>
      <c r="G2751" t="str">
        <f>INDEX(Risk_Matrix!$B$2:$D$4,MATCH(E2751,Risk_Matrix!$A$2:$A$4,0),MATCH(F2751,Risk_Matrix!$B$1:$D$1,0))</f>
        <v>Medium</v>
      </c>
      <c r="H2751" s="1">
        <v>46066</v>
      </c>
      <c r="I2751" t="s">
        <v>2002</v>
      </c>
      <c r="J2751" t="s">
        <v>2029</v>
      </c>
      <c r="K2751" t="s">
        <v>1993</v>
      </c>
      <c r="L2751">
        <f>IF(G2751="High",3,IF(G2751="Medium",2,1))</f>
        <v>2</v>
      </c>
    </row>
    <row r="2752" spans="1:12">
      <c r="A2752" t="s">
        <v>4778</v>
      </c>
      <c r="B2752" t="s">
        <v>1626</v>
      </c>
      <c r="C2752" t="s">
        <v>1995</v>
      </c>
      <c r="D2752" t="s">
        <v>2034</v>
      </c>
      <c r="E2752" t="s">
        <v>1971</v>
      </c>
      <c r="F2752" t="s">
        <v>57</v>
      </c>
      <c r="G2752" t="str">
        <f>INDEX(Risk_Matrix!$B$2:$D$4,MATCH(E2752,Risk_Matrix!$A$2:$A$4,0),MATCH(F2752,Risk_Matrix!$B$1:$D$1,0))</f>
        <v>Low</v>
      </c>
      <c r="H2752" s="1">
        <v>46095</v>
      </c>
      <c r="I2752" t="s">
        <v>1987</v>
      </c>
      <c r="J2752" t="s">
        <v>1997</v>
      </c>
      <c r="K2752" t="s">
        <v>2036</v>
      </c>
      <c r="L2752">
        <f>IF(G2752="High",3,IF(G2752="Medium",2,1))</f>
        <v>1</v>
      </c>
    </row>
    <row r="2753" spans="1:12">
      <c r="A2753" t="s">
        <v>4779</v>
      </c>
      <c r="B2753" t="s">
        <v>1626</v>
      </c>
      <c r="C2753" t="s">
        <v>2000</v>
      </c>
      <c r="D2753" t="s">
        <v>2020</v>
      </c>
      <c r="E2753" t="s">
        <v>1971</v>
      </c>
      <c r="F2753" t="s">
        <v>47</v>
      </c>
      <c r="G2753" t="str">
        <f>INDEX(Risk_Matrix!$B$2:$D$4,MATCH(E2753,Risk_Matrix!$A$2:$A$4,0),MATCH(F2753,Risk_Matrix!$B$1:$D$1,0))</f>
        <v>High</v>
      </c>
      <c r="H2753" s="1">
        <v>46161</v>
      </c>
      <c r="I2753" t="s">
        <v>2015</v>
      </c>
      <c r="J2753" t="s">
        <v>2032</v>
      </c>
      <c r="K2753" t="s">
        <v>1989</v>
      </c>
      <c r="L2753">
        <f>IF(G2753="High",3,IF(G2753="Medium",2,1))</f>
        <v>3</v>
      </c>
    </row>
    <row r="2754" spans="1:12">
      <c r="A2754" t="s">
        <v>4780</v>
      </c>
      <c r="B2754" t="s">
        <v>1626</v>
      </c>
      <c r="C2754" t="s">
        <v>2005</v>
      </c>
      <c r="D2754" t="s">
        <v>2006</v>
      </c>
      <c r="E2754" t="s">
        <v>47</v>
      </c>
      <c r="F2754" t="s">
        <v>1971</v>
      </c>
      <c r="G2754" t="str">
        <f>INDEX(Risk_Matrix!$B$2:$D$4,MATCH(E2754,Risk_Matrix!$A$2:$A$4,0),MATCH(F2754,Risk_Matrix!$B$1:$D$1,0))</f>
        <v>High</v>
      </c>
      <c r="H2754" s="1">
        <v>46169</v>
      </c>
      <c r="I2754" t="s">
        <v>2015</v>
      </c>
      <c r="J2754" t="s">
        <v>2016</v>
      </c>
      <c r="K2754" t="s">
        <v>1993</v>
      </c>
      <c r="L2754">
        <f>IF(G2754="High",3,IF(G2754="Medium",2,1))</f>
        <v>3</v>
      </c>
    </row>
    <row r="2755" spans="1:12">
      <c r="A2755" t="s">
        <v>4781</v>
      </c>
      <c r="B2755" t="s">
        <v>1626</v>
      </c>
      <c r="C2755" t="s">
        <v>2008</v>
      </c>
      <c r="D2755" t="s">
        <v>2054</v>
      </c>
      <c r="E2755" t="s">
        <v>57</v>
      </c>
      <c r="F2755" t="s">
        <v>57</v>
      </c>
      <c r="G2755" t="str">
        <f>INDEX(Risk_Matrix!$B$2:$D$4,MATCH(E2755,Risk_Matrix!$A$2:$A$4,0),MATCH(F2755,Risk_Matrix!$B$1:$D$1,0))</f>
        <v>Low</v>
      </c>
      <c r="H2755" s="1">
        <v>46222</v>
      </c>
      <c r="I2755" t="s">
        <v>2025</v>
      </c>
      <c r="J2755" t="s">
        <v>2035</v>
      </c>
      <c r="K2755" t="s">
        <v>2010</v>
      </c>
      <c r="L2755">
        <f>IF(G2755="High",3,IF(G2755="Medium",2,1))</f>
        <v>1</v>
      </c>
    </row>
    <row r="2756" spans="1:12">
      <c r="A2756" t="s">
        <v>4782</v>
      </c>
      <c r="B2756" t="s">
        <v>1629</v>
      </c>
      <c r="C2756" t="s">
        <v>1985</v>
      </c>
      <c r="D2756" t="s">
        <v>2028</v>
      </c>
      <c r="E2756" t="s">
        <v>1971</v>
      </c>
      <c r="F2756" t="s">
        <v>1971</v>
      </c>
      <c r="G2756" t="str">
        <f>INDEX(Risk_Matrix!$B$2:$D$4,MATCH(E2756,Risk_Matrix!$A$2:$A$4,0),MATCH(F2756,Risk_Matrix!$B$1:$D$1,0))</f>
        <v>Medium</v>
      </c>
      <c r="H2756" s="1">
        <v>46075</v>
      </c>
      <c r="I2756" t="s">
        <v>1987</v>
      </c>
      <c r="J2756" t="s">
        <v>1988</v>
      </c>
      <c r="K2756" t="s">
        <v>1989</v>
      </c>
      <c r="L2756">
        <f>IF(G2756="High",3,IF(G2756="Medium",2,1))</f>
        <v>2</v>
      </c>
    </row>
    <row r="2757" spans="1:12">
      <c r="A2757" t="s">
        <v>4783</v>
      </c>
      <c r="B2757" t="s">
        <v>1629</v>
      </c>
      <c r="C2757" t="s">
        <v>1991</v>
      </c>
      <c r="D2757" t="s">
        <v>2031</v>
      </c>
      <c r="E2757" t="s">
        <v>1971</v>
      </c>
      <c r="F2757" t="s">
        <v>57</v>
      </c>
      <c r="G2757" t="str">
        <f>INDEX(Risk_Matrix!$B$2:$D$4,MATCH(E2757,Risk_Matrix!$A$2:$A$4,0),MATCH(F2757,Risk_Matrix!$B$1:$D$1,0))</f>
        <v>Low</v>
      </c>
      <c r="H2757" s="1">
        <v>46226</v>
      </c>
      <c r="I2757" t="s">
        <v>1987</v>
      </c>
      <c r="J2757" t="s">
        <v>1988</v>
      </c>
      <c r="K2757" t="s">
        <v>2010</v>
      </c>
      <c r="L2757">
        <f>IF(G2757="High",3,IF(G2757="Medium",2,1))</f>
        <v>1</v>
      </c>
    </row>
    <row r="2758" spans="1:12">
      <c r="A2758" t="s">
        <v>4784</v>
      </c>
      <c r="B2758" t="s">
        <v>1629</v>
      </c>
      <c r="C2758" t="s">
        <v>1995</v>
      </c>
      <c r="D2758" t="s">
        <v>2034</v>
      </c>
      <c r="E2758" t="s">
        <v>47</v>
      </c>
      <c r="F2758" t="s">
        <v>57</v>
      </c>
      <c r="G2758" t="str">
        <f>INDEX(Risk_Matrix!$B$2:$D$4,MATCH(E2758,Risk_Matrix!$A$2:$A$4,0),MATCH(F2758,Risk_Matrix!$B$1:$D$1,0))</f>
        <v>Medium</v>
      </c>
      <c r="H2758" s="1">
        <v>46220</v>
      </c>
      <c r="I2758" t="s">
        <v>2025</v>
      </c>
      <c r="J2758" t="s">
        <v>2026</v>
      </c>
      <c r="K2758" t="s">
        <v>2036</v>
      </c>
      <c r="L2758">
        <f>IF(G2758="High",3,IF(G2758="Medium",2,1))</f>
        <v>2</v>
      </c>
    </row>
    <row r="2759" spans="1:12">
      <c r="A2759" t="s">
        <v>4785</v>
      </c>
      <c r="B2759" t="s">
        <v>1629</v>
      </c>
      <c r="C2759" t="s">
        <v>2000</v>
      </c>
      <c r="D2759" t="s">
        <v>2045</v>
      </c>
      <c r="E2759" t="s">
        <v>1971</v>
      </c>
      <c r="F2759" t="s">
        <v>47</v>
      </c>
      <c r="G2759" t="str">
        <f>INDEX(Risk_Matrix!$B$2:$D$4,MATCH(E2759,Risk_Matrix!$A$2:$A$4,0),MATCH(F2759,Risk_Matrix!$B$1:$D$1,0))</f>
        <v>High</v>
      </c>
      <c r="H2759" s="1">
        <v>46130</v>
      </c>
      <c r="I2759" t="s">
        <v>1987</v>
      </c>
      <c r="J2759" t="s">
        <v>1997</v>
      </c>
      <c r="K2759" t="s">
        <v>1989</v>
      </c>
      <c r="L2759">
        <f>IF(G2759="High",3,IF(G2759="Medium",2,1))</f>
        <v>3</v>
      </c>
    </row>
    <row r="2760" spans="1:12">
      <c r="A2760" t="s">
        <v>4786</v>
      </c>
      <c r="B2760" t="s">
        <v>1629</v>
      </c>
      <c r="C2760" t="s">
        <v>2005</v>
      </c>
      <c r="D2760" t="s">
        <v>2022</v>
      </c>
      <c r="E2760" t="s">
        <v>1971</v>
      </c>
      <c r="F2760" t="s">
        <v>47</v>
      </c>
      <c r="G2760" t="str">
        <f>INDEX(Risk_Matrix!$B$2:$D$4,MATCH(E2760,Risk_Matrix!$A$2:$A$4,0),MATCH(F2760,Risk_Matrix!$B$1:$D$1,0))</f>
        <v>High</v>
      </c>
      <c r="H2760" s="1">
        <v>46172</v>
      </c>
      <c r="I2760" t="s">
        <v>2025</v>
      </c>
      <c r="J2760" t="s">
        <v>2026</v>
      </c>
      <c r="K2760" t="s">
        <v>1993</v>
      </c>
      <c r="L2760">
        <f>IF(G2760="High",3,IF(G2760="Medium",2,1))</f>
        <v>3</v>
      </c>
    </row>
    <row r="2761" spans="1:12">
      <c r="A2761" t="s">
        <v>4787</v>
      </c>
      <c r="B2761" t="s">
        <v>1629</v>
      </c>
      <c r="C2761" t="s">
        <v>2008</v>
      </c>
      <c r="D2761" t="s">
        <v>2009</v>
      </c>
      <c r="E2761" t="s">
        <v>57</v>
      </c>
      <c r="F2761" t="s">
        <v>57</v>
      </c>
      <c r="G2761" t="str">
        <f>INDEX(Risk_Matrix!$B$2:$D$4,MATCH(E2761,Risk_Matrix!$A$2:$A$4,0),MATCH(F2761,Risk_Matrix!$B$1:$D$1,0))</f>
        <v>Low</v>
      </c>
      <c r="H2761" s="1">
        <v>46159</v>
      </c>
      <c r="I2761" t="s">
        <v>2015</v>
      </c>
      <c r="J2761" t="s">
        <v>2016</v>
      </c>
      <c r="K2761" t="s">
        <v>2010</v>
      </c>
      <c r="L2761">
        <f>IF(G2761="High",3,IF(G2761="Medium",2,1))</f>
        <v>1</v>
      </c>
    </row>
    <row r="2762" spans="1:12">
      <c r="A2762" t="s">
        <v>4788</v>
      </c>
      <c r="B2762" t="s">
        <v>1632</v>
      </c>
      <c r="C2762" t="s">
        <v>1985</v>
      </c>
      <c r="D2762" t="s">
        <v>2062</v>
      </c>
      <c r="E2762" t="s">
        <v>1971</v>
      </c>
      <c r="F2762" t="s">
        <v>57</v>
      </c>
      <c r="G2762" t="str">
        <f>INDEX(Risk_Matrix!$B$2:$D$4,MATCH(E2762,Risk_Matrix!$A$2:$A$4,0),MATCH(F2762,Risk_Matrix!$B$1:$D$1,0))</f>
        <v>Low</v>
      </c>
      <c r="H2762" s="1">
        <v>46224</v>
      </c>
      <c r="I2762" t="s">
        <v>2025</v>
      </c>
      <c r="J2762" t="s">
        <v>2026</v>
      </c>
      <c r="K2762" t="s">
        <v>1998</v>
      </c>
      <c r="L2762">
        <f>IF(G2762="High",3,IF(G2762="Medium",2,1))</f>
        <v>1</v>
      </c>
    </row>
    <row r="2763" spans="1:12">
      <c r="A2763" t="s">
        <v>4789</v>
      </c>
      <c r="B2763" t="s">
        <v>1632</v>
      </c>
      <c r="C2763" t="s">
        <v>1991</v>
      </c>
      <c r="D2763" t="s">
        <v>2014</v>
      </c>
      <c r="E2763" t="s">
        <v>57</v>
      </c>
      <c r="F2763" t="s">
        <v>1971</v>
      </c>
      <c r="G2763" t="str">
        <f>INDEX(Risk_Matrix!$B$2:$D$4,MATCH(E2763,Risk_Matrix!$A$2:$A$4,0),MATCH(F2763,Risk_Matrix!$B$1:$D$1,0))</f>
        <v>Low</v>
      </c>
      <c r="H2763" s="1">
        <v>46121</v>
      </c>
      <c r="I2763" t="s">
        <v>2002</v>
      </c>
      <c r="J2763" t="s">
        <v>2029</v>
      </c>
      <c r="K2763" t="s">
        <v>1993</v>
      </c>
      <c r="L2763">
        <f>IF(G2763="High",3,IF(G2763="Medium",2,1))</f>
        <v>1</v>
      </c>
    </row>
    <row r="2764" spans="1:12">
      <c r="A2764" t="s">
        <v>4790</v>
      </c>
      <c r="B2764" t="s">
        <v>1632</v>
      </c>
      <c r="C2764" t="s">
        <v>1995</v>
      </c>
      <c r="D2764" t="s">
        <v>2150</v>
      </c>
      <c r="E2764" t="s">
        <v>57</v>
      </c>
      <c r="F2764" t="s">
        <v>57</v>
      </c>
      <c r="G2764" t="str">
        <f>INDEX(Risk_Matrix!$B$2:$D$4,MATCH(E2764,Risk_Matrix!$A$2:$A$4,0),MATCH(F2764,Risk_Matrix!$B$1:$D$1,0))</f>
        <v>Low</v>
      </c>
      <c r="H2764" s="1">
        <v>46085</v>
      </c>
      <c r="I2764" t="s">
        <v>2002</v>
      </c>
      <c r="J2764" t="s">
        <v>2029</v>
      </c>
      <c r="K2764" t="s">
        <v>2036</v>
      </c>
      <c r="L2764">
        <f>IF(G2764="High",3,IF(G2764="Medium",2,1))</f>
        <v>1</v>
      </c>
    </row>
    <row r="2765" spans="1:12">
      <c r="A2765" t="s">
        <v>4791</v>
      </c>
      <c r="B2765" t="s">
        <v>1632</v>
      </c>
      <c r="C2765" t="s">
        <v>2000</v>
      </c>
      <c r="D2765" t="s">
        <v>2045</v>
      </c>
      <c r="E2765" t="s">
        <v>1971</v>
      </c>
      <c r="F2765" t="s">
        <v>57</v>
      </c>
      <c r="G2765" t="str">
        <f>INDEX(Risk_Matrix!$B$2:$D$4,MATCH(E2765,Risk_Matrix!$A$2:$A$4,0),MATCH(F2765,Risk_Matrix!$B$1:$D$1,0))</f>
        <v>Low</v>
      </c>
      <c r="H2765" s="1">
        <v>46125</v>
      </c>
      <c r="I2765" t="s">
        <v>2002</v>
      </c>
      <c r="J2765" t="s">
        <v>2029</v>
      </c>
      <c r="K2765" t="s">
        <v>1993</v>
      </c>
      <c r="L2765">
        <f>IF(G2765="High",3,IF(G2765="Medium",2,1))</f>
        <v>1</v>
      </c>
    </row>
    <row r="2766" spans="1:12">
      <c r="A2766" t="s">
        <v>4792</v>
      </c>
      <c r="B2766" t="s">
        <v>1632</v>
      </c>
      <c r="C2766" t="s">
        <v>2005</v>
      </c>
      <c r="D2766" t="s">
        <v>2039</v>
      </c>
      <c r="E2766" t="s">
        <v>57</v>
      </c>
      <c r="F2766" t="s">
        <v>57</v>
      </c>
      <c r="G2766" t="str">
        <f>INDEX(Risk_Matrix!$B$2:$D$4,MATCH(E2766,Risk_Matrix!$A$2:$A$4,0),MATCH(F2766,Risk_Matrix!$B$1:$D$1,0))</f>
        <v>Low</v>
      </c>
      <c r="H2766" s="1">
        <v>46073</v>
      </c>
      <c r="I2766" t="s">
        <v>2002</v>
      </c>
      <c r="J2766" t="s">
        <v>2003</v>
      </c>
      <c r="K2766" t="s">
        <v>1993</v>
      </c>
      <c r="L2766">
        <f>IF(G2766="High",3,IF(G2766="Medium",2,1))</f>
        <v>1</v>
      </c>
    </row>
    <row r="2767" spans="1:12">
      <c r="A2767" t="s">
        <v>4793</v>
      </c>
      <c r="B2767" t="s">
        <v>1632</v>
      </c>
      <c r="C2767" t="s">
        <v>2008</v>
      </c>
      <c r="D2767" t="s">
        <v>2054</v>
      </c>
      <c r="E2767" t="s">
        <v>57</v>
      </c>
      <c r="F2767" t="s">
        <v>57</v>
      </c>
      <c r="G2767" t="str">
        <f>INDEX(Risk_Matrix!$B$2:$D$4,MATCH(E2767,Risk_Matrix!$A$2:$A$4,0),MATCH(F2767,Risk_Matrix!$B$1:$D$1,0))</f>
        <v>Low</v>
      </c>
      <c r="H2767" s="1">
        <v>46127</v>
      </c>
      <c r="I2767" t="s">
        <v>1987</v>
      </c>
      <c r="J2767" t="s">
        <v>1997</v>
      </c>
      <c r="K2767" t="s">
        <v>2010</v>
      </c>
      <c r="L2767">
        <f>IF(G2767="High",3,IF(G2767="Medium",2,1))</f>
        <v>1</v>
      </c>
    </row>
    <row r="2768" spans="1:12">
      <c r="A2768" t="s">
        <v>4794</v>
      </c>
      <c r="B2768" t="s">
        <v>1634</v>
      </c>
      <c r="C2768" t="s">
        <v>1985</v>
      </c>
      <c r="D2768" t="s">
        <v>2012</v>
      </c>
      <c r="E2768" t="s">
        <v>1971</v>
      </c>
      <c r="F2768" t="s">
        <v>57</v>
      </c>
      <c r="G2768" t="str">
        <f>INDEX(Risk_Matrix!$B$2:$D$4,MATCH(E2768,Risk_Matrix!$A$2:$A$4,0),MATCH(F2768,Risk_Matrix!$B$1:$D$1,0))</f>
        <v>Low</v>
      </c>
      <c r="H2768" s="1">
        <v>46082</v>
      </c>
      <c r="I2768" t="s">
        <v>2025</v>
      </c>
      <c r="J2768" t="s">
        <v>2035</v>
      </c>
      <c r="K2768" t="s">
        <v>1989</v>
      </c>
      <c r="L2768">
        <f>IF(G2768="High",3,IF(G2768="Medium",2,1))</f>
        <v>1</v>
      </c>
    </row>
    <row r="2769" spans="1:12">
      <c r="A2769" t="s">
        <v>4795</v>
      </c>
      <c r="B2769" t="s">
        <v>1634</v>
      </c>
      <c r="C2769" t="s">
        <v>1991</v>
      </c>
      <c r="D2769" t="s">
        <v>2064</v>
      </c>
      <c r="E2769" t="s">
        <v>57</v>
      </c>
      <c r="F2769" t="s">
        <v>57</v>
      </c>
      <c r="G2769" t="str">
        <f>INDEX(Risk_Matrix!$B$2:$D$4,MATCH(E2769,Risk_Matrix!$A$2:$A$4,0),MATCH(F2769,Risk_Matrix!$B$1:$D$1,0))</f>
        <v>Low</v>
      </c>
      <c r="H2769" s="1">
        <v>46058</v>
      </c>
      <c r="I2769" t="s">
        <v>2025</v>
      </c>
      <c r="J2769" t="s">
        <v>2035</v>
      </c>
      <c r="K2769" t="s">
        <v>2010</v>
      </c>
      <c r="L2769">
        <f>IF(G2769="High",3,IF(G2769="Medium",2,1))</f>
        <v>1</v>
      </c>
    </row>
    <row r="2770" spans="1:12">
      <c r="A2770" t="s">
        <v>4796</v>
      </c>
      <c r="B2770" t="s">
        <v>1634</v>
      </c>
      <c r="C2770" t="s">
        <v>1995</v>
      </c>
      <c r="D2770" t="s">
        <v>2018</v>
      </c>
      <c r="E2770" t="s">
        <v>1971</v>
      </c>
      <c r="F2770" t="s">
        <v>57</v>
      </c>
      <c r="G2770" t="str">
        <f>INDEX(Risk_Matrix!$B$2:$D$4,MATCH(E2770,Risk_Matrix!$A$2:$A$4,0),MATCH(F2770,Risk_Matrix!$B$1:$D$1,0))</f>
        <v>Low</v>
      </c>
      <c r="H2770" s="1">
        <v>46195</v>
      </c>
      <c r="I2770" t="s">
        <v>2015</v>
      </c>
      <c r="J2770" t="s">
        <v>2032</v>
      </c>
      <c r="K2770" t="s">
        <v>2036</v>
      </c>
      <c r="L2770">
        <f>IF(G2770="High",3,IF(G2770="Medium",2,1))</f>
        <v>1</v>
      </c>
    </row>
    <row r="2771" spans="1:12">
      <c r="A2771" t="s">
        <v>4797</v>
      </c>
      <c r="B2771" t="s">
        <v>1634</v>
      </c>
      <c r="C2771" t="s">
        <v>2000</v>
      </c>
      <c r="D2771" t="s">
        <v>2045</v>
      </c>
      <c r="E2771" t="s">
        <v>47</v>
      </c>
      <c r="F2771" t="s">
        <v>1971</v>
      </c>
      <c r="G2771" t="str">
        <f>INDEX(Risk_Matrix!$B$2:$D$4,MATCH(E2771,Risk_Matrix!$A$2:$A$4,0),MATCH(F2771,Risk_Matrix!$B$1:$D$1,0))</f>
        <v>High</v>
      </c>
      <c r="H2771" s="1">
        <v>46062</v>
      </c>
      <c r="I2771" t="s">
        <v>2025</v>
      </c>
      <c r="J2771" t="s">
        <v>2035</v>
      </c>
      <c r="K2771" t="s">
        <v>1989</v>
      </c>
      <c r="L2771">
        <f>IF(G2771="High",3,IF(G2771="Medium",2,1))</f>
        <v>3</v>
      </c>
    </row>
    <row r="2772" spans="1:12">
      <c r="A2772" t="s">
        <v>4798</v>
      </c>
      <c r="B2772" t="s">
        <v>1634</v>
      </c>
      <c r="C2772" t="s">
        <v>2005</v>
      </c>
      <c r="D2772" t="s">
        <v>2039</v>
      </c>
      <c r="E2772" t="s">
        <v>47</v>
      </c>
      <c r="F2772" t="s">
        <v>57</v>
      </c>
      <c r="G2772" t="str">
        <f>INDEX(Risk_Matrix!$B$2:$D$4,MATCH(E2772,Risk_Matrix!$A$2:$A$4,0),MATCH(F2772,Risk_Matrix!$B$1:$D$1,0))</f>
        <v>Medium</v>
      </c>
      <c r="H2772" s="1">
        <v>46173</v>
      </c>
      <c r="I2772" t="s">
        <v>2015</v>
      </c>
      <c r="J2772" t="s">
        <v>2016</v>
      </c>
      <c r="K2772" t="s">
        <v>1993</v>
      </c>
      <c r="L2772">
        <f>IF(G2772="High",3,IF(G2772="Medium",2,1))</f>
        <v>2</v>
      </c>
    </row>
    <row r="2773" spans="1:12">
      <c r="A2773" t="s">
        <v>4799</v>
      </c>
      <c r="B2773" t="s">
        <v>1634</v>
      </c>
      <c r="C2773" t="s">
        <v>2008</v>
      </c>
      <c r="D2773" t="s">
        <v>2024</v>
      </c>
      <c r="E2773" t="s">
        <v>1971</v>
      </c>
      <c r="F2773" t="s">
        <v>47</v>
      </c>
      <c r="G2773" t="str">
        <f>INDEX(Risk_Matrix!$B$2:$D$4,MATCH(E2773,Risk_Matrix!$A$2:$A$4,0),MATCH(F2773,Risk_Matrix!$B$1:$D$1,0))</f>
        <v>High</v>
      </c>
      <c r="H2773" s="1">
        <v>46191</v>
      </c>
      <c r="I2773" t="s">
        <v>2015</v>
      </c>
      <c r="J2773" t="s">
        <v>2016</v>
      </c>
      <c r="K2773" t="s">
        <v>2010</v>
      </c>
      <c r="L2773">
        <f>IF(G2773="High",3,IF(G2773="Medium",2,1))</f>
        <v>3</v>
      </c>
    </row>
    <row r="2774" spans="1:12">
      <c r="A2774" t="s">
        <v>4800</v>
      </c>
      <c r="B2774" t="s">
        <v>1636</v>
      </c>
      <c r="C2774" t="s">
        <v>1985</v>
      </c>
      <c r="D2774" t="s">
        <v>2062</v>
      </c>
      <c r="E2774" t="s">
        <v>1971</v>
      </c>
      <c r="F2774" t="s">
        <v>47</v>
      </c>
      <c r="G2774" t="str">
        <f>INDEX(Risk_Matrix!$B$2:$D$4,MATCH(E2774,Risk_Matrix!$A$2:$A$4,0),MATCH(F2774,Risk_Matrix!$B$1:$D$1,0))</f>
        <v>High</v>
      </c>
      <c r="H2774" s="1">
        <v>46142</v>
      </c>
      <c r="I2774" t="s">
        <v>1987</v>
      </c>
      <c r="J2774" t="s">
        <v>1997</v>
      </c>
      <c r="K2774" t="s">
        <v>1989</v>
      </c>
      <c r="L2774">
        <f>IF(G2774="High",3,IF(G2774="Medium",2,1))</f>
        <v>3</v>
      </c>
    </row>
    <row r="2775" spans="1:12">
      <c r="A2775" t="s">
        <v>4801</v>
      </c>
      <c r="B2775" t="s">
        <v>1636</v>
      </c>
      <c r="C2775" t="s">
        <v>1991</v>
      </c>
      <c r="D2775" t="s">
        <v>1992</v>
      </c>
      <c r="E2775" t="s">
        <v>1971</v>
      </c>
      <c r="F2775" t="s">
        <v>57</v>
      </c>
      <c r="G2775" t="str">
        <f>INDEX(Risk_Matrix!$B$2:$D$4,MATCH(E2775,Risk_Matrix!$A$2:$A$4,0),MATCH(F2775,Risk_Matrix!$B$1:$D$1,0))</f>
        <v>Low</v>
      </c>
      <c r="H2775" s="1">
        <v>46170</v>
      </c>
      <c r="I2775" t="s">
        <v>2002</v>
      </c>
      <c r="J2775" t="s">
        <v>2003</v>
      </c>
      <c r="K2775" t="s">
        <v>2010</v>
      </c>
      <c r="L2775">
        <f>IF(G2775="High",3,IF(G2775="Medium",2,1))</f>
        <v>1</v>
      </c>
    </row>
    <row r="2776" spans="1:12">
      <c r="A2776" t="s">
        <v>4802</v>
      </c>
      <c r="B2776" t="s">
        <v>1636</v>
      </c>
      <c r="C2776" t="s">
        <v>1995</v>
      </c>
      <c r="D2776" t="s">
        <v>2034</v>
      </c>
      <c r="E2776" t="s">
        <v>1971</v>
      </c>
      <c r="F2776" t="s">
        <v>57</v>
      </c>
      <c r="G2776" t="str">
        <f>INDEX(Risk_Matrix!$B$2:$D$4,MATCH(E2776,Risk_Matrix!$A$2:$A$4,0),MATCH(F2776,Risk_Matrix!$B$1:$D$1,0))</f>
        <v>Low</v>
      </c>
      <c r="H2776" s="1">
        <v>46166</v>
      </c>
      <c r="I2776" t="s">
        <v>1987</v>
      </c>
      <c r="J2776" t="s">
        <v>1997</v>
      </c>
      <c r="K2776" t="s">
        <v>2036</v>
      </c>
      <c r="L2776">
        <f>IF(G2776="High",3,IF(G2776="Medium",2,1))</f>
        <v>1</v>
      </c>
    </row>
    <row r="2777" spans="1:12">
      <c r="A2777" t="s">
        <v>4803</v>
      </c>
      <c r="B2777" t="s">
        <v>1636</v>
      </c>
      <c r="C2777" t="s">
        <v>2000</v>
      </c>
      <c r="D2777" t="s">
        <v>2045</v>
      </c>
      <c r="E2777" t="s">
        <v>47</v>
      </c>
      <c r="F2777" t="s">
        <v>57</v>
      </c>
      <c r="G2777" t="str">
        <f>INDEX(Risk_Matrix!$B$2:$D$4,MATCH(E2777,Risk_Matrix!$A$2:$A$4,0),MATCH(F2777,Risk_Matrix!$B$1:$D$1,0))</f>
        <v>Medium</v>
      </c>
      <c r="H2777" s="1">
        <v>46189</v>
      </c>
      <c r="I2777" t="s">
        <v>2025</v>
      </c>
      <c r="J2777" t="s">
        <v>2026</v>
      </c>
      <c r="K2777" t="s">
        <v>1993</v>
      </c>
      <c r="L2777">
        <f>IF(G2777="High",3,IF(G2777="Medium",2,1))</f>
        <v>2</v>
      </c>
    </row>
    <row r="2778" spans="1:12">
      <c r="A2778" t="s">
        <v>4804</v>
      </c>
      <c r="B2778" t="s">
        <v>1636</v>
      </c>
      <c r="C2778" t="s">
        <v>2005</v>
      </c>
      <c r="D2778" t="s">
        <v>2039</v>
      </c>
      <c r="E2778" t="s">
        <v>1971</v>
      </c>
      <c r="F2778" t="s">
        <v>47</v>
      </c>
      <c r="G2778" t="str">
        <f>INDEX(Risk_Matrix!$B$2:$D$4,MATCH(E2778,Risk_Matrix!$A$2:$A$4,0),MATCH(F2778,Risk_Matrix!$B$1:$D$1,0))</f>
        <v>High</v>
      </c>
      <c r="H2778" s="1">
        <v>46223</v>
      </c>
      <c r="I2778" t="s">
        <v>2025</v>
      </c>
      <c r="J2778" t="s">
        <v>2026</v>
      </c>
      <c r="K2778" t="s">
        <v>1993</v>
      </c>
      <c r="L2778">
        <f>IF(G2778="High",3,IF(G2778="Medium",2,1))</f>
        <v>3</v>
      </c>
    </row>
    <row r="2779" spans="1:12">
      <c r="A2779" t="s">
        <v>4805</v>
      </c>
      <c r="B2779" t="s">
        <v>1636</v>
      </c>
      <c r="C2779" t="s">
        <v>2008</v>
      </c>
      <c r="D2779" t="s">
        <v>2024</v>
      </c>
      <c r="E2779" t="s">
        <v>1971</v>
      </c>
      <c r="F2779" t="s">
        <v>47</v>
      </c>
      <c r="G2779" t="str">
        <f>INDEX(Risk_Matrix!$B$2:$D$4,MATCH(E2779,Risk_Matrix!$A$2:$A$4,0),MATCH(F2779,Risk_Matrix!$B$1:$D$1,0))</f>
        <v>High</v>
      </c>
      <c r="H2779" s="1">
        <v>46187</v>
      </c>
      <c r="I2779" t="s">
        <v>2015</v>
      </c>
      <c r="J2779" t="s">
        <v>2016</v>
      </c>
      <c r="K2779" t="s">
        <v>2010</v>
      </c>
      <c r="L2779">
        <f>IF(G2779="High",3,IF(G2779="Medium",2,1))</f>
        <v>3</v>
      </c>
    </row>
    <row r="2780" spans="1:12">
      <c r="A2780" t="s">
        <v>4806</v>
      </c>
      <c r="B2780" t="s">
        <v>1638</v>
      </c>
      <c r="C2780" t="s">
        <v>1985</v>
      </c>
      <c r="D2780" t="s">
        <v>2012</v>
      </c>
      <c r="E2780" t="s">
        <v>1971</v>
      </c>
      <c r="F2780" t="s">
        <v>1971</v>
      </c>
      <c r="G2780" t="str">
        <f>INDEX(Risk_Matrix!$B$2:$D$4,MATCH(E2780,Risk_Matrix!$A$2:$A$4,0),MATCH(F2780,Risk_Matrix!$B$1:$D$1,0))</f>
        <v>Medium</v>
      </c>
      <c r="H2780" s="1">
        <v>46149</v>
      </c>
      <c r="I2780" t="s">
        <v>1987</v>
      </c>
      <c r="J2780" t="s">
        <v>1997</v>
      </c>
      <c r="K2780" t="s">
        <v>1998</v>
      </c>
      <c r="L2780">
        <f>IF(G2780="High",3,IF(G2780="Medium",2,1))</f>
        <v>2</v>
      </c>
    </row>
    <row r="2781" spans="1:12">
      <c r="A2781" t="s">
        <v>4807</v>
      </c>
      <c r="B2781" t="s">
        <v>1638</v>
      </c>
      <c r="C2781" t="s">
        <v>1991</v>
      </c>
      <c r="D2781" t="s">
        <v>1992</v>
      </c>
      <c r="E2781" t="s">
        <v>47</v>
      </c>
      <c r="F2781" t="s">
        <v>47</v>
      </c>
      <c r="G2781" t="str">
        <f>INDEX(Risk_Matrix!$B$2:$D$4,MATCH(E2781,Risk_Matrix!$A$2:$A$4,0),MATCH(F2781,Risk_Matrix!$B$1:$D$1,0))</f>
        <v>High</v>
      </c>
      <c r="H2781" s="1">
        <v>46161</v>
      </c>
      <c r="I2781" t="s">
        <v>2015</v>
      </c>
      <c r="J2781" t="s">
        <v>2016</v>
      </c>
      <c r="K2781" t="s">
        <v>2010</v>
      </c>
      <c r="L2781">
        <f>IF(G2781="High",3,IF(G2781="Medium",2,1))</f>
        <v>3</v>
      </c>
    </row>
    <row r="2782" spans="1:12">
      <c r="A2782" t="s">
        <v>4808</v>
      </c>
      <c r="B2782" t="s">
        <v>1638</v>
      </c>
      <c r="C2782" t="s">
        <v>1995</v>
      </c>
      <c r="D2782" t="s">
        <v>2034</v>
      </c>
      <c r="E2782" t="s">
        <v>47</v>
      </c>
      <c r="F2782" t="s">
        <v>57</v>
      </c>
      <c r="G2782" t="str">
        <f>INDEX(Risk_Matrix!$B$2:$D$4,MATCH(E2782,Risk_Matrix!$A$2:$A$4,0),MATCH(F2782,Risk_Matrix!$B$1:$D$1,0))</f>
        <v>Medium</v>
      </c>
      <c r="H2782" s="1">
        <v>46130</v>
      </c>
      <c r="I2782" t="s">
        <v>2025</v>
      </c>
      <c r="J2782" t="s">
        <v>2026</v>
      </c>
      <c r="K2782" t="s">
        <v>2036</v>
      </c>
      <c r="L2782">
        <f>IF(G2782="High",3,IF(G2782="Medium",2,1))</f>
        <v>2</v>
      </c>
    </row>
    <row r="2783" spans="1:12">
      <c r="A2783" t="s">
        <v>4809</v>
      </c>
      <c r="B2783" t="s">
        <v>1638</v>
      </c>
      <c r="C2783" t="s">
        <v>2000</v>
      </c>
      <c r="D2783" t="s">
        <v>2020</v>
      </c>
      <c r="E2783" t="s">
        <v>1971</v>
      </c>
      <c r="F2783" t="s">
        <v>57</v>
      </c>
      <c r="G2783" t="str">
        <f>INDEX(Risk_Matrix!$B$2:$D$4,MATCH(E2783,Risk_Matrix!$A$2:$A$4,0),MATCH(F2783,Risk_Matrix!$B$1:$D$1,0))</f>
        <v>Low</v>
      </c>
      <c r="H2783" s="1">
        <v>46065</v>
      </c>
      <c r="I2783" t="s">
        <v>2002</v>
      </c>
      <c r="J2783" t="s">
        <v>2029</v>
      </c>
      <c r="K2783" t="s">
        <v>1993</v>
      </c>
      <c r="L2783">
        <f>IF(G2783="High",3,IF(G2783="Medium",2,1))</f>
        <v>1</v>
      </c>
    </row>
    <row r="2784" spans="1:12">
      <c r="A2784" t="s">
        <v>4810</v>
      </c>
      <c r="B2784" t="s">
        <v>1638</v>
      </c>
      <c r="C2784" t="s">
        <v>2005</v>
      </c>
      <c r="D2784" t="s">
        <v>2006</v>
      </c>
      <c r="E2784" t="s">
        <v>57</v>
      </c>
      <c r="F2784" t="s">
        <v>1971</v>
      </c>
      <c r="G2784" t="str">
        <f>INDEX(Risk_Matrix!$B$2:$D$4,MATCH(E2784,Risk_Matrix!$A$2:$A$4,0),MATCH(F2784,Risk_Matrix!$B$1:$D$1,0))</f>
        <v>Low</v>
      </c>
      <c r="H2784" s="1">
        <v>46150</v>
      </c>
      <c r="I2784" t="s">
        <v>2015</v>
      </c>
      <c r="J2784" t="s">
        <v>2032</v>
      </c>
      <c r="K2784" t="s">
        <v>1993</v>
      </c>
      <c r="L2784">
        <f>IF(G2784="High",3,IF(G2784="Medium",2,1))</f>
        <v>1</v>
      </c>
    </row>
    <row r="2785" spans="1:12">
      <c r="A2785" t="s">
        <v>4811</v>
      </c>
      <c r="B2785" t="s">
        <v>1638</v>
      </c>
      <c r="C2785" t="s">
        <v>2008</v>
      </c>
      <c r="D2785" t="s">
        <v>2024</v>
      </c>
      <c r="E2785" t="s">
        <v>1971</v>
      </c>
      <c r="F2785" t="s">
        <v>47</v>
      </c>
      <c r="G2785" t="str">
        <f>INDEX(Risk_Matrix!$B$2:$D$4,MATCH(E2785,Risk_Matrix!$A$2:$A$4,0),MATCH(F2785,Risk_Matrix!$B$1:$D$1,0))</f>
        <v>High</v>
      </c>
      <c r="H2785" s="1">
        <v>46197</v>
      </c>
      <c r="I2785" t="s">
        <v>2015</v>
      </c>
      <c r="J2785" t="s">
        <v>2016</v>
      </c>
      <c r="K2785" t="s">
        <v>1998</v>
      </c>
      <c r="L2785">
        <f>IF(G2785="High",3,IF(G2785="Medium",2,1))</f>
        <v>3</v>
      </c>
    </row>
    <row r="2786" spans="1:12">
      <c r="A2786" t="s">
        <v>4812</v>
      </c>
      <c r="B2786" t="s">
        <v>1640</v>
      </c>
      <c r="C2786" t="s">
        <v>1985</v>
      </c>
      <c r="D2786" t="s">
        <v>2062</v>
      </c>
      <c r="E2786" t="s">
        <v>1971</v>
      </c>
      <c r="F2786" t="s">
        <v>47</v>
      </c>
      <c r="G2786" t="str">
        <f>INDEX(Risk_Matrix!$B$2:$D$4,MATCH(E2786,Risk_Matrix!$A$2:$A$4,0),MATCH(F2786,Risk_Matrix!$B$1:$D$1,0))</f>
        <v>High</v>
      </c>
      <c r="H2786" s="1">
        <v>46226</v>
      </c>
      <c r="I2786" t="s">
        <v>2015</v>
      </c>
      <c r="J2786" t="s">
        <v>2016</v>
      </c>
      <c r="K2786" t="s">
        <v>1998</v>
      </c>
      <c r="L2786">
        <f>IF(G2786="High",3,IF(G2786="Medium",2,1))</f>
        <v>3</v>
      </c>
    </row>
    <row r="2787" spans="1:12">
      <c r="A2787" t="s">
        <v>4813</v>
      </c>
      <c r="B2787" t="s">
        <v>1640</v>
      </c>
      <c r="C2787" t="s">
        <v>1991</v>
      </c>
      <c r="D2787" t="s">
        <v>2031</v>
      </c>
      <c r="E2787" t="s">
        <v>47</v>
      </c>
      <c r="F2787" t="s">
        <v>57</v>
      </c>
      <c r="G2787" t="str">
        <f>INDEX(Risk_Matrix!$B$2:$D$4,MATCH(E2787,Risk_Matrix!$A$2:$A$4,0),MATCH(F2787,Risk_Matrix!$B$1:$D$1,0))</f>
        <v>Medium</v>
      </c>
      <c r="H2787" s="1">
        <v>46204</v>
      </c>
      <c r="I2787" t="s">
        <v>1987</v>
      </c>
      <c r="J2787" t="s">
        <v>1997</v>
      </c>
      <c r="K2787" t="s">
        <v>1993</v>
      </c>
      <c r="L2787">
        <f>IF(G2787="High",3,IF(G2787="Medium",2,1))</f>
        <v>2</v>
      </c>
    </row>
    <row r="2788" spans="1:12">
      <c r="A2788" t="s">
        <v>4814</v>
      </c>
      <c r="B2788" t="s">
        <v>1640</v>
      </c>
      <c r="C2788" t="s">
        <v>1995</v>
      </c>
      <c r="D2788" t="s">
        <v>2150</v>
      </c>
      <c r="E2788" t="s">
        <v>57</v>
      </c>
      <c r="F2788" t="s">
        <v>1971</v>
      </c>
      <c r="G2788" t="str">
        <f>INDEX(Risk_Matrix!$B$2:$D$4,MATCH(E2788,Risk_Matrix!$A$2:$A$4,0),MATCH(F2788,Risk_Matrix!$B$1:$D$1,0))</f>
        <v>Low</v>
      </c>
      <c r="H2788" s="1">
        <v>46141</v>
      </c>
      <c r="I2788" t="s">
        <v>1987</v>
      </c>
      <c r="J2788" t="s">
        <v>1988</v>
      </c>
      <c r="K2788" t="s">
        <v>1998</v>
      </c>
      <c r="L2788">
        <f>IF(G2788="High",3,IF(G2788="Medium",2,1))</f>
        <v>1</v>
      </c>
    </row>
    <row r="2789" spans="1:12">
      <c r="A2789" t="s">
        <v>4815</v>
      </c>
      <c r="B2789" t="s">
        <v>1640</v>
      </c>
      <c r="C2789" t="s">
        <v>2000</v>
      </c>
      <c r="D2789" t="s">
        <v>2001</v>
      </c>
      <c r="E2789" t="s">
        <v>1971</v>
      </c>
      <c r="F2789" t="s">
        <v>47</v>
      </c>
      <c r="G2789" t="str">
        <f>INDEX(Risk_Matrix!$B$2:$D$4,MATCH(E2789,Risk_Matrix!$A$2:$A$4,0),MATCH(F2789,Risk_Matrix!$B$1:$D$1,0))</f>
        <v>High</v>
      </c>
      <c r="H2789" s="1">
        <v>46234</v>
      </c>
      <c r="I2789" t="s">
        <v>2015</v>
      </c>
      <c r="J2789" t="s">
        <v>2016</v>
      </c>
      <c r="K2789" t="s">
        <v>1989</v>
      </c>
      <c r="L2789">
        <f>IF(G2789="High",3,IF(G2789="Medium",2,1))</f>
        <v>3</v>
      </c>
    </row>
    <row r="2790" spans="1:12">
      <c r="A2790" t="s">
        <v>4816</v>
      </c>
      <c r="B2790" t="s">
        <v>1640</v>
      </c>
      <c r="C2790" t="s">
        <v>2005</v>
      </c>
      <c r="D2790" t="s">
        <v>2022</v>
      </c>
      <c r="E2790" t="s">
        <v>57</v>
      </c>
      <c r="F2790" t="s">
        <v>57</v>
      </c>
      <c r="G2790" t="str">
        <f>INDEX(Risk_Matrix!$B$2:$D$4,MATCH(E2790,Risk_Matrix!$A$2:$A$4,0),MATCH(F2790,Risk_Matrix!$B$1:$D$1,0))</f>
        <v>Low</v>
      </c>
      <c r="H2790" s="1">
        <v>46093</v>
      </c>
      <c r="I2790" t="s">
        <v>1987</v>
      </c>
      <c r="J2790" t="s">
        <v>1988</v>
      </c>
      <c r="K2790" t="s">
        <v>1993</v>
      </c>
      <c r="L2790">
        <f>IF(G2790="High",3,IF(G2790="Medium",2,1))</f>
        <v>1</v>
      </c>
    </row>
    <row r="2791" spans="1:12">
      <c r="A2791" t="s">
        <v>4817</v>
      </c>
      <c r="B2791" t="s">
        <v>1640</v>
      </c>
      <c r="C2791" t="s">
        <v>2008</v>
      </c>
      <c r="D2791" t="s">
        <v>2054</v>
      </c>
      <c r="E2791" t="s">
        <v>1971</v>
      </c>
      <c r="F2791" t="s">
        <v>57</v>
      </c>
      <c r="G2791" t="str">
        <f>INDEX(Risk_Matrix!$B$2:$D$4,MATCH(E2791,Risk_Matrix!$A$2:$A$4,0),MATCH(F2791,Risk_Matrix!$B$1:$D$1,0))</f>
        <v>Low</v>
      </c>
      <c r="H2791" s="1">
        <v>46141</v>
      </c>
      <c r="I2791" t="s">
        <v>2025</v>
      </c>
      <c r="J2791" t="s">
        <v>2035</v>
      </c>
      <c r="K2791" t="s">
        <v>2010</v>
      </c>
      <c r="L2791">
        <f>IF(G2791="High",3,IF(G2791="Medium",2,1))</f>
        <v>1</v>
      </c>
    </row>
    <row r="2792" spans="1:12">
      <c r="A2792" t="s">
        <v>4818</v>
      </c>
      <c r="B2792" t="s">
        <v>1643</v>
      </c>
      <c r="C2792" t="s">
        <v>1985</v>
      </c>
      <c r="D2792" t="s">
        <v>2062</v>
      </c>
      <c r="E2792" t="s">
        <v>47</v>
      </c>
      <c r="F2792" t="s">
        <v>57</v>
      </c>
      <c r="G2792" t="str">
        <f>INDEX(Risk_Matrix!$B$2:$D$4,MATCH(E2792,Risk_Matrix!$A$2:$A$4,0),MATCH(F2792,Risk_Matrix!$B$1:$D$1,0))</f>
        <v>Medium</v>
      </c>
      <c r="H2792" s="1">
        <v>46183</v>
      </c>
      <c r="I2792" t="s">
        <v>1987</v>
      </c>
      <c r="J2792" t="s">
        <v>1997</v>
      </c>
      <c r="K2792" t="s">
        <v>1998</v>
      </c>
      <c r="L2792">
        <f>IF(G2792="High",3,IF(G2792="Medium",2,1))</f>
        <v>2</v>
      </c>
    </row>
    <row r="2793" spans="1:12">
      <c r="A2793" t="s">
        <v>4819</v>
      </c>
      <c r="B2793" t="s">
        <v>1643</v>
      </c>
      <c r="C2793" t="s">
        <v>1991</v>
      </c>
      <c r="D2793" t="s">
        <v>1992</v>
      </c>
      <c r="E2793" t="s">
        <v>57</v>
      </c>
      <c r="F2793" t="s">
        <v>57</v>
      </c>
      <c r="G2793" t="str">
        <f>INDEX(Risk_Matrix!$B$2:$D$4,MATCH(E2793,Risk_Matrix!$A$2:$A$4,0),MATCH(F2793,Risk_Matrix!$B$1:$D$1,0))</f>
        <v>Low</v>
      </c>
      <c r="H2793" s="1">
        <v>46222</v>
      </c>
      <c r="I2793" t="s">
        <v>2015</v>
      </c>
      <c r="J2793" t="s">
        <v>2016</v>
      </c>
      <c r="K2793" t="s">
        <v>2010</v>
      </c>
      <c r="L2793">
        <f>IF(G2793="High",3,IF(G2793="Medium",2,1))</f>
        <v>1</v>
      </c>
    </row>
    <row r="2794" spans="1:12">
      <c r="A2794" t="s">
        <v>4820</v>
      </c>
      <c r="B2794" t="s">
        <v>1643</v>
      </c>
      <c r="C2794" t="s">
        <v>1995</v>
      </c>
      <c r="D2794" t="s">
        <v>2150</v>
      </c>
      <c r="E2794" t="s">
        <v>1971</v>
      </c>
      <c r="F2794" t="s">
        <v>1971</v>
      </c>
      <c r="G2794" t="str">
        <f>INDEX(Risk_Matrix!$B$2:$D$4,MATCH(E2794,Risk_Matrix!$A$2:$A$4,0),MATCH(F2794,Risk_Matrix!$B$1:$D$1,0))</f>
        <v>Medium</v>
      </c>
      <c r="H2794" s="1">
        <v>46146</v>
      </c>
      <c r="I2794" t="s">
        <v>2025</v>
      </c>
      <c r="J2794" t="s">
        <v>2035</v>
      </c>
      <c r="K2794" t="s">
        <v>1998</v>
      </c>
      <c r="L2794">
        <f>IF(G2794="High",3,IF(G2794="Medium",2,1))</f>
        <v>2</v>
      </c>
    </row>
    <row r="2795" spans="1:12">
      <c r="A2795" t="s">
        <v>4821</v>
      </c>
      <c r="B2795" t="s">
        <v>1643</v>
      </c>
      <c r="C2795" t="s">
        <v>2000</v>
      </c>
      <c r="D2795" t="s">
        <v>2020</v>
      </c>
      <c r="E2795" t="s">
        <v>1971</v>
      </c>
      <c r="F2795" t="s">
        <v>1971</v>
      </c>
      <c r="G2795" t="str">
        <f>INDEX(Risk_Matrix!$B$2:$D$4,MATCH(E2795,Risk_Matrix!$A$2:$A$4,0),MATCH(F2795,Risk_Matrix!$B$1:$D$1,0))</f>
        <v>Medium</v>
      </c>
      <c r="H2795" s="1">
        <v>46072</v>
      </c>
      <c r="I2795" t="s">
        <v>2002</v>
      </c>
      <c r="J2795" t="s">
        <v>2003</v>
      </c>
      <c r="K2795" t="s">
        <v>1993</v>
      </c>
      <c r="L2795">
        <f>IF(G2795="High",3,IF(G2795="Medium",2,1))</f>
        <v>2</v>
      </c>
    </row>
    <row r="2796" spans="1:12">
      <c r="A2796" t="s">
        <v>4822</v>
      </c>
      <c r="B2796" t="s">
        <v>1643</v>
      </c>
      <c r="C2796" t="s">
        <v>2005</v>
      </c>
      <c r="D2796" t="s">
        <v>2022</v>
      </c>
      <c r="E2796" t="s">
        <v>1971</v>
      </c>
      <c r="F2796" t="s">
        <v>47</v>
      </c>
      <c r="G2796" t="str">
        <f>INDEX(Risk_Matrix!$B$2:$D$4,MATCH(E2796,Risk_Matrix!$A$2:$A$4,0),MATCH(F2796,Risk_Matrix!$B$1:$D$1,0))</f>
        <v>High</v>
      </c>
      <c r="H2796" s="1">
        <v>46226</v>
      </c>
      <c r="I2796" t="s">
        <v>2015</v>
      </c>
      <c r="J2796" t="s">
        <v>2016</v>
      </c>
      <c r="K2796" t="s">
        <v>2036</v>
      </c>
      <c r="L2796">
        <f>IF(G2796="High",3,IF(G2796="Medium",2,1))</f>
        <v>3</v>
      </c>
    </row>
    <row r="2797" spans="1:12">
      <c r="A2797" t="s">
        <v>4823</v>
      </c>
      <c r="B2797" t="s">
        <v>1643</v>
      </c>
      <c r="C2797" t="s">
        <v>2008</v>
      </c>
      <c r="D2797" t="s">
        <v>2009</v>
      </c>
      <c r="E2797" t="s">
        <v>57</v>
      </c>
      <c r="F2797" t="s">
        <v>47</v>
      </c>
      <c r="G2797" t="str">
        <f>INDEX(Risk_Matrix!$B$2:$D$4,MATCH(E2797,Risk_Matrix!$A$2:$A$4,0),MATCH(F2797,Risk_Matrix!$B$1:$D$1,0))</f>
        <v>Medium</v>
      </c>
      <c r="H2797" s="1">
        <v>46190</v>
      </c>
      <c r="I2797" t="s">
        <v>2002</v>
      </c>
      <c r="J2797" t="s">
        <v>2029</v>
      </c>
      <c r="K2797" t="s">
        <v>2010</v>
      </c>
      <c r="L2797">
        <f>IF(G2797="High",3,IF(G2797="Medium",2,1))</f>
        <v>2</v>
      </c>
    </row>
    <row r="2798" spans="1:12">
      <c r="A2798" t="s">
        <v>4824</v>
      </c>
      <c r="B2798" t="s">
        <v>1645</v>
      </c>
      <c r="C2798" t="s">
        <v>1985</v>
      </c>
      <c r="D2798" t="s">
        <v>2028</v>
      </c>
      <c r="E2798" t="s">
        <v>57</v>
      </c>
      <c r="F2798" t="s">
        <v>57</v>
      </c>
      <c r="G2798" t="str">
        <f>INDEX(Risk_Matrix!$B$2:$D$4,MATCH(E2798,Risk_Matrix!$A$2:$A$4,0),MATCH(F2798,Risk_Matrix!$B$1:$D$1,0))</f>
        <v>Low</v>
      </c>
      <c r="H2798" s="1">
        <v>46113</v>
      </c>
      <c r="I2798" t="s">
        <v>1987</v>
      </c>
      <c r="J2798" t="s">
        <v>1997</v>
      </c>
      <c r="K2798" t="s">
        <v>1998</v>
      </c>
      <c r="L2798">
        <f>IF(G2798="High",3,IF(G2798="Medium",2,1))</f>
        <v>1</v>
      </c>
    </row>
    <row r="2799" spans="1:12">
      <c r="A2799" t="s">
        <v>4825</v>
      </c>
      <c r="B2799" t="s">
        <v>1645</v>
      </c>
      <c r="C2799" t="s">
        <v>1991</v>
      </c>
      <c r="D2799" t="s">
        <v>1992</v>
      </c>
      <c r="E2799" t="s">
        <v>1971</v>
      </c>
      <c r="F2799" t="s">
        <v>57</v>
      </c>
      <c r="G2799" t="str">
        <f>INDEX(Risk_Matrix!$B$2:$D$4,MATCH(E2799,Risk_Matrix!$A$2:$A$4,0),MATCH(F2799,Risk_Matrix!$B$1:$D$1,0))</f>
        <v>Low</v>
      </c>
      <c r="H2799" s="1">
        <v>46141</v>
      </c>
      <c r="I2799" t="s">
        <v>2002</v>
      </c>
      <c r="J2799" t="s">
        <v>2029</v>
      </c>
      <c r="K2799" t="s">
        <v>2010</v>
      </c>
      <c r="L2799">
        <f>IF(G2799="High",3,IF(G2799="Medium",2,1))</f>
        <v>1</v>
      </c>
    </row>
    <row r="2800" spans="1:12">
      <c r="A2800" t="s">
        <v>4826</v>
      </c>
      <c r="B2800" t="s">
        <v>1645</v>
      </c>
      <c r="C2800" t="s">
        <v>1995</v>
      </c>
      <c r="D2800" t="s">
        <v>2150</v>
      </c>
      <c r="E2800" t="s">
        <v>57</v>
      </c>
      <c r="F2800" t="s">
        <v>57</v>
      </c>
      <c r="G2800" t="str">
        <f>INDEX(Risk_Matrix!$B$2:$D$4,MATCH(E2800,Risk_Matrix!$A$2:$A$4,0),MATCH(F2800,Risk_Matrix!$B$1:$D$1,0))</f>
        <v>Low</v>
      </c>
      <c r="H2800" s="1">
        <v>46162</v>
      </c>
      <c r="I2800" t="s">
        <v>2015</v>
      </c>
      <c r="J2800" t="s">
        <v>2016</v>
      </c>
      <c r="K2800" t="s">
        <v>1998</v>
      </c>
      <c r="L2800">
        <f>IF(G2800="High",3,IF(G2800="Medium",2,1))</f>
        <v>1</v>
      </c>
    </row>
    <row r="2801" spans="1:12">
      <c r="A2801" t="s">
        <v>4827</v>
      </c>
      <c r="B2801" t="s">
        <v>1645</v>
      </c>
      <c r="C2801" t="s">
        <v>2000</v>
      </c>
      <c r="D2801" t="s">
        <v>2020</v>
      </c>
      <c r="E2801" t="s">
        <v>1971</v>
      </c>
      <c r="F2801" t="s">
        <v>1971</v>
      </c>
      <c r="G2801" t="str">
        <f>INDEX(Risk_Matrix!$B$2:$D$4,MATCH(E2801,Risk_Matrix!$A$2:$A$4,0),MATCH(F2801,Risk_Matrix!$B$1:$D$1,0))</f>
        <v>Medium</v>
      </c>
      <c r="H2801" s="1">
        <v>46069</v>
      </c>
      <c r="I2801" t="s">
        <v>2025</v>
      </c>
      <c r="J2801" t="s">
        <v>2026</v>
      </c>
      <c r="K2801" t="s">
        <v>1993</v>
      </c>
      <c r="L2801">
        <f>IF(G2801="High",3,IF(G2801="Medium",2,1))</f>
        <v>2</v>
      </c>
    </row>
    <row r="2802" spans="1:12">
      <c r="A2802" t="s">
        <v>4828</v>
      </c>
      <c r="B2802" t="s">
        <v>1645</v>
      </c>
      <c r="C2802" t="s">
        <v>2005</v>
      </c>
      <c r="D2802" t="s">
        <v>2022</v>
      </c>
      <c r="E2802" t="s">
        <v>57</v>
      </c>
      <c r="F2802" t="s">
        <v>57</v>
      </c>
      <c r="G2802" t="str">
        <f>INDEX(Risk_Matrix!$B$2:$D$4,MATCH(E2802,Risk_Matrix!$A$2:$A$4,0),MATCH(F2802,Risk_Matrix!$B$1:$D$1,0))</f>
        <v>Low</v>
      </c>
      <c r="H2802" s="1">
        <v>46231</v>
      </c>
      <c r="I2802" t="s">
        <v>2002</v>
      </c>
      <c r="J2802" t="s">
        <v>2003</v>
      </c>
      <c r="K2802" t="s">
        <v>1993</v>
      </c>
      <c r="L2802">
        <f>IF(G2802="High",3,IF(G2802="Medium",2,1))</f>
        <v>1</v>
      </c>
    </row>
    <row r="2803" spans="1:12">
      <c r="A2803" t="s">
        <v>4829</v>
      </c>
      <c r="B2803" t="s">
        <v>1645</v>
      </c>
      <c r="C2803" t="s">
        <v>2008</v>
      </c>
      <c r="D2803" t="s">
        <v>2024</v>
      </c>
      <c r="E2803" t="s">
        <v>1971</v>
      </c>
      <c r="F2803" t="s">
        <v>57</v>
      </c>
      <c r="G2803" t="str">
        <f>INDEX(Risk_Matrix!$B$2:$D$4,MATCH(E2803,Risk_Matrix!$A$2:$A$4,0),MATCH(F2803,Risk_Matrix!$B$1:$D$1,0))</f>
        <v>Low</v>
      </c>
      <c r="H2803" s="1">
        <v>46063</v>
      </c>
      <c r="I2803" t="s">
        <v>2025</v>
      </c>
      <c r="J2803" t="s">
        <v>2035</v>
      </c>
      <c r="K2803" t="s">
        <v>2010</v>
      </c>
      <c r="L2803">
        <f>IF(G2803="High",3,IF(G2803="Medium",2,1))</f>
        <v>1</v>
      </c>
    </row>
    <row r="2804" spans="1:12">
      <c r="A2804" t="s">
        <v>4830</v>
      </c>
      <c r="B2804" t="s">
        <v>1647</v>
      </c>
      <c r="C2804" t="s">
        <v>1985</v>
      </c>
      <c r="D2804" t="s">
        <v>2028</v>
      </c>
      <c r="E2804" t="s">
        <v>57</v>
      </c>
      <c r="F2804" t="s">
        <v>57</v>
      </c>
      <c r="G2804" t="str">
        <f>INDEX(Risk_Matrix!$B$2:$D$4,MATCH(E2804,Risk_Matrix!$A$2:$A$4,0),MATCH(F2804,Risk_Matrix!$B$1:$D$1,0))</f>
        <v>Low</v>
      </c>
      <c r="H2804" s="1">
        <v>46233</v>
      </c>
      <c r="I2804" t="s">
        <v>2015</v>
      </c>
      <c r="J2804" t="s">
        <v>2032</v>
      </c>
      <c r="K2804" t="s">
        <v>1989</v>
      </c>
      <c r="L2804">
        <f>IF(G2804="High",3,IF(G2804="Medium",2,1))</f>
        <v>1</v>
      </c>
    </row>
    <row r="2805" spans="1:12">
      <c r="A2805" t="s">
        <v>4831</v>
      </c>
      <c r="B2805" t="s">
        <v>1647</v>
      </c>
      <c r="C2805" t="s">
        <v>1991</v>
      </c>
      <c r="D2805" t="s">
        <v>2064</v>
      </c>
      <c r="E2805" t="s">
        <v>47</v>
      </c>
      <c r="F2805" t="s">
        <v>47</v>
      </c>
      <c r="G2805" t="str">
        <f>INDEX(Risk_Matrix!$B$2:$D$4,MATCH(E2805,Risk_Matrix!$A$2:$A$4,0),MATCH(F2805,Risk_Matrix!$B$1:$D$1,0))</f>
        <v>High</v>
      </c>
      <c r="H2805" s="1">
        <v>46234</v>
      </c>
      <c r="I2805" t="s">
        <v>2025</v>
      </c>
      <c r="J2805" t="s">
        <v>2035</v>
      </c>
      <c r="K2805" t="s">
        <v>2010</v>
      </c>
      <c r="L2805">
        <f>IF(G2805="High",3,IF(G2805="Medium",2,1))</f>
        <v>3</v>
      </c>
    </row>
    <row r="2806" spans="1:12">
      <c r="A2806" t="s">
        <v>4832</v>
      </c>
      <c r="B2806" t="s">
        <v>1647</v>
      </c>
      <c r="C2806" t="s">
        <v>1995</v>
      </c>
      <c r="D2806" t="s">
        <v>2150</v>
      </c>
      <c r="E2806" t="s">
        <v>1971</v>
      </c>
      <c r="F2806" t="s">
        <v>57</v>
      </c>
      <c r="G2806" t="str">
        <f>INDEX(Risk_Matrix!$B$2:$D$4,MATCH(E2806,Risk_Matrix!$A$2:$A$4,0),MATCH(F2806,Risk_Matrix!$B$1:$D$1,0))</f>
        <v>Low</v>
      </c>
      <c r="H2806" s="1">
        <v>46195</v>
      </c>
      <c r="I2806" t="s">
        <v>2015</v>
      </c>
      <c r="J2806" t="s">
        <v>2016</v>
      </c>
      <c r="K2806" t="s">
        <v>2036</v>
      </c>
      <c r="L2806">
        <f>IF(G2806="High",3,IF(G2806="Medium",2,1))</f>
        <v>1</v>
      </c>
    </row>
    <row r="2807" spans="1:12">
      <c r="A2807" t="s">
        <v>4833</v>
      </c>
      <c r="B2807" t="s">
        <v>1647</v>
      </c>
      <c r="C2807" t="s">
        <v>2000</v>
      </c>
      <c r="D2807" t="s">
        <v>2001</v>
      </c>
      <c r="E2807" t="s">
        <v>57</v>
      </c>
      <c r="F2807" t="s">
        <v>1971</v>
      </c>
      <c r="G2807" t="str">
        <f>INDEX(Risk_Matrix!$B$2:$D$4,MATCH(E2807,Risk_Matrix!$A$2:$A$4,0),MATCH(F2807,Risk_Matrix!$B$1:$D$1,0))</f>
        <v>Low</v>
      </c>
      <c r="H2807" s="1">
        <v>46166</v>
      </c>
      <c r="I2807" t="s">
        <v>2015</v>
      </c>
      <c r="J2807" t="s">
        <v>2016</v>
      </c>
      <c r="K2807" t="s">
        <v>1989</v>
      </c>
      <c r="L2807">
        <f>IF(G2807="High",3,IF(G2807="Medium",2,1))</f>
        <v>1</v>
      </c>
    </row>
    <row r="2808" spans="1:12">
      <c r="A2808" t="s">
        <v>4834</v>
      </c>
      <c r="B2808" t="s">
        <v>1647</v>
      </c>
      <c r="C2808" t="s">
        <v>2005</v>
      </c>
      <c r="D2808" t="s">
        <v>2022</v>
      </c>
      <c r="E2808" t="s">
        <v>1971</v>
      </c>
      <c r="F2808" t="s">
        <v>47</v>
      </c>
      <c r="G2808" t="str">
        <f>INDEX(Risk_Matrix!$B$2:$D$4,MATCH(E2808,Risk_Matrix!$A$2:$A$4,0),MATCH(F2808,Risk_Matrix!$B$1:$D$1,0))</f>
        <v>High</v>
      </c>
      <c r="H2808" s="1">
        <v>46147</v>
      </c>
      <c r="I2808" t="s">
        <v>2025</v>
      </c>
      <c r="J2808" t="s">
        <v>2026</v>
      </c>
      <c r="K2808" t="s">
        <v>1993</v>
      </c>
      <c r="L2808">
        <f>IF(G2808="High",3,IF(G2808="Medium",2,1))</f>
        <v>3</v>
      </c>
    </row>
    <row r="2809" spans="1:12">
      <c r="A2809" t="s">
        <v>4835</v>
      </c>
      <c r="B2809" t="s">
        <v>1647</v>
      </c>
      <c r="C2809" t="s">
        <v>2008</v>
      </c>
      <c r="D2809" t="s">
        <v>2024</v>
      </c>
      <c r="E2809" t="s">
        <v>47</v>
      </c>
      <c r="F2809" t="s">
        <v>57</v>
      </c>
      <c r="G2809" t="str">
        <f>INDEX(Risk_Matrix!$B$2:$D$4,MATCH(E2809,Risk_Matrix!$A$2:$A$4,0),MATCH(F2809,Risk_Matrix!$B$1:$D$1,0))</f>
        <v>Medium</v>
      </c>
      <c r="H2809" s="1">
        <v>46169</v>
      </c>
      <c r="I2809" t="s">
        <v>2015</v>
      </c>
      <c r="J2809" t="s">
        <v>2032</v>
      </c>
      <c r="K2809" t="s">
        <v>2010</v>
      </c>
      <c r="L2809">
        <f>IF(G2809="High",3,IF(G2809="Medium",2,1))</f>
        <v>2</v>
      </c>
    </row>
    <row r="2810" spans="1:12">
      <c r="A2810" t="s">
        <v>4836</v>
      </c>
      <c r="B2810" t="s">
        <v>1649</v>
      </c>
      <c r="C2810" t="s">
        <v>1985</v>
      </c>
      <c r="D2810" t="s">
        <v>2012</v>
      </c>
      <c r="E2810" t="s">
        <v>57</v>
      </c>
      <c r="F2810" t="s">
        <v>57</v>
      </c>
      <c r="G2810" t="str">
        <f>INDEX(Risk_Matrix!$B$2:$D$4,MATCH(E2810,Risk_Matrix!$A$2:$A$4,0),MATCH(F2810,Risk_Matrix!$B$1:$D$1,0))</f>
        <v>Low</v>
      </c>
      <c r="H2810" s="1">
        <v>46198</v>
      </c>
      <c r="I2810" t="s">
        <v>2015</v>
      </c>
      <c r="J2810" t="s">
        <v>2016</v>
      </c>
      <c r="K2810" t="s">
        <v>1998</v>
      </c>
      <c r="L2810">
        <f>IF(G2810="High",3,IF(G2810="Medium",2,1))</f>
        <v>1</v>
      </c>
    </row>
    <row r="2811" spans="1:12">
      <c r="A2811" t="s">
        <v>4837</v>
      </c>
      <c r="B2811" t="s">
        <v>1649</v>
      </c>
      <c r="C2811" t="s">
        <v>1991</v>
      </c>
      <c r="D2811" t="s">
        <v>1992</v>
      </c>
      <c r="E2811" t="s">
        <v>1971</v>
      </c>
      <c r="F2811" t="s">
        <v>1971</v>
      </c>
      <c r="G2811" t="str">
        <f>INDEX(Risk_Matrix!$B$2:$D$4,MATCH(E2811,Risk_Matrix!$A$2:$A$4,0),MATCH(F2811,Risk_Matrix!$B$1:$D$1,0))</f>
        <v>Medium</v>
      </c>
      <c r="H2811" s="1">
        <v>46172</v>
      </c>
      <c r="I2811" t="s">
        <v>1987</v>
      </c>
      <c r="J2811" t="s">
        <v>1988</v>
      </c>
      <c r="K2811" t="s">
        <v>2010</v>
      </c>
      <c r="L2811">
        <f>IF(G2811="High",3,IF(G2811="Medium",2,1))</f>
        <v>2</v>
      </c>
    </row>
    <row r="2812" spans="1:12">
      <c r="A2812" t="s">
        <v>4838</v>
      </c>
      <c r="B2812" t="s">
        <v>1649</v>
      </c>
      <c r="C2812" t="s">
        <v>1995</v>
      </c>
      <c r="D2812" t="s">
        <v>2018</v>
      </c>
      <c r="E2812" t="s">
        <v>57</v>
      </c>
      <c r="F2812" t="s">
        <v>1971</v>
      </c>
      <c r="G2812" t="str">
        <f>INDEX(Risk_Matrix!$B$2:$D$4,MATCH(E2812,Risk_Matrix!$A$2:$A$4,0),MATCH(F2812,Risk_Matrix!$B$1:$D$1,0))</f>
        <v>Low</v>
      </c>
      <c r="H2812" s="1">
        <v>46133</v>
      </c>
      <c r="I2812" t="s">
        <v>1987</v>
      </c>
      <c r="J2812" t="s">
        <v>1997</v>
      </c>
      <c r="K2812" t="s">
        <v>1998</v>
      </c>
      <c r="L2812">
        <f>IF(G2812="High",3,IF(G2812="Medium",2,1))</f>
        <v>1</v>
      </c>
    </row>
    <row r="2813" spans="1:12">
      <c r="A2813" t="s">
        <v>4839</v>
      </c>
      <c r="B2813" t="s">
        <v>1649</v>
      </c>
      <c r="C2813" t="s">
        <v>2000</v>
      </c>
      <c r="D2813" t="s">
        <v>2001</v>
      </c>
      <c r="E2813" t="s">
        <v>57</v>
      </c>
      <c r="F2813" t="s">
        <v>57</v>
      </c>
      <c r="G2813" t="str">
        <f>INDEX(Risk_Matrix!$B$2:$D$4,MATCH(E2813,Risk_Matrix!$A$2:$A$4,0),MATCH(F2813,Risk_Matrix!$B$1:$D$1,0))</f>
        <v>Low</v>
      </c>
      <c r="H2813" s="1">
        <v>46160</v>
      </c>
      <c r="I2813" t="s">
        <v>2015</v>
      </c>
      <c r="J2813" t="s">
        <v>2016</v>
      </c>
      <c r="K2813" t="s">
        <v>1993</v>
      </c>
      <c r="L2813">
        <f>IF(G2813="High",3,IF(G2813="Medium",2,1))</f>
        <v>1</v>
      </c>
    </row>
    <row r="2814" spans="1:12">
      <c r="A2814" t="s">
        <v>4840</v>
      </c>
      <c r="B2814" t="s">
        <v>1649</v>
      </c>
      <c r="C2814" t="s">
        <v>2005</v>
      </c>
      <c r="D2814" t="s">
        <v>2022</v>
      </c>
      <c r="E2814" t="s">
        <v>1971</v>
      </c>
      <c r="F2814" t="s">
        <v>57</v>
      </c>
      <c r="G2814" t="str">
        <f>INDEX(Risk_Matrix!$B$2:$D$4,MATCH(E2814,Risk_Matrix!$A$2:$A$4,0),MATCH(F2814,Risk_Matrix!$B$1:$D$1,0))</f>
        <v>Low</v>
      </c>
      <c r="H2814" s="1">
        <v>46201</v>
      </c>
      <c r="I2814" t="s">
        <v>2025</v>
      </c>
      <c r="J2814" t="s">
        <v>2035</v>
      </c>
      <c r="K2814" t="s">
        <v>1993</v>
      </c>
      <c r="L2814">
        <f>IF(G2814="High",3,IF(G2814="Medium",2,1))</f>
        <v>1</v>
      </c>
    </row>
    <row r="2815" spans="1:12">
      <c r="A2815" t="s">
        <v>4841</v>
      </c>
      <c r="B2815" t="s">
        <v>1649</v>
      </c>
      <c r="C2815" t="s">
        <v>2008</v>
      </c>
      <c r="D2815" t="s">
        <v>2054</v>
      </c>
      <c r="E2815" t="s">
        <v>57</v>
      </c>
      <c r="F2815" t="s">
        <v>57</v>
      </c>
      <c r="G2815" t="str">
        <f>INDEX(Risk_Matrix!$B$2:$D$4,MATCH(E2815,Risk_Matrix!$A$2:$A$4,0),MATCH(F2815,Risk_Matrix!$B$1:$D$1,0))</f>
        <v>Low</v>
      </c>
      <c r="H2815" s="1">
        <v>46111</v>
      </c>
      <c r="I2815" t="s">
        <v>2002</v>
      </c>
      <c r="J2815" t="s">
        <v>2029</v>
      </c>
      <c r="K2815" t="s">
        <v>2010</v>
      </c>
      <c r="L2815">
        <f>IF(G2815="High",3,IF(G2815="Medium",2,1))</f>
        <v>1</v>
      </c>
    </row>
    <row r="2816" spans="1:12">
      <c r="A2816" t="s">
        <v>4842</v>
      </c>
      <c r="B2816" t="s">
        <v>1651</v>
      </c>
      <c r="C2816" t="s">
        <v>1985</v>
      </c>
      <c r="D2816" t="s">
        <v>1986</v>
      </c>
      <c r="E2816" t="s">
        <v>47</v>
      </c>
      <c r="F2816" t="s">
        <v>1971</v>
      </c>
      <c r="G2816" t="str">
        <f>INDEX(Risk_Matrix!$B$2:$D$4,MATCH(E2816,Risk_Matrix!$A$2:$A$4,0),MATCH(F2816,Risk_Matrix!$B$1:$D$1,0))</f>
        <v>High</v>
      </c>
      <c r="H2816" s="1">
        <v>46183</v>
      </c>
      <c r="I2816" t="s">
        <v>2015</v>
      </c>
      <c r="J2816" t="s">
        <v>2032</v>
      </c>
      <c r="K2816" t="s">
        <v>1998</v>
      </c>
      <c r="L2816">
        <f>IF(G2816="High",3,IF(G2816="Medium",2,1))</f>
        <v>3</v>
      </c>
    </row>
    <row r="2817" spans="1:12">
      <c r="A2817" t="s">
        <v>4843</v>
      </c>
      <c r="B2817" t="s">
        <v>1651</v>
      </c>
      <c r="C2817" t="s">
        <v>1991</v>
      </c>
      <c r="D2817" t="s">
        <v>1992</v>
      </c>
      <c r="E2817" t="s">
        <v>57</v>
      </c>
      <c r="F2817" t="s">
        <v>1971</v>
      </c>
      <c r="G2817" t="str">
        <f>INDEX(Risk_Matrix!$B$2:$D$4,MATCH(E2817,Risk_Matrix!$A$2:$A$4,0),MATCH(F2817,Risk_Matrix!$B$1:$D$1,0))</f>
        <v>Low</v>
      </c>
      <c r="H2817" s="1">
        <v>46199</v>
      </c>
      <c r="I2817" t="s">
        <v>1987</v>
      </c>
      <c r="J2817" t="s">
        <v>1997</v>
      </c>
      <c r="K2817" t="s">
        <v>2010</v>
      </c>
      <c r="L2817">
        <f>IF(G2817="High",3,IF(G2817="Medium",2,1))</f>
        <v>1</v>
      </c>
    </row>
    <row r="2818" spans="1:12">
      <c r="A2818" t="s">
        <v>4844</v>
      </c>
      <c r="B2818" t="s">
        <v>1651</v>
      </c>
      <c r="C2818" t="s">
        <v>1995</v>
      </c>
      <c r="D2818" t="s">
        <v>2034</v>
      </c>
      <c r="E2818" t="s">
        <v>57</v>
      </c>
      <c r="F2818" t="s">
        <v>1971</v>
      </c>
      <c r="G2818" t="str">
        <f>INDEX(Risk_Matrix!$B$2:$D$4,MATCH(E2818,Risk_Matrix!$A$2:$A$4,0),MATCH(F2818,Risk_Matrix!$B$1:$D$1,0))</f>
        <v>Low</v>
      </c>
      <c r="H2818" s="1">
        <v>46074</v>
      </c>
      <c r="I2818" t="s">
        <v>1987</v>
      </c>
      <c r="J2818" t="s">
        <v>1988</v>
      </c>
      <c r="K2818" t="s">
        <v>2036</v>
      </c>
      <c r="L2818">
        <f>IF(G2818="High",3,IF(G2818="Medium",2,1))</f>
        <v>1</v>
      </c>
    </row>
    <row r="2819" spans="1:12">
      <c r="A2819" t="s">
        <v>4845</v>
      </c>
      <c r="B2819" t="s">
        <v>1651</v>
      </c>
      <c r="C2819" t="s">
        <v>2000</v>
      </c>
      <c r="D2819" t="s">
        <v>2020</v>
      </c>
      <c r="E2819" t="s">
        <v>1971</v>
      </c>
      <c r="F2819" t="s">
        <v>1971</v>
      </c>
      <c r="G2819" t="str">
        <f>INDEX(Risk_Matrix!$B$2:$D$4,MATCH(E2819,Risk_Matrix!$A$2:$A$4,0),MATCH(F2819,Risk_Matrix!$B$1:$D$1,0))</f>
        <v>Medium</v>
      </c>
      <c r="H2819" s="1">
        <v>46214</v>
      </c>
      <c r="I2819" t="s">
        <v>1987</v>
      </c>
      <c r="J2819" t="s">
        <v>1988</v>
      </c>
      <c r="K2819" t="s">
        <v>1989</v>
      </c>
      <c r="L2819">
        <f>IF(G2819="High",3,IF(G2819="Medium",2,1))</f>
        <v>2</v>
      </c>
    </row>
    <row r="2820" spans="1:12">
      <c r="A2820" t="s">
        <v>4846</v>
      </c>
      <c r="B2820" t="s">
        <v>1651</v>
      </c>
      <c r="C2820" t="s">
        <v>2005</v>
      </c>
      <c r="D2820" t="s">
        <v>2022</v>
      </c>
      <c r="E2820" t="s">
        <v>1971</v>
      </c>
      <c r="F2820" t="s">
        <v>57</v>
      </c>
      <c r="G2820" t="str">
        <f>INDEX(Risk_Matrix!$B$2:$D$4,MATCH(E2820,Risk_Matrix!$A$2:$A$4,0),MATCH(F2820,Risk_Matrix!$B$1:$D$1,0))</f>
        <v>Low</v>
      </c>
      <c r="H2820" s="1">
        <v>46168</v>
      </c>
      <c r="I2820" t="s">
        <v>1987</v>
      </c>
      <c r="J2820" t="s">
        <v>1988</v>
      </c>
      <c r="K2820" t="s">
        <v>1993</v>
      </c>
      <c r="L2820">
        <f>IF(G2820="High",3,IF(G2820="Medium",2,1))</f>
        <v>1</v>
      </c>
    </row>
    <row r="2821" spans="1:12">
      <c r="A2821" t="s">
        <v>4847</v>
      </c>
      <c r="B2821" t="s">
        <v>1651</v>
      </c>
      <c r="C2821" t="s">
        <v>2008</v>
      </c>
      <c r="D2821" t="s">
        <v>2024</v>
      </c>
      <c r="E2821" t="s">
        <v>1971</v>
      </c>
      <c r="F2821" t="s">
        <v>57</v>
      </c>
      <c r="G2821" t="str">
        <f>INDEX(Risk_Matrix!$B$2:$D$4,MATCH(E2821,Risk_Matrix!$A$2:$A$4,0),MATCH(F2821,Risk_Matrix!$B$1:$D$1,0))</f>
        <v>Low</v>
      </c>
      <c r="H2821" s="1">
        <v>46103</v>
      </c>
      <c r="I2821" t="s">
        <v>1987</v>
      </c>
      <c r="J2821" t="s">
        <v>1997</v>
      </c>
      <c r="K2821" t="s">
        <v>2010</v>
      </c>
      <c r="L2821">
        <f>IF(G2821="High",3,IF(G2821="Medium",2,1))</f>
        <v>1</v>
      </c>
    </row>
    <row r="2822" spans="1:12">
      <c r="A2822" t="s">
        <v>4848</v>
      </c>
      <c r="B2822" t="s">
        <v>1653</v>
      </c>
      <c r="C2822" t="s">
        <v>1985</v>
      </c>
      <c r="D2822" t="s">
        <v>2062</v>
      </c>
      <c r="E2822" t="s">
        <v>47</v>
      </c>
      <c r="F2822" t="s">
        <v>1971</v>
      </c>
      <c r="G2822" t="str">
        <f>INDEX(Risk_Matrix!$B$2:$D$4,MATCH(E2822,Risk_Matrix!$A$2:$A$4,0),MATCH(F2822,Risk_Matrix!$B$1:$D$1,0))</f>
        <v>High</v>
      </c>
      <c r="H2822" s="1">
        <v>46179</v>
      </c>
      <c r="I2822" t="s">
        <v>2025</v>
      </c>
      <c r="J2822" t="s">
        <v>2035</v>
      </c>
      <c r="K2822" t="s">
        <v>1998</v>
      </c>
      <c r="L2822">
        <f>IF(G2822="High",3,IF(G2822="Medium",2,1))</f>
        <v>3</v>
      </c>
    </row>
    <row r="2823" spans="1:12">
      <c r="A2823" t="s">
        <v>4849</v>
      </c>
      <c r="B2823" t="s">
        <v>1653</v>
      </c>
      <c r="C2823" t="s">
        <v>1991</v>
      </c>
      <c r="D2823" t="s">
        <v>1992</v>
      </c>
      <c r="E2823" t="s">
        <v>1971</v>
      </c>
      <c r="F2823" t="s">
        <v>1971</v>
      </c>
      <c r="G2823" t="str">
        <f>INDEX(Risk_Matrix!$B$2:$D$4,MATCH(E2823,Risk_Matrix!$A$2:$A$4,0),MATCH(F2823,Risk_Matrix!$B$1:$D$1,0))</f>
        <v>Medium</v>
      </c>
      <c r="H2823" s="1">
        <v>46227</v>
      </c>
      <c r="I2823" t="s">
        <v>2015</v>
      </c>
      <c r="J2823" t="s">
        <v>2016</v>
      </c>
      <c r="K2823" t="s">
        <v>2010</v>
      </c>
      <c r="L2823">
        <f>IF(G2823="High",3,IF(G2823="Medium",2,1))</f>
        <v>2</v>
      </c>
    </row>
    <row r="2824" spans="1:12">
      <c r="A2824" t="s">
        <v>4850</v>
      </c>
      <c r="B2824" t="s">
        <v>1653</v>
      </c>
      <c r="C2824" t="s">
        <v>1995</v>
      </c>
      <c r="D2824" t="s">
        <v>1996</v>
      </c>
      <c r="E2824" t="s">
        <v>1971</v>
      </c>
      <c r="F2824" t="s">
        <v>57</v>
      </c>
      <c r="G2824" t="str">
        <f>INDEX(Risk_Matrix!$B$2:$D$4,MATCH(E2824,Risk_Matrix!$A$2:$A$4,0),MATCH(F2824,Risk_Matrix!$B$1:$D$1,0))</f>
        <v>Low</v>
      </c>
      <c r="H2824" s="1">
        <v>46234</v>
      </c>
      <c r="I2824" t="s">
        <v>2002</v>
      </c>
      <c r="J2824" t="s">
        <v>2003</v>
      </c>
      <c r="K2824" t="s">
        <v>1998</v>
      </c>
      <c r="L2824">
        <f>IF(G2824="High",3,IF(G2824="Medium",2,1))</f>
        <v>1</v>
      </c>
    </row>
    <row r="2825" spans="1:12">
      <c r="A2825" t="s">
        <v>4851</v>
      </c>
      <c r="B2825" t="s">
        <v>1653</v>
      </c>
      <c r="C2825" t="s">
        <v>2000</v>
      </c>
      <c r="D2825" t="s">
        <v>2001</v>
      </c>
      <c r="E2825" t="s">
        <v>47</v>
      </c>
      <c r="F2825" t="s">
        <v>47</v>
      </c>
      <c r="G2825" t="str">
        <f>INDEX(Risk_Matrix!$B$2:$D$4,MATCH(E2825,Risk_Matrix!$A$2:$A$4,0),MATCH(F2825,Risk_Matrix!$B$1:$D$1,0))</f>
        <v>High</v>
      </c>
      <c r="H2825" s="1">
        <v>46215</v>
      </c>
      <c r="I2825" t="s">
        <v>2025</v>
      </c>
      <c r="J2825" t="s">
        <v>2035</v>
      </c>
      <c r="K2825" t="s">
        <v>1989</v>
      </c>
      <c r="L2825">
        <f>IF(G2825="High",3,IF(G2825="Medium",2,1))</f>
        <v>3</v>
      </c>
    </row>
    <row r="2826" spans="1:12">
      <c r="A2826" t="s">
        <v>4852</v>
      </c>
      <c r="B2826" t="s">
        <v>1653</v>
      </c>
      <c r="C2826" t="s">
        <v>2005</v>
      </c>
      <c r="D2826" t="s">
        <v>2039</v>
      </c>
      <c r="E2826" t="s">
        <v>1971</v>
      </c>
      <c r="F2826" t="s">
        <v>57</v>
      </c>
      <c r="G2826" t="str">
        <f>INDEX(Risk_Matrix!$B$2:$D$4,MATCH(E2826,Risk_Matrix!$A$2:$A$4,0),MATCH(F2826,Risk_Matrix!$B$1:$D$1,0))</f>
        <v>Low</v>
      </c>
      <c r="H2826" s="1">
        <v>46163</v>
      </c>
      <c r="I2826" t="s">
        <v>2025</v>
      </c>
      <c r="J2826" t="s">
        <v>2035</v>
      </c>
      <c r="K2826" t="s">
        <v>1993</v>
      </c>
      <c r="L2826">
        <f>IF(G2826="High",3,IF(G2826="Medium",2,1))</f>
        <v>1</v>
      </c>
    </row>
    <row r="2827" spans="1:12">
      <c r="A2827" t="s">
        <v>4853</v>
      </c>
      <c r="B2827" t="s">
        <v>1653</v>
      </c>
      <c r="C2827" t="s">
        <v>2008</v>
      </c>
      <c r="D2827" t="s">
        <v>2009</v>
      </c>
      <c r="E2827" t="s">
        <v>57</v>
      </c>
      <c r="F2827" t="s">
        <v>1971</v>
      </c>
      <c r="G2827" t="str">
        <f>INDEX(Risk_Matrix!$B$2:$D$4,MATCH(E2827,Risk_Matrix!$A$2:$A$4,0),MATCH(F2827,Risk_Matrix!$B$1:$D$1,0))</f>
        <v>Low</v>
      </c>
      <c r="H2827" s="1">
        <v>46056</v>
      </c>
      <c r="I2827" t="s">
        <v>1987</v>
      </c>
      <c r="J2827" t="s">
        <v>1988</v>
      </c>
      <c r="K2827" t="s">
        <v>2010</v>
      </c>
      <c r="L2827">
        <f>IF(G2827="High",3,IF(G2827="Medium",2,1))</f>
        <v>1</v>
      </c>
    </row>
    <row r="2828" spans="1:12">
      <c r="A2828" t="s">
        <v>4854</v>
      </c>
      <c r="B2828" t="s">
        <v>1655</v>
      </c>
      <c r="C2828" t="s">
        <v>1985</v>
      </c>
      <c r="D2828" t="s">
        <v>2028</v>
      </c>
      <c r="E2828" t="s">
        <v>57</v>
      </c>
      <c r="F2828" t="s">
        <v>1971</v>
      </c>
      <c r="G2828" t="str">
        <f>INDEX(Risk_Matrix!$B$2:$D$4,MATCH(E2828,Risk_Matrix!$A$2:$A$4,0),MATCH(F2828,Risk_Matrix!$B$1:$D$1,0))</f>
        <v>Low</v>
      </c>
      <c r="H2828" s="1">
        <v>46150</v>
      </c>
      <c r="I2828" t="s">
        <v>2015</v>
      </c>
      <c r="J2828" t="s">
        <v>2032</v>
      </c>
      <c r="K2828" t="s">
        <v>1989</v>
      </c>
      <c r="L2828">
        <f>IF(G2828="High",3,IF(G2828="Medium",2,1))</f>
        <v>1</v>
      </c>
    </row>
    <row r="2829" spans="1:12">
      <c r="A2829" t="s">
        <v>4855</v>
      </c>
      <c r="B2829" t="s">
        <v>1655</v>
      </c>
      <c r="C2829" t="s">
        <v>1991</v>
      </c>
      <c r="D2829" t="s">
        <v>2064</v>
      </c>
      <c r="E2829" t="s">
        <v>1971</v>
      </c>
      <c r="F2829" t="s">
        <v>57</v>
      </c>
      <c r="G2829" t="str">
        <f>INDEX(Risk_Matrix!$B$2:$D$4,MATCH(E2829,Risk_Matrix!$A$2:$A$4,0),MATCH(F2829,Risk_Matrix!$B$1:$D$1,0))</f>
        <v>Low</v>
      </c>
      <c r="H2829" s="1">
        <v>46094</v>
      </c>
      <c r="I2829" t="s">
        <v>2025</v>
      </c>
      <c r="J2829" t="s">
        <v>2035</v>
      </c>
      <c r="K2829" t="s">
        <v>2010</v>
      </c>
      <c r="L2829">
        <f>IF(G2829="High",3,IF(G2829="Medium",2,1))</f>
        <v>1</v>
      </c>
    </row>
    <row r="2830" spans="1:12">
      <c r="A2830" t="s">
        <v>4856</v>
      </c>
      <c r="B2830" t="s">
        <v>1655</v>
      </c>
      <c r="C2830" t="s">
        <v>1995</v>
      </c>
      <c r="D2830" t="s">
        <v>1996</v>
      </c>
      <c r="E2830" t="s">
        <v>57</v>
      </c>
      <c r="F2830" t="s">
        <v>1971</v>
      </c>
      <c r="G2830" t="str">
        <f>INDEX(Risk_Matrix!$B$2:$D$4,MATCH(E2830,Risk_Matrix!$A$2:$A$4,0),MATCH(F2830,Risk_Matrix!$B$1:$D$1,0))</f>
        <v>Low</v>
      </c>
      <c r="H2830" s="1">
        <v>46206</v>
      </c>
      <c r="I2830" t="s">
        <v>2015</v>
      </c>
      <c r="J2830" t="s">
        <v>2016</v>
      </c>
      <c r="K2830" t="s">
        <v>2036</v>
      </c>
      <c r="L2830">
        <f>IF(G2830="High",3,IF(G2830="Medium",2,1))</f>
        <v>1</v>
      </c>
    </row>
    <row r="2831" spans="1:12">
      <c r="A2831" t="s">
        <v>4857</v>
      </c>
      <c r="B2831" t="s">
        <v>1655</v>
      </c>
      <c r="C2831" t="s">
        <v>2000</v>
      </c>
      <c r="D2831" t="s">
        <v>2045</v>
      </c>
      <c r="E2831" t="s">
        <v>47</v>
      </c>
      <c r="F2831" t="s">
        <v>57</v>
      </c>
      <c r="G2831" t="str">
        <f>INDEX(Risk_Matrix!$B$2:$D$4,MATCH(E2831,Risk_Matrix!$A$2:$A$4,0),MATCH(F2831,Risk_Matrix!$B$1:$D$1,0))</f>
        <v>Medium</v>
      </c>
      <c r="H2831" s="1">
        <v>46074</v>
      </c>
      <c r="I2831" t="s">
        <v>2025</v>
      </c>
      <c r="J2831" t="s">
        <v>2026</v>
      </c>
      <c r="K2831" t="s">
        <v>1989</v>
      </c>
      <c r="L2831">
        <f>IF(G2831="High",3,IF(G2831="Medium",2,1))</f>
        <v>2</v>
      </c>
    </row>
    <row r="2832" spans="1:12">
      <c r="A2832" t="s">
        <v>4858</v>
      </c>
      <c r="B2832" t="s">
        <v>1655</v>
      </c>
      <c r="C2832" t="s">
        <v>2005</v>
      </c>
      <c r="D2832" t="s">
        <v>2039</v>
      </c>
      <c r="E2832" t="s">
        <v>57</v>
      </c>
      <c r="F2832" t="s">
        <v>1971</v>
      </c>
      <c r="G2832" t="str">
        <f>INDEX(Risk_Matrix!$B$2:$D$4,MATCH(E2832,Risk_Matrix!$A$2:$A$4,0),MATCH(F2832,Risk_Matrix!$B$1:$D$1,0))</f>
        <v>Low</v>
      </c>
      <c r="H2832" s="1">
        <v>46167</v>
      </c>
      <c r="I2832" t="s">
        <v>2002</v>
      </c>
      <c r="J2832" t="s">
        <v>2003</v>
      </c>
      <c r="K2832" t="s">
        <v>1993</v>
      </c>
      <c r="L2832">
        <f>IF(G2832="High",3,IF(G2832="Medium",2,1))</f>
        <v>1</v>
      </c>
    </row>
    <row r="2833" spans="1:12">
      <c r="A2833" t="s">
        <v>4859</v>
      </c>
      <c r="B2833" t="s">
        <v>1655</v>
      </c>
      <c r="C2833" t="s">
        <v>2008</v>
      </c>
      <c r="D2833" t="s">
        <v>2024</v>
      </c>
      <c r="E2833" t="s">
        <v>57</v>
      </c>
      <c r="F2833" t="s">
        <v>57</v>
      </c>
      <c r="G2833" t="str">
        <f>INDEX(Risk_Matrix!$B$2:$D$4,MATCH(E2833,Risk_Matrix!$A$2:$A$4,0),MATCH(F2833,Risk_Matrix!$B$1:$D$1,0))</f>
        <v>Low</v>
      </c>
      <c r="H2833" s="1">
        <v>46072</v>
      </c>
      <c r="I2833" t="s">
        <v>1987</v>
      </c>
      <c r="J2833" t="s">
        <v>1988</v>
      </c>
      <c r="K2833" t="s">
        <v>2010</v>
      </c>
      <c r="L2833">
        <f>IF(G2833="High",3,IF(G2833="Medium",2,1))</f>
        <v>1</v>
      </c>
    </row>
    <row r="2834" spans="1:12">
      <c r="A2834" t="s">
        <v>4860</v>
      </c>
      <c r="B2834" t="s">
        <v>1657</v>
      </c>
      <c r="C2834" t="s">
        <v>1985</v>
      </c>
      <c r="D2834" t="s">
        <v>2012</v>
      </c>
      <c r="E2834" t="s">
        <v>57</v>
      </c>
      <c r="F2834" t="s">
        <v>1971</v>
      </c>
      <c r="G2834" t="str">
        <f>INDEX(Risk_Matrix!$B$2:$D$4,MATCH(E2834,Risk_Matrix!$A$2:$A$4,0),MATCH(F2834,Risk_Matrix!$B$1:$D$1,0))</f>
        <v>Low</v>
      </c>
      <c r="H2834" s="1">
        <v>46055</v>
      </c>
      <c r="I2834" t="s">
        <v>2025</v>
      </c>
      <c r="J2834" t="s">
        <v>2035</v>
      </c>
      <c r="K2834" t="s">
        <v>1998</v>
      </c>
      <c r="L2834">
        <f>IF(G2834="High",3,IF(G2834="Medium",2,1))</f>
        <v>1</v>
      </c>
    </row>
    <row r="2835" spans="1:12">
      <c r="A2835" t="s">
        <v>4861</v>
      </c>
      <c r="B2835" t="s">
        <v>1657</v>
      </c>
      <c r="C2835" t="s">
        <v>1991</v>
      </c>
      <c r="D2835" t="s">
        <v>2031</v>
      </c>
      <c r="E2835" t="s">
        <v>1971</v>
      </c>
      <c r="F2835" t="s">
        <v>1971</v>
      </c>
      <c r="G2835" t="str">
        <f>INDEX(Risk_Matrix!$B$2:$D$4,MATCH(E2835,Risk_Matrix!$A$2:$A$4,0),MATCH(F2835,Risk_Matrix!$B$1:$D$1,0))</f>
        <v>Medium</v>
      </c>
      <c r="H2835" s="1">
        <v>46197</v>
      </c>
      <c r="I2835" t="s">
        <v>2025</v>
      </c>
      <c r="J2835" t="s">
        <v>2026</v>
      </c>
      <c r="K2835" t="s">
        <v>1993</v>
      </c>
      <c r="L2835">
        <f>IF(G2835="High",3,IF(G2835="Medium",2,1))</f>
        <v>2</v>
      </c>
    </row>
    <row r="2836" spans="1:12">
      <c r="A2836" t="s">
        <v>4862</v>
      </c>
      <c r="B2836" t="s">
        <v>1657</v>
      </c>
      <c r="C2836" t="s">
        <v>1995</v>
      </c>
      <c r="D2836" t="s">
        <v>2018</v>
      </c>
      <c r="E2836" t="s">
        <v>1971</v>
      </c>
      <c r="F2836" t="s">
        <v>1971</v>
      </c>
      <c r="G2836" t="str">
        <f>INDEX(Risk_Matrix!$B$2:$D$4,MATCH(E2836,Risk_Matrix!$A$2:$A$4,0),MATCH(F2836,Risk_Matrix!$B$1:$D$1,0))</f>
        <v>Medium</v>
      </c>
      <c r="H2836" s="1">
        <v>46215</v>
      </c>
      <c r="I2836" t="s">
        <v>2015</v>
      </c>
      <c r="J2836" t="s">
        <v>2032</v>
      </c>
      <c r="K2836" t="s">
        <v>2036</v>
      </c>
      <c r="L2836">
        <f>IF(G2836="High",3,IF(G2836="Medium",2,1))</f>
        <v>2</v>
      </c>
    </row>
    <row r="2837" spans="1:12">
      <c r="A2837" t="s">
        <v>4863</v>
      </c>
      <c r="B2837" t="s">
        <v>1657</v>
      </c>
      <c r="C2837" t="s">
        <v>2000</v>
      </c>
      <c r="D2837" t="s">
        <v>2020</v>
      </c>
      <c r="E2837" t="s">
        <v>57</v>
      </c>
      <c r="F2837" t="s">
        <v>1971</v>
      </c>
      <c r="G2837" t="str">
        <f>INDEX(Risk_Matrix!$B$2:$D$4,MATCH(E2837,Risk_Matrix!$A$2:$A$4,0),MATCH(F2837,Risk_Matrix!$B$1:$D$1,0))</f>
        <v>Low</v>
      </c>
      <c r="H2837" s="1">
        <v>46217</v>
      </c>
      <c r="I2837" t="s">
        <v>2002</v>
      </c>
      <c r="J2837" t="s">
        <v>2029</v>
      </c>
      <c r="K2837" t="s">
        <v>1989</v>
      </c>
      <c r="L2837">
        <f>IF(G2837="High",3,IF(G2837="Medium",2,1))</f>
        <v>1</v>
      </c>
    </row>
    <row r="2838" spans="1:12">
      <c r="A2838" t="s">
        <v>4864</v>
      </c>
      <c r="B2838" t="s">
        <v>1657</v>
      </c>
      <c r="C2838" t="s">
        <v>2005</v>
      </c>
      <c r="D2838" t="s">
        <v>2022</v>
      </c>
      <c r="E2838" t="s">
        <v>47</v>
      </c>
      <c r="F2838" t="s">
        <v>47</v>
      </c>
      <c r="G2838" t="str">
        <f>INDEX(Risk_Matrix!$B$2:$D$4,MATCH(E2838,Risk_Matrix!$A$2:$A$4,0),MATCH(F2838,Risk_Matrix!$B$1:$D$1,0))</f>
        <v>High</v>
      </c>
      <c r="H2838" s="1">
        <v>46188</v>
      </c>
      <c r="I2838" t="s">
        <v>2015</v>
      </c>
      <c r="J2838" t="s">
        <v>2032</v>
      </c>
      <c r="K2838" t="s">
        <v>1993</v>
      </c>
      <c r="L2838">
        <f>IF(G2838="High",3,IF(G2838="Medium",2,1))</f>
        <v>3</v>
      </c>
    </row>
    <row r="2839" spans="1:12">
      <c r="A2839" t="s">
        <v>4865</v>
      </c>
      <c r="B2839" t="s">
        <v>1657</v>
      </c>
      <c r="C2839" t="s">
        <v>2008</v>
      </c>
      <c r="D2839" t="s">
        <v>2054</v>
      </c>
      <c r="E2839" t="s">
        <v>1971</v>
      </c>
      <c r="F2839" t="s">
        <v>47</v>
      </c>
      <c r="G2839" t="str">
        <f>INDEX(Risk_Matrix!$B$2:$D$4,MATCH(E2839,Risk_Matrix!$A$2:$A$4,0),MATCH(F2839,Risk_Matrix!$B$1:$D$1,0))</f>
        <v>High</v>
      </c>
      <c r="H2839" s="1">
        <v>46191</v>
      </c>
      <c r="I2839" t="s">
        <v>2025</v>
      </c>
      <c r="J2839" t="s">
        <v>2026</v>
      </c>
      <c r="K2839" t="s">
        <v>2010</v>
      </c>
      <c r="L2839">
        <f>IF(G2839="High",3,IF(G2839="Medium",2,1))</f>
        <v>3</v>
      </c>
    </row>
    <row r="2840" spans="1:12">
      <c r="A2840" t="s">
        <v>4866</v>
      </c>
      <c r="B2840" t="s">
        <v>1659</v>
      </c>
      <c r="C2840" t="s">
        <v>1985</v>
      </c>
      <c r="D2840" t="s">
        <v>2062</v>
      </c>
      <c r="E2840" t="s">
        <v>57</v>
      </c>
      <c r="F2840" t="s">
        <v>57</v>
      </c>
      <c r="G2840" t="str">
        <f>INDEX(Risk_Matrix!$B$2:$D$4,MATCH(E2840,Risk_Matrix!$A$2:$A$4,0),MATCH(F2840,Risk_Matrix!$B$1:$D$1,0))</f>
        <v>Low</v>
      </c>
      <c r="H2840" s="1">
        <v>46159</v>
      </c>
      <c r="I2840" t="s">
        <v>1987</v>
      </c>
      <c r="J2840" t="s">
        <v>1988</v>
      </c>
      <c r="K2840" t="s">
        <v>1989</v>
      </c>
      <c r="L2840">
        <f>IF(G2840="High",3,IF(G2840="Medium",2,1))</f>
        <v>1</v>
      </c>
    </row>
    <row r="2841" spans="1:12">
      <c r="A2841" t="s">
        <v>4867</v>
      </c>
      <c r="B2841" t="s">
        <v>1659</v>
      </c>
      <c r="C2841" t="s">
        <v>1991</v>
      </c>
      <c r="D2841" t="s">
        <v>2031</v>
      </c>
      <c r="E2841" t="s">
        <v>1971</v>
      </c>
      <c r="F2841" t="s">
        <v>1971</v>
      </c>
      <c r="G2841" t="str">
        <f>INDEX(Risk_Matrix!$B$2:$D$4,MATCH(E2841,Risk_Matrix!$A$2:$A$4,0),MATCH(F2841,Risk_Matrix!$B$1:$D$1,0))</f>
        <v>Medium</v>
      </c>
      <c r="H2841" s="1">
        <v>46098</v>
      </c>
      <c r="I2841" t="s">
        <v>2025</v>
      </c>
      <c r="J2841" t="s">
        <v>2035</v>
      </c>
      <c r="K2841" t="s">
        <v>1993</v>
      </c>
      <c r="L2841">
        <f>IF(G2841="High",3,IF(G2841="Medium",2,1))</f>
        <v>2</v>
      </c>
    </row>
    <row r="2842" spans="1:12">
      <c r="A2842" t="s">
        <v>4868</v>
      </c>
      <c r="B2842" t="s">
        <v>1659</v>
      </c>
      <c r="C2842" t="s">
        <v>1995</v>
      </c>
      <c r="D2842" t="s">
        <v>2150</v>
      </c>
      <c r="E2842" t="s">
        <v>47</v>
      </c>
      <c r="F2842" t="s">
        <v>47</v>
      </c>
      <c r="G2842" t="str">
        <f>INDEX(Risk_Matrix!$B$2:$D$4,MATCH(E2842,Risk_Matrix!$A$2:$A$4,0),MATCH(F2842,Risk_Matrix!$B$1:$D$1,0))</f>
        <v>High</v>
      </c>
      <c r="H2842" s="1">
        <v>46118</v>
      </c>
      <c r="I2842" t="s">
        <v>2002</v>
      </c>
      <c r="J2842" t="s">
        <v>2029</v>
      </c>
      <c r="K2842" t="s">
        <v>2036</v>
      </c>
      <c r="L2842">
        <f>IF(G2842="High",3,IF(G2842="Medium",2,1))</f>
        <v>3</v>
      </c>
    </row>
    <row r="2843" spans="1:12">
      <c r="A2843" t="s">
        <v>4869</v>
      </c>
      <c r="B2843" t="s">
        <v>1659</v>
      </c>
      <c r="C2843" t="s">
        <v>2000</v>
      </c>
      <c r="D2843" t="s">
        <v>2020</v>
      </c>
      <c r="E2843" t="s">
        <v>1971</v>
      </c>
      <c r="F2843" t="s">
        <v>47</v>
      </c>
      <c r="G2843" t="str">
        <f>INDEX(Risk_Matrix!$B$2:$D$4,MATCH(E2843,Risk_Matrix!$A$2:$A$4,0),MATCH(F2843,Risk_Matrix!$B$1:$D$1,0))</f>
        <v>High</v>
      </c>
      <c r="H2843" s="1">
        <v>46231</v>
      </c>
      <c r="I2843" t="s">
        <v>2015</v>
      </c>
      <c r="J2843" t="s">
        <v>2016</v>
      </c>
      <c r="K2843" t="s">
        <v>1989</v>
      </c>
      <c r="L2843">
        <f>IF(G2843="High",3,IF(G2843="Medium",2,1))</f>
        <v>3</v>
      </c>
    </row>
    <row r="2844" spans="1:12">
      <c r="A2844" t="s">
        <v>4870</v>
      </c>
      <c r="B2844" t="s">
        <v>1659</v>
      </c>
      <c r="C2844" t="s">
        <v>2005</v>
      </c>
      <c r="D2844" t="s">
        <v>2039</v>
      </c>
      <c r="E2844" t="s">
        <v>57</v>
      </c>
      <c r="F2844" t="s">
        <v>47</v>
      </c>
      <c r="G2844" t="str">
        <f>INDEX(Risk_Matrix!$B$2:$D$4,MATCH(E2844,Risk_Matrix!$A$2:$A$4,0),MATCH(F2844,Risk_Matrix!$B$1:$D$1,0))</f>
        <v>Medium</v>
      </c>
      <c r="H2844" s="1">
        <v>46169</v>
      </c>
      <c r="I2844" t="s">
        <v>2015</v>
      </c>
      <c r="J2844" t="s">
        <v>2032</v>
      </c>
      <c r="K2844" t="s">
        <v>1993</v>
      </c>
      <c r="L2844">
        <f>IF(G2844="High",3,IF(G2844="Medium",2,1))</f>
        <v>2</v>
      </c>
    </row>
    <row r="2845" spans="1:12">
      <c r="A2845" t="s">
        <v>4871</v>
      </c>
      <c r="B2845" t="s">
        <v>1659</v>
      </c>
      <c r="C2845" t="s">
        <v>2008</v>
      </c>
      <c r="D2845" t="s">
        <v>2009</v>
      </c>
      <c r="E2845" t="s">
        <v>57</v>
      </c>
      <c r="F2845" t="s">
        <v>57</v>
      </c>
      <c r="G2845" t="str">
        <f>INDEX(Risk_Matrix!$B$2:$D$4,MATCH(E2845,Risk_Matrix!$A$2:$A$4,0),MATCH(F2845,Risk_Matrix!$B$1:$D$1,0))</f>
        <v>Low</v>
      </c>
      <c r="H2845" s="1">
        <v>46204</v>
      </c>
      <c r="I2845" t="s">
        <v>2015</v>
      </c>
      <c r="J2845" t="s">
        <v>2032</v>
      </c>
      <c r="K2845" t="s">
        <v>1998</v>
      </c>
      <c r="L2845">
        <f>IF(G2845="High",3,IF(G2845="Medium",2,1))</f>
        <v>1</v>
      </c>
    </row>
    <row r="2846" spans="1:12">
      <c r="A2846" t="s">
        <v>4872</v>
      </c>
      <c r="B2846" t="s">
        <v>1661</v>
      </c>
      <c r="C2846" t="s">
        <v>1985</v>
      </c>
      <c r="D2846" t="s">
        <v>2012</v>
      </c>
      <c r="E2846" t="s">
        <v>57</v>
      </c>
      <c r="F2846" t="s">
        <v>1971</v>
      </c>
      <c r="G2846" t="str">
        <f>INDEX(Risk_Matrix!$B$2:$D$4,MATCH(E2846,Risk_Matrix!$A$2:$A$4,0),MATCH(F2846,Risk_Matrix!$B$1:$D$1,0))</f>
        <v>Low</v>
      </c>
      <c r="H2846" s="1">
        <v>46193</v>
      </c>
      <c r="I2846" t="s">
        <v>2002</v>
      </c>
      <c r="J2846" t="s">
        <v>2029</v>
      </c>
      <c r="K2846" t="s">
        <v>1989</v>
      </c>
      <c r="L2846">
        <f>IF(G2846="High",3,IF(G2846="Medium",2,1))</f>
        <v>1</v>
      </c>
    </row>
    <row r="2847" spans="1:12">
      <c r="A2847" t="s">
        <v>4873</v>
      </c>
      <c r="B2847" t="s">
        <v>1661</v>
      </c>
      <c r="C2847" t="s">
        <v>1991</v>
      </c>
      <c r="D2847" t="s">
        <v>2064</v>
      </c>
      <c r="E2847" t="s">
        <v>57</v>
      </c>
      <c r="F2847" t="s">
        <v>47</v>
      </c>
      <c r="G2847" t="str">
        <f>INDEX(Risk_Matrix!$B$2:$D$4,MATCH(E2847,Risk_Matrix!$A$2:$A$4,0),MATCH(F2847,Risk_Matrix!$B$1:$D$1,0))</f>
        <v>Medium</v>
      </c>
      <c r="H2847" s="1">
        <v>46201</v>
      </c>
      <c r="I2847" t="s">
        <v>2025</v>
      </c>
      <c r="J2847" t="s">
        <v>2035</v>
      </c>
      <c r="K2847" t="s">
        <v>2010</v>
      </c>
      <c r="L2847">
        <f>IF(G2847="High",3,IF(G2847="Medium",2,1))</f>
        <v>2</v>
      </c>
    </row>
    <row r="2848" spans="1:12">
      <c r="A2848" t="s">
        <v>4874</v>
      </c>
      <c r="B2848" t="s">
        <v>1661</v>
      </c>
      <c r="C2848" t="s">
        <v>1995</v>
      </c>
      <c r="D2848" t="s">
        <v>2150</v>
      </c>
      <c r="E2848" t="s">
        <v>57</v>
      </c>
      <c r="F2848" t="s">
        <v>47</v>
      </c>
      <c r="G2848" t="str">
        <f>INDEX(Risk_Matrix!$B$2:$D$4,MATCH(E2848,Risk_Matrix!$A$2:$A$4,0),MATCH(F2848,Risk_Matrix!$B$1:$D$1,0))</f>
        <v>Medium</v>
      </c>
      <c r="H2848" s="1">
        <v>46058</v>
      </c>
      <c r="I2848" t="s">
        <v>1987</v>
      </c>
      <c r="J2848" t="s">
        <v>1988</v>
      </c>
      <c r="K2848" t="s">
        <v>2036</v>
      </c>
      <c r="L2848">
        <f>IF(G2848="High",3,IF(G2848="Medium",2,1))</f>
        <v>2</v>
      </c>
    </row>
    <row r="2849" spans="1:12">
      <c r="A2849" t="s">
        <v>4875</v>
      </c>
      <c r="B2849" t="s">
        <v>1661</v>
      </c>
      <c r="C2849" t="s">
        <v>2000</v>
      </c>
      <c r="D2849" t="s">
        <v>2045</v>
      </c>
      <c r="E2849" t="s">
        <v>57</v>
      </c>
      <c r="F2849" t="s">
        <v>1971</v>
      </c>
      <c r="G2849" t="str">
        <f>INDEX(Risk_Matrix!$B$2:$D$4,MATCH(E2849,Risk_Matrix!$A$2:$A$4,0),MATCH(F2849,Risk_Matrix!$B$1:$D$1,0))</f>
        <v>Low</v>
      </c>
      <c r="H2849" s="1">
        <v>46165</v>
      </c>
      <c r="I2849" t="s">
        <v>1987</v>
      </c>
      <c r="J2849" t="s">
        <v>1988</v>
      </c>
      <c r="K2849" t="s">
        <v>1989</v>
      </c>
      <c r="L2849">
        <f>IF(G2849="High",3,IF(G2849="Medium",2,1))</f>
        <v>1</v>
      </c>
    </row>
    <row r="2850" spans="1:12">
      <c r="A2850" t="s">
        <v>4876</v>
      </c>
      <c r="B2850" t="s">
        <v>1661</v>
      </c>
      <c r="C2850" t="s">
        <v>2005</v>
      </c>
      <c r="D2850" t="s">
        <v>2022</v>
      </c>
      <c r="E2850" t="s">
        <v>1971</v>
      </c>
      <c r="F2850" t="s">
        <v>57</v>
      </c>
      <c r="G2850" t="str">
        <f>INDEX(Risk_Matrix!$B$2:$D$4,MATCH(E2850,Risk_Matrix!$A$2:$A$4,0),MATCH(F2850,Risk_Matrix!$B$1:$D$1,0))</f>
        <v>Low</v>
      </c>
      <c r="H2850" s="1">
        <v>46172</v>
      </c>
      <c r="I2850" t="s">
        <v>2015</v>
      </c>
      <c r="J2850" t="s">
        <v>2016</v>
      </c>
      <c r="K2850" t="s">
        <v>2036</v>
      </c>
      <c r="L2850">
        <f>IF(G2850="High",3,IF(G2850="Medium",2,1))</f>
        <v>1</v>
      </c>
    </row>
    <row r="2851" spans="1:12">
      <c r="A2851" t="s">
        <v>4877</v>
      </c>
      <c r="B2851" t="s">
        <v>1661</v>
      </c>
      <c r="C2851" t="s">
        <v>2008</v>
      </c>
      <c r="D2851" t="s">
        <v>2054</v>
      </c>
      <c r="E2851" t="s">
        <v>47</v>
      </c>
      <c r="F2851" t="s">
        <v>57</v>
      </c>
      <c r="G2851" t="str">
        <f>INDEX(Risk_Matrix!$B$2:$D$4,MATCH(E2851,Risk_Matrix!$A$2:$A$4,0),MATCH(F2851,Risk_Matrix!$B$1:$D$1,0))</f>
        <v>Medium</v>
      </c>
      <c r="H2851" s="1">
        <v>46178</v>
      </c>
      <c r="I2851" t="s">
        <v>2015</v>
      </c>
      <c r="J2851" t="s">
        <v>2032</v>
      </c>
      <c r="K2851" t="s">
        <v>1998</v>
      </c>
      <c r="L2851">
        <f>IF(G2851="High",3,IF(G2851="Medium",2,1))</f>
        <v>2</v>
      </c>
    </row>
    <row r="2852" spans="1:12">
      <c r="A2852" t="s">
        <v>4878</v>
      </c>
      <c r="B2852" t="s">
        <v>1663</v>
      </c>
      <c r="C2852" t="s">
        <v>1985</v>
      </c>
      <c r="D2852" t="s">
        <v>1986</v>
      </c>
      <c r="E2852" t="s">
        <v>57</v>
      </c>
      <c r="F2852" t="s">
        <v>47</v>
      </c>
      <c r="G2852" t="str">
        <f>INDEX(Risk_Matrix!$B$2:$D$4,MATCH(E2852,Risk_Matrix!$A$2:$A$4,0),MATCH(F2852,Risk_Matrix!$B$1:$D$1,0))</f>
        <v>Medium</v>
      </c>
      <c r="H2852" s="1">
        <v>46066</v>
      </c>
      <c r="I2852" t="s">
        <v>2025</v>
      </c>
      <c r="J2852" t="s">
        <v>2026</v>
      </c>
      <c r="K2852" t="s">
        <v>1998</v>
      </c>
      <c r="L2852">
        <f>IF(G2852="High",3,IF(G2852="Medium",2,1))</f>
        <v>2</v>
      </c>
    </row>
    <row r="2853" spans="1:12">
      <c r="A2853" t="s">
        <v>4879</v>
      </c>
      <c r="B2853" t="s">
        <v>1663</v>
      </c>
      <c r="C2853" t="s">
        <v>1991</v>
      </c>
      <c r="D2853" t="s">
        <v>2064</v>
      </c>
      <c r="E2853" t="s">
        <v>57</v>
      </c>
      <c r="F2853" t="s">
        <v>57</v>
      </c>
      <c r="G2853" t="str">
        <f>INDEX(Risk_Matrix!$B$2:$D$4,MATCH(E2853,Risk_Matrix!$A$2:$A$4,0),MATCH(F2853,Risk_Matrix!$B$1:$D$1,0))</f>
        <v>Low</v>
      </c>
      <c r="H2853" s="1">
        <v>46127</v>
      </c>
      <c r="I2853" t="s">
        <v>2025</v>
      </c>
      <c r="J2853" t="s">
        <v>2026</v>
      </c>
      <c r="K2853" t="s">
        <v>1993</v>
      </c>
      <c r="L2853">
        <f>IF(G2853="High",3,IF(G2853="Medium",2,1))</f>
        <v>1</v>
      </c>
    </row>
    <row r="2854" spans="1:12">
      <c r="A2854" t="s">
        <v>4880</v>
      </c>
      <c r="B2854" t="s">
        <v>1663</v>
      </c>
      <c r="C2854" t="s">
        <v>1995</v>
      </c>
      <c r="D2854" t="s">
        <v>2034</v>
      </c>
      <c r="E2854" t="s">
        <v>57</v>
      </c>
      <c r="F2854" t="s">
        <v>57</v>
      </c>
      <c r="G2854" t="str">
        <f>INDEX(Risk_Matrix!$B$2:$D$4,MATCH(E2854,Risk_Matrix!$A$2:$A$4,0),MATCH(F2854,Risk_Matrix!$B$1:$D$1,0))</f>
        <v>Low</v>
      </c>
      <c r="H2854" s="1">
        <v>46195</v>
      </c>
      <c r="I2854" t="s">
        <v>2002</v>
      </c>
      <c r="J2854" t="s">
        <v>2003</v>
      </c>
      <c r="K2854" t="s">
        <v>1998</v>
      </c>
      <c r="L2854">
        <f>IF(G2854="High",3,IF(G2854="Medium",2,1))</f>
        <v>1</v>
      </c>
    </row>
    <row r="2855" spans="1:12">
      <c r="A2855" t="s">
        <v>4881</v>
      </c>
      <c r="B2855" t="s">
        <v>1663</v>
      </c>
      <c r="C2855" t="s">
        <v>2000</v>
      </c>
      <c r="D2855" t="s">
        <v>2001</v>
      </c>
      <c r="E2855" t="s">
        <v>1971</v>
      </c>
      <c r="F2855" t="s">
        <v>1971</v>
      </c>
      <c r="G2855" t="str">
        <f>INDEX(Risk_Matrix!$B$2:$D$4,MATCH(E2855,Risk_Matrix!$A$2:$A$4,0),MATCH(F2855,Risk_Matrix!$B$1:$D$1,0))</f>
        <v>Medium</v>
      </c>
      <c r="H2855" s="1">
        <v>46213</v>
      </c>
      <c r="I2855" t="s">
        <v>2002</v>
      </c>
      <c r="J2855" t="s">
        <v>2003</v>
      </c>
      <c r="K2855" t="s">
        <v>1989</v>
      </c>
      <c r="L2855">
        <f>IF(G2855="High",3,IF(G2855="Medium",2,1))</f>
        <v>2</v>
      </c>
    </row>
    <row r="2856" spans="1:12">
      <c r="A2856" t="s">
        <v>4882</v>
      </c>
      <c r="B2856" t="s">
        <v>1663</v>
      </c>
      <c r="C2856" t="s">
        <v>2005</v>
      </c>
      <c r="D2856" t="s">
        <v>2039</v>
      </c>
      <c r="E2856" t="s">
        <v>1971</v>
      </c>
      <c r="F2856" t="s">
        <v>1971</v>
      </c>
      <c r="G2856" t="str">
        <f>INDEX(Risk_Matrix!$B$2:$D$4,MATCH(E2856,Risk_Matrix!$A$2:$A$4,0),MATCH(F2856,Risk_Matrix!$B$1:$D$1,0))</f>
        <v>Medium</v>
      </c>
      <c r="H2856" s="1">
        <v>46216</v>
      </c>
      <c r="I2856" t="s">
        <v>1987</v>
      </c>
      <c r="J2856" t="s">
        <v>1988</v>
      </c>
      <c r="K2856" t="s">
        <v>1993</v>
      </c>
      <c r="L2856">
        <f>IF(G2856="High",3,IF(G2856="Medium",2,1))</f>
        <v>2</v>
      </c>
    </row>
    <row r="2857" spans="1:12">
      <c r="A2857" t="s">
        <v>4883</v>
      </c>
      <c r="B2857" t="s">
        <v>1663</v>
      </c>
      <c r="C2857" t="s">
        <v>2008</v>
      </c>
      <c r="D2857" t="s">
        <v>2054</v>
      </c>
      <c r="E2857" t="s">
        <v>1971</v>
      </c>
      <c r="F2857" t="s">
        <v>57</v>
      </c>
      <c r="G2857" t="str">
        <f>INDEX(Risk_Matrix!$B$2:$D$4,MATCH(E2857,Risk_Matrix!$A$2:$A$4,0),MATCH(F2857,Risk_Matrix!$B$1:$D$1,0))</f>
        <v>Low</v>
      </c>
      <c r="H2857" s="1">
        <v>46158</v>
      </c>
      <c r="I2857" t="s">
        <v>2015</v>
      </c>
      <c r="J2857" t="s">
        <v>2032</v>
      </c>
      <c r="K2857" t="s">
        <v>1998</v>
      </c>
      <c r="L2857">
        <f>IF(G2857="High",3,IF(G2857="Medium",2,1))</f>
        <v>1</v>
      </c>
    </row>
    <row r="2858" spans="1:12">
      <c r="A2858" t="s">
        <v>4884</v>
      </c>
      <c r="B2858" t="s">
        <v>1665</v>
      </c>
      <c r="C2858" t="s">
        <v>1985</v>
      </c>
      <c r="D2858" t="s">
        <v>2028</v>
      </c>
      <c r="E2858" t="s">
        <v>57</v>
      </c>
      <c r="F2858" t="s">
        <v>57</v>
      </c>
      <c r="G2858" t="str">
        <f>INDEX(Risk_Matrix!$B$2:$D$4,MATCH(E2858,Risk_Matrix!$A$2:$A$4,0),MATCH(F2858,Risk_Matrix!$B$1:$D$1,0))</f>
        <v>Low</v>
      </c>
      <c r="H2858" s="1">
        <v>46166</v>
      </c>
      <c r="I2858" t="s">
        <v>2002</v>
      </c>
      <c r="J2858" t="s">
        <v>2003</v>
      </c>
      <c r="K2858" t="s">
        <v>1998</v>
      </c>
      <c r="L2858">
        <f>IF(G2858="High",3,IF(G2858="Medium",2,1))</f>
        <v>1</v>
      </c>
    </row>
    <row r="2859" spans="1:12">
      <c r="A2859" t="s">
        <v>4885</v>
      </c>
      <c r="B2859" t="s">
        <v>1665</v>
      </c>
      <c r="C2859" t="s">
        <v>1991</v>
      </c>
      <c r="D2859" t="s">
        <v>2031</v>
      </c>
      <c r="E2859" t="s">
        <v>47</v>
      </c>
      <c r="F2859" t="s">
        <v>1971</v>
      </c>
      <c r="G2859" t="str">
        <f>INDEX(Risk_Matrix!$B$2:$D$4,MATCH(E2859,Risk_Matrix!$A$2:$A$4,0),MATCH(F2859,Risk_Matrix!$B$1:$D$1,0))</f>
        <v>High</v>
      </c>
      <c r="H2859" s="1">
        <v>46237</v>
      </c>
      <c r="I2859" t="s">
        <v>2015</v>
      </c>
      <c r="J2859" t="s">
        <v>2016</v>
      </c>
      <c r="K2859" t="s">
        <v>1993</v>
      </c>
      <c r="L2859">
        <f>IF(G2859="High",3,IF(G2859="Medium",2,1))</f>
        <v>3</v>
      </c>
    </row>
    <row r="2860" spans="1:12">
      <c r="A2860" t="s">
        <v>4886</v>
      </c>
      <c r="B2860" t="s">
        <v>1665</v>
      </c>
      <c r="C2860" t="s">
        <v>1995</v>
      </c>
      <c r="D2860" t="s">
        <v>2034</v>
      </c>
      <c r="E2860" t="s">
        <v>1971</v>
      </c>
      <c r="F2860" t="s">
        <v>1971</v>
      </c>
      <c r="G2860" t="str">
        <f>INDEX(Risk_Matrix!$B$2:$D$4,MATCH(E2860,Risk_Matrix!$A$2:$A$4,0),MATCH(F2860,Risk_Matrix!$B$1:$D$1,0))</f>
        <v>Medium</v>
      </c>
      <c r="H2860" s="1">
        <v>46220</v>
      </c>
      <c r="I2860" t="s">
        <v>2015</v>
      </c>
      <c r="J2860" t="s">
        <v>2016</v>
      </c>
      <c r="K2860" t="s">
        <v>2036</v>
      </c>
      <c r="L2860">
        <f>IF(G2860="High",3,IF(G2860="Medium",2,1))</f>
        <v>2</v>
      </c>
    </row>
    <row r="2861" spans="1:12">
      <c r="A2861" t="s">
        <v>4887</v>
      </c>
      <c r="B2861" t="s">
        <v>1665</v>
      </c>
      <c r="C2861" t="s">
        <v>2000</v>
      </c>
      <c r="D2861" t="s">
        <v>2045</v>
      </c>
      <c r="E2861" t="s">
        <v>1971</v>
      </c>
      <c r="F2861" t="s">
        <v>47</v>
      </c>
      <c r="G2861" t="str">
        <f>INDEX(Risk_Matrix!$B$2:$D$4,MATCH(E2861,Risk_Matrix!$A$2:$A$4,0),MATCH(F2861,Risk_Matrix!$B$1:$D$1,0))</f>
        <v>High</v>
      </c>
      <c r="H2861" s="1">
        <v>46207</v>
      </c>
      <c r="I2861" t="s">
        <v>2015</v>
      </c>
      <c r="J2861" t="s">
        <v>2016</v>
      </c>
      <c r="K2861" t="s">
        <v>1989</v>
      </c>
      <c r="L2861">
        <f>IF(G2861="High",3,IF(G2861="Medium",2,1))</f>
        <v>3</v>
      </c>
    </row>
    <row r="2862" spans="1:12">
      <c r="A2862" t="s">
        <v>4888</v>
      </c>
      <c r="B2862" t="s">
        <v>1665</v>
      </c>
      <c r="C2862" t="s">
        <v>2005</v>
      </c>
      <c r="D2862" t="s">
        <v>2039</v>
      </c>
      <c r="E2862" t="s">
        <v>47</v>
      </c>
      <c r="F2862" t="s">
        <v>57</v>
      </c>
      <c r="G2862" t="str">
        <f>INDEX(Risk_Matrix!$B$2:$D$4,MATCH(E2862,Risk_Matrix!$A$2:$A$4,0),MATCH(F2862,Risk_Matrix!$B$1:$D$1,0))</f>
        <v>Medium</v>
      </c>
      <c r="H2862" s="1">
        <v>46095</v>
      </c>
      <c r="I2862" t="s">
        <v>2025</v>
      </c>
      <c r="J2862" t="s">
        <v>2026</v>
      </c>
      <c r="K2862" t="s">
        <v>1993</v>
      </c>
      <c r="L2862">
        <f>IF(G2862="High",3,IF(G2862="Medium",2,1))</f>
        <v>2</v>
      </c>
    </row>
    <row r="2863" spans="1:12">
      <c r="A2863" t="s">
        <v>4889</v>
      </c>
      <c r="B2863" t="s">
        <v>1665</v>
      </c>
      <c r="C2863" t="s">
        <v>2008</v>
      </c>
      <c r="D2863" t="s">
        <v>2009</v>
      </c>
      <c r="E2863" t="s">
        <v>47</v>
      </c>
      <c r="F2863" t="s">
        <v>1971</v>
      </c>
      <c r="G2863" t="str">
        <f>INDEX(Risk_Matrix!$B$2:$D$4,MATCH(E2863,Risk_Matrix!$A$2:$A$4,0),MATCH(F2863,Risk_Matrix!$B$1:$D$1,0))</f>
        <v>High</v>
      </c>
      <c r="H2863" s="1">
        <v>46220</v>
      </c>
      <c r="I2863" t="s">
        <v>2002</v>
      </c>
      <c r="J2863" t="s">
        <v>2029</v>
      </c>
      <c r="K2863" t="s">
        <v>2010</v>
      </c>
      <c r="L2863">
        <f>IF(G2863="High",3,IF(G2863="Medium",2,1))</f>
        <v>3</v>
      </c>
    </row>
    <row r="2864" spans="1:12">
      <c r="A2864" t="s">
        <v>4890</v>
      </c>
      <c r="B2864" t="s">
        <v>1667</v>
      </c>
      <c r="C2864" t="s">
        <v>1985</v>
      </c>
      <c r="D2864" t="s">
        <v>1986</v>
      </c>
      <c r="E2864" t="s">
        <v>57</v>
      </c>
      <c r="F2864" t="s">
        <v>57</v>
      </c>
      <c r="G2864" t="str">
        <f>INDEX(Risk_Matrix!$B$2:$D$4,MATCH(E2864,Risk_Matrix!$A$2:$A$4,0),MATCH(F2864,Risk_Matrix!$B$1:$D$1,0))</f>
        <v>Low</v>
      </c>
      <c r="H2864" s="1">
        <v>46167</v>
      </c>
      <c r="I2864" t="s">
        <v>2015</v>
      </c>
      <c r="J2864" t="s">
        <v>2016</v>
      </c>
      <c r="K2864" t="s">
        <v>1989</v>
      </c>
      <c r="L2864">
        <f>IF(G2864="High",3,IF(G2864="Medium",2,1))</f>
        <v>1</v>
      </c>
    </row>
    <row r="2865" spans="1:12">
      <c r="A2865" t="s">
        <v>4891</v>
      </c>
      <c r="B2865" t="s">
        <v>1667</v>
      </c>
      <c r="C2865" t="s">
        <v>1991</v>
      </c>
      <c r="D2865" t="s">
        <v>2031</v>
      </c>
      <c r="E2865" t="s">
        <v>1971</v>
      </c>
      <c r="F2865" t="s">
        <v>57</v>
      </c>
      <c r="G2865" t="str">
        <f>INDEX(Risk_Matrix!$B$2:$D$4,MATCH(E2865,Risk_Matrix!$A$2:$A$4,0),MATCH(F2865,Risk_Matrix!$B$1:$D$1,0))</f>
        <v>Low</v>
      </c>
      <c r="H2865" s="1">
        <v>46187</v>
      </c>
      <c r="I2865" t="s">
        <v>2015</v>
      </c>
      <c r="J2865" t="s">
        <v>2016</v>
      </c>
      <c r="K2865" t="s">
        <v>1993</v>
      </c>
      <c r="L2865">
        <f>IF(G2865="High",3,IF(G2865="Medium",2,1))</f>
        <v>1</v>
      </c>
    </row>
    <row r="2866" spans="1:12">
      <c r="A2866" t="s">
        <v>4892</v>
      </c>
      <c r="B2866" t="s">
        <v>1667</v>
      </c>
      <c r="C2866" t="s">
        <v>1995</v>
      </c>
      <c r="D2866" t="s">
        <v>2150</v>
      </c>
      <c r="E2866" t="s">
        <v>47</v>
      </c>
      <c r="F2866" t="s">
        <v>57</v>
      </c>
      <c r="G2866" t="str">
        <f>INDEX(Risk_Matrix!$B$2:$D$4,MATCH(E2866,Risk_Matrix!$A$2:$A$4,0),MATCH(F2866,Risk_Matrix!$B$1:$D$1,0))</f>
        <v>Medium</v>
      </c>
      <c r="H2866" s="1">
        <v>46224</v>
      </c>
      <c r="I2866" t="s">
        <v>2025</v>
      </c>
      <c r="J2866" t="s">
        <v>2026</v>
      </c>
      <c r="K2866" t="s">
        <v>1998</v>
      </c>
      <c r="L2866">
        <f>IF(G2866="High",3,IF(G2866="Medium",2,1))</f>
        <v>2</v>
      </c>
    </row>
    <row r="2867" spans="1:12">
      <c r="A2867" t="s">
        <v>4893</v>
      </c>
      <c r="B2867" t="s">
        <v>1667</v>
      </c>
      <c r="C2867" t="s">
        <v>2000</v>
      </c>
      <c r="D2867" t="s">
        <v>2020</v>
      </c>
      <c r="E2867" t="s">
        <v>1971</v>
      </c>
      <c r="F2867" t="s">
        <v>47</v>
      </c>
      <c r="G2867" t="str">
        <f>INDEX(Risk_Matrix!$B$2:$D$4,MATCH(E2867,Risk_Matrix!$A$2:$A$4,0),MATCH(F2867,Risk_Matrix!$B$1:$D$1,0))</f>
        <v>High</v>
      </c>
      <c r="H2867" s="1">
        <v>46176</v>
      </c>
      <c r="I2867" t="s">
        <v>2015</v>
      </c>
      <c r="J2867" t="s">
        <v>2016</v>
      </c>
      <c r="K2867" t="s">
        <v>1989</v>
      </c>
      <c r="L2867">
        <f>IF(G2867="High",3,IF(G2867="Medium",2,1))</f>
        <v>3</v>
      </c>
    </row>
    <row r="2868" spans="1:12">
      <c r="A2868" t="s">
        <v>4894</v>
      </c>
      <c r="B2868" t="s">
        <v>1667</v>
      </c>
      <c r="C2868" t="s">
        <v>2005</v>
      </c>
      <c r="D2868" t="s">
        <v>2039</v>
      </c>
      <c r="E2868" t="s">
        <v>57</v>
      </c>
      <c r="F2868" t="s">
        <v>57</v>
      </c>
      <c r="G2868" t="str">
        <f>INDEX(Risk_Matrix!$B$2:$D$4,MATCH(E2868,Risk_Matrix!$A$2:$A$4,0),MATCH(F2868,Risk_Matrix!$B$1:$D$1,0))</f>
        <v>Low</v>
      </c>
      <c r="H2868" s="1">
        <v>46131</v>
      </c>
      <c r="I2868" t="s">
        <v>1987</v>
      </c>
      <c r="J2868" t="s">
        <v>1997</v>
      </c>
      <c r="K2868" t="s">
        <v>1993</v>
      </c>
      <c r="L2868">
        <f>IF(G2868="High",3,IF(G2868="Medium",2,1))</f>
        <v>1</v>
      </c>
    </row>
    <row r="2869" spans="1:12">
      <c r="A2869" t="s">
        <v>4895</v>
      </c>
      <c r="B2869" t="s">
        <v>1667</v>
      </c>
      <c r="C2869" t="s">
        <v>2008</v>
      </c>
      <c r="D2869" t="s">
        <v>2009</v>
      </c>
      <c r="E2869" t="s">
        <v>57</v>
      </c>
      <c r="F2869" t="s">
        <v>1971</v>
      </c>
      <c r="G2869" t="str">
        <f>INDEX(Risk_Matrix!$B$2:$D$4,MATCH(E2869,Risk_Matrix!$A$2:$A$4,0),MATCH(F2869,Risk_Matrix!$B$1:$D$1,0))</f>
        <v>Low</v>
      </c>
      <c r="H2869" s="1">
        <v>46152</v>
      </c>
      <c r="I2869" t="s">
        <v>2015</v>
      </c>
      <c r="J2869" t="s">
        <v>2016</v>
      </c>
      <c r="K2869" t="s">
        <v>2010</v>
      </c>
      <c r="L2869">
        <f>IF(G2869="High",3,IF(G2869="Medium",2,1))</f>
        <v>1</v>
      </c>
    </row>
    <row r="2870" spans="1:12">
      <c r="A2870" t="s">
        <v>4896</v>
      </c>
      <c r="B2870" t="s">
        <v>1669</v>
      </c>
      <c r="C2870" t="s">
        <v>1985</v>
      </c>
      <c r="D2870" t="s">
        <v>2062</v>
      </c>
      <c r="E2870" t="s">
        <v>1971</v>
      </c>
      <c r="F2870" t="s">
        <v>57</v>
      </c>
      <c r="G2870" t="str">
        <f>INDEX(Risk_Matrix!$B$2:$D$4,MATCH(E2870,Risk_Matrix!$A$2:$A$4,0),MATCH(F2870,Risk_Matrix!$B$1:$D$1,0))</f>
        <v>Low</v>
      </c>
      <c r="H2870" s="1">
        <v>46149</v>
      </c>
      <c r="I2870" t="s">
        <v>2025</v>
      </c>
      <c r="J2870" t="s">
        <v>2035</v>
      </c>
      <c r="K2870" t="s">
        <v>1989</v>
      </c>
      <c r="L2870">
        <f>IF(G2870="High",3,IF(G2870="Medium",2,1))</f>
        <v>1</v>
      </c>
    </row>
    <row r="2871" spans="1:12">
      <c r="A2871" t="s">
        <v>4897</v>
      </c>
      <c r="B2871" t="s">
        <v>1669</v>
      </c>
      <c r="C2871" t="s">
        <v>1991</v>
      </c>
      <c r="D2871" t="s">
        <v>2031</v>
      </c>
      <c r="E2871" t="s">
        <v>1971</v>
      </c>
      <c r="F2871" t="s">
        <v>47</v>
      </c>
      <c r="G2871" t="str">
        <f>INDEX(Risk_Matrix!$B$2:$D$4,MATCH(E2871,Risk_Matrix!$A$2:$A$4,0),MATCH(F2871,Risk_Matrix!$B$1:$D$1,0))</f>
        <v>High</v>
      </c>
      <c r="H2871" s="1">
        <v>46227</v>
      </c>
      <c r="I2871" t="s">
        <v>2015</v>
      </c>
      <c r="J2871" t="s">
        <v>2016</v>
      </c>
      <c r="K2871" t="s">
        <v>1993</v>
      </c>
      <c r="L2871">
        <f>IF(G2871="High",3,IF(G2871="Medium",2,1))</f>
        <v>3</v>
      </c>
    </row>
    <row r="2872" spans="1:12">
      <c r="A2872" t="s">
        <v>4898</v>
      </c>
      <c r="B2872" t="s">
        <v>1669</v>
      </c>
      <c r="C2872" t="s">
        <v>1995</v>
      </c>
      <c r="D2872" t="s">
        <v>2018</v>
      </c>
      <c r="E2872" t="s">
        <v>57</v>
      </c>
      <c r="F2872" t="s">
        <v>57</v>
      </c>
      <c r="G2872" t="str">
        <f>INDEX(Risk_Matrix!$B$2:$D$4,MATCH(E2872,Risk_Matrix!$A$2:$A$4,0),MATCH(F2872,Risk_Matrix!$B$1:$D$1,0))</f>
        <v>Low</v>
      </c>
      <c r="H2872" s="1">
        <v>46170</v>
      </c>
      <c r="I2872" t="s">
        <v>2002</v>
      </c>
      <c r="J2872" t="s">
        <v>2029</v>
      </c>
      <c r="K2872" t="s">
        <v>2036</v>
      </c>
      <c r="L2872">
        <f>IF(G2872="High",3,IF(G2872="Medium",2,1))</f>
        <v>1</v>
      </c>
    </row>
    <row r="2873" spans="1:12">
      <c r="A2873" t="s">
        <v>4899</v>
      </c>
      <c r="B2873" t="s">
        <v>1669</v>
      </c>
      <c r="C2873" t="s">
        <v>2000</v>
      </c>
      <c r="D2873" t="s">
        <v>2020</v>
      </c>
      <c r="E2873" t="s">
        <v>1971</v>
      </c>
      <c r="F2873" t="s">
        <v>1971</v>
      </c>
      <c r="G2873" t="str">
        <f>INDEX(Risk_Matrix!$B$2:$D$4,MATCH(E2873,Risk_Matrix!$A$2:$A$4,0),MATCH(F2873,Risk_Matrix!$B$1:$D$1,0))</f>
        <v>Medium</v>
      </c>
      <c r="H2873" s="1">
        <v>46206</v>
      </c>
      <c r="I2873" t="s">
        <v>2025</v>
      </c>
      <c r="J2873" t="s">
        <v>2035</v>
      </c>
      <c r="K2873" t="s">
        <v>1989</v>
      </c>
      <c r="L2873">
        <f>IF(G2873="High",3,IF(G2873="Medium",2,1))</f>
        <v>2</v>
      </c>
    </row>
    <row r="2874" spans="1:12">
      <c r="A2874" t="s">
        <v>4900</v>
      </c>
      <c r="B2874" t="s">
        <v>1669</v>
      </c>
      <c r="C2874" t="s">
        <v>2005</v>
      </c>
      <c r="D2874" t="s">
        <v>2006</v>
      </c>
      <c r="E2874" t="s">
        <v>1971</v>
      </c>
      <c r="F2874" t="s">
        <v>1971</v>
      </c>
      <c r="G2874" t="str">
        <f>INDEX(Risk_Matrix!$B$2:$D$4,MATCH(E2874,Risk_Matrix!$A$2:$A$4,0),MATCH(F2874,Risk_Matrix!$B$1:$D$1,0))</f>
        <v>Medium</v>
      </c>
      <c r="H2874" s="1">
        <v>46196</v>
      </c>
      <c r="I2874" t="s">
        <v>2015</v>
      </c>
      <c r="J2874" t="s">
        <v>2032</v>
      </c>
      <c r="K2874" t="s">
        <v>1993</v>
      </c>
      <c r="L2874">
        <f>IF(G2874="High",3,IF(G2874="Medium",2,1))</f>
        <v>2</v>
      </c>
    </row>
    <row r="2875" spans="1:12">
      <c r="A2875" t="s">
        <v>4901</v>
      </c>
      <c r="B2875" t="s">
        <v>1669</v>
      </c>
      <c r="C2875" t="s">
        <v>2008</v>
      </c>
      <c r="D2875" t="s">
        <v>2009</v>
      </c>
      <c r="E2875" t="s">
        <v>57</v>
      </c>
      <c r="F2875" t="s">
        <v>47</v>
      </c>
      <c r="G2875" t="str">
        <f>INDEX(Risk_Matrix!$B$2:$D$4,MATCH(E2875,Risk_Matrix!$A$2:$A$4,0),MATCH(F2875,Risk_Matrix!$B$1:$D$1,0))</f>
        <v>Medium</v>
      </c>
      <c r="H2875" s="1">
        <v>46175</v>
      </c>
      <c r="I2875" t="s">
        <v>2015</v>
      </c>
      <c r="J2875" t="s">
        <v>2032</v>
      </c>
      <c r="K2875" t="s">
        <v>2010</v>
      </c>
      <c r="L2875">
        <f>IF(G2875="High",3,IF(G2875="Medium",2,1))</f>
        <v>2</v>
      </c>
    </row>
    <row r="2876" spans="1:12">
      <c r="A2876" t="s">
        <v>4902</v>
      </c>
      <c r="B2876" t="s">
        <v>1671</v>
      </c>
      <c r="C2876" t="s">
        <v>1985</v>
      </c>
      <c r="D2876" t="s">
        <v>2012</v>
      </c>
      <c r="E2876" t="s">
        <v>57</v>
      </c>
      <c r="F2876" t="s">
        <v>57</v>
      </c>
      <c r="G2876" t="str">
        <f>INDEX(Risk_Matrix!$B$2:$D$4,MATCH(E2876,Risk_Matrix!$A$2:$A$4,0),MATCH(F2876,Risk_Matrix!$B$1:$D$1,0))</f>
        <v>Low</v>
      </c>
      <c r="H2876" s="1">
        <v>46106</v>
      </c>
      <c r="I2876" t="s">
        <v>1987</v>
      </c>
      <c r="J2876" t="s">
        <v>1997</v>
      </c>
      <c r="K2876" t="s">
        <v>1989</v>
      </c>
      <c r="L2876">
        <f>IF(G2876="High",3,IF(G2876="Medium",2,1))</f>
        <v>1</v>
      </c>
    </row>
    <row r="2877" spans="1:12">
      <c r="A2877" t="s">
        <v>4903</v>
      </c>
      <c r="B2877" t="s">
        <v>1671</v>
      </c>
      <c r="C2877" t="s">
        <v>1991</v>
      </c>
      <c r="D2877" t="s">
        <v>1992</v>
      </c>
      <c r="E2877" t="s">
        <v>47</v>
      </c>
      <c r="F2877" t="s">
        <v>47</v>
      </c>
      <c r="G2877" t="str">
        <f>INDEX(Risk_Matrix!$B$2:$D$4,MATCH(E2877,Risk_Matrix!$A$2:$A$4,0),MATCH(F2877,Risk_Matrix!$B$1:$D$1,0))</f>
        <v>High</v>
      </c>
      <c r="H2877" s="1">
        <v>46181</v>
      </c>
      <c r="I2877" t="s">
        <v>1987</v>
      </c>
      <c r="J2877" t="s">
        <v>1988</v>
      </c>
      <c r="K2877" t="s">
        <v>1993</v>
      </c>
      <c r="L2877">
        <f>IF(G2877="High",3,IF(G2877="Medium",2,1))</f>
        <v>3</v>
      </c>
    </row>
    <row r="2878" spans="1:12">
      <c r="A2878" t="s">
        <v>4904</v>
      </c>
      <c r="B2878" t="s">
        <v>1671</v>
      </c>
      <c r="C2878" t="s">
        <v>1995</v>
      </c>
      <c r="D2878" t="s">
        <v>2018</v>
      </c>
      <c r="E2878" t="s">
        <v>57</v>
      </c>
      <c r="F2878" t="s">
        <v>1971</v>
      </c>
      <c r="G2878" t="str">
        <f>INDEX(Risk_Matrix!$B$2:$D$4,MATCH(E2878,Risk_Matrix!$A$2:$A$4,0),MATCH(F2878,Risk_Matrix!$B$1:$D$1,0))</f>
        <v>Low</v>
      </c>
      <c r="H2878" s="1">
        <v>46135</v>
      </c>
      <c r="I2878" t="s">
        <v>2025</v>
      </c>
      <c r="J2878" t="s">
        <v>2035</v>
      </c>
      <c r="K2878" t="s">
        <v>2036</v>
      </c>
      <c r="L2878">
        <f>IF(G2878="High",3,IF(G2878="Medium",2,1))</f>
        <v>1</v>
      </c>
    </row>
    <row r="2879" spans="1:12">
      <c r="A2879" t="s">
        <v>4905</v>
      </c>
      <c r="B2879" t="s">
        <v>1671</v>
      </c>
      <c r="C2879" t="s">
        <v>2000</v>
      </c>
      <c r="D2879" t="s">
        <v>2001</v>
      </c>
      <c r="E2879" t="s">
        <v>1971</v>
      </c>
      <c r="F2879" t="s">
        <v>47</v>
      </c>
      <c r="G2879" t="str">
        <f>INDEX(Risk_Matrix!$B$2:$D$4,MATCH(E2879,Risk_Matrix!$A$2:$A$4,0),MATCH(F2879,Risk_Matrix!$B$1:$D$1,0))</f>
        <v>High</v>
      </c>
      <c r="H2879" s="1">
        <v>46160</v>
      </c>
      <c r="I2879" t="s">
        <v>2015</v>
      </c>
      <c r="J2879" t="s">
        <v>2032</v>
      </c>
      <c r="K2879" t="s">
        <v>1989</v>
      </c>
      <c r="L2879">
        <f>IF(G2879="High",3,IF(G2879="Medium",2,1))</f>
        <v>3</v>
      </c>
    </row>
    <row r="2880" spans="1:12">
      <c r="A2880" t="s">
        <v>4906</v>
      </c>
      <c r="B2880" t="s">
        <v>1671</v>
      </c>
      <c r="C2880" t="s">
        <v>2005</v>
      </c>
      <c r="D2880" t="s">
        <v>2039</v>
      </c>
      <c r="E2880" t="s">
        <v>1971</v>
      </c>
      <c r="F2880" t="s">
        <v>57</v>
      </c>
      <c r="G2880" t="str">
        <f>INDEX(Risk_Matrix!$B$2:$D$4,MATCH(E2880,Risk_Matrix!$A$2:$A$4,0),MATCH(F2880,Risk_Matrix!$B$1:$D$1,0))</f>
        <v>Low</v>
      </c>
      <c r="H2880" s="1">
        <v>46132</v>
      </c>
      <c r="I2880" t="s">
        <v>2025</v>
      </c>
      <c r="J2880" t="s">
        <v>2035</v>
      </c>
      <c r="K2880" t="s">
        <v>2036</v>
      </c>
      <c r="L2880">
        <f>IF(G2880="High",3,IF(G2880="Medium",2,1))</f>
        <v>1</v>
      </c>
    </row>
    <row r="2881" spans="1:12">
      <c r="A2881" t="s">
        <v>4907</v>
      </c>
      <c r="B2881" t="s">
        <v>1671</v>
      </c>
      <c r="C2881" t="s">
        <v>2008</v>
      </c>
      <c r="D2881" t="s">
        <v>2054</v>
      </c>
      <c r="E2881" t="s">
        <v>1971</v>
      </c>
      <c r="F2881" t="s">
        <v>47</v>
      </c>
      <c r="G2881" t="str">
        <f>INDEX(Risk_Matrix!$B$2:$D$4,MATCH(E2881,Risk_Matrix!$A$2:$A$4,0),MATCH(F2881,Risk_Matrix!$B$1:$D$1,0))</f>
        <v>High</v>
      </c>
      <c r="H2881" s="1">
        <v>46121</v>
      </c>
      <c r="I2881" t="s">
        <v>1987</v>
      </c>
      <c r="J2881" t="s">
        <v>1988</v>
      </c>
      <c r="K2881" t="s">
        <v>2010</v>
      </c>
      <c r="L2881">
        <f>IF(G2881="High",3,IF(G2881="Medium",2,1))</f>
        <v>3</v>
      </c>
    </row>
    <row r="2882" spans="1:12">
      <c r="A2882" t="s">
        <v>4908</v>
      </c>
      <c r="B2882" t="s">
        <v>1672</v>
      </c>
      <c r="C2882" t="s">
        <v>1985</v>
      </c>
      <c r="D2882" t="s">
        <v>1986</v>
      </c>
      <c r="E2882" t="s">
        <v>57</v>
      </c>
      <c r="F2882" t="s">
        <v>57</v>
      </c>
      <c r="G2882" t="str">
        <f>INDEX(Risk_Matrix!$B$2:$D$4,MATCH(E2882,Risk_Matrix!$A$2:$A$4,0),MATCH(F2882,Risk_Matrix!$B$1:$D$1,0))</f>
        <v>Low</v>
      </c>
      <c r="H2882" s="1">
        <v>46068</v>
      </c>
      <c r="I2882" t="s">
        <v>2025</v>
      </c>
      <c r="J2882" t="s">
        <v>2035</v>
      </c>
      <c r="K2882" t="s">
        <v>1989</v>
      </c>
      <c r="L2882">
        <f>IF(G2882="High",3,IF(G2882="Medium",2,1))</f>
        <v>1</v>
      </c>
    </row>
    <row r="2883" spans="1:12">
      <c r="A2883" t="s">
        <v>4909</v>
      </c>
      <c r="B2883" t="s">
        <v>1672</v>
      </c>
      <c r="C2883" t="s">
        <v>1991</v>
      </c>
      <c r="D2883" t="s">
        <v>2014</v>
      </c>
      <c r="E2883" t="s">
        <v>47</v>
      </c>
      <c r="F2883" t="s">
        <v>57</v>
      </c>
      <c r="G2883" t="str">
        <f>INDEX(Risk_Matrix!$B$2:$D$4,MATCH(E2883,Risk_Matrix!$A$2:$A$4,0),MATCH(F2883,Risk_Matrix!$B$1:$D$1,0))</f>
        <v>Medium</v>
      </c>
      <c r="H2883" s="1">
        <v>46237</v>
      </c>
      <c r="I2883" t="s">
        <v>2015</v>
      </c>
      <c r="J2883" t="s">
        <v>2032</v>
      </c>
      <c r="K2883" t="s">
        <v>1993</v>
      </c>
      <c r="L2883">
        <f>IF(G2883="High",3,IF(G2883="Medium",2,1))</f>
        <v>2</v>
      </c>
    </row>
    <row r="2884" spans="1:12">
      <c r="A2884" t="s">
        <v>4910</v>
      </c>
      <c r="B2884" t="s">
        <v>1672</v>
      </c>
      <c r="C2884" t="s">
        <v>1995</v>
      </c>
      <c r="D2884" t="s">
        <v>2150</v>
      </c>
      <c r="E2884" t="s">
        <v>47</v>
      </c>
      <c r="F2884" t="s">
        <v>57</v>
      </c>
      <c r="G2884" t="str">
        <f>INDEX(Risk_Matrix!$B$2:$D$4,MATCH(E2884,Risk_Matrix!$A$2:$A$4,0),MATCH(F2884,Risk_Matrix!$B$1:$D$1,0))</f>
        <v>Medium</v>
      </c>
      <c r="H2884" s="1">
        <v>46132</v>
      </c>
      <c r="I2884" t="s">
        <v>2025</v>
      </c>
      <c r="J2884" t="s">
        <v>2035</v>
      </c>
      <c r="K2884" t="s">
        <v>1998</v>
      </c>
      <c r="L2884">
        <f>IF(G2884="High",3,IF(G2884="Medium",2,1))</f>
        <v>2</v>
      </c>
    </row>
    <row r="2885" spans="1:12">
      <c r="A2885" t="s">
        <v>4911</v>
      </c>
      <c r="B2885" t="s">
        <v>1672</v>
      </c>
      <c r="C2885" t="s">
        <v>2000</v>
      </c>
      <c r="D2885" t="s">
        <v>2001</v>
      </c>
      <c r="E2885" t="s">
        <v>47</v>
      </c>
      <c r="F2885" t="s">
        <v>47</v>
      </c>
      <c r="G2885" t="str">
        <f>INDEX(Risk_Matrix!$B$2:$D$4,MATCH(E2885,Risk_Matrix!$A$2:$A$4,0),MATCH(F2885,Risk_Matrix!$B$1:$D$1,0))</f>
        <v>High</v>
      </c>
      <c r="H2885" s="1">
        <v>46153</v>
      </c>
      <c r="I2885" t="s">
        <v>2025</v>
      </c>
      <c r="J2885" t="s">
        <v>2026</v>
      </c>
      <c r="K2885" t="s">
        <v>1993</v>
      </c>
      <c r="L2885">
        <f>IF(G2885="High",3,IF(G2885="Medium",2,1))</f>
        <v>3</v>
      </c>
    </row>
    <row r="2886" spans="1:12">
      <c r="A2886" t="s">
        <v>4912</v>
      </c>
      <c r="B2886" t="s">
        <v>1672</v>
      </c>
      <c r="C2886" t="s">
        <v>2005</v>
      </c>
      <c r="D2886" t="s">
        <v>2039</v>
      </c>
      <c r="E2886" t="s">
        <v>57</v>
      </c>
      <c r="F2886" t="s">
        <v>1971</v>
      </c>
      <c r="G2886" t="str">
        <f>INDEX(Risk_Matrix!$B$2:$D$4,MATCH(E2886,Risk_Matrix!$A$2:$A$4,0),MATCH(F2886,Risk_Matrix!$B$1:$D$1,0))</f>
        <v>Low</v>
      </c>
      <c r="H2886" s="1">
        <v>46180</v>
      </c>
      <c r="I2886" t="s">
        <v>2015</v>
      </c>
      <c r="J2886" t="s">
        <v>2032</v>
      </c>
      <c r="K2886" t="s">
        <v>1993</v>
      </c>
      <c r="L2886">
        <f>IF(G2886="High",3,IF(G2886="Medium",2,1))</f>
        <v>1</v>
      </c>
    </row>
    <row r="2887" spans="1:12">
      <c r="A2887" t="s">
        <v>4913</v>
      </c>
      <c r="B2887" t="s">
        <v>1672</v>
      </c>
      <c r="C2887" t="s">
        <v>2008</v>
      </c>
      <c r="D2887" t="s">
        <v>2054</v>
      </c>
      <c r="E2887" t="s">
        <v>57</v>
      </c>
      <c r="F2887" t="s">
        <v>1971</v>
      </c>
      <c r="G2887" t="str">
        <f>INDEX(Risk_Matrix!$B$2:$D$4,MATCH(E2887,Risk_Matrix!$A$2:$A$4,0),MATCH(F2887,Risk_Matrix!$B$1:$D$1,0))</f>
        <v>Low</v>
      </c>
      <c r="H2887" s="1">
        <v>46208</v>
      </c>
      <c r="I2887" t="s">
        <v>2025</v>
      </c>
      <c r="J2887" t="s">
        <v>2035</v>
      </c>
      <c r="K2887" t="s">
        <v>2010</v>
      </c>
      <c r="L2887">
        <f>IF(G2887="High",3,IF(G2887="Medium",2,1))</f>
        <v>1</v>
      </c>
    </row>
    <row r="2888" spans="1:12">
      <c r="A2888" t="s">
        <v>4914</v>
      </c>
      <c r="B2888" t="s">
        <v>1674</v>
      </c>
      <c r="C2888" t="s">
        <v>1985</v>
      </c>
      <c r="D2888" t="s">
        <v>2028</v>
      </c>
      <c r="E2888" t="s">
        <v>57</v>
      </c>
      <c r="F2888" t="s">
        <v>57</v>
      </c>
      <c r="G2888" t="str">
        <f>INDEX(Risk_Matrix!$B$2:$D$4,MATCH(E2888,Risk_Matrix!$A$2:$A$4,0),MATCH(F2888,Risk_Matrix!$B$1:$D$1,0))</f>
        <v>Low</v>
      </c>
      <c r="H2888" s="1">
        <v>46186</v>
      </c>
      <c r="I2888" t="s">
        <v>2025</v>
      </c>
      <c r="J2888" t="s">
        <v>2035</v>
      </c>
      <c r="K2888" t="s">
        <v>1989</v>
      </c>
      <c r="L2888">
        <f>IF(G2888="High",3,IF(G2888="Medium",2,1))</f>
        <v>1</v>
      </c>
    </row>
    <row r="2889" spans="1:12">
      <c r="A2889" t="s">
        <v>4915</v>
      </c>
      <c r="B2889" t="s">
        <v>1674</v>
      </c>
      <c r="C2889" t="s">
        <v>1991</v>
      </c>
      <c r="D2889" t="s">
        <v>2031</v>
      </c>
      <c r="E2889" t="s">
        <v>57</v>
      </c>
      <c r="F2889" t="s">
        <v>57</v>
      </c>
      <c r="G2889" t="str">
        <f>INDEX(Risk_Matrix!$B$2:$D$4,MATCH(E2889,Risk_Matrix!$A$2:$A$4,0),MATCH(F2889,Risk_Matrix!$B$1:$D$1,0))</f>
        <v>Low</v>
      </c>
      <c r="H2889" s="1">
        <v>46218</v>
      </c>
      <c r="I2889" t="s">
        <v>2002</v>
      </c>
      <c r="J2889" t="s">
        <v>2029</v>
      </c>
      <c r="K2889" t="s">
        <v>1993</v>
      </c>
      <c r="L2889">
        <f>IF(G2889="High",3,IF(G2889="Medium",2,1))</f>
        <v>1</v>
      </c>
    </row>
    <row r="2890" spans="1:12">
      <c r="A2890" t="s">
        <v>4916</v>
      </c>
      <c r="B2890" t="s">
        <v>1674</v>
      </c>
      <c r="C2890" t="s">
        <v>1995</v>
      </c>
      <c r="D2890" t="s">
        <v>1996</v>
      </c>
      <c r="E2890" t="s">
        <v>1971</v>
      </c>
      <c r="F2890" t="s">
        <v>47</v>
      </c>
      <c r="G2890" t="str">
        <f>INDEX(Risk_Matrix!$B$2:$D$4,MATCH(E2890,Risk_Matrix!$A$2:$A$4,0),MATCH(F2890,Risk_Matrix!$B$1:$D$1,0))</f>
        <v>High</v>
      </c>
      <c r="H2890" s="1">
        <v>46064</v>
      </c>
      <c r="I2890" t="s">
        <v>2025</v>
      </c>
      <c r="J2890" t="s">
        <v>2026</v>
      </c>
      <c r="K2890" t="s">
        <v>1998</v>
      </c>
      <c r="L2890">
        <f>IF(G2890="High",3,IF(G2890="Medium",2,1))</f>
        <v>3</v>
      </c>
    </row>
    <row r="2891" spans="1:12">
      <c r="A2891" t="s">
        <v>4917</v>
      </c>
      <c r="B2891" t="s">
        <v>1674</v>
      </c>
      <c r="C2891" t="s">
        <v>2000</v>
      </c>
      <c r="D2891" t="s">
        <v>2001</v>
      </c>
      <c r="E2891" t="s">
        <v>1971</v>
      </c>
      <c r="F2891" t="s">
        <v>57</v>
      </c>
      <c r="G2891" t="str">
        <f>INDEX(Risk_Matrix!$B$2:$D$4,MATCH(E2891,Risk_Matrix!$A$2:$A$4,0),MATCH(F2891,Risk_Matrix!$B$1:$D$1,0))</f>
        <v>Low</v>
      </c>
      <c r="H2891" s="1">
        <v>46149</v>
      </c>
      <c r="I2891" t="s">
        <v>2002</v>
      </c>
      <c r="J2891" t="s">
        <v>2003</v>
      </c>
      <c r="K2891" t="s">
        <v>1989</v>
      </c>
      <c r="L2891">
        <f>IF(G2891="High",3,IF(G2891="Medium",2,1))</f>
        <v>1</v>
      </c>
    </row>
    <row r="2892" spans="1:12">
      <c r="A2892" t="s">
        <v>4918</v>
      </c>
      <c r="B2892" t="s">
        <v>1674</v>
      </c>
      <c r="C2892" t="s">
        <v>2005</v>
      </c>
      <c r="D2892" t="s">
        <v>2039</v>
      </c>
      <c r="E2892" t="s">
        <v>1971</v>
      </c>
      <c r="F2892" t="s">
        <v>57</v>
      </c>
      <c r="G2892" t="str">
        <f>INDEX(Risk_Matrix!$B$2:$D$4,MATCH(E2892,Risk_Matrix!$A$2:$A$4,0),MATCH(F2892,Risk_Matrix!$B$1:$D$1,0))</f>
        <v>Low</v>
      </c>
      <c r="H2892" s="1">
        <v>46235</v>
      </c>
      <c r="I2892" t="s">
        <v>2015</v>
      </c>
      <c r="J2892" t="s">
        <v>2016</v>
      </c>
      <c r="K2892" t="s">
        <v>1993</v>
      </c>
      <c r="L2892">
        <f>IF(G2892="High",3,IF(G2892="Medium",2,1))</f>
        <v>1</v>
      </c>
    </row>
    <row r="2893" spans="1:12">
      <c r="A2893" t="s">
        <v>4919</v>
      </c>
      <c r="B2893" t="s">
        <v>1674</v>
      </c>
      <c r="C2893" t="s">
        <v>2008</v>
      </c>
      <c r="D2893" t="s">
        <v>2009</v>
      </c>
      <c r="E2893" t="s">
        <v>1971</v>
      </c>
      <c r="F2893" t="s">
        <v>47</v>
      </c>
      <c r="G2893" t="str">
        <f>INDEX(Risk_Matrix!$B$2:$D$4,MATCH(E2893,Risk_Matrix!$A$2:$A$4,0),MATCH(F2893,Risk_Matrix!$B$1:$D$1,0))</f>
        <v>High</v>
      </c>
      <c r="H2893" s="1">
        <v>46193</v>
      </c>
      <c r="I2893" t="s">
        <v>2015</v>
      </c>
      <c r="J2893" t="s">
        <v>2016</v>
      </c>
      <c r="K2893" t="s">
        <v>2010</v>
      </c>
      <c r="L2893">
        <f>IF(G2893="High",3,IF(G2893="Medium",2,1))</f>
        <v>3</v>
      </c>
    </row>
    <row r="2894" spans="1:12">
      <c r="A2894" t="s">
        <v>4920</v>
      </c>
      <c r="B2894" t="s">
        <v>1676</v>
      </c>
      <c r="C2894" t="s">
        <v>1985</v>
      </c>
      <c r="D2894" t="s">
        <v>1986</v>
      </c>
      <c r="E2894" t="s">
        <v>57</v>
      </c>
      <c r="F2894" t="s">
        <v>57</v>
      </c>
      <c r="G2894" t="str">
        <f>INDEX(Risk_Matrix!$B$2:$D$4,MATCH(E2894,Risk_Matrix!$A$2:$A$4,0),MATCH(F2894,Risk_Matrix!$B$1:$D$1,0))</f>
        <v>Low</v>
      </c>
      <c r="H2894" s="1">
        <v>46146</v>
      </c>
      <c r="I2894" t="s">
        <v>2025</v>
      </c>
      <c r="J2894" t="s">
        <v>2026</v>
      </c>
      <c r="K2894" t="s">
        <v>1998</v>
      </c>
      <c r="L2894">
        <f>IF(G2894="High",3,IF(G2894="Medium",2,1))</f>
        <v>1</v>
      </c>
    </row>
    <row r="2895" spans="1:12">
      <c r="A2895" t="s">
        <v>4921</v>
      </c>
      <c r="B2895" t="s">
        <v>1676</v>
      </c>
      <c r="C2895" t="s">
        <v>1991</v>
      </c>
      <c r="D2895" t="s">
        <v>1992</v>
      </c>
      <c r="E2895" t="s">
        <v>57</v>
      </c>
      <c r="F2895" t="s">
        <v>57</v>
      </c>
      <c r="G2895" t="str">
        <f>INDEX(Risk_Matrix!$B$2:$D$4,MATCH(E2895,Risk_Matrix!$A$2:$A$4,0),MATCH(F2895,Risk_Matrix!$B$1:$D$1,0))</f>
        <v>Low</v>
      </c>
      <c r="H2895" s="1">
        <v>46195</v>
      </c>
      <c r="I2895" t="s">
        <v>2002</v>
      </c>
      <c r="J2895" t="s">
        <v>2003</v>
      </c>
      <c r="K2895" t="s">
        <v>1993</v>
      </c>
      <c r="L2895">
        <f>IF(G2895="High",3,IF(G2895="Medium",2,1))</f>
        <v>1</v>
      </c>
    </row>
    <row r="2896" spans="1:12">
      <c r="A2896" t="s">
        <v>4922</v>
      </c>
      <c r="B2896" t="s">
        <v>1676</v>
      </c>
      <c r="C2896" t="s">
        <v>1995</v>
      </c>
      <c r="D2896" t="s">
        <v>2018</v>
      </c>
      <c r="E2896" t="s">
        <v>1971</v>
      </c>
      <c r="F2896" t="s">
        <v>57</v>
      </c>
      <c r="G2896" t="str">
        <f>INDEX(Risk_Matrix!$B$2:$D$4,MATCH(E2896,Risk_Matrix!$A$2:$A$4,0),MATCH(F2896,Risk_Matrix!$B$1:$D$1,0))</f>
        <v>Low</v>
      </c>
      <c r="H2896" s="1">
        <v>46085</v>
      </c>
      <c r="I2896" t="s">
        <v>2002</v>
      </c>
      <c r="J2896" t="s">
        <v>2003</v>
      </c>
      <c r="K2896" t="s">
        <v>2036</v>
      </c>
      <c r="L2896">
        <f>IF(G2896="High",3,IF(G2896="Medium",2,1))</f>
        <v>1</v>
      </c>
    </row>
    <row r="2897" spans="1:12">
      <c r="A2897" t="s">
        <v>4923</v>
      </c>
      <c r="B2897" t="s">
        <v>1676</v>
      </c>
      <c r="C2897" t="s">
        <v>2000</v>
      </c>
      <c r="D2897" t="s">
        <v>2045</v>
      </c>
      <c r="E2897" t="s">
        <v>57</v>
      </c>
      <c r="F2897" t="s">
        <v>57</v>
      </c>
      <c r="G2897" t="str">
        <f>INDEX(Risk_Matrix!$B$2:$D$4,MATCH(E2897,Risk_Matrix!$A$2:$A$4,0),MATCH(F2897,Risk_Matrix!$B$1:$D$1,0))</f>
        <v>Low</v>
      </c>
      <c r="H2897" s="1">
        <v>46144</v>
      </c>
      <c r="I2897" t="s">
        <v>2002</v>
      </c>
      <c r="J2897" t="s">
        <v>2029</v>
      </c>
      <c r="K2897" t="s">
        <v>1989</v>
      </c>
      <c r="L2897">
        <f>IF(G2897="High",3,IF(G2897="Medium",2,1))</f>
        <v>1</v>
      </c>
    </row>
    <row r="2898" spans="1:12">
      <c r="A2898" t="s">
        <v>4924</v>
      </c>
      <c r="B2898" t="s">
        <v>1676</v>
      </c>
      <c r="C2898" t="s">
        <v>2005</v>
      </c>
      <c r="D2898" t="s">
        <v>2039</v>
      </c>
      <c r="E2898" t="s">
        <v>1971</v>
      </c>
      <c r="F2898" t="s">
        <v>47</v>
      </c>
      <c r="G2898" t="str">
        <f>INDEX(Risk_Matrix!$B$2:$D$4,MATCH(E2898,Risk_Matrix!$A$2:$A$4,0),MATCH(F2898,Risk_Matrix!$B$1:$D$1,0))</f>
        <v>High</v>
      </c>
      <c r="H2898" s="1">
        <v>46156</v>
      </c>
      <c r="I2898" t="s">
        <v>2015</v>
      </c>
      <c r="J2898" t="s">
        <v>2032</v>
      </c>
      <c r="K2898" t="s">
        <v>1993</v>
      </c>
      <c r="L2898">
        <f>IF(G2898="High",3,IF(G2898="Medium",2,1))</f>
        <v>3</v>
      </c>
    </row>
    <row r="2899" spans="1:12">
      <c r="A2899" t="s">
        <v>4925</v>
      </c>
      <c r="B2899" t="s">
        <v>1676</v>
      </c>
      <c r="C2899" t="s">
        <v>2008</v>
      </c>
      <c r="D2899" t="s">
        <v>2009</v>
      </c>
      <c r="E2899" t="s">
        <v>57</v>
      </c>
      <c r="F2899" t="s">
        <v>57</v>
      </c>
      <c r="G2899" t="str">
        <f>INDEX(Risk_Matrix!$B$2:$D$4,MATCH(E2899,Risk_Matrix!$A$2:$A$4,0),MATCH(F2899,Risk_Matrix!$B$1:$D$1,0))</f>
        <v>Low</v>
      </c>
      <c r="H2899" s="1">
        <v>46212</v>
      </c>
      <c r="I2899" t="s">
        <v>1987</v>
      </c>
      <c r="J2899" t="s">
        <v>1988</v>
      </c>
      <c r="K2899" t="s">
        <v>2010</v>
      </c>
      <c r="L2899">
        <f>IF(G2899="High",3,IF(G2899="Medium",2,1))</f>
        <v>1</v>
      </c>
    </row>
    <row r="2900" spans="1:12">
      <c r="A2900" t="s">
        <v>4926</v>
      </c>
      <c r="B2900" t="s">
        <v>1678</v>
      </c>
      <c r="C2900" t="s">
        <v>1985</v>
      </c>
      <c r="D2900" t="s">
        <v>2012</v>
      </c>
      <c r="E2900" t="s">
        <v>47</v>
      </c>
      <c r="F2900" t="s">
        <v>1971</v>
      </c>
      <c r="G2900" t="str">
        <f>INDEX(Risk_Matrix!$B$2:$D$4,MATCH(E2900,Risk_Matrix!$A$2:$A$4,0),MATCH(F2900,Risk_Matrix!$B$1:$D$1,0))</f>
        <v>High</v>
      </c>
      <c r="H2900" s="1">
        <v>46234</v>
      </c>
      <c r="I2900" t="s">
        <v>2015</v>
      </c>
      <c r="J2900" t="s">
        <v>2016</v>
      </c>
      <c r="K2900" t="s">
        <v>1998</v>
      </c>
      <c r="L2900">
        <f>IF(G2900="High",3,IF(G2900="Medium",2,1))</f>
        <v>3</v>
      </c>
    </row>
    <row r="2901" spans="1:12">
      <c r="A2901" t="s">
        <v>4927</v>
      </c>
      <c r="B2901" t="s">
        <v>1678</v>
      </c>
      <c r="C2901" t="s">
        <v>1991</v>
      </c>
      <c r="D2901" t="s">
        <v>1992</v>
      </c>
      <c r="E2901" t="s">
        <v>57</v>
      </c>
      <c r="F2901" t="s">
        <v>57</v>
      </c>
      <c r="G2901" t="str">
        <f>INDEX(Risk_Matrix!$B$2:$D$4,MATCH(E2901,Risk_Matrix!$A$2:$A$4,0),MATCH(F2901,Risk_Matrix!$B$1:$D$1,0))</f>
        <v>Low</v>
      </c>
      <c r="H2901" s="1">
        <v>46229</v>
      </c>
      <c r="I2901" t="s">
        <v>2015</v>
      </c>
      <c r="J2901" t="s">
        <v>2016</v>
      </c>
      <c r="K2901" t="s">
        <v>2010</v>
      </c>
      <c r="L2901">
        <f>IF(G2901="High",3,IF(G2901="Medium",2,1))</f>
        <v>1</v>
      </c>
    </row>
    <row r="2902" spans="1:12">
      <c r="A2902" t="s">
        <v>4928</v>
      </c>
      <c r="B2902" t="s">
        <v>1678</v>
      </c>
      <c r="C2902" t="s">
        <v>1995</v>
      </c>
      <c r="D2902" t="s">
        <v>2018</v>
      </c>
      <c r="E2902" t="s">
        <v>57</v>
      </c>
      <c r="F2902" t="s">
        <v>57</v>
      </c>
      <c r="G2902" t="str">
        <f>INDEX(Risk_Matrix!$B$2:$D$4,MATCH(E2902,Risk_Matrix!$A$2:$A$4,0),MATCH(F2902,Risk_Matrix!$B$1:$D$1,0))</f>
        <v>Low</v>
      </c>
      <c r="H2902" s="1">
        <v>46186</v>
      </c>
      <c r="I2902" t="s">
        <v>1987</v>
      </c>
      <c r="J2902" t="s">
        <v>1997</v>
      </c>
      <c r="K2902" t="s">
        <v>2036</v>
      </c>
      <c r="L2902">
        <f>IF(G2902="High",3,IF(G2902="Medium",2,1))</f>
        <v>1</v>
      </c>
    </row>
    <row r="2903" spans="1:12">
      <c r="A2903" t="s">
        <v>4929</v>
      </c>
      <c r="B2903" t="s">
        <v>1678</v>
      </c>
      <c r="C2903" t="s">
        <v>2000</v>
      </c>
      <c r="D2903" t="s">
        <v>2045</v>
      </c>
      <c r="E2903" t="s">
        <v>57</v>
      </c>
      <c r="F2903" t="s">
        <v>57</v>
      </c>
      <c r="G2903" t="str">
        <f>INDEX(Risk_Matrix!$B$2:$D$4,MATCH(E2903,Risk_Matrix!$A$2:$A$4,0),MATCH(F2903,Risk_Matrix!$B$1:$D$1,0))</f>
        <v>Low</v>
      </c>
      <c r="H2903" s="1">
        <v>46132</v>
      </c>
      <c r="I2903" t="s">
        <v>1987</v>
      </c>
      <c r="J2903" t="s">
        <v>1988</v>
      </c>
      <c r="K2903" t="s">
        <v>1989</v>
      </c>
      <c r="L2903">
        <f>IF(G2903="High",3,IF(G2903="Medium",2,1))</f>
        <v>1</v>
      </c>
    </row>
    <row r="2904" spans="1:12">
      <c r="A2904" t="s">
        <v>4930</v>
      </c>
      <c r="B2904" t="s">
        <v>1678</v>
      </c>
      <c r="C2904" t="s">
        <v>2005</v>
      </c>
      <c r="D2904" t="s">
        <v>2022</v>
      </c>
      <c r="E2904" t="s">
        <v>57</v>
      </c>
      <c r="F2904" t="s">
        <v>1971</v>
      </c>
      <c r="G2904" t="str">
        <f>INDEX(Risk_Matrix!$B$2:$D$4,MATCH(E2904,Risk_Matrix!$A$2:$A$4,0),MATCH(F2904,Risk_Matrix!$B$1:$D$1,0))</f>
        <v>Low</v>
      </c>
      <c r="H2904" s="1">
        <v>46067</v>
      </c>
      <c r="I2904" t="s">
        <v>2002</v>
      </c>
      <c r="J2904" t="s">
        <v>2003</v>
      </c>
      <c r="K2904" t="s">
        <v>1993</v>
      </c>
      <c r="L2904">
        <f>IF(G2904="High",3,IF(G2904="Medium",2,1))</f>
        <v>1</v>
      </c>
    </row>
    <row r="2905" spans="1:12">
      <c r="A2905" t="s">
        <v>4931</v>
      </c>
      <c r="B2905" t="s">
        <v>1678</v>
      </c>
      <c r="C2905" t="s">
        <v>2008</v>
      </c>
      <c r="D2905" t="s">
        <v>2009</v>
      </c>
      <c r="E2905" t="s">
        <v>57</v>
      </c>
      <c r="F2905" t="s">
        <v>57</v>
      </c>
      <c r="G2905" t="str">
        <f>INDEX(Risk_Matrix!$B$2:$D$4,MATCH(E2905,Risk_Matrix!$A$2:$A$4,0),MATCH(F2905,Risk_Matrix!$B$1:$D$1,0))</f>
        <v>Low</v>
      </c>
      <c r="H2905" s="1">
        <v>46131</v>
      </c>
      <c r="I2905" t="s">
        <v>2002</v>
      </c>
      <c r="J2905" t="s">
        <v>2029</v>
      </c>
      <c r="K2905" t="s">
        <v>2010</v>
      </c>
      <c r="L2905">
        <f>IF(G2905="High",3,IF(G2905="Medium",2,1))</f>
        <v>1</v>
      </c>
    </row>
    <row r="2906" spans="1:12">
      <c r="A2906" t="s">
        <v>4932</v>
      </c>
      <c r="B2906" t="s">
        <v>1680</v>
      </c>
      <c r="C2906" t="s">
        <v>1985</v>
      </c>
      <c r="D2906" t="s">
        <v>1986</v>
      </c>
      <c r="E2906" t="s">
        <v>1971</v>
      </c>
      <c r="F2906" t="s">
        <v>1971</v>
      </c>
      <c r="G2906" t="str">
        <f>INDEX(Risk_Matrix!$B$2:$D$4,MATCH(E2906,Risk_Matrix!$A$2:$A$4,0),MATCH(F2906,Risk_Matrix!$B$1:$D$1,0))</f>
        <v>Medium</v>
      </c>
      <c r="H2906" s="1">
        <v>46150</v>
      </c>
      <c r="I2906" t="s">
        <v>1987</v>
      </c>
      <c r="J2906" t="s">
        <v>1988</v>
      </c>
      <c r="K2906" t="s">
        <v>1989</v>
      </c>
      <c r="L2906">
        <f>IF(G2906="High",3,IF(G2906="Medium",2,1))</f>
        <v>2</v>
      </c>
    </row>
    <row r="2907" spans="1:12">
      <c r="A2907" t="s">
        <v>4933</v>
      </c>
      <c r="B2907" t="s">
        <v>1680</v>
      </c>
      <c r="C2907" t="s">
        <v>1991</v>
      </c>
      <c r="D2907" t="s">
        <v>2031</v>
      </c>
      <c r="E2907" t="s">
        <v>47</v>
      </c>
      <c r="F2907" t="s">
        <v>47</v>
      </c>
      <c r="G2907" t="str">
        <f>INDEX(Risk_Matrix!$B$2:$D$4,MATCH(E2907,Risk_Matrix!$A$2:$A$4,0),MATCH(F2907,Risk_Matrix!$B$1:$D$1,0))</f>
        <v>High</v>
      </c>
      <c r="H2907" s="1">
        <v>46233</v>
      </c>
      <c r="I2907" t="s">
        <v>2015</v>
      </c>
      <c r="J2907" t="s">
        <v>2016</v>
      </c>
      <c r="K2907" t="s">
        <v>1993</v>
      </c>
      <c r="L2907">
        <f>IF(G2907="High",3,IF(G2907="Medium",2,1))</f>
        <v>3</v>
      </c>
    </row>
    <row r="2908" spans="1:12">
      <c r="A2908" t="s">
        <v>4934</v>
      </c>
      <c r="B2908" t="s">
        <v>1680</v>
      </c>
      <c r="C2908" t="s">
        <v>1995</v>
      </c>
      <c r="D2908" t="s">
        <v>2018</v>
      </c>
      <c r="E2908" t="s">
        <v>1971</v>
      </c>
      <c r="F2908" t="s">
        <v>47</v>
      </c>
      <c r="G2908" t="str">
        <f>INDEX(Risk_Matrix!$B$2:$D$4,MATCH(E2908,Risk_Matrix!$A$2:$A$4,0),MATCH(F2908,Risk_Matrix!$B$1:$D$1,0))</f>
        <v>High</v>
      </c>
      <c r="H2908" s="1">
        <v>46145</v>
      </c>
      <c r="I2908" t="s">
        <v>2025</v>
      </c>
      <c r="J2908" t="s">
        <v>2026</v>
      </c>
      <c r="K2908" t="s">
        <v>2036</v>
      </c>
      <c r="L2908">
        <f>IF(G2908="High",3,IF(G2908="Medium",2,1))</f>
        <v>3</v>
      </c>
    </row>
    <row r="2909" spans="1:12">
      <c r="A2909" t="s">
        <v>4935</v>
      </c>
      <c r="B2909" t="s">
        <v>1680</v>
      </c>
      <c r="C2909" t="s">
        <v>2000</v>
      </c>
      <c r="D2909" t="s">
        <v>2020</v>
      </c>
      <c r="E2909" t="s">
        <v>57</v>
      </c>
      <c r="F2909" t="s">
        <v>57</v>
      </c>
      <c r="G2909" t="str">
        <f>INDEX(Risk_Matrix!$B$2:$D$4,MATCH(E2909,Risk_Matrix!$A$2:$A$4,0),MATCH(F2909,Risk_Matrix!$B$1:$D$1,0))</f>
        <v>Low</v>
      </c>
      <c r="H2909" s="1">
        <v>46211</v>
      </c>
      <c r="I2909" t="s">
        <v>1987</v>
      </c>
      <c r="J2909" t="s">
        <v>1997</v>
      </c>
      <c r="K2909" t="s">
        <v>1993</v>
      </c>
      <c r="L2909">
        <f>IF(G2909="High",3,IF(G2909="Medium",2,1))</f>
        <v>1</v>
      </c>
    </row>
    <row r="2910" spans="1:12">
      <c r="A2910" t="s">
        <v>4936</v>
      </c>
      <c r="B2910" t="s">
        <v>1680</v>
      </c>
      <c r="C2910" t="s">
        <v>2005</v>
      </c>
      <c r="D2910" t="s">
        <v>2039</v>
      </c>
      <c r="E2910" t="s">
        <v>1971</v>
      </c>
      <c r="F2910" t="s">
        <v>1971</v>
      </c>
      <c r="G2910" t="str">
        <f>INDEX(Risk_Matrix!$B$2:$D$4,MATCH(E2910,Risk_Matrix!$A$2:$A$4,0),MATCH(F2910,Risk_Matrix!$B$1:$D$1,0))</f>
        <v>Medium</v>
      </c>
      <c r="H2910" s="1">
        <v>46233</v>
      </c>
      <c r="I2910" t="s">
        <v>2025</v>
      </c>
      <c r="J2910" t="s">
        <v>2026</v>
      </c>
      <c r="K2910" t="s">
        <v>1993</v>
      </c>
      <c r="L2910">
        <f>IF(G2910="High",3,IF(G2910="Medium",2,1))</f>
        <v>2</v>
      </c>
    </row>
    <row r="2911" spans="1:12">
      <c r="A2911" t="s">
        <v>4937</v>
      </c>
      <c r="B2911" t="s">
        <v>1680</v>
      </c>
      <c r="C2911" t="s">
        <v>2008</v>
      </c>
      <c r="D2911" t="s">
        <v>2024</v>
      </c>
      <c r="E2911" t="s">
        <v>57</v>
      </c>
      <c r="F2911" t="s">
        <v>57</v>
      </c>
      <c r="G2911" t="str">
        <f>INDEX(Risk_Matrix!$B$2:$D$4,MATCH(E2911,Risk_Matrix!$A$2:$A$4,0),MATCH(F2911,Risk_Matrix!$B$1:$D$1,0))</f>
        <v>Low</v>
      </c>
      <c r="H2911" s="1">
        <v>46059</v>
      </c>
      <c r="I2911" t="s">
        <v>1987</v>
      </c>
      <c r="J2911" t="s">
        <v>1988</v>
      </c>
      <c r="K2911" t="s">
        <v>2010</v>
      </c>
      <c r="L2911">
        <f>IF(G2911="High",3,IF(G2911="Medium",2,1))</f>
        <v>1</v>
      </c>
    </row>
    <row r="2912" spans="1:12">
      <c r="A2912" t="s">
        <v>4938</v>
      </c>
      <c r="B2912" t="s">
        <v>1682</v>
      </c>
      <c r="C2912" t="s">
        <v>1985</v>
      </c>
      <c r="D2912" t="s">
        <v>2028</v>
      </c>
      <c r="E2912" t="s">
        <v>57</v>
      </c>
      <c r="F2912" t="s">
        <v>1971</v>
      </c>
      <c r="G2912" t="str">
        <f>INDEX(Risk_Matrix!$B$2:$D$4,MATCH(E2912,Risk_Matrix!$A$2:$A$4,0),MATCH(F2912,Risk_Matrix!$B$1:$D$1,0))</f>
        <v>Low</v>
      </c>
      <c r="H2912" s="1">
        <v>46109</v>
      </c>
      <c r="I2912" t="s">
        <v>2025</v>
      </c>
      <c r="J2912" t="s">
        <v>2035</v>
      </c>
      <c r="K2912" t="s">
        <v>1998</v>
      </c>
      <c r="L2912">
        <f>IF(G2912="High",3,IF(G2912="Medium",2,1))</f>
        <v>1</v>
      </c>
    </row>
    <row r="2913" spans="1:12">
      <c r="A2913" t="s">
        <v>4939</v>
      </c>
      <c r="B2913" t="s">
        <v>1682</v>
      </c>
      <c r="C2913" t="s">
        <v>1991</v>
      </c>
      <c r="D2913" t="s">
        <v>2031</v>
      </c>
      <c r="E2913" t="s">
        <v>47</v>
      </c>
      <c r="F2913" t="s">
        <v>1971</v>
      </c>
      <c r="G2913" t="str">
        <f>INDEX(Risk_Matrix!$B$2:$D$4,MATCH(E2913,Risk_Matrix!$A$2:$A$4,0),MATCH(F2913,Risk_Matrix!$B$1:$D$1,0))</f>
        <v>High</v>
      </c>
      <c r="H2913" s="1">
        <v>46151</v>
      </c>
      <c r="I2913" t="s">
        <v>2025</v>
      </c>
      <c r="J2913" t="s">
        <v>2035</v>
      </c>
      <c r="K2913" t="s">
        <v>2010</v>
      </c>
      <c r="L2913">
        <f>IF(G2913="High",3,IF(G2913="Medium",2,1))</f>
        <v>3</v>
      </c>
    </row>
    <row r="2914" spans="1:12">
      <c r="A2914" t="s">
        <v>4940</v>
      </c>
      <c r="B2914" t="s">
        <v>1682</v>
      </c>
      <c r="C2914" t="s">
        <v>1995</v>
      </c>
      <c r="D2914" t="s">
        <v>2150</v>
      </c>
      <c r="E2914" t="s">
        <v>47</v>
      </c>
      <c r="F2914" t="s">
        <v>47</v>
      </c>
      <c r="G2914" t="str">
        <f>INDEX(Risk_Matrix!$B$2:$D$4,MATCH(E2914,Risk_Matrix!$A$2:$A$4,0),MATCH(F2914,Risk_Matrix!$B$1:$D$1,0))</f>
        <v>High</v>
      </c>
      <c r="H2914" s="1">
        <v>46096</v>
      </c>
      <c r="I2914" t="s">
        <v>2025</v>
      </c>
      <c r="J2914" t="s">
        <v>2026</v>
      </c>
      <c r="K2914" t="s">
        <v>2036</v>
      </c>
      <c r="L2914">
        <f>IF(G2914="High",3,IF(G2914="Medium",2,1))</f>
        <v>3</v>
      </c>
    </row>
    <row r="2915" spans="1:12">
      <c r="A2915" t="s">
        <v>4941</v>
      </c>
      <c r="B2915" t="s">
        <v>1682</v>
      </c>
      <c r="C2915" t="s">
        <v>2000</v>
      </c>
      <c r="D2915" t="s">
        <v>2001</v>
      </c>
      <c r="E2915" t="s">
        <v>57</v>
      </c>
      <c r="F2915" t="s">
        <v>57</v>
      </c>
      <c r="G2915" t="str">
        <f>INDEX(Risk_Matrix!$B$2:$D$4,MATCH(E2915,Risk_Matrix!$A$2:$A$4,0),MATCH(F2915,Risk_Matrix!$B$1:$D$1,0))</f>
        <v>Low</v>
      </c>
      <c r="H2915" s="1">
        <v>46101</v>
      </c>
      <c r="I2915" t="s">
        <v>2002</v>
      </c>
      <c r="J2915" t="s">
        <v>2003</v>
      </c>
      <c r="K2915" t="s">
        <v>1989</v>
      </c>
      <c r="L2915">
        <f>IF(G2915="High",3,IF(G2915="Medium",2,1))</f>
        <v>1</v>
      </c>
    </row>
    <row r="2916" spans="1:12">
      <c r="A2916" t="s">
        <v>4942</v>
      </c>
      <c r="B2916" t="s">
        <v>1682</v>
      </c>
      <c r="C2916" t="s">
        <v>2005</v>
      </c>
      <c r="D2916" t="s">
        <v>2006</v>
      </c>
      <c r="E2916" t="s">
        <v>57</v>
      </c>
      <c r="F2916" t="s">
        <v>47</v>
      </c>
      <c r="G2916" t="str">
        <f>INDEX(Risk_Matrix!$B$2:$D$4,MATCH(E2916,Risk_Matrix!$A$2:$A$4,0),MATCH(F2916,Risk_Matrix!$B$1:$D$1,0))</f>
        <v>Medium</v>
      </c>
      <c r="H2916" s="1">
        <v>46160</v>
      </c>
      <c r="I2916" t="s">
        <v>1987</v>
      </c>
      <c r="J2916" t="s">
        <v>1988</v>
      </c>
      <c r="K2916" t="s">
        <v>1993</v>
      </c>
      <c r="L2916">
        <f>IF(G2916="High",3,IF(G2916="Medium",2,1))</f>
        <v>2</v>
      </c>
    </row>
    <row r="2917" spans="1:12">
      <c r="A2917" t="s">
        <v>4943</v>
      </c>
      <c r="B2917" t="s">
        <v>1682</v>
      </c>
      <c r="C2917" t="s">
        <v>2008</v>
      </c>
      <c r="D2917" t="s">
        <v>2024</v>
      </c>
      <c r="E2917" t="s">
        <v>1971</v>
      </c>
      <c r="F2917" t="s">
        <v>57</v>
      </c>
      <c r="G2917" t="str">
        <f>INDEX(Risk_Matrix!$B$2:$D$4,MATCH(E2917,Risk_Matrix!$A$2:$A$4,0),MATCH(F2917,Risk_Matrix!$B$1:$D$1,0))</f>
        <v>Low</v>
      </c>
      <c r="H2917" s="1">
        <v>46094</v>
      </c>
      <c r="I2917" t="s">
        <v>2025</v>
      </c>
      <c r="J2917" t="s">
        <v>2035</v>
      </c>
      <c r="K2917" t="s">
        <v>2010</v>
      </c>
      <c r="L2917">
        <f>IF(G2917="High",3,IF(G2917="Medium",2,1))</f>
        <v>1</v>
      </c>
    </row>
    <row r="2918" spans="1:12">
      <c r="A2918" t="s">
        <v>4944</v>
      </c>
      <c r="B2918" t="s">
        <v>1684</v>
      </c>
      <c r="C2918" t="s">
        <v>1985</v>
      </c>
      <c r="D2918" t="s">
        <v>2028</v>
      </c>
      <c r="E2918" t="s">
        <v>57</v>
      </c>
      <c r="F2918" t="s">
        <v>57</v>
      </c>
      <c r="G2918" t="str">
        <f>INDEX(Risk_Matrix!$B$2:$D$4,MATCH(E2918,Risk_Matrix!$A$2:$A$4,0),MATCH(F2918,Risk_Matrix!$B$1:$D$1,0))</f>
        <v>Low</v>
      </c>
      <c r="H2918" s="1">
        <v>46067</v>
      </c>
      <c r="I2918" t="s">
        <v>1987</v>
      </c>
      <c r="J2918" t="s">
        <v>1997</v>
      </c>
      <c r="K2918" t="s">
        <v>1989</v>
      </c>
      <c r="L2918">
        <f>IF(G2918="High",3,IF(G2918="Medium",2,1))</f>
        <v>1</v>
      </c>
    </row>
    <row r="2919" spans="1:12">
      <c r="A2919" t="s">
        <v>4945</v>
      </c>
      <c r="B2919" t="s">
        <v>1684</v>
      </c>
      <c r="C2919" t="s">
        <v>1991</v>
      </c>
      <c r="D2919" t="s">
        <v>1992</v>
      </c>
      <c r="E2919" t="s">
        <v>1971</v>
      </c>
      <c r="F2919" t="s">
        <v>57</v>
      </c>
      <c r="G2919" t="str">
        <f>INDEX(Risk_Matrix!$B$2:$D$4,MATCH(E2919,Risk_Matrix!$A$2:$A$4,0),MATCH(F2919,Risk_Matrix!$B$1:$D$1,0))</f>
        <v>Low</v>
      </c>
      <c r="H2919" s="1">
        <v>46071</v>
      </c>
      <c r="I2919" t="s">
        <v>2002</v>
      </c>
      <c r="J2919" t="s">
        <v>2029</v>
      </c>
      <c r="K2919" t="s">
        <v>2010</v>
      </c>
      <c r="L2919">
        <f>IF(G2919="High",3,IF(G2919="Medium",2,1))</f>
        <v>1</v>
      </c>
    </row>
    <row r="2920" spans="1:12">
      <c r="A2920" t="s">
        <v>4946</v>
      </c>
      <c r="B2920" t="s">
        <v>1684</v>
      </c>
      <c r="C2920" t="s">
        <v>1995</v>
      </c>
      <c r="D2920" t="s">
        <v>2150</v>
      </c>
      <c r="E2920" t="s">
        <v>57</v>
      </c>
      <c r="F2920" t="s">
        <v>57</v>
      </c>
      <c r="G2920" t="str">
        <f>INDEX(Risk_Matrix!$B$2:$D$4,MATCH(E2920,Risk_Matrix!$A$2:$A$4,0),MATCH(F2920,Risk_Matrix!$B$1:$D$1,0))</f>
        <v>Low</v>
      </c>
      <c r="H2920" s="1">
        <v>46092</v>
      </c>
      <c r="I2920" t="s">
        <v>2025</v>
      </c>
      <c r="J2920" t="s">
        <v>2026</v>
      </c>
      <c r="K2920" t="s">
        <v>2036</v>
      </c>
      <c r="L2920">
        <f>IF(G2920="High",3,IF(G2920="Medium",2,1))</f>
        <v>1</v>
      </c>
    </row>
    <row r="2921" spans="1:12">
      <c r="A2921" t="s">
        <v>4947</v>
      </c>
      <c r="B2921" t="s">
        <v>1684</v>
      </c>
      <c r="C2921" t="s">
        <v>2000</v>
      </c>
      <c r="D2921" t="s">
        <v>2001</v>
      </c>
      <c r="E2921" t="s">
        <v>1971</v>
      </c>
      <c r="F2921" t="s">
        <v>1971</v>
      </c>
      <c r="G2921" t="str">
        <f>INDEX(Risk_Matrix!$B$2:$D$4,MATCH(E2921,Risk_Matrix!$A$2:$A$4,0),MATCH(F2921,Risk_Matrix!$B$1:$D$1,0))</f>
        <v>Medium</v>
      </c>
      <c r="H2921" s="1">
        <v>46163</v>
      </c>
      <c r="I2921" t="s">
        <v>2025</v>
      </c>
      <c r="J2921" t="s">
        <v>2035</v>
      </c>
      <c r="K2921" t="s">
        <v>1993</v>
      </c>
      <c r="L2921">
        <f>IF(G2921="High",3,IF(G2921="Medium",2,1))</f>
        <v>2</v>
      </c>
    </row>
    <row r="2922" spans="1:12">
      <c r="A2922" t="s">
        <v>4948</v>
      </c>
      <c r="B2922" t="s">
        <v>1684</v>
      </c>
      <c r="C2922" t="s">
        <v>2005</v>
      </c>
      <c r="D2922" t="s">
        <v>2039</v>
      </c>
      <c r="E2922" t="s">
        <v>1971</v>
      </c>
      <c r="F2922" t="s">
        <v>57</v>
      </c>
      <c r="G2922" t="str">
        <f>INDEX(Risk_Matrix!$B$2:$D$4,MATCH(E2922,Risk_Matrix!$A$2:$A$4,0),MATCH(F2922,Risk_Matrix!$B$1:$D$1,0))</f>
        <v>Low</v>
      </c>
      <c r="H2922" s="1">
        <v>46215</v>
      </c>
      <c r="I2922" t="s">
        <v>2015</v>
      </c>
      <c r="J2922" t="s">
        <v>2016</v>
      </c>
      <c r="K2922" t="s">
        <v>1993</v>
      </c>
      <c r="L2922">
        <f>IF(G2922="High",3,IF(G2922="Medium",2,1))</f>
        <v>1</v>
      </c>
    </row>
    <row r="2923" spans="1:12">
      <c r="A2923" t="s">
        <v>4949</v>
      </c>
      <c r="B2923" t="s">
        <v>1684</v>
      </c>
      <c r="C2923" t="s">
        <v>2008</v>
      </c>
      <c r="D2923" t="s">
        <v>2054</v>
      </c>
      <c r="E2923" t="s">
        <v>57</v>
      </c>
      <c r="F2923" t="s">
        <v>57</v>
      </c>
      <c r="G2923" t="str">
        <f>INDEX(Risk_Matrix!$B$2:$D$4,MATCH(E2923,Risk_Matrix!$A$2:$A$4,0),MATCH(F2923,Risk_Matrix!$B$1:$D$1,0))</f>
        <v>Low</v>
      </c>
      <c r="H2923" s="1">
        <v>46158</v>
      </c>
      <c r="I2923" t="s">
        <v>2002</v>
      </c>
      <c r="J2923" t="s">
        <v>2029</v>
      </c>
      <c r="K2923" t="s">
        <v>2010</v>
      </c>
      <c r="L2923">
        <f>IF(G2923="High",3,IF(G2923="Medium",2,1))</f>
        <v>1</v>
      </c>
    </row>
    <row r="2924" spans="1:12">
      <c r="A2924" t="s">
        <v>4950</v>
      </c>
      <c r="B2924" t="s">
        <v>1686</v>
      </c>
      <c r="C2924" t="s">
        <v>1985</v>
      </c>
      <c r="D2924" t="s">
        <v>2028</v>
      </c>
      <c r="E2924" t="s">
        <v>57</v>
      </c>
      <c r="F2924" t="s">
        <v>47</v>
      </c>
      <c r="G2924" t="str">
        <f>INDEX(Risk_Matrix!$B$2:$D$4,MATCH(E2924,Risk_Matrix!$A$2:$A$4,0),MATCH(F2924,Risk_Matrix!$B$1:$D$1,0))</f>
        <v>Medium</v>
      </c>
      <c r="H2924" s="1">
        <v>46111</v>
      </c>
      <c r="I2924" t="s">
        <v>1987</v>
      </c>
      <c r="J2924" t="s">
        <v>1997</v>
      </c>
      <c r="K2924" t="s">
        <v>1998</v>
      </c>
      <c r="L2924">
        <f>IF(G2924="High",3,IF(G2924="Medium",2,1))</f>
        <v>2</v>
      </c>
    </row>
    <row r="2925" spans="1:12">
      <c r="A2925" t="s">
        <v>4951</v>
      </c>
      <c r="B2925" t="s">
        <v>1686</v>
      </c>
      <c r="C2925" t="s">
        <v>1991</v>
      </c>
      <c r="D2925" t="s">
        <v>2014</v>
      </c>
      <c r="E2925" t="s">
        <v>47</v>
      </c>
      <c r="F2925" t="s">
        <v>1971</v>
      </c>
      <c r="G2925" t="str">
        <f>INDEX(Risk_Matrix!$B$2:$D$4,MATCH(E2925,Risk_Matrix!$A$2:$A$4,0),MATCH(F2925,Risk_Matrix!$B$1:$D$1,0))</f>
        <v>High</v>
      </c>
      <c r="H2925" s="1">
        <v>46209</v>
      </c>
      <c r="I2925" t="s">
        <v>2025</v>
      </c>
      <c r="J2925" t="s">
        <v>2035</v>
      </c>
      <c r="K2925" t="s">
        <v>1993</v>
      </c>
      <c r="L2925">
        <f>IF(G2925="High",3,IF(G2925="Medium",2,1))</f>
        <v>3</v>
      </c>
    </row>
    <row r="2926" spans="1:12">
      <c r="A2926" t="s">
        <v>4952</v>
      </c>
      <c r="B2926" t="s">
        <v>1686</v>
      </c>
      <c r="C2926" t="s">
        <v>1995</v>
      </c>
      <c r="D2926" t="s">
        <v>1996</v>
      </c>
      <c r="E2926" t="s">
        <v>57</v>
      </c>
      <c r="F2926" t="s">
        <v>1971</v>
      </c>
      <c r="G2926" t="str">
        <f>INDEX(Risk_Matrix!$B$2:$D$4,MATCH(E2926,Risk_Matrix!$A$2:$A$4,0),MATCH(F2926,Risk_Matrix!$B$1:$D$1,0))</f>
        <v>Low</v>
      </c>
      <c r="H2926" s="1">
        <v>46201</v>
      </c>
      <c r="I2926" t="s">
        <v>2025</v>
      </c>
      <c r="J2926" t="s">
        <v>2026</v>
      </c>
      <c r="K2926" t="s">
        <v>2036</v>
      </c>
      <c r="L2926">
        <f>IF(G2926="High",3,IF(G2926="Medium",2,1))</f>
        <v>1</v>
      </c>
    </row>
    <row r="2927" spans="1:12">
      <c r="A2927" t="s">
        <v>4953</v>
      </c>
      <c r="B2927" t="s">
        <v>1686</v>
      </c>
      <c r="C2927" t="s">
        <v>2000</v>
      </c>
      <c r="D2927" t="s">
        <v>2045</v>
      </c>
      <c r="E2927" t="s">
        <v>1971</v>
      </c>
      <c r="F2927" t="s">
        <v>1971</v>
      </c>
      <c r="G2927" t="str">
        <f>INDEX(Risk_Matrix!$B$2:$D$4,MATCH(E2927,Risk_Matrix!$A$2:$A$4,0),MATCH(F2927,Risk_Matrix!$B$1:$D$1,0))</f>
        <v>Medium</v>
      </c>
      <c r="H2927" s="1">
        <v>46067</v>
      </c>
      <c r="I2927" t="s">
        <v>1987</v>
      </c>
      <c r="J2927" t="s">
        <v>1988</v>
      </c>
      <c r="K2927" t="s">
        <v>1989</v>
      </c>
      <c r="L2927">
        <f>IF(G2927="High",3,IF(G2927="Medium",2,1))</f>
        <v>2</v>
      </c>
    </row>
    <row r="2928" spans="1:12">
      <c r="A2928" t="s">
        <v>4954</v>
      </c>
      <c r="B2928" t="s">
        <v>1686</v>
      </c>
      <c r="C2928" t="s">
        <v>2005</v>
      </c>
      <c r="D2928" t="s">
        <v>2006</v>
      </c>
      <c r="E2928" t="s">
        <v>57</v>
      </c>
      <c r="F2928" t="s">
        <v>57</v>
      </c>
      <c r="G2928" t="str">
        <f>INDEX(Risk_Matrix!$B$2:$D$4,MATCH(E2928,Risk_Matrix!$A$2:$A$4,0),MATCH(F2928,Risk_Matrix!$B$1:$D$1,0))</f>
        <v>Low</v>
      </c>
      <c r="H2928" s="1">
        <v>46157</v>
      </c>
      <c r="I2928" t="s">
        <v>2015</v>
      </c>
      <c r="J2928" t="s">
        <v>2016</v>
      </c>
      <c r="K2928" t="s">
        <v>2036</v>
      </c>
      <c r="L2928">
        <f>IF(G2928="High",3,IF(G2928="Medium",2,1))</f>
        <v>1</v>
      </c>
    </row>
    <row r="2929" spans="1:12">
      <c r="A2929" t="s">
        <v>4955</v>
      </c>
      <c r="B2929" t="s">
        <v>1686</v>
      </c>
      <c r="C2929" t="s">
        <v>2008</v>
      </c>
      <c r="D2929" t="s">
        <v>2054</v>
      </c>
      <c r="E2929" t="s">
        <v>1971</v>
      </c>
      <c r="F2929" t="s">
        <v>57</v>
      </c>
      <c r="G2929" t="str">
        <f>INDEX(Risk_Matrix!$B$2:$D$4,MATCH(E2929,Risk_Matrix!$A$2:$A$4,0),MATCH(F2929,Risk_Matrix!$B$1:$D$1,0))</f>
        <v>Low</v>
      </c>
      <c r="H2929" s="1">
        <v>46124</v>
      </c>
      <c r="I2929" t="s">
        <v>2025</v>
      </c>
      <c r="J2929" t="s">
        <v>2035</v>
      </c>
      <c r="K2929" t="s">
        <v>2010</v>
      </c>
      <c r="L2929">
        <f>IF(G2929="High",3,IF(G2929="Medium",2,1))</f>
        <v>1</v>
      </c>
    </row>
    <row r="2930" spans="1:12">
      <c r="A2930" t="s">
        <v>4956</v>
      </c>
      <c r="B2930" t="s">
        <v>1688</v>
      </c>
      <c r="C2930" t="s">
        <v>1985</v>
      </c>
      <c r="D2930" t="s">
        <v>1986</v>
      </c>
      <c r="E2930" t="s">
        <v>57</v>
      </c>
      <c r="F2930" t="s">
        <v>57</v>
      </c>
      <c r="G2930" t="str">
        <f>INDEX(Risk_Matrix!$B$2:$D$4,MATCH(E2930,Risk_Matrix!$A$2:$A$4,0),MATCH(F2930,Risk_Matrix!$B$1:$D$1,0))</f>
        <v>Low</v>
      </c>
      <c r="H2930" s="1">
        <v>46220</v>
      </c>
      <c r="I2930" t="s">
        <v>1987</v>
      </c>
      <c r="J2930" t="s">
        <v>1997</v>
      </c>
      <c r="K2930" t="s">
        <v>1989</v>
      </c>
      <c r="L2930">
        <f>IF(G2930="High",3,IF(G2930="Medium",2,1))</f>
        <v>1</v>
      </c>
    </row>
    <row r="2931" spans="1:12">
      <c r="A2931" t="s">
        <v>4957</v>
      </c>
      <c r="B2931" t="s">
        <v>1688</v>
      </c>
      <c r="C2931" t="s">
        <v>1991</v>
      </c>
      <c r="D2931" t="s">
        <v>2064</v>
      </c>
      <c r="E2931" t="s">
        <v>57</v>
      </c>
      <c r="F2931" t="s">
        <v>1971</v>
      </c>
      <c r="G2931" t="str">
        <f>INDEX(Risk_Matrix!$B$2:$D$4,MATCH(E2931,Risk_Matrix!$A$2:$A$4,0),MATCH(F2931,Risk_Matrix!$B$1:$D$1,0))</f>
        <v>Low</v>
      </c>
      <c r="H2931" s="1">
        <v>46087</v>
      </c>
      <c r="I2931" t="s">
        <v>2002</v>
      </c>
      <c r="J2931" t="s">
        <v>2003</v>
      </c>
      <c r="K2931" t="s">
        <v>1993</v>
      </c>
      <c r="L2931">
        <f>IF(G2931="High",3,IF(G2931="Medium",2,1))</f>
        <v>1</v>
      </c>
    </row>
    <row r="2932" spans="1:12">
      <c r="A2932" t="s">
        <v>4958</v>
      </c>
      <c r="B2932" t="s">
        <v>1688</v>
      </c>
      <c r="C2932" t="s">
        <v>1995</v>
      </c>
      <c r="D2932" t="s">
        <v>2018</v>
      </c>
      <c r="E2932" t="s">
        <v>1971</v>
      </c>
      <c r="F2932" t="s">
        <v>1971</v>
      </c>
      <c r="G2932" t="str">
        <f>INDEX(Risk_Matrix!$B$2:$D$4,MATCH(E2932,Risk_Matrix!$A$2:$A$4,0),MATCH(F2932,Risk_Matrix!$B$1:$D$1,0))</f>
        <v>Medium</v>
      </c>
      <c r="H2932" s="1">
        <v>46063</v>
      </c>
      <c r="I2932" t="s">
        <v>2025</v>
      </c>
      <c r="J2932" t="s">
        <v>2026</v>
      </c>
      <c r="K2932" t="s">
        <v>1998</v>
      </c>
      <c r="L2932">
        <f>IF(G2932="High",3,IF(G2932="Medium",2,1))</f>
        <v>2</v>
      </c>
    </row>
    <row r="2933" spans="1:12">
      <c r="A2933" t="s">
        <v>4959</v>
      </c>
      <c r="B2933" t="s">
        <v>1688</v>
      </c>
      <c r="C2933" t="s">
        <v>2000</v>
      </c>
      <c r="D2933" t="s">
        <v>2045</v>
      </c>
      <c r="E2933" t="s">
        <v>57</v>
      </c>
      <c r="F2933" t="s">
        <v>1971</v>
      </c>
      <c r="G2933" t="str">
        <f>INDEX(Risk_Matrix!$B$2:$D$4,MATCH(E2933,Risk_Matrix!$A$2:$A$4,0),MATCH(F2933,Risk_Matrix!$B$1:$D$1,0))</f>
        <v>Low</v>
      </c>
      <c r="H2933" s="1">
        <v>46208</v>
      </c>
      <c r="I2933" t="s">
        <v>2025</v>
      </c>
      <c r="J2933" t="s">
        <v>2026</v>
      </c>
      <c r="K2933" t="s">
        <v>1993</v>
      </c>
      <c r="L2933">
        <f>IF(G2933="High",3,IF(G2933="Medium",2,1))</f>
        <v>1</v>
      </c>
    </row>
    <row r="2934" spans="1:12">
      <c r="A2934" t="s">
        <v>4960</v>
      </c>
      <c r="B2934" t="s">
        <v>1688</v>
      </c>
      <c r="C2934" t="s">
        <v>2005</v>
      </c>
      <c r="D2934" t="s">
        <v>2022</v>
      </c>
      <c r="E2934" t="s">
        <v>1971</v>
      </c>
      <c r="F2934" t="s">
        <v>57</v>
      </c>
      <c r="G2934" t="str">
        <f>INDEX(Risk_Matrix!$B$2:$D$4,MATCH(E2934,Risk_Matrix!$A$2:$A$4,0),MATCH(F2934,Risk_Matrix!$B$1:$D$1,0))</f>
        <v>Low</v>
      </c>
      <c r="H2934" s="1">
        <v>46201</v>
      </c>
      <c r="I2934" t="s">
        <v>2015</v>
      </c>
      <c r="J2934" t="s">
        <v>2016</v>
      </c>
      <c r="K2934" t="s">
        <v>1993</v>
      </c>
      <c r="L2934">
        <f>IF(G2934="High",3,IF(G2934="Medium",2,1))</f>
        <v>1</v>
      </c>
    </row>
    <row r="2935" spans="1:12">
      <c r="A2935" t="s">
        <v>4961</v>
      </c>
      <c r="B2935" t="s">
        <v>1688</v>
      </c>
      <c r="C2935" t="s">
        <v>2008</v>
      </c>
      <c r="D2935" t="s">
        <v>2024</v>
      </c>
      <c r="E2935" t="s">
        <v>1971</v>
      </c>
      <c r="F2935" t="s">
        <v>47</v>
      </c>
      <c r="G2935" t="str">
        <f>INDEX(Risk_Matrix!$B$2:$D$4,MATCH(E2935,Risk_Matrix!$A$2:$A$4,0),MATCH(F2935,Risk_Matrix!$B$1:$D$1,0))</f>
        <v>High</v>
      </c>
      <c r="H2935" s="1">
        <v>46196</v>
      </c>
      <c r="I2935" t="s">
        <v>2015</v>
      </c>
      <c r="J2935" t="s">
        <v>2016</v>
      </c>
      <c r="K2935" t="s">
        <v>2010</v>
      </c>
      <c r="L2935">
        <f>IF(G2935="High",3,IF(G2935="Medium",2,1))</f>
        <v>3</v>
      </c>
    </row>
    <row r="2936" spans="1:12">
      <c r="A2936" t="s">
        <v>4962</v>
      </c>
      <c r="B2936" t="s">
        <v>1690</v>
      </c>
      <c r="C2936" t="s">
        <v>1985</v>
      </c>
      <c r="D2936" t="s">
        <v>2062</v>
      </c>
      <c r="E2936" t="s">
        <v>1971</v>
      </c>
      <c r="F2936" t="s">
        <v>1971</v>
      </c>
      <c r="G2936" t="str">
        <f>INDEX(Risk_Matrix!$B$2:$D$4,MATCH(E2936,Risk_Matrix!$A$2:$A$4,0),MATCH(F2936,Risk_Matrix!$B$1:$D$1,0))</f>
        <v>Medium</v>
      </c>
      <c r="H2936" s="1">
        <v>46106</v>
      </c>
      <c r="I2936" t="s">
        <v>2025</v>
      </c>
      <c r="J2936" t="s">
        <v>2026</v>
      </c>
      <c r="K2936" t="s">
        <v>1989</v>
      </c>
      <c r="L2936">
        <f>IF(G2936="High",3,IF(G2936="Medium",2,1))</f>
        <v>2</v>
      </c>
    </row>
    <row r="2937" spans="1:12">
      <c r="A2937" t="s">
        <v>4963</v>
      </c>
      <c r="B2937" t="s">
        <v>1690</v>
      </c>
      <c r="C2937" t="s">
        <v>1991</v>
      </c>
      <c r="D2937" t="s">
        <v>2031</v>
      </c>
      <c r="E2937" t="s">
        <v>47</v>
      </c>
      <c r="F2937" t="s">
        <v>1971</v>
      </c>
      <c r="G2937" t="str">
        <f>INDEX(Risk_Matrix!$B$2:$D$4,MATCH(E2937,Risk_Matrix!$A$2:$A$4,0),MATCH(F2937,Risk_Matrix!$B$1:$D$1,0))</f>
        <v>High</v>
      </c>
      <c r="H2937" s="1">
        <v>46232</v>
      </c>
      <c r="I2937" t="s">
        <v>2015</v>
      </c>
      <c r="J2937" t="s">
        <v>2032</v>
      </c>
      <c r="K2937" t="s">
        <v>2010</v>
      </c>
      <c r="L2937">
        <f>IF(G2937="High",3,IF(G2937="Medium",2,1))</f>
        <v>3</v>
      </c>
    </row>
    <row r="2938" spans="1:12">
      <c r="A2938" t="s">
        <v>4964</v>
      </c>
      <c r="B2938" t="s">
        <v>1690</v>
      </c>
      <c r="C2938" t="s">
        <v>1995</v>
      </c>
      <c r="D2938" t="s">
        <v>2034</v>
      </c>
      <c r="E2938" t="s">
        <v>57</v>
      </c>
      <c r="F2938" t="s">
        <v>57</v>
      </c>
      <c r="G2938" t="str">
        <f>INDEX(Risk_Matrix!$B$2:$D$4,MATCH(E2938,Risk_Matrix!$A$2:$A$4,0),MATCH(F2938,Risk_Matrix!$B$1:$D$1,0))</f>
        <v>Low</v>
      </c>
      <c r="H2938" s="1">
        <v>46169</v>
      </c>
      <c r="I2938" t="s">
        <v>1987</v>
      </c>
      <c r="J2938" t="s">
        <v>1997</v>
      </c>
      <c r="K2938" t="s">
        <v>2036</v>
      </c>
      <c r="L2938">
        <f>IF(G2938="High",3,IF(G2938="Medium",2,1))</f>
        <v>1</v>
      </c>
    </row>
    <row r="2939" spans="1:12">
      <c r="A2939" t="s">
        <v>4965</v>
      </c>
      <c r="B2939" t="s">
        <v>1690</v>
      </c>
      <c r="C2939" t="s">
        <v>2000</v>
      </c>
      <c r="D2939" t="s">
        <v>2020</v>
      </c>
      <c r="E2939" t="s">
        <v>1971</v>
      </c>
      <c r="F2939" t="s">
        <v>57</v>
      </c>
      <c r="G2939" t="str">
        <f>INDEX(Risk_Matrix!$B$2:$D$4,MATCH(E2939,Risk_Matrix!$A$2:$A$4,0),MATCH(F2939,Risk_Matrix!$B$1:$D$1,0))</f>
        <v>Low</v>
      </c>
      <c r="H2939" s="1">
        <v>46212</v>
      </c>
      <c r="I2939" t="s">
        <v>2015</v>
      </c>
      <c r="J2939" t="s">
        <v>2032</v>
      </c>
      <c r="K2939" t="s">
        <v>1993</v>
      </c>
      <c r="L2939">
        <f>IF(G2939="High",3,IF(G2939="Medium",2,1))</f>
        <v>1</v>
      </c>
    </row>
    <row r="2940" spans="1:12">
      <c r="A2940" t="s">
        <v>4966</v>
      </c>
      <c r="B2940" t="s">
        <v>1690</v>
      </c>
      <c r="C2940" t="s">
        <v>2005</v>
      </c>
      <c r="D2940" t="s">
        <v>2022</v>
      </c>
      <c r="E2940" t="s">
        <v>47</v>
      </c>
      <c r="F2940" t="s">
        <v>57</v>
      </c>
      <c r="G2940" t="str">
        <f>INDEX(Risk_Matrix!$B$2:$D$4,MATCH(E2940,Risk_Matrix!$A$2:$A$4,0),MATCH(F2940,Risk_Matrix!$B$1:$D$1,0))</f>
        <v>Medium</v>
      </c>
      <c r="H2940" s="1">
        <v>46237</v>
      </c>
      <c r="I2940" t="s">
        <v>2002</v>
      </c>
      <c r="J2940" t="s">
        <v>2029</v>
      </c>
      <c r="K2940" t="s">
        <v>1993</v>
      </c>
      <c r="L2940">
        <f>IF(G2940="High",3,IF(G2940="Medium",2,1))</f>
        <v>2</v>
      </c>
    </row>
    <row r="2941" spans="1:12">
      <c r="A2941" t="s">
        <v>4967</v>
      </c>
      <c r="B2941" t="s">
        <v>1690</v>
      </c>
      <c r="C2941" t="s">
        <v>2008</v>
      </c>
      <c r="D2941" t="s">
        <v>2054</v>
      </c>
      <c r="E2941" t="s">
        <v>47</v>
      </c>
      <c r="F2941" t="s">
        <v>47</v>
      </c>
      <c r="G2941" t="str">
        <f>INDEX(Risk_Matrix!$B$2:$D$4,MATCH(E2941,Risk_Matrix!$A$2:$A$4,0),MATCH(F2941,Risk_Matrix!$B$1:$D$1,0))</f>
        <v>High</v>
      </c>
      <c r="H2941" s="1">
        <v>46194</v>
      </c>
      <c r="I2941" t="s">
        <v>2015</v>
      </c>
      <c r="J2941" t="s">
        <v>2016</v>
      </c>
      <c r="K2941" t="s">
        <v>2010</v>
      </c>
      <c r="L2941">
        <f>IF(G2941="High",3,IF(G2941="Medium",2,1))</f>
        <v>3</v>
      </c>
    </row>
    <row r="2942" spans="1:12">
      <c r="A2942" t="s">
        <v>4968</v>
      </c>
      <c r="B2942" t="s">
        <v>1692</v>
      </c>
      <c r="C2942" t="s">
        <v>1985</v>
      </c>
      <c r="D2942" t="s">
        <v>2062</v>
      </c>
      <c r="E2942" t="s">
        <v>57</v>
      </c>
      <c r="F2942" t="s">
        <v>57</v>
      </c>
      <c r="G2942" t="str">
        <f>INDEX(Risk_Matrix!$B$2:$D$4,MATCH(E2942,Risk_Matrix!$A$2:$A$4,0),MATCH(F2942,Risk_Matrix!$B$1:$D$1,0))</f>
        <v>Low</v>
      </c>
      <c r="H2942" s="1">
        <v>46229</v>
      </c>
      <c r="I2942" t="s">
        <v>1987</v>
      </c>
      <c r="J2942" t="s">
        <v>1988</v>
      </c>
      <c r="K2942" t="s">
        <v>1989</v>
      </c>
      <c r="L2942">
        <f>IF(G2942="High",3,IF(G2942="Medium",2,1))</f>
        <v>1</v>
      </c>
    </row>
    <row r="2943" spans="1:12">
      <c r="A2943" t="s">
        <v>4969</v>
      </c>
      <c r="B2943" t="s">
        <v>1692</v>
      </c>
      <c r="C2943" t="s">
        <v>1991</v>
      </c>
      <c r="D2943" t="s">
        <v>2031</v>
      </c>
      <c r="E2943" t="s">
        <v>57</v>
      </c>
      <c r="F2943" t="s">
        <v>57</v>
      </c>
      <c r="G2943" t="str">
        <f>INDEX(Risk_Matrix!$B$2:$D$4,MATCH(E2943,Risk_Matrix!$A$2:$A$4,0),MATCH(F2943,Risk_Matrix!$B$1:$D$1,0))</f>
        <v>Low</v>
      </c>
      <c r="H2943" s="1">
        <v>46200</v>
      </c>
      <c r="I2943" t="s">
        <v>1987</v>
      </c>
      <c r="J2943" t="s">
        <v>1988</v>
      </c>
      <c r="K2943" t="s">
        <v>2010</v>
      </c>
      <c r="L2943">
        <f>IF(G2943="High",3,IF(G2943="Medium",2,1))</f>
        <v>1</v>
      </c>
    </row>
    <row r="2944" spans="1:12">
      <c r="A2944" t="s">
        <v>4970</v>
      </c>
      <c r="B2944" t="s">
        <v>1692</v>
      </c>
      <c r="C2944" t="s">
        <v>1995</v>
      </c>
      <c r="D2944" t="s">
        <v>2034</v>
      </c>
      <c r="E2944" t="s">
        <v>1971</v>
      </c>
      <c r="F2944" t="s">
        <v>47</v>
      </c>
      <c r="G2944" t="str">
        <f>INDEX(Risk_Matrix!$B$2:$D$4,MATCH(E2944,Risk_Matrix!$A$2:$A$4,0),MATCH(F2944,Risk_Matrix!$B$1:$D$1,0))</f>
        <v>High</v>
      </c>
      <c r="H2944" s="1">
        <v>46164</v>
      </c>
      <c r="I2944" t="s">
        <v>2025</v>
      </c>
      <c r="J2944" t="s">
        <v>2035</v>
      </c>
      <c r="K2944" t="s">
        <v>1998</v>
      </c>
      <c r="L2944">
        <f>IF(G2944="High",3,IF(G2944="Medium",2,1))</f>
        <v>3</v>
      </c>
    </row>
    <row r="2945" spans="1:12">
      <c r="A2945" t="s">
        <v>4971</v>
      </c>
      <c r="B2945" t="s">
        <v>1692</v>
      </c>
      <c r="C2945" t="s">
        <v>2000</v>
      </c>
      <c r="D2945" t="s">
        <v>2001</v>
      </c>
      <c r="E2945" t="s">
        <v>57</v>
      </c>
      <c r="F2945" t="s">
        <v>57</v>
      </c>
      <c r="G2945" t="str">
        <f>INDEX(Risk_Matrix!$B$2:$D$4,MATCH(E2945,Risk_Matrix!$A$2:$A$4,0),MATCH(F2945,Risk_Matrix!$B$1:$D$1,0))</f>
        <v>Low</v>
      </c>
      <c r="H2945" s="1">
        <v>46195</v>
      </c>
      <c r="I2945" t="s">
        <v>2015</v>
      </c>
      <c r="J2945" t="s">
        <v>2016</v>
      </c>
      <c r="K2945" t="s">
        <v>1993</v>
      </c>
      <c r="L2945">
        <f>IF(G2945="High",3,IF(G2945="Medium",2,1))</f>
        <v>1</v>
      </c>
    </row>
    <row r="2946" spans="1:12">
      <c r="A2946" t="s">
        <v>4972</v>
      </c>
      <c r="B2946" t="s">
        <v>1692</v>
      </c>
      <c r="C2946" t="s">
        <v>2005</v>
      </c>
      <c r="D2946" t="s">
        <v>2039</v>
      </c>
      <c r="E2946" t="s">
        <v>47</v>
      </c>
      <c r="F2946" t="s">
        <v>57</v>
      </c>
      <c r="G2946" t="str">
        <f>INDEX(Risk_Matrix!$B$2:$D$4,MATCH(E2946,Risk_Matrix!$A$2:$A$4,0),MATCH(F2946,Risk_Matrix!$B$1:$D$1,0))</f>
        <v>Medium</v>
      </c>
      <c r="H2946" s="1">
        <v>46149</v>
      </c>
      <c r="I2946" t="s">
        <v>2025</v>
      </c>
      <c r="J2946" t="s">
        <v>2035</v>
      </c>
      <c r="K2946" t="s">
        <v>1993</v>
      </c>
      <c r="L2946">
        <f>IF(G2946="High",3,IF(G2946="Medium",2,1))</f>
        <v>2</v>
      </c>
    </row>
    <row r="2947" spans="1:12">
      <c r="A2947" t="s">
        <v>4973</v>
      </c>
      <c r="B2947" t="s">
        <v>1692</v>
      </c>
      <c r="C2947" t="s">
        <v>2008</v>
      </c>
      <c r="D2947" t="s">
        <v>2054</v>
      </c>
      <c r="E2947" t="s">
        <v>57</v>
      </c>
      <c r="F2947" t="s">
        <v>1971</v>
      </c>
      <c r="G2947" t="str">
        <f>INDEX(Risk_Matrix!$B$2:$D$4,MATCH(E2947,Risk_Matrix!$A$2:$A$4,0),MATCH(F2947,Risk_Matrix!$B$1:$D$1,0))</f>
        <v>Low</v>
      </c>
      <c r="H2947" s="1">
        <v>46118</v>
      </c>
      <c r="I2947" t="s">
        <v>2025</v>
      </c>
      <c r="J2947" t="s">
        <v>2026</v>
      </c>
      <c r="K2947" t="s">
        <v>2010</v>
      </c>
      <c r="L2947">
        <f>IF(G2947="High",3,IF(G2947="Medium",2,1))</f>
        <v>1</v>
      </c>
    </row>
    <row r="2948" spans="1:12">
      <c r="A2948" t="s">
        <v>4974</v>
      </c>
      <c r="B2948" t="s">
        <v>1693</v>
      </c>
      <c r="C2948" t="s">
        <v>1985</v>
      </c>
      <c r="D2948" t="s">
        <v>2062</v>
      </c>
      <c r="E2948" t="s">
        <v>47</v>
      </c>
      <c r="F2948" t="s">
        <v>57</v>
      </c>
      <c r="G2948" t="str">
        <f>INDEX(Risk_Matrix!$B$2:$D$4,MATCH(E2948,Risk_Matrix!$A$2:$A$4,0),MATCH(F2948,Risk_Matrix!$B$1:$D$1,0))</f>
        <v>Medium</v>
      </c>
      <c r="H2948" s="1">
        <v>46117</v>
      </c>
      <c r="I2948" t="s">
        <v>1987</v>
      </c>
      <c r="J2948" t="s">
        <v>1988</v>
      </c>
      <c r="K2948" t="s">
        <v>1989</v>
      </c>
      <c r="L2948">
        <f>IF(G2948="High",3,IF(G2948="Medium",2,1))</f>
        <v>2</v>
      </c>
    </row>
    <row r="2949" spans="1:12">
      <c r="A2949" t="s">
        <v>4975</v>
      </c>
      <c r="B2949" t="s">
        <v>1693</v>
      </c>
      <c r="C2949" t="s">
        <v>1991</v>
      </c>
      <c r="D2949" t="s">
        <v>2064</v>
      </c>
      <c r="E2949" t="s">
        <v>1971</v>
      </c>
      <c r="F2949" t="s">
        <v>47</v>
      </c>
      <c r="G2949" t="str">
        <f>INDEX(Risk_Matrix!$B$2:$D$4,MATCH(E2949,Risk_Matrix!$A$2:$A$4,0),MATCH(F2949,Risk_Matrix!$B$1:$D$1,0))</f>
        <v>High</v>
      </c>
      <c r="H2949" s="1">
        <v>46220</v>
      </c>
      <c r="I2949" t="s">
        <v>2015</v>
      </c>
      <c r="J2949" t="s">
        <v>2032</v>
      </c>
      <c r="K2949" t="s">
        <v>1993</v>
      </c>
      <c r="L2949">
        <f>IF(G2949="High",3,IF(G2949="Medium",2,1))</f>
        <v>3</v>
      </c>
    </row>
    <row r="2950" spans="1:12">
      <c r="A2950" t="s">
        <v>4976</v>
      </c>
      <c r="B2950" t="s">
        <v>1693</v>
      </c>
      <c r="C2950" t="s">
        <v>1995</v>
      </c>
      <c r="D2950" t="s">
        <v>1996</v>
      </c>
      <c r="E2950" t="s">
        <v>1971</v>
      </c>
      <c r="F2950" t="s">
        <v>1971</v>
      </c>
      <c r="G2950" t="str">
        <f>INDEX(Risk_Matrix!$B$2:$D$4,MATCH(E2950,Risk_Matrix!$A$2:$A$4,0),MATCH(F2950,Risk_Matrix!$B$1:$D$1,0))</f>
        <v>Medium</v>
      </c>
      <c r="H2950" s="1">
        <v>46083</v>
      </c>
      <c r="I2950" t="s">
        <v>2025</v>
      </c>
      <c r="J2950" t="s">
        <v>2026</v>
      </c>
      <c r="K2950" t="s">
        <v>2036</v>
      </c>
      <c r="L2950">
        <f>IF(G2950="High",3,IF(G2950="Medium",2,1))</f>
        <v>2</v>
      </c>
    </row>
    <row r="2951" spans="1:12">
      <c r="A2951" t="s">
        <v>4977</v>
      </c>
      <c r="B2951" t="s">
        <v>1693</v>
      </c>
      <c r="C2951" t="s">
        <v>2000</v>
      </c>
      <c r="D2951" t="s">
        <v>2045</v>
      </c>
      <c r="E2951" t="s">
        <v>1971</v>
      </c>
      <c r="F2951" t="s">
        <v>1971</v>
      </c>
      <c r="G2951" t="str">
        <f>INDEX(Risk_Matrix!$B$2:$D$4,MATCH(E2951,Risk_Matrix!$A$2:$A$4,0),MATCH(F2951,Risk_Matrix!$B$1:$D$1,0))</f>
        <v>Medium</v>
      </c>
      <c r="H2951" s="1">
        <v>46055</v>
      </c>
      <c r="I2951" t="s">
        <v>2025</v>
      </c>
      <c r="J2951" t="s">
        <v>2035</v>
      </c>
      <c r="K2951" t="s">
        <v>1989</v>
      </c>
      <c r="L2951">
        <f>IF(G2951="High",3,IF(G2951="Medium",2,1))</f>
        <v>2</v>
      </c>
    </row>
    <row r="2952" spans="1:12">
      <c r="A2952" t="s">
        <v>4978</v>
      </c>
      <c r="B2952" t="s">
        <v>1693</v>
      </c>
      <c r="C2952" t="s">
        <v>2005</v>
      </c>
      <c r="D2952" t="s">
        <v>2022</v>
      </c>
      <c r="E2952" t="s">
        <v>57</v>
      </c>
      <c r="F2952" t="s">
        <v>47</v>
      </c>
      <c r="G2952" t="str">
        <f>INDEX(Risk_Matrix!$B$2:$D$4,MATCH(E2952,Risk_Matrix!$A$2:$A$4,0),MATCH(F2952,Risk_Matrix!$B$1:$D$1,0))</f>
        <v>Medium</v>
      </c>
      <c r="H2952" s="1">
        <v>46092</v>
      </c>
      <c r="I2952" t="s">
        <v>2025</v>
      </c>
      <c r="J2952" t="s">
        <v>2035</v>
      </c>
      <c r="K2952" t="s">
        <v>1993</v>
      </c>
      <c r="L2952">
        <f>IF(G2952="High",3,IF(G2952="Medium",2,1))</f>
        <v>2</v>
      </c>
    </row>
    <row r="2953" spans="1:12">
      <c r="A2953" t="s">
        <v>4979</v>
      </c>
      <c r="B2953" t="s">
        <v>1693</v>
      </c>
      <c r="C2953" t="s">
        <v>2008</v>
      </c>
      <c r="D2953" t="s">
        <v>2054</v>
      </c>
      <c r="E2953" t="s">
        <v>1971</v>
      </c>
      <c r="F2953" t="s">
        <v>47</v>
      </c>
      <c r="G2953" t="str">
        <f>INDEX(Risk_Matrix!$B$2:$D$4,MATCH(E2953,Risk_Matrix!$A$2:$A$4,0),MATCH(F2953,Risk_Matrix!$B$1:$D$1,0))</f>
        <v>High</v>
      </c>
      <c r="H2953" s="1">
        <v>46179</v>
      </c>
      <c r="I2953" t="s">
        <v>2015</v>
      </c>
      <c r="J2953" t="s">
        <v>2016</v>
      </c>
      <c r="K2953" t="s">
        <v>2010</v>
      </c>
      <c r="L2953">
        <f>IF(G2953="High",3,IF(G2953="Medium",2,1))</f>
        <v>3</v>
      </c>
    </row>
    <row r="2954" spans="1:12">
      <c r="A2954" t="s">
        <v>4980</v>
      </c>
      <c r="B2954" t="s">
        <v>1695</v>
      </c>
      <c r="C2954" t="s">
        <v>1985</v>
      </c>
      <c r="D2954" t="s">
        <v>2062</v>
      </c>
      <c r="E2954" t="s">
        <v>57</v>
      </c>
      <c r="F2954" t="s">
        <v>1971</v>
      </c>
      <c r="G2954" t="str">
        <f>INDEX(Risk_Matrix!$B$2:$D$4,MATCH(E2954,Risk_Matrix!$A$2:$A$4,0),MATCH(F2954,Risk_Matrix!$B$1:$D$1,0))</f>
        <v>Low</v>
      </c>
      <c r="H2954" s="1">
        <v>46132</v>
      </c>
      <c r="I2954" t="s">
        <v>1987</v>
      </c>
      <c r="J2954" t="s">
        <v>1997</v>
      </c>
      <c r="K2954" t="s">
        <v>1989</v>
      </c>
      <c r="L2954">
        <f>IF(G2954="High",3,IF(G2954="Medium",2,1))</f>
        <v>1</v>
      </c>
    </row>
    <row r="2955" spans="1:12">
      <c r="A2955" t="s">
        <v>4981</v>
      </c>
      <c r="B2955" t="s">
        <v>1695</v>
      </c>
      <c r="C2955" t="s">
        <v>1991</v>
      </c>
      <c r="D2955" t="s">
        <v>2064</v>
      </c>
      <c r="E2955" t="s">
        <v>57</v>
      </c>
      <c r="F2955" t="s">
        <v>57</v>
      </c>
      <c r="G2955" t="str">
        <f>INDEX(Risk_Matrix!$B$2:$D$4,MATCH(E2955,Risk_Matrix!$A$2:$A$4,0),MATCH(F2955,Risk_Matrix!$B$1:$D$1,0))</f>
        <v>Low</v>
      </c>
      <c r="H2955" s="1">
        <v>46162</v>
      </c>
      <c r="I2955" t="s">
        <v>2002</v>
      </c>
      <c r="J2955" t="s">
        <v>2029</v>
      </c>
      <c r="K2955" t="s">
        <v>1993</v>
      </c>
      <c r="L2955">
        <f>IF(G2955="High",3,IF(G2955="Medium",2,1))</f>
        <v>1</v>
      </c>
    </row>
    <row r="2956" spans="1:12">
      <c r="A2956" t="s">
        <v>4982</v>
      </c>
      <c r="B2956" t="s">
        <v>1695</v>
      </c>
      <c r="C2956" t="s">
        <v>1995</v>
      </c>
      <c r="D2956" t="s">
        <v>1996</v>
      </c>
      <c r="E2956" t="s">
        <v>1971</v>
      </c>
      <c r="F2956" t="s">
        <v>1971</v>
      </c>
      <c r="G2956" t="str">
        <f>INDEX(Risk_Matrix!$B$2:$D$4,MATCH(E2956,Risk_Matrix!$A$2:$A$4,0),MATCH(F2956,Risk_Matrix!$B$1:$D$1,0))</f>
        <v>Medium</v>
      </c>
      <c r="H2956" s="1">
        <v>46217</v>
      </c>
      <c r="I2956" t="s">
        <v>2025</v>
      </c>
      <c r="J2956" t="s">
        <v>2026</v>
      </c>
      <c r="K2956" t="s">
        <v>2036</v>
      </c>
      <c r="L2956">
        <f>IF(G2956="High",3,IF(G2956="Medium",2,1))</f>
        <v>2</v>
      </c>
    </row>
    <row r="2957" spans="1:12">
      <c r="A2957" t="s">
        <v>4983</v>
      </c>
      <c r="B2957" t="s">
        <v>1695</v>
      </c>
      <c r="C2957" t="s">
        <v>2000</v>
      </c>
      <c r="D2957" t="s">
        <v>2020</v>
      </c>
      <c r="E2957" t="s">
        <v>57</v>
      </c>
      <c r="F2957" t="s">
        <v>57</v>
      </c>
      <c r="G2957" t="str">
        <f>INDEX(Risk_Matrix!$B$2:$D$4,MATCH(E2957,Risk_Matrix!$A$2:$A$4,0),MATCH(F2957,Risk_Matrix!$B$1:$D$1,0))</f>
        <v>Low</v>
      </c>
      <c r="H2957" s="1">
        <v>46063</v>
      </c>
      <c r="I2957" t="s">
        <v>2002</v>
      </c>
      <c r="J2957" t="s">
        <v>2029</v>
      </c>
      <c r="K2957" t="s">
        <v>1989</v>
      </c>
      <c r="L2957">
        <f>IF(G2957="High",3,IF(G2957="Medium",2,1))</f>
        <v>1</v>
      </c>
    </row>
    <row r="2958" spans="1:12">
      <c r="A2958" t="s">
        <v>4984</v>
      </c>
      <c r="B2958" t="s">
        <v>1695</v>
      </c>
      <c r="C2958" t="s">
        <v>2005</v>
      </c>
      <c r="D2958" t="s">
        <v>2039</v>
      </c>
      <c r="E2958" t="s">
        <v>57</v>
      </c>
      <c r="F2958" t="s">
        <v>1971</v>
      </c>
      <c r="G2958" t="str">
        <f>INDEX(Risk_Matrix!$B$2:$D$4,MATCH(E2958,Risk_Matrix!$A$2:$A$4,0),MATCH(F2958,Risk_Matrix!$B$1:$D$1,0))</f>
        <v>Low</v>
      </c>
      <c r="H2958" s="1">
        <v>46200</v>
      </c>
      <c r="I2958" t="s">
        <v>1987</v>
      </c>
      <c r="J2958" t="s">
        <v>1997</v>
      </c>
      <c r="K2958" t="s">
        <v>1993</v>
      </c>
      <c r="L2958">
        <f>IF(G2958="High",3,IF(G2958="Medium",2,1))</f>
        <v>1</v>
      </c>
    </row>
    <row r="2959" spans="1:12">
      <c r="A2959" t="s">
        <v>4985</v>
      </c>
      <c r="B2959" t="s">
        <v>1695</v>
      </c>
      <c r="C2959" t="s">
        <v>2008</v>
      </c>
      <c r="D2959" t="s">
        <v>2054</v>
      </c>
      <c r="E2959" t="s">
        <v>57</v>
      </c>
      <c r="F2959" t="s">
        <v>1971</v>
      </c>
      <c r="G2959" t="str">
        <f>INDEX(Risk_Matrix!$B$2:$D$4,MATCH(E2959,Risk_Matrix!$A$2:$A$4,0),MATCH(F2959,Risk_Matrix!$B$1:$D$1,0))</f>
        <v>Low</v>
      </c>
      <c r="H2959" s="1">
        <v>46220</v>
      </c>
      <c r="I2959" t="s">
        <v>2015</v>
      </c>
      <c r="J2959" t="s">
        <v>2032</v>
      </c>
      <c r="K2959" t="s">
        <v>2010</v>
      </c>
      <c r="L2959">
        <f>IF(G2959="High",3,IF(G2959="Medium",2,1))</f>
        <v>1</v>
      </c>
    </row>
    <row r="2960" spans="1:12">
      <c r="A2960" t="s">
        <v>4986</v>
      </c>
      <c r="B2960" t="s">
        <v>1697</v>
      </c>
      <c r="C2960" t="s">
        <v>1985</v>
      </c>
      <c r="D2960" t="s">
        <v>1986</v>
      </c>
      <c r="E2960" t="s">
        <v>1971</v>
      </c>
      <c r="F2960" t="s">
        <v>1971</v>
      </c>
      <c r="G2960" t="str">
        <f>INDEX(Risk_Matrix!$B$2:$D$4,MATCH(E2960,Risk_Matrix!$A$2:$A$4,0),MATCH(F2960,Risk_Matrix!$B$1:$D$1,0))</f>
        <v>Medium</v>
      </c>
      <c r="H2960" s="1">
        <v>46201</v>
      </c>
      <c r="I2960" t="s">
        <v>2025</v>
      </c>
      <c r="J2960" t="s">
        <v>2026</v>
      </c>
      <c r="K2960" t="s">
        <v>1989</v>
      </c>
      <c r="L2960">
        <f>IF(G2960="High",3,IF(G2960="Medium",2,1))</f>
        <v>2</v>
      </c>
    </row>
    <row r="2961" spans="1:12">
      <c r="A2961" t="s">
        <v>4987</v>
      </c>
      <c r="B2961" t="s">
        <v>1697</v>
      </c>
      <c r="C2961" t="s">
        <v>1991</v>
      </c>
      <c r="D2961" t="s">
        <v>2031</v>
      </c>
      <c r="E2961" t="s">
        <v>47</v>
      </c>
      <c r="F2961" t="s">
        <v>57</v>
      </c>
      <c r="G2961" t="str">
        <f>INDEX(Risk_Matrix!$B$2:$D$4,MATCH(E2961,Risk_Matrix!$A$2:$A$4,0),MATCH(F2961,Risk_Matrix!$B$1:$D$1,0))</f>
        <v>Medium</v>
      </c>
      <c r="H2961" s="1">
        <v>46126</v>
      </c>
      <c r="I2961" t="s">
        <v>2025</v>
      </c>
      <c r="J2961" t="s">
        <v>2026</v>
      </c>
      <c r="K2961" t="s">
        <v>2010</v>
      </c>
      <c r="L2961">
        <f>IF(G2961="High",3,IF(G2961="Medium",2,1))</f>
        <v>2</v>
      </c>
    </row>
    <row r="2962" spans="1:12">
      <c r="A2962" t="s">
        <v>4988</v>
      </c>
      <c r="B2962" t="s">
        <v>1697</v>
      </c>
      <c r="C2962" t="s">
        <v>1995</v>
      </c>
      <c r="D2962" t="s">
        <v>2150</v>
      </c>
      <c r="E2962" t="s">
        <v>47</v>
      </c>
      <c r="F2962" t="s">
        <v>47</v>
      </c>
      <c r="G2962" t="str">
        <f>INDEX(Risk_Matrix!$B$2:$D$4,MATCH(E2962,Risk_Matrix!$A$2:$A$4,0),MATCH(F2962,Risk_Matrix!$B$1:$D$1,0))</f>
        <v>High</v>
      </c>
      <c r="H2962" s="1">
        <v>46170</v>
      </c>
      <c r="I2962" t="s">
        <v>2025</v>
      </c>
      <c r="J2962" t="s">
        <v>2026</v>
      </c>
      <c r="K2962" t="s">
        <v>2036</v>
      </c>
      <c r="L2962">
        <f>IF(G2962="High",3,IF(G2962="Medium",2,1))</f>
        <v>3</v>
      </c>
    </row>
    <row r="2963" spans="1:12">
      <c r="A2963" t="s">
        <v>4989</v>
      </c>
      <c r="B2963" t="s">
        <v>1697</v>
      </c>
      <c r="C2963" t="s">
        <v>2000</v>
      </c>
      <c r="D2963" t="s">
        <v>2045</v>
      </c>
      <c r="E2963" t="s">
        <v>47</v>
      </c>
      <c r="F2963" t="s">
        <v>1971</v>
      </c>
      <c r="G2963" t="str">
        <f>INDEX(Risk_Matrix!$B$2:$D$4,MATCH(E2963,Risk_Matrix!$A$2:$A$4,0),MATCH(F2963,Risk_Matrix!$B$1:$D$1,0))</f>
        <v>High</v>
      </c>
      <c r="H2963" s="1">
        <v>46165</v>
      </c>
      <c r="I2963" t="s">
        <v>2015</v>
      </c>
      <c r="J2963" t="s">
        <v>2016</v>
      </c>
      <c r="K2963" t="s">
        <v>1993</v>
      </c>
      <c r="L2963">
        <f>IF(G2963="High",3,IF(G2963="Medium",2,1))</f>
        <v>3</v>
      </c>
    </row>
    <row r="2964" spans="1:12">
      <c r="A2964" t="s">
        <v>4990</v>
      </c>
      <c r="B2964" t="s">
        <v>1697</v>
      </c>
      <c r="C2964" t="s">
        <v>2005</v>
      </c>
      <c r="D2964" t="s">
        <v>2039</v>
      </c>
      <c r="E2964" t="s">
        <v>57</v>
      </c>
      <c r="F2964" t="s">
        <v>1971</v>
      </c>
      <c r="G2964" t="str">
        <f>INDEX(Risk_Matrix!$B$2:$D$4,MATCH(E2964,Risk_Matrix!$A$2:$A$4,0),MATCH(F2964,Risk_Matrix!$B$1:$D$1,0))</f>
        <v>Low</v>
      </c>
      <c r="H2964" s="1">
        <v>46230</v>
      </c>
      <c r="I2964" t="s">
        <v>2025</v>
      </c>
      <c r="J2964" t="s">
        <v>2035</v>
      </c>
      <c r="K2964" t="s">
        <v>1993</v>
      </c>
      <c r="L2964">
        <f>IF(G2964="High",3,IF(G2964="Medium",2,1))</f>
        <v>1</v>
      </c>
    </row>
    <row r="2965" spans="1:12">
      <c r="A2965" t="s">
        <v>4991</v>
      </c>
      <c r="B2965" t="s">
        <v>1697</v>
      </c>
      <c r="C2965" t="s">
        <v>2008</v>
      </c>
      <c r="D2965" t="s">
        <v>2054</v>
      </c>
      <c r="E2965" t="s">
        <v>57</v>
      </c>
      <c r="F2965" t="s">
        <v>57</v>
      </c>
      <c r="G2965" t="str">
        <f>INDEX(Risk_Matrix!$B$2:$D$4,MATCH(E2965,Risk_Matrix!$A$2:$A$4,0),MATCH(F2965,Risk_Matrix!$B$1:$D$1,0))</f>
        <v>Low</v>
      </c>
      <c r="H2965" s="1">
        <v>46160</v>
      </c>
      <c r="I2965" t="s">
        <v>2002</v>
      </c>
      <c r="J2965" t="s">
        <v>2003</v>
      </c>
      <c r="K2965" t="s">
        <v>1998</v>
      </c>
      <c r="L2965">
        <f>IF(G2965="High",3,IF(G2965="Medium",2,1))</f>
        <v>1</v>
      </c>
    </row>
    <row r="2966" spans="1:12">
      <c r="A2966" t="s">
        <v>4992</v>
      </c>
      <c r="B2966" t="s">
        <v>1699</v>
      </c>
      <c r="C2966" t="s">
        <v>1985</v>
      </c>
      <c r="D2966" t="s">
        <v>2062</v>
      </c>
      <c r="E2966" t="s">
        <v>57</v>
      </c>
      <c r="F2966" t="s">
        <v>1971</v>
      </c>
      <c r="G2966" t="str">
        <f>INDEX(Risk_Matrix!$B$2:$D$4,MATCH(E2966,Risk_Matrix!$A$2:$A$4,0),MATCH(F2966,Risk_Matrix!$B$1:$D$1,0))</f>
        <v>Low</v>
      </c>
      <c r="H2966" s="1">
        <v>46129</v>
      </c>
      <c r="I2966" t="s">
        <v>2002</v>
      </c>
      <c r="J2966" t="s">
        <v>2029</v>
      </c>
      <c r="K2966" t="s">
        <v>1989</v>
      </c>
      <c r="L2966">
        <f>IF(G2966="High",3,IF(G2966="Medium",2,1))</f>
        <v>1</v>
      </c>
    </row>
    <row r="2967" spans="1:12">
      <c r="A2967" t="s">
        <v>4993</v>
      </c>
      <c r="B2967" t="s">
        <v>1699</v>
      </c>
      <c r="C2967" t="s">
        <v>1991</v>
      </c>
      <c r="D2967" t="s">
        <v>2064</v>
      </c>
      <c r="E2967" t="s">
        <v>1971</v>
      </c>
      <c r="F2967" t="s">
        <v>57</v>
      </c>
      <c r="G2967" t="str">
        <f>INDEX(Risk_Matrix!$B$2:$D$4,MATCH(E2967,Risk_Matrix!$A$2:$A$4,0),MATCH(F2967,Risk_Matrix!$B$1:$D$1,0))</f>
        <v>Low</v>
      </c>
      <c r="H2967" s="1">
        <v>46108</v>
      </c>
      <c r="I2967" t="s">
        <v>2025</v>
      </c>
      <c r="J2967" t="s">
        <v>2026</v>
      </c>
      <c r="K2967" t="s">
        <v>1993</v>
      </c>
      <c r="L2967">
        <f>IF(G2967="High",3,IF(G2967="Medium",2,1))</f>
        <v>1</v>
      </c>
    </row>
    <row r="2968" spans="1:12">
      <c r="A2968" t="s">
        <v>4994</v>
      </c>
      <c r="B2968" t="s">
        <v>1699</v>
      </c>
      <c r="C2968" t="s">
        <v>1995</v>
      </c>
      <c r="D2968" t="s">
        <v>2150</v>
      </c>
      <c r="E2968" t="s">
        <v>1971</v>
      </c>
      <c r="F2968" t="s">
        <v>1971</v>
      </c>
      <c r="G2968" t="str">
        <f>INDEX(Risk_Matrix!$B$2:$D$4,MATCH(E2968,Risk_Matrix!$A$2:$A$4,0),MATCH(F2968,Risk_Matrix!$B$1:$D$1,0))</f>
        <v>Medium</v>
      </c>
      <c r="H2968" s="1">
        <v>46201</v>
      </c>
      <c r="I2968" t="s">
        <v>2015</v>
      </c>
      <c r="J2968" t="s">
        <v>2032</v>
      </c>
      <c r="K2968" t="s">
        <v>2036</v>
      </c>
      <c r="L2968">
        <f>IF(G2968="High",3,IF(G2968="Medium",2,1))</f>
        <v>2</v>
      </c>
    </row>
    <row r="2969" spans="1:12">
      <c r="A2969" t="s">
        <v>4995</v>
      </c>
      <c r="B2969" t="s">
        <v>1699</v>
      </c>
      <c r="C2969" t="s">
        <v>2000</v>
      </c>
      <c r="D2969" t="s">
        <v>2020</v>
      </c>
      <c r="E2969" t="s">
        <v>1971</v>
      </c>
      <c r="F2969" t="s">
        <v>47</v>
      </c>
      <c r="G2969" t="str">
        <f>INDEX(Risk_Matrix!$B$2:$D$4,MATCH(E2969,Risk_Matrix!$A$2:$A$4,0),MATCH(F2969,Risk_Matrix!$B$1:$D$1,0))</f>
        <v>High</v>
      </c>
      <c r="H2969" s="1">
        <v>46155</v>
      </c>
      <c r="I2969" t="s">
        <v>2015</v>
      </c>
      <c r="J2969" t="s">
        <v>2032</v>
      </c>
      <c r="K2969" t="s">
        <v>1993</v>
      </c>
      <c r="L2969">
        <f>IF(G2969="High",3,IF(G2969="Medium",2,1))</f>
        <v>3</v>
      </c>
    </row>
    <row r="2970" spans="1:12">
      <c r="A2970" t="s">
        <v>4996</v>
      </c>
      <c r="B2970" t="s">
        <v>1699</v>
      </c>
      <c r="C2970" t="s">
        <v>2005</v>
      </c>
      <c r="D2970" t="s">
        <v>2022</v>
      </c>
      <c r="E2970" t="s">
        <v>57</v>
      </c>
      <c r="F2970" t="s">
        <v>57</v>
      </c>
      <c r="G2970" t="str">
        <f>INDEX(Risk_Matrix!$B$2:$D$4,MATCH(E2970,Risk_Matrix!$A$2:$A$4,0),MATCH(F2970,Risk_Matrix!$B$1:$D$1,0))</f>
        <v>Low</v>
      </c>
      <c r="H2970" s="1">
        <v>46217</v>
      </c>
      <c r="I2970" t="s">
        <v>1987</v>
      </c>
      <c r="J2970" t="s">
        <v>1997</v>
      </c>
      <c r="K2970" t="s">
        <v>1993</v>
      </c>
      <c r="L2970">
        <f>IF(G2970="High",3,IF(G2970="Medium",2,1))</f>
        <v>1</v>
      </c>
    </row>
    <row r="2971" spans="1:12">
      <c r="A2971" t="s">
        <v>4997</v>
      </c>
      <c r="B2971" t="s">
        <v>1699</v>
      </c>
      <c r="C2971" t="s">
        <v>2008</v>
      </c>
      <c r="D2971" t="s">
        <v>2009</v>
      </c>
      <c r="E2971" t="s">
        <v>1971</v>
      </c>
      <c r="F2971" t="s">
        <v>1971</v>
      </c>
      <c r="G2971" t="str">
        <f>INDEX(Risk_Matrix!$B$2:$D$4,MATCH(E2971,Risk_Matrix!$A$2:$A$4,0),MATCH(F2971,Risk_Matrix!$B$1:$D$1,0))</f>
        <v>Medium</v>
      </c>
      <c r="H2971" s="1">
        <v>46180</v>
      </c>
      <c r="I2971" t="s">
        <v>2025</v>
      </c>
      <c r="J2971" t="s">
        <v>2026</v>
      </c>
      <c r="K2971" t="s">
        <v>2010</v>
      </c>
      <c r="L2971">
        <f>IF(G2971="High",3,IF(G2971="Medium",2,1))</f>
        <v>2</v>
      </c>
    </row>
    <row r="2972" spans="1:12">
      <c r="A2972" t="s">
        <v>4998</v>
      </c>
      <c r="B2972" t="s">
        <v>1700</v>
      </c>
      <c r="C2972" t="s">
        <v>1985</v>
      </c>
      <c r="D2972" t="s">
        <v>2012</v>
      </c>
      <c r="E2972" t="s">
        <v>57</v>
      </c>
      <c r="F2972" t="s">
        <v>57</v>
      </c>
      <c r="G2972" t="str">
        <f>INDEX(Risk_Matrix!$B$2:$D$4,MATCH(E2972,Risk_Matrix!$A$2:$A$4,0),MATCH(F2972,Risk_Matrix!$B$1:$D$1,0))</f>
        <v>Low</v>
      </c>
      <c r="H2972" s="1">
        <v>46212</v>
      </c>
      <c r="I2972" t="s">
        <v>2015</v>
      </c>
      <c r="J2972" t="s">
        <v>2032</v>
      </c>
      <c r="K2972" t="s">
        <v>1989</v>
      </c>
      <c r="L2972">
        <f>IF(G2972="High",3,IF(G2972="Medium",2,1))</f>
        <v>1</v>
      </c>
    </row>
    <row r="2973" spans="1:12">
      <c r="A2973" t="s">
        <v>4999</v>
      </c>
      <c r="B2973" t="s">
        <v>1700</v>
      </c>
      <c r="C2973" t="s">
        <v>1991</v>
      </c>
      <c r="D2973" t="s">
        <v>2064</v>
      </c>
      <c r="E2973" t="s">
        <v>47</v>
      </c>
      <c r="F2973" t="s">
        <v>1971</v>
      </c>
      <c r="G2973" t="str">
        <f>INDEX(Risk_Matrix!$B$2:$D$4,MATCH(E2973,Risk_Matrix!$A$2:$A$4,0),MATCH(F2973,Risk_Matrix!$B$1:$D$1,0))</f>
        <v>High</v>
      </c>
      <c r="H2973" s="1">
        <v>46176</v>
      </c>
      <c r="I2973" t="s">
        <v>2015</v>
      </c>
      <c r="J2973" t="s">
        <v>2016</v>
      </c>
      <c r="K2973" t="s">
        <v>1993</v>
      </c>
      <c r="L2973">
        <f>IF(G2973="High",3,IF(G2973="Medium",2,1))</f>
        <v>3</v>
      </c>
    </row>
    <row r="2974" spans="1:12">
      <c r="A2974" t="s">
        <v>5000</v>
      </c>
      <c r="B2974" t="s">
        <v>1700</v>
      </c>
      <c r="C2974" t="s">
        <v>1995</v>
      </c>
      <c r="D2974" t="s">
        <v>1996</v>
      </c>
      <c r="E2974" t="s">
        <v>1971</v>
      </c>
      <c r="F2974" t="s">
        <v>1971</v>
      </c>
      <c r="G2974" t="str">
        <f>INDEX(Risk_Matrix!$B$2:$D$4,MATCH(E2974,Risk_Matrix!$A$2:$A$4,0),MATCH(F2974,Risk_Matrix!$B$1:$D$1,0))</f>
        <v>Medium</v>
      </c>
      <c r="H2974" s="1">
        <v>46190</v>
      </c>
      <c r="I2974" t="s">
        <v>2025</v>
      </c>
      <c r="J2974" t="s">
        <v>2026</v>
      </c>
      <c r="K2974" t="s">
        <v>2036</v>
      </c>
      <c r="L2974">
        <f>IF(G2974="High",3,IF(G2974="Medium",2,1))</f>
        <v>2</v>
      </c>
    </row>
    <row r="2975" spans="1:12">
      <c r="A2975" t="s">
        <v>5001</v>
      </c>
      <c r="B2975" t="s">
        <v>1700</v>
      </c>
      <c r="C2975" t="s">
        <v>2000</v>
      </c>
      <c r="D2975" t="s">
        <v>2020</v>
      </c>
      <c r="E2975" t="s">
        <v>57</v>
      </c>
      <c r="F2975" t="s">
        <v>1971</v>
      </c>
      <c r="G2975" t="str">
        <f>INDEX(Risk_Matrix!$B$2:$D$4,MATCH(E2975,Risk_Matrix!$A$2:$A$4,0),MATCH(F2975,Risk_Matrix!$B$1:$D$1,0))</f>
        <v>Low</v>
      </c>
      <c r="H2975" s="1">
        <v>46128</v>
      </c>
      <c r="I2975" t="s">
        <v>1987</v>
      </c>
      <c r="J2975" t="s">
        <v>1997</v>
      </c>
      <c r="K2975" t="s">
        <v>1993</v>
      </c>
      <c r="L2975">
        <f>IF(G2975="High",3,IF(G2975="Medium",2,1))</f>
        <v>1</v>
      </c>
    </row>
    <row r="2976" spans="1:12">
      <c r="A2976" t="s">
        <v>5002</v>
      </c>
      <c r="B2976" t="s">
        <v>1700</v>
      </c>
      <c r="C2976" t="s">
        <v>2005</v>
      </c>
      <c r="D2976" t="s">
        <v>2006</v>
      </c>
      <c r="E2976" t="s">
        <v>1971</v>
      </c>
      <c r="F2976" t="s">
        <v>57</v>
      </c>
      <c r="G2976" t="str">
        <f>INDEX(Risk_Matrix!$B$2:$D$4,MATCH(E2976,Risk_Matrix!$A$2:$A$4,0),MATCH(F2976,Risk_Matrix!$B$1:$D$1,0))</f>
        <v>Low</v>
      </c>
      <c r="H2976" s="1">
        <v>46220</v>
      </c>
      <c r="I2976" t="s">
        <v>1987</v>
      </c>
      <c r="J2976" t="s">
        <v>1988</v>
      </c>
      <c r="K2976" t="s">
        <v>1993</v>
      </c>
      <c r="L2976">
        <f>IF(G2976="High",3,IF(G2976="Medium",2,1))</f>
        <v>1</v>
      </c>
    </row>
    <row r="2977" spans="1:12">
      <c r="A2977" t="s">
        <v>5003</v>
      </c>
      <c r="B2977" t="s">
        <v>1700</v>
      </c>
      <c r="C2977" t="s">
        <v>2008</v>
      </c>
      <c r="D2977" t="s">
        <v>2009</v>
      </c>
      <c r="E2977" t="s">
        <v>57</v>
      </c>
      <c r="F2977" t="s">
        <v>57</v>
      </c>
      <c r="G2977" t="str">
        <f>INDEX(Risk_Matrix!$B$2:$D$4,MATCH(E2977,Risk_Matrix!$A$2:$A$4,0),MATCH(F2977,Risk_Matrix!$B$1:$D$1,0))</f>
        <v>Low</v>
      </c>
      <c r="H2977" s="1">
        <v>46137</v>
      </c>
      <c r="I2977" t="s">
        <v>1987</v>
      </c>
      <c r="J2977" t="s">
        <v>1988</v>
      </c>
      <c r="K2977" t="s">
        <v>2010</v>
      </c>
      <c r="L2977">
        <f>IF(G2977="High",3,IF(G2977="Medium",2,1))</f>
        <v>1</v>
      </c>
    </row>
    <row r="2978" spans="1:12">
      <c r="A2978" t="s">
        <v>5004</v>
      </c>
      <c r="B2978" t="s">
        <v>1702</v>
      </c>
      <c r="C2978" t="s">
        <v>1985</v>
      </c>
      <c r="D2978" t="s">
        <v>2062</v>
      </c>
      <c r="E2978" t="s">
        <v>47</v>
      </c>
      <c r="F2978" t="s">
        <v>57</v>
      </c>
      <c r="G2978" t="str">
        <f>INDEX(Risk_Matrix!$B$2:$D$4,MATCH(E2978,Risk_Matrix!$A$2:$A$4,0),MATCH(F2978,Risk_Matrix!$B$1:$D$1,0))</f>
        <v>Medium</v>
      </c>
      <c r="H2978" s="1">
        <v>46164</v>
      </c>
      <c r="I2978" t="s">
        <v>2015</v>
      </c>
      <c r="J2978" t="s">
        <v>2016</v>
      </c>
      <c r="K2978" t="s">
        <v>1998</v>
      </c>
      <c r="L2978">
        <f>IF(G2978="High",3,IF(G2978="Medium",2,1))</f>
        <v>2</v>
      </c>
    </row>
    <row r="2979" spans="1:12">
      <c r="A2979" t="s">
        <v>5005</v>
      </c>
      <c r="B2979" t="s">
        <v>1702</v>
      </c>
      <c r="C2979" t="s">
        <v>1991</v>
      </c>
      <c r="D2979" t="s">
        <v>2031</v>
      </c>
      <c r="E2979" t="s">
        <v>47</v>
      </c>
      <c r="F2979" t="s">
        <v>47</v>
      </c>
      <c r="G2979" t="str">
        <f>INDEX(Risk_Matrix!$B$2:$D$4,MATCH(E2979,Risk_Matrix!$A$2:$A$4,0),MATCH(F2979,Risk_Matrix!$B$1:$D$1,0))</f>
        <v>High</v>
      </c>
      <c r="H2979" s="1">
        <v>46179</v>
      </c>
      <c r="I2979" t="s">
        <v>2015</v>
      </c>
      <c r="J2979" t="s">
        <v>2016</v>
      </c>
      <c r="K2979" t="s">
        <v>1993</v>
      </c>
      <c r="L2979">
        <f>IF(G2979="High",3,IF(G2979="Medium",2,1))</f>
        <v>3</v>
      </c>
    </row>
    <row r="2980" spans="1:12">
      <c r="A2980" t="s">
        <v>5006</v>
      </c>
      <c r="B2980" t="s">
        <v>1702</v>
      </c>
      <c r="C2980" t="s">
        <v>1995</v>
      </c>
      <c r="D2980" t="s">
        <v>2034</v>
      </c>
      <c r="E2980" t="s">
        <v>1971</v>
      </c>
      <c r="F2980" t="s">
        <v>1971</v>
      </c>
      <c r="G2980" t="str">
        <f>INDEX(Risk_Matrix!$B$2:$D$4,MATCH(E2980,Risk_Matrix!$A$2:$A$4,0),MATCH(F2980,Risk_Matrix!$B$1:$D$1,0))</f>
        <v>Medium</v>
      </c>
      <c r="H2980" s="1">
        <v>46165</v>
      </c>
      <c r="I2980" t="s">
        <v>2025</v>
      </c>
      <c r="J2980" t="s">
        <v>2035</v>
      </c>
      <c r="K2980" t="s">
        <v>2036</v>
      </c>
      <c r="L2980">
        <f>IF(G2980="High",3,IF(G2980="Medium",2,1))</f>
        <v>2</v>
      </c>
    </row>
    <row r="2981" spans="1:12">
      <c r="A2981" t="s">
        <v>5007</v>
      </c>
      <c r="B2981" t="s">
        <v>1702</v>
      </c>
      <c r="C2981" t="s">
        <v>2000</v>
      </c>
      <c r="D2981" t="s">
        <v>2020</v>
      </c>
      <c r="E2981" t="s">
        <v>1971</v>
      </c>
      <c r="F2981" t="s">
        <v>1971</v>
      </c>
      <c r="G2981" t="str">
        <f>INDEX(Risk_Matrix!$B$2:$D$4,MATCH(E2981,Risk_Matrix!$A$2:$A$4,0),MATCH(F2981,Risk_Matrix!$B$1:$D$1,0))</f>
        <v>Medium</v>
      </c>
      <c r="H2981" s="1">
        <v>46207</v>
      </c>
      <c r="I2981" t="s">
        <v>2015</v>
      </c>
      <c r="J2981" t="s">
        <v>2016</v>
      </c>
      <c r="K2981" t="s">
        <v>1993</v>
      </c>
      <c r="L2981">
        <f>IF(G2981="High",3,IF(G2981="Medium",2,1))</f>
        <v>2</v>
      </c>
    </row>
    <row r="2982" spans="1:12">
      <c r="A2982" t="s">
        <v>5008</v>
      </c>
      <c r="B2982" t="s">
        <v>1702</v>
      </c>
      <c r="C2982" t="s">
        <v>2005</v>
      </c>
      <c r="D2982" t="s">
        <v>2022</v>
      </c>
      <c r="E2982" t="s">
        <v>47</v>
      </c>
      <c r="F2982" t="s">
        <v>57</v>
      </c>
      <c r="G2982" t="str">
        <f>INDEX(Risk_Matrix!$B$2:$D$4,MATCH(E2982,Risk_Matrix!$A$2:$A$4,0),MATCH(F2982,Risk_Matrix!$B$1:$D$1,0))</f>
        <v>Medium</v>
      </c>
      <c r="H2982" s="1">
        <v>46143</v>
      </c>
      <c r="I2982" t="s">
        <v>2025</v>
      </c>
      <c r="J2982" t="s">
        <v>2026</v>
      </c>
      <c r="K2982" t="s">
        <v>2036</v>
      </c>
      <c r="L2982">
        <f>IF(G2982="High",3,IF(G2982="Medium",2,1))</f>
        <v>2</v>
      </c>
    </row>
    <row r="2983" spans="1:12">
      <c r="A2983" t="s">
        <v>5009</v>
      </c>
      <c r="B2983" t="s">
        <v>1702</v>
      </c>
      <c r="C2983" t="s">
        <v>2008</v>
      </c>
      <c r="D2983" t="s">
        <v>2054</v>
      </c>
      <c r="E2983" t="s">
        <v>1971</v>
      </c>
      <c r="F2983" t="s">
        <v>57</v>
      </c>
      <c r="G2983" t="str">
        <f>INDEX(Risk_Matrix!$B$2:$D$4,MATCH(E2983,Risk_Matrix!$A$2:$A$4,0),MATCH(F2983,Risk_Matrix!$B$1:$D$1,0))</f>
        <v>Low</v>
      </c>
      <c r="H2983" s="1">
        <v>46210</v>
      </c>
      <c r="I2983" t="s">
        <v>2015</v>
      </c>
      <c r="J2983" t="s">
        <v>2032</v>
      </c>
      <c r="K2983" t="s">
        <v>2010</v>
      </c>
      <c r="L2983">
        <f>IF(G2983="High",3,IF(G2983="Medium",2,1))</f>
        <v>1</v>
      </c>
    </row>
    <row r="2984" spans="1:12">
      <c r="A2984" t="s">
        <v>5010</v>
      </c>
      <c r="B2984" t="s">
        <v>1704</v>
      </c>
      <c r="C2984" t="s">
        <v>1985</v>
      </c>
      <c r="D2984" t="s">
        <v>1986</v>
      </c>
      <c r="E2984" t="s">
        <v>57</v>
      </c>
      <c r="F2984" t="s">
        <v>1971</v>
      </c>
      <c r="G2984" t="str">
        <f>INDEX(Risk_Matrix!$B$2:$D$4,MATCH(E2984,Risk_Matrix!$A$2:$A$4,0),MATCH(F2984,Risk_Matrix!$B$1:$D$1,0))</f>
        <v>Low</v>
      </c>
      <c r="H2984" s="1">
        <v>46096</v>
      </c>
      <c r="I2984" t="s">
        <v>1987</v>
      </c>
      <c r="J2984" t="s">
        <v>1997</v>
      </c>
      <c r="K2984" t="s">
        <v>1998</v>
      </c>
      <c r="L2984">
        <f>IF(G2984="High",3,IF(G2984="Medium",2,1))</f>
        <v>1</v>
      </c>
    </row>
    <row r="2985" spans="1:12">
      <c r="A2985" t="s">
        <v>5011</v>
      </c>
      <c r="B2985" t="s">
        <v>1704</v>
      </c>
      <c r="C2985" t="s">
        <v>1991</v>
      </c>
      <c r="D2985" t="s">
        <v>1992</v>
      </c>
      <c r="E2985" t="s">
        <v>47</v>
      </c>
      <c r="F2985" t="s">
        <v>57</v>
      </c>
      <c r="G2985" t="str">
        <f>INDEX(Risk_Matrix!$B$2:$D$4,MATCH(E2985,Risk_Matrix!$A$2:$A$4,0),MATCH(F2985,Risk_Matrix!$B$1:$D$1,0))</f>
        <v>Medium</v>
      </c>
      <c r="H2985" s="1">
        <v>46213</v>
      </c>
      <c r="I2985" t="s">
        <v>2015</v>
      </c>
      <c r="J2985" t="s">
        <v>2032</v>
      </c>
      <c r="K2985" t="s">
        <v>2010</v>
      </c>
      <c r="L2985">
        <f>IF(G2985="High",3,IF(G2985="Medium",2,1))</f>
        <v>2</v>
      </c>
    </row>
    <row r="2986" spans="1:12">
      <c r="A2986" t="s">
        <v>5012</v>
      </c>
      <c r="B2986" t="s">
        <v>1704</v>
      </c>
      <c r="C2986" t="s">
        <v>1995</v>
      </c>
      <c r="D2986" t="s">
        <v>2034</v>
      </c>
      <c r="E2986" t="s">
        <v>1971</v>
      </c>
      <c r="F2986" t="s">
        <v>1971</v>
      </c>
      <c r="G2986" t="str">
        <f>INDEX(Risk_Matrix!$B$2:$D$4,MATCH(E2986,Risk_Matrix!$A$2:$A$4,0),MATCH(F2986,Risk_Matrix!$B$1:$D$1,0))</f>
        <v>Medium</v>
      </c>
      <c r="H2986" s="1">
        <v>46156</v>
      </c>
      <c r="I2986" t="s">
        <v>2015</v>
      </c>
      <c r="J2986" t="s">
        <v>2016</v>
      </c>
      <c r="K2986" t="s">
        <v>2036</v>
      </c>
      <c r="L2986">
        <f>IF(G2986="High",3,IF(G2986="Medium",2,1))</f>
        <v>2</v>
      </c>
    </row>
    <row r="2987" spans="1:12">
      <c r="A2987" t="s">
        <v>5013</v>
      </c>
      <c r="B2987" t="s">
        <v>1704</v>
      </c>
      <c r="C2987" t="s">
        <v>2000</v>
      </c>
      <c r="D2987" t="s">
        <v>2001</v>
      </c>
      <c r="E2987" t="s">
        <v>57</v>
      </c>
      <c r="F2987" t="s">
        <v>57</v>
      </c>
      <c r="G2987" t="str">
        <f>INDEX(Risk_Matrix!$B$2:$D$4,MATCH(E2987,Risk_Matrix!$A$2:$A$4,0),MATCH(F2987,Risk_Matrix!$B$1:$D$1,0))</f>
        <v>Low</v>
      </c>
      <c r="H2987" s="1">
        <v>46068</v>
      </c>
      <c r="I2987" t="s">
        <v>1987</v>
      </c>
      <c r="J2987" t="s">
        <v>1988</v>
      </c>
      <c r="K2987" t="s">
        <v>1989</v>
      </c>
      <c r="L2987">
        <f>IF(G2987="High",3,IF(G2987="Medium",2,1))</f>
        <v>1</v>
      </c>
    </row>
    <row r="2988" spans="1:12">
      <c r="A2988" t="s">
        <v>5014</v>
      </c>
      <c r="B2988" t="s">
        <v>1704</v>
      </c>
      <c r="C2988" t="s">
        <v>2005</v>
      </c>
      <c r="D2988" t="s">
        <v>2006</v>
      </c>
      <c r="E2988" t="s">
        <v>57</v>
      </c>
      <c r="F2988" t="s">
        <v>57</v>
      </c>
      <c r="G2988" t="str">
        <f>INDEX(Risk_Matrix!$B$2:$D$4,MATCH(E2988,Risk_Matrix!$A$2:$A$4,0),MATCH(F2988,Risk_Matrix!$B$1:$D$1,0))</f>
        <v>Low</v>
      </c>
      <c r="H2988" s="1">
        <v>46198</v>
      </c>
      <c r="I2988" t="s">
        <v>2015</v>
      </c>
      <c r="J2988" t="s">
        <v>2016</v>
      </c>
      <c r="K2988" t="s">
        <v>1993</v>
      </c>
      <c r="L2988">
        <f>IF(G2988="High",3,IF(G2988="Medium",2,1))</f>
        <v>1</v>
      </c>
    </row>
    <row r="2989" spans="1:12">
      <c r="A2989" t="s">
        <v>5015</v>
      </c>
      <c r="B2989" t="s">
        <v>1704</v>
      </c>
      <c r="C2989" t="s">
        <v>2008</v>
      </c>
      <c r="D2989" t="s">
        <v>2009</v>
      </c>
      <c r="E2989" t="s">
        <v>57</v>
      </c>
      <c r="F2989" t="s">
        <v>47</v>
      </c>
      <c r="G2989" t="str">
        <f>INDEX(Risk_Matrix!$B$2:$D$4,MATCH(E2989,Risk_Matrix!$A$2:$A$4,0),MATCH(F2989,Risk_Matrix!$B$1:$D$1,0))</f>
        <v>Medium</v>
      </c>
      <c r="H2989" s="1">
        <v>46168</v>
      </c>
      <c r="I2989" t="s">
        <v>2025</v>
      </c>
      <c r="J2989" t="s">
        <v>2026</v>
      </c>
      <c r="K2989" t="s">
        <v>2010</v>
      </c>
      <c r="L2989">
        <f>IF(G2989="High",3,IF(G2989="Medium",2,1))</f>
        <v>2</v>
      </c>
    </row>
    <row r="2990" spans="1:12">
      <c r="A2990" t="s">
        <v>5016</v>
      </c>
      <c r="B2990" t="s">
        <v>1706</v>
      </c>
      <c r="C2990" t="s">
        <v>1985</v>
      </c>
      <c r="D2990" t="s">
        <v>2012</v>
      </c>
      <c r="E2990" t="s">
        <v>57</v>
      </c>
      <c r="F2990" t="s">
        <v>57</v>
      </c>
      <c r="G2990" t="str">
        <f>INDEX(Risk_Matrix!$B$2:$D$4,MATCH(E2990,Risk_Matrix!$A$2:$A$4,0),MATCH(F2990,Risk_Matrix!$B$1:$D$1,0))</f>
        <v>Low</v>
      </c>
      <c r="H2990" s="1">
        <v>46196</v>
      </c>
      <c r="I2990" t="s">
        <v>2015</v>
      </c>
      <c r="J2990" t="s">
        <v>2016</v>
      </c>
      <c r="K2990" t="s">
        <v>1989</v>
      </c>
      <c r="L2990">
        <f>IF(G2990="High",3,IF(G2990="Medium",2,1))</f>
        <v>1</v>
      </c>
    </row>
    <row r="2991" spans="1:12">
      <c r="A2991" t="s">
        <v>5017</v>
      </c>
      <c r="B2991" t="s">
        <v>1706</v>
      </c>
      <c r="C2991" t="s">
        <v>1991</v>
      </c>
      <c r="D2991" t="s">
        <v>1992</v>
      </c>
      <c r="E2991" t="s">
        <v>47</v>
      </c>
      <c r="F2991" t="s">
        <v>1971</v>
      </c>
      <c r="G2991" t="str">
        <f>INDEX(Risk_Matrix!$B$2:$D$4,MATCH(E2991,Risk_Matrix!$A$2:$A$4,0),MATCH(F2991,Risk_Matrix!$B$1:$D$1,0))</f>
        <v>High</v>
      </c>
      <c r="H2991" s="1">
        <v>46207</v>
      </c>
      <c r="I2991" t="s">
        <v>2015</v>
      </c>
      <c r="J2991" t="s">
        <v>2016</v>
      </c>
      <c r="K2991" t="s">
        <v>1993</v>
      </c>
      <c r="L2991">
        <f>IF(G2991="High",3,IF(G2991="Medium",2,1))</f>
        <v>3</v>
      </c>
    </row>
    <row r="2992" spans="1:12">
      <c r="A2992" t="s">
        <v>5018</v>
      </c>
      <c r="B2992" t="s">
        <v>1706</v>
      </c>
      <c r="C2992" t="s">
        <v>1995</v>
      </c>
      <c r="D2992" t="s">
        <v>1996</v>
      </c>
      <c r="E2992" t="s">
        <v>1971</v>
      </c>
      <c r="F2992" t="s">
        <v>57</v>
      </c>
      <c r="G2992" t="str">
        <f>INDEX(Risk_Matrix!$B$2:$D$4,MATCH(E2992,Risk_Matrix!$A$2:$A$4,0),MATCH(F2992,Risk_Matrix!$B$1:$D$1,0))</f>
        <v>Low</v>
      </c>
      <c r="H2992" s="1">
        <v>46183</v>
      </c>
      <c r="I2992" t="s">
        <v>2015</v>
      </c>
      <c r="J2992" t="s">
        <v>2016</v>
      </c>
      <c r="K2992" t="s">
        <v>1998</v>
      </c>
      <c r="L2992">
        <f>IF(G2992="High",3,IF(G2992="Medium",2,1))</f>
        <v>1</v>
      </c>
    </row>
    <row r="2993" spans="1:12">
      <c r="A2993" t="s">
        <v>5019</v>
      </c>
      <c r="B2993" t="s">
        <v>1706</v>
      </c>
      <c r="C2993" t="s">
        <v>2000</v>
      </c>
      <c r="D2993" t="s">
        <v>2045</v>
      </c>
      <c r="E2993" t="s">
        <v>1971</v>
      </c>
      <c r="F2993" t="s">
        <v>57</v>
      </c>
      <c r="G2993" t="str">
        <f>INDEX(Risk_Matrix!$B$2:$D$4,MATCH(E2993,Risk_Matrix!$A$2:$A$4,0),MATCH(F2993,Risk_Matrix!$B$1:$D$1,0))</f>
        <v>Low</v>
      </c>
      <c r="H2993" s="1">
        <v>46107</v>
      </c>
      <c r="I2993" t="s">
        <v>1987</v>
      </c>
      <c r="J2993" t="s">
        <v>1988</v>
      </c>
      <c r="K2993" t="s">
        <v>1989</v>
      </c>
      <c r="L2993">
        <f>IF(G2993="High",3,IF(G2993="Medium",2,1))</f>
        <v>1</v>
      </c>
    </row>
    <row r="2994" spans="1:12">
      <c r="A2994" t="s">
        <v>5020</v>
      </c>
      <c r="B2994" t="s">
        <v>1706</v>
      </c>
      <c r="C2994" t="s">
        <v>2005</v>
      </c>
      <c r="D2994" t="s">
        <v>2022</v>
      </c>
      <c r="E2994" t="s">
        <v>47</v>
      </c>
      <c r="F2994" t="s">
        <v>57</v>
      </c>
      <c r="G2994" t="str">
        <f>INDEX(Risk_Matrix!$B$2:$D$4,MATCH(E2994,Risk_Matrix!$A$2:$A$4,0),MATCH(F2994,Risk_Matrix!$B$1:$D$1,0))</f>
        <v>Medium</v>
      </c>
      <c r="H2994" s="1">
        <v>46202</v>
      </c>
      <c r="I2994" t="s">
        <v>2015</v>
      </c>
      <c r="J2994" t="s">
        <v>2016</v>
      </c>
      <c r="K2994" t="s">
        <v>1993</v>
      </c>
      <c r="L2994">
        <f>IF(G2994="High",3,IF(G2994="Medium",2,1))</f>
        <v>2</v>
      </c>
    </row>
    <row r="2995" spans="1:12">
      <c r="A2995" t="s">
        <v>5021</v>
      </c>
      <c r="B2995" t="s">
        <v>1706</v>
      </c>
      <c r="C2995" t="s">
        <v>2008</v>
      </c>
      <c r="D2995" t="s">
        <v>2054</v>
      </c>
      <c r="E2995" t="s">
        <v>1971</v>
      </c>
      <c r="F2995" t="s">
        <v>1971</v>
      </c>
      <c r="G2995" t="str">
        <f>INDEX(Risk_Matrix!$B$2:$D$4,MATCH(E2995,Risk_Matrix!$A$2:$A$4,0),MATCH(F2995,Risk_Matrix!$B$1:$D$1,0))</f>
        <v>Medium</v>
      </c>
      <c r="H2995" s="1">
        <v>46198</v>
      </c>
      <c r="I2995" t="s">
        <v>2015</v>
      </c>
      <c r="J2995" t="s">
        <v>2032</v>
      </c>
      <c r="K2995" t="s">
        <v>1998</v>
      </c>
      <c r="L2995">
        <f>IF(G2995="High",3,IF(G2995="Medium",2,1))</f>
        <v>2</v>
      </c>
    </row>
    <row r="2996" spans="1:12">
      <c r="A2996" t="s">
        <v>5022</v>
      </c>
      <c r="B2996" t="s">
        <v>1708</v>
      </c>
      <c r="C2996" t="s">
        <v>1985</v>
      </c>
      <c r="D2996" t="s">
        <v>2012</v>
      </c>
      <c r="E2996" t="s">
        <v>1971</v>
      </c>
      <c r="F2996" t="s">
        <v>1971</v>
      </c>
      <c r="G2996" t="str">
        <f>INDEX(Risk_Matrix!$B$2:$D$4,MATCH(E2996,Risk_Matrix!$A$2:$A$4,0),MATCH(F2996,Risk_Matrix!$B$1:$D$1,0))</f>
        <v>Medium</v>
      </c>
      <c r="H2996" s="1">
        <v>46104</v>
      </c>
      <c r="I2996" t="s">
        <v>1987</v>
      </c>
      <c r="J2996" t="s">
        <v>1997</v>
      </c>
      <c r="K2996" t="s">
        <v>1998</v>
      </c>
      <c r="L2996">
        <f>IF(G2996="High",3,IF(G2996="Medium",2,1))</f>
        <v>2</v>
      </c>
    </row>
    <row r="2997" spans="1:12">
      <c r="A2997" t="s">
        <v>5023</v>
      </c>
      <c r="B2997" t="s">
        <v>1708</v>
      </c>
      <c r="C2997" t="s">
        <v>1991</v>
      </c>
      <c r="D2997" t="s">
        <v>2014</v>
      </c>
      <c r="E2997" t="s">
        <v>47</v>
      </c>
      <c r="F2997" t="s">
        <v>1971</v>
      </c>
      <c r="G2997" t="str">
        <f>INDEX(Risk_Matrix!$B$2:$D$4,MATCH(E2997,Risk_Matrix!$A$2:$A$4,0),MATCH(F2997,Risk_Matrix!$B$1:$D$1,0))</f>
        <v>High</v>
      </c>
      <c r="H2997" s="1">
        <v>46231</v>
      </c>
      <c r="I2997" t="s">
        <v>2015</v>
      </c>
      <c r="J2997" t="s">
        <v>2032</v>
      </c>
      <c r="K2997" t="s">
        <v>2010</v>
      </c>
      <c r="L2997">
        <f>IF(G2997="High",3,IF(G2997="Medium",2,1))</f>
        <v>3</v>
      </c>
    </row>
    <row r="2998" spans="1:12">
      <c r="A2998" t="s">
        <v>5024</v>
      </c>
      <c r="B2998" t="s">
        <v>1708</v>
      </c>
      <c r="C2998" t="s">
        <v>1995</v>
      </c>
      <c r="D2998" t="s">
        <v>2018</v>
      </c>
      <c r="E2998" t="s">
        <v>1971</v>
      </c>
      <c r="F2998" t="s">
        <v>1971</v>
      </c>
      <c r="G2998" t="str">
        <f>INDEX(Risk_Matrix!$B$2:$D$4,MATCH(E2998,Risk_Matrix!$A$2:$A$4,0),MATCH(F2998,Risk_Matrix!$B$1:$D$1,0))</f>
        <v>Medium</v>
      </c>
      <c r="H2998" s="1">
        <v>46059</v>
      </c>
      <c r="I2998" t="s">
        <v>2025</v>
      </c>
      <c r="J2998" t="s">
        <v>2035</v>
      </c>
      <c r="K2998" t="s">
        <v>1998</v>
      </c>
      <c r="L2998">
        <f>IF(G2998="High",3,IF(G2998="Medium",2,1))</f>
        <v>2</v>
      </c>
    </row>
    <row r="2999" spans="1:12">
      <c r="A2999" t="s">
        <v>5025</v>
      </c>
      <c r="B2999" t="s">
        <v>1708</v>
      </c>
      <c r="C2999" t="s">
        <v>2000</v>
      </c>
      <c r="D2999" t="s">
        <v>2020</v>
      </c>
      <c r="E2999" t="s">
        <v>47</v>
      </c>
      <c r="F2999" t="s">
        <v>57</v>
      </c>
      <c r="G2999" t="str">
        <f>INDEX(Risk_Matrix!$B$2:$D$4,MATCH(E2999,Risk_Matrix!$A$2:$A$4,0),MATCH(F2999,Risk_Matrix!$B$1:$D$1,0))</f>
        <v>Medium</v>
      </c>
      <c r="H2999" s="1">
        <v>46096</v>
      </c>
      <c r="I2999" t="s">
        <v>2025</v>
      </c>
      <c r="J2999" t="s">
        <v>2026</v>
      </c>
      <c r="K2999" t="s">
        <v>1993</v>
      </c>
      <c r="L2999">
        <f>IF(G2999="High",3,IF(G2999="Medium",2,1))</f>
        <v>2</v>
      </c>
    </row>
    <row r="3000" spans="1:12">
      <c r="A3000" t="s">
        <v>5026</v>
      </c>
      <c r="B3000" t="s">
        <v>1708</v>
      </c>
      <c r="C3000" t="s">
        <v>2005</v>
      </c>
      <c r="D3000" t="s">
        <v>2022</v>
      </c>
      <c r="E3000" t="s">
        <v>47</v>
      </c>
      <c r="F3000" t="s">
        <v>57</v>
      </c>
      <c r="G3000" t="str">
        <f>INDEX(Risk_Matrix!$B$2:$D$4,MATCH(E3000,Risk_Matrix!$A$2:$A$4,0),MATCH(F3000,Risk_Matrix!$B$1:$D$1,0))</f>
        <v>Medium</v>
      </c>
      <c r="H3000" s="1">
        <v>46148</v>
      </c>
      <c r="I3000" t="s">
        <v>1987</v>
      </c>
      <c r="J3000" t="s">
        <v>1997</v>
      </c>
      <c r="K3000" t="s">
        <v>2036</v>
      </c>
      <c r="L3000">
        <f>IF(G3000="High",3,IF(G3000="Medium",2,1))</f>
        <v>2</v>
      </c>
    </row>
    <row r="3001" spans="1:12">
      <c r="A3001" t="s">
        <v>5027</v>
      </c>
      <c r="B3001" t="s">
        <v>1708</v>
      </c>
      <c r="C3001" t="s">
        <v>2008</v>
      </c>
      <c r="D3001" t="s">
        <v>2054</v>
      </c>
      <c r="E3001" t="s">
        <v>1971</v>
      </c>
      <c r="F3001" t="s">
        <v>57</v>
      </c>
      <c r="G3001" t="str">
        <f>INDEX(Risk_Matrix!$B$2:$D$4,MATCH(E3001,Risk_Matrix!$A$2:$A$4,0),MATCH(F3001,Risk_Matrix!$B$1:$D$1,0))</f>
        <v>Low</v>
      </c>
      <c r="H3001" s="1">
        <v>46156</v>
      </c>
      <c r="I3001" t="s">
        <v>2015</v>
      </c>
      <c r="J3001" t="s">
        <v>2016</v>
      </c>
      <c r="K3001" t="s">
        <v>2010</v>
      </c>
      <c r="L3001">
        <f>IF(G3001="High",3,IF(G3001="Medium",2,1))</f>
        <v>1</v>
      </c>
    </row>
    <row r="3002" spans="1:12">
      <c r="A3002" t="s">
        <v>5028</v>
      </c>
      <c r="B3002" t="s">
        <v>1710</v>
      </c>
      <c r="C3002" t="s">
        <v>1985</v>
      </c>
      <c r="D3002" t="s">
        <v>2012</v>
      </c>
      <c r="E3002" t="s">
        <v>57</v>
      </c>
      <c r="F3002" t="s">
        <v>57</v>
      </c>
      <c r="G3002" t="str">
        <f>INDEX(Risk_Matrix!$B$2:$D$4,MATCH(E3002,Risk_Matrix!$A$2:$A$4,0),MATCH(F3002,Risk_Matrix!$B$1:$D$1,0))</f>
        <v>Low</v>
      </c>
      <c r="H3002" s="1">
        <v>46165</v>
      </c>
      <c r="I3002" t="s">
        <v>2025</v>
      </c>
      <c r="J3002" t="s">
        <v>2026</v>
      </c>
      <c r="K3002" t="s">
        <v>1989</v>
      </c>
      <c r="L3002">
        <f>IF(G3002="High",3,IF(G3002="Medium",2,1))</f>
        <v>1</v>
      </c>
    </row>
    <row r="3003" spans="1:12">
      <c r="A3003" t="s">
        <v>5029</v>
      </c>
      <c r="B3003" t="s">
        <v>1710</v>
      </c>
      <c r="C3003" t="s">
        <v>1991</v>
      </c>
      <c r="D3003" t="s">
        <v>1992</v>
      </c>
      <c r="E3003" t="s">
        <v>57</v>
      </c>
      <c r="F3003" t="s">
        <v>57</v>
      </c>
      <c r="G3003" t="str">
        <f>INDEX(Risk_Matrix!$B$2:$D$4,MATCH(E3003,Risk_Matrix!$A$2:$A$4,0),MATCH(F3003,Risk_Matrix!$B$1:$D$1,0))</f>
        <v>Low</v>
      </c>
      <c r="H3003" s="1">
        <v>46213</v>
      </c>
      <c r="I3003" t="s">
        <v>2025</v>
      </c>
      <c r="J3003" t="s">
        <v>2026</v>
      </c>
      <c r="K3003" t="s">
        <v>2010</v>
      </c>
      <c r="L3003">
        <f>IF(G3003="High",3,IF(G3003="Medium",2,1))</f>
        <v>1</v>
      </c>
    </row>
    <row r="3004" spans="1:12">
      <c r="A3004" t="s">
        <v>5030</v>
      </c>
      <c r="B3004" t="s">
        <v>1710</v>
      </c>
      <c r="C3004" t="s">
        <v>1995</v>
      </c>
      <c r="D3004" t="s">
        <v>2018</v>
      </c>
      <c r="E3004" t="s">
        <v>47</v>
      </c>
      <c r="F3004" t="s">
        <v>47</v>
      </c>
      <c r="G3004" t="str">
        <f>INDEX(Risk_Matrix!$B$2:$D$4,MATCH(E3004,Risk_Matrix!$A$2:$A$4,0),MATCH(F3004,Risk_Matrix!$B$1:$D$1,0))</f>
        <v>High</v>
      </c>
      <c r="H3004" s="1">
        <v>46198</v>
      </c>
      <c r="I3004" t="s">
        <v>2025</v>
      </c>
      <c r="J3004" t="s">
        <v>2035</v>
      </c>
      <c r="K3004" t="s">
        <v>1998</v>
      </c>
      <c r="L3004">
        <f>IF(G3004="High",3,IF(G3004="Medium",2,1))</f>
        <v>3</v>
      </c>
    </row>
    <row r="3005" spans="1:12">
      <c r="A3005" t="s">
        <v>5031</v>
      </c>
      <c r="B3005" t="s">
        <v>1710</v>
      </c>
      <c r="C3005" t="s">
        <v>2000</v>
      </c>
      <c r="D3005" t="s">
        <v>2001</v>
      </c>
      <c r="E3005" t="s">
        <v>47</v>
      </c>
      <c r="F3005" t="s">
        <v>47</v>
      </c>
      <c r="G3005" t="str">
        <f>INDEX(Risk_Matrix!$B$2:$D$4,MATCH(E3005,Risk_Matrix!$A$2:$A$4,0),MATCH(F3005,Risk_Matrix!$B$1:$D$1,0))</f>
        <v>High</v>
      </c>
      <c r="H3005" s="1">
        <v>46168</v>
      </c>
      <c r="I3005" t="s">
        <v>2015</v>
      </c>
      <c r="J3005" t="s">
        <v>2016</v>
      </c>
      <c r="K3005" t="s">
        <v>1993</v>
      </c>
      <c r="L3005">
        <f>IF(G3005="High",3,IF(G3005="Medium",2,1))</f>
        <v>3</v>
      </c>
    </row>
    <row r="3006" spans="1:12">
      <c r="A3006" t="s">
        <v>5032</v>
      </c>
      <c r="B3006" t="s">
        <v>1710</v>
      </c>
      <c r="C3006" t="s">
        <v>2005</v>
      </c>
      <c r="D3006" t="s">
        <v>2039</v>
      </c>
      <c r="E3006" t="s">
        <v>57</v>
      </c>
      <c r="F3006" t="s">
        <v>57</v>
      </c>
      <c r="G3006" t="str">
        <f>INDEX(Risk_Matrix!$B$2:$D$4,MATCH(E3006,Risk_Matrix!$A$2:$A$4,0),MATCH(F3006,Risk_Matrix!$B$1:$D$1,0))</f>
        <v>Low</v>
      </c>
      <c r="H3006" s="1">
        <v>46070</v>
      </c>
      <c r="I3006" t="s">
        <v>2025</v>
      </c>
      <c r="J3006" t="s">
        <v>2026</v>
      </c>
      <c r="K3006" t="s">
        <v>2036</v>
      </c>
      <c r="L3006">
        <f>IF(G3006="High",3,IF(G3006="Medium",2,1))</f>
        <v>1</v>
      </c>
    </row>
    <row r="3007" spans="1:12">
      <c r="A3007" t="s">
        <v>5033</v>
      </c>
      <c r="B3007" t="s">
        <v>1710</v>
      </c>
      <c r="C3007" t="s">
        <v>2008</v>
      </c>
      <c r="D3007" t="s">
        <v>2009</v>
      </c>
      <c r="E3007" t="s">
        <v>57</v>
      </c>
      <c r="F3007" t="s">
        <v>57</v>
      </c>
      <c r="G3007" t="str">
        <f>INDEX(Risk_Matrix!$B$2:$D$4,MATCH(E3007,Risk_Matrix!$A$2:$A$4,0),MATCH(F3007,Risk_Matrix!$B$1:$D$1,0))</f>
        <v>Low</v>
      </c>
      <c r="H3007" s="1">
        <v>46094</v>
      </c>
      <c r="I3007" t="s">
        <v>1987</v>
      </c>
      <c r="J3007" t="s">
        <v>1997</v>
      </c>
      <c r="K3007" t="s">
        <v>2010</v>
      </c>
      <c r="L3007">
        <f>IF(G3007="High",3,IF(G3007="Medium",2,1))</f>
        <v>1</v>
      </c>
    </row>
    <row r="3008" spans="1:12">
      <c r="A3008" t="s">
        <v>5034</v>
      </c>
      <c r="B3008" t="s">
        <v>1713</v>
      </c>
      <c r="C3008" t="s">
        <v>1985</v>
      </c>
      <c r="D3008" t="s">
        <v>2012</v>
      </c>
      <c r="E3008" t="s">
        <v>1971</v>
      </c>
      <c r="F3008" t="s">
        <v>57</v>
      </c>
      <c r="G3008" t="str">
        <f>INDEX(Risk_Matrix!$B$2:$D$4,MATCH(E3008,Risk_Matrix!$A$2:$A$4,0),MATCH(F3008,Risk_Matrix!$B$1:$D$1,0))</f>
        <v>Low</v>
      </c>
      <c r="H3008" s="1">
        <v>46173</v>
      </c>
      <c r="I3008" t="s">
        <v>2025</v>
      </c>
      <c r="J3008" t="s">
        <v>2026</v>
      </c>
      <c r="K3008" t="s">
        <v>1989</v>
      </c>
      <c r="L3008">
        <f>IF(G3008="High",3,IF(G3008="Medium",2,1))</f>
        <v>1</v>
      </c>
    </row>
    <row r="3009" spans="1:12">
      <c r="A3009" t="s">
        <v>5035</v>
      </c>
      <c r="B3009" t="s">
        <v>1713</v>
      </c>
      <c r="C3009" t="s">
        <v>1991</v>
      </c>
      <c r="D3009" t="s">
        <v>2031</v>
      </c>
      <c r="E3009" t="s">
        <v>47</v>
      </c>
      <c r="F3009" t="s">
        <v>1971</v>
      </c>
      <c r="G3009" t="str">
        <f>INDEX(Risk_Matrix!$B$2:$D$4,MATCH(E3009,Risk_Matrix!$A$2:$A$4,0),MATCH(F3009,Risk_Matrix!$B$1:$D$1,0))</f>
        <v>High</v>
      </c>
      <c r="H3009" s="1">
        <v>46125</v>
      </c>
      <c r="I3009" t="s">
        <v>2025</v>
      </c>
      <c r="J3009" t="s">
        <v>2035</v>
      </c>
      <c r="K3009" t="s">
        <v>2010</v>
      </c>
      <c r="L3009">
        <f>IF(G3009="High",3,IF(G3009="Medium",2,1))</f>
        <v>3</v>
      </c>
    </row>
    <row r="3010" spans="1:12">
      <c r="A3010" t="s">
        <v>5036</v>
      </c>
      <c r="B3010" t="s">
        <v>1713</v>
      </c>
      <c r="C3010" t="s">
        <v>1995</v>
      </c>
      <c r="D3010" t="s">
        <v>2018</v>
      </c>
      <c r="E3010" t="s">
        <v>1971</v>
      </c>
      <c r="F3010" t="s">
        <v>47</v>
      </c>
      <c r="G3010" t="str">
        <f>INDEX(Risk_Matrix!$B$2:$D$4,MATCH(E3010,Risk_Matrix!$A$2:$A$4,0),MATCH(F3010,Risk_Matrix!$B$1:$D$1,0))</f>
        <v>High</v>
      </c>
      <c r="H3010" s="1">
        <v>46206</v>
      </c>
      <c r="I3010" t="s">
        <v>2015</v>
      </c>
      <c r="J3010" t="s">
        <v>2016</v>
      </c>
      <c r="K3010" t="s">
        <v>2036</v>
      </c>
      <c r="L3010">
        <f>IF(G3010="High",3,IF(G3010="Medium",2,1))</f>
        <v>3</v>
      </c>
    </row>
    <row r="3011" spans="1:12">
      <c r="A3011" t="s">
        <v>5037</v>
      </c>
      <c r="B3011" t="s">
        <v>1713</v>
      </c>
      <c r="C3011" t="s">
        <v>2000</v>
      </c>
      <c r="D3011" t="s">
        <v>2001</v>
      </c>
      <c r="E3011" t="s">
        <v>1971</v>
      </c>
      <c r="F3011" t="s">
        <v>1971</v>
      </c>
      <c r="G3011" t="str">
        <f>INDEX(Risk_Matrix!$B$2:$D$4,MATCH(E3011,Risk_Matrix!$A$2:$A$4,0),MATCH(F3011,Risk_Matrix!$B$1:$D$1,0))</f>
        <v>Medium</v>
      </c>
      <c r="H3011" s="1">
        <v>46162</v>
      </c>
      <c r="I3011" t="s">
        <v>2025</v>
      </c>
      <c r="J3011" t="s">
        <v>2026</v>
      </c>
      <c r="K3011" t="s">
        <v>1989</v>
      </c>
      <c r="L3011">
        <f>IF(G3011="High",3,IF(G3011="Medium",2,1))</f>
        <v>2</v>
      </c>
    </row>
    <row r="3012" spans="1:12">
      <c r="A3012" t="s">
        <v>5038</v>
      </c>
      <c r="B3012" t="s">
        <v>1713</v>
      </c>
      <c r="C3012" t="s">
        <v>2005</v>
      </c>
      <c r="D3012" t="s">
        <v>2039</v>
      </c>
      <c r="E3012" t="s">
        <v>57</v>
      </c>
      <c r="F3012" t="s">
        <v>1971</v>
      </c>
      <c r="G3012" t="str">
        <f>INDEX(Risk_Matrix!$B$2:$D$4,MATCH(E3012,Risk_Matrix!$A$2:$A$4,0),MATCH(F3012,Risk_Matrix!$B$1:$D$1,0))</f>
        <v>Low</v>
      </c>
      <c r="H3012" s="1">
        <v>46211</v>
      </c>
      <c r="I3012" t="s">
        <v>2025</v>
      </c>
      <c r="J3012" t="s">
        <v>2026</v>
      </c>
      <c r="K3012" t="s">
        <v>2036</v>
      </c>
      <c r="L3012">
        <f>IF(G3012="High",3,IF(G3012="Medium",2,1))</f>
        <v>1</v>
      </c>
    </row>
    <row r="3013" spans="1:12">
      <c r="A3013" t="s">
        <v>5039</v>
      </c>
      <c r="B3013" t="s">
        <v>1713</v>
      </c>
      <c r="C3013" t="s">
        <v>2008</v>
      </c>
      <c r="D3013" t="s">
        <v>2024</v>
      </c>
      <c r="E3013" t="s">
        <v>47</v>
      </c>
      <c r="F3013" t="s">
        <v>1971</v>
      </c>
      <c r="G3013" t="str">
        <f>INDEX(Risk_Matrix!$B$2:$D$4,MATCH(E3013,Risk_Matrix!$A$2:$A$4,0),MATCH(F3013,Risk_Matrix!$B$1:$D$1,0))</f>
        <v>High</v>
      </c>
      <c r="H3013" s="1">
        <v>46204</v>
      </c>
      <c r="I3013" t="s">
        <v>2015</v>
      </c>
      <c r="J3013" t="s">
        <v>2032</v>
      </c>
      <c r="K3013" t="s">
        <v>2010</v>
      </c>
      <c r="L3013">
        <f>IF(G3013="High",3,IF(G3013="Medium",2,1))</f>
        <v>3</v>
      </c>
    </row>
    <row r="3014" spans="1:12">
      <c r="A3014" t="s">
        <v>5040</v>
      </c>
      <c r="B3014" t="s">
        <v>1716</v>
      </c>
      <c r="C3014" t="s">
        <v>1985</v>
      </c>
      <c r="D3014" t="s">
        <v>2028</v>
      </c>
      <c r="E3014" t="s">
        <v>57</v>
      </c>
      <c r="F3014" t="s">
        <v>47</v>
      </c>
      <c r="G3014" t="str">
        <f>INDEX(Risk_Matrix!$B$2:$D$4,MATCH(E3014,Risk_Matrix!$A$2:$A$4,0),MATCH(F3014,Risk_Matrix!$B$1:$D$1,0))</f>
        <v>Medium</v>
      </c>
      <c r="H3014" s="1">
        <v>46216</v>
      </c>
      <c r="I3014" t="s">
        <v>1987</v>
      </c>
      <c r="J3014" t="s">
        <v>1988</v>
      </c>
      <c r="K3014" t="s">
        <v>1998</v>
      </c>
      <c r="L3014">
        <f>IF(G3014="High",3,IF(G3014="Medium",2,1))</f>
        <v>2</v>
      </c>
    </row>
    <row r="3015" spans="1:12">
      <c r="A3015" t="s">
        <v>5041</v>
      </c>
      <c r="B3015" t="s">
        <v>1716</v>
      </c>
      <c r="C3015" t="s">
        <v>1991</v>
      </c>
      <c r="D3015" t="s">
        <v>2064</v>
      </c>
      <c r="E3015" t="s">
        <v>1971</v>
      </c>
      <c r="F3015" t="s">
        <v>57</v>
      </c>
      <c r="G3015" t="str">
        <f>INDEX(Risk_Matrix!$B$2:$D$4,MATCH(E3015,Risk_Matrix!$A$2:$A$4,0),MATCH(F3015,Risk_Matrix!$B$1:$D$1,0))</f>
        <v>Low</v>
      </c>
      <c r="H3015" s="1">
        <v>46216</v>
      </c>
      <c r="I3015" t="s">
        <v>2025</v>
      </c>
      <c r="J3015" t="s">
        <v>2026</v>
      </c>
      <c r="K3015" t="s">
        <v>1993</v>
      </c>
      <c r="L3015">
        <f>IF(G3015="High",3,IF(G3015="Medium",2,1))</f>
        <v>1</v>
      </c>
    </row>
    <row r="3016" spans="1:12">
      <c r="A3016" t="s">
        <v>5042</v>
      </c>
      <c r="B3016" t="s">
        <v>1716</v>
      </c>
      <c r="C3016" t="s">
        <v>1995</v>
      </c>
      <c r="D3016" t="s">
        <v>2018</v>
      </c>
      <c r="E3016" t="s">
        <v>1971</v>
      </c>
      <c r="F3016" t="s">
        <v>57</v>
      </c>
      <c r="G3016" t="str">
        <f>INDEX(Risk_Matrix!$B$2:$D$4,MATCH(E3016,Risk_Matrix!$A$2:$A$4,0),MATCH(F3016,Risk_Matrix!$B$1:$D$1,0))</f>
        <v>Low</v>
      </c>
      <c r="H3016" s="1">
        <v>46080</v>
      </c>
      <c r="I3016" t="s">
        <v>2025</v>
      </c>
      <c r="J3016" t="s">
        <v>2026</v>
      </c>
      <c r="K3016" t="s">
        <v>2036</v>
      </c>
      <c r="L3016">
        <f>IF(G3016="High",3,IF(G3016="Medium",2,1))</f>
        <v>1</v>
      </c>
    </row>
    <row r="3017" spans="1:12">
      <c r="A3017" t="s">
        <v>5043</v>
      </c>
      <c r="B3017" t="s">
        <v>1716</v>
      </c>
      <c r="C3017" t="s">
        <v>2000</v>
      </c>
      <c r="D3017" t="s">
        <v>2001</v>
      </c>
      <c r="E3017" t="s">
        <v>1971</v>
      </c>
      <c r="F3017" t="s">
        <v>57</v>
      </c>
      <c r="G3017" t="str">
        <f>INDEX(Risk_Matrix!$B$2:$D$4,MATCH(E3017,Risk_Matrix!$A$2:$A$4,0),MATCH(F3017,Risk_Matrix!$B$1:$D$1,0))</f>
        <v>Low</v>
      </c>
      <c r="H3017" s="1">
        <v>46163</v>
      </c>
      <c r="I3017" t="s">
        <v>2025</v>
      </c>
      <c r="J3017" t="s">
        <v>2035</v>
      </c>
      <c r="K3017" t="s">
        <v>1993</v>
      </c>
      <c r="L3017">
        <f>IF(G3017="High",3,IF(G3017="Medium",2,1))</f>
        <v>1</v>
      </c>
    </row>
    <row r="3018" spans="1:12">
      <c r="A3018" t="s">
        <v>5044</v>
      </c>
      <c r="B3018" t="s">
        <v>1716</v>
      </c>
      <c r="C3018" t="s">
        <v>2005</v>
      </c>
      <c r="D3018" t="s">
        <v>2022</v>
      </c>
      <c r="E3018" t="s">
        <v>57</v>
      </c>
      <c r="F3018" t="s">
        <v>57</v>
      </c>
      <c r="G3018" t="str">
        <f>INDEX(Risk_Matrix!$B$2:$D$4,MATCH(E3018,Risk_Matrix!$A$2:$A$4,0),MATCH(F3018,Risk_Matrix!$B$1:$D$1,0))</f>
        <v>Low</v>
      </c>
      <c r="H3018" s="1">
        <v>46179</v>
      </c>
      <c r="I3018" t="s">
        <v>2002</v>
      </c>
      <c r="J3018" t="s">
        <v>2029</v>
      </c>
      <c r="K3018" t="s">
        <v>1993</v>
      </c>
      <c r="L3018">
        <f>IF(G3018="High",3,IF(G3018="Medium",2,1))</f>
        <v>1</v>
      </c>
    </row>
    <row r="3019" spans="1:12">
      <c r="A3019" t="s">
        <v>5045</v>
      </c>
      <c r="B3019" t="s">
        <v>1716</v>
      </c>
      <c r="C3019" t="s">
        <v>2008</v>
      </c>
      <c r="D3019" t="s">
        <v>2024</v>
      </c>
      <c r="E3019" t="s">
        <v>57</v>
      </c>
      <c r="F3019" t="s">
        <v>57</v>
      </c>
      <c r="G3019" t="str">
        <f>INDEX(Risk_Matrix!$B$2:$D$4,MATCH(E3019,Risk_Matrix!$A$2:$A$4,0),MATCH(F3019,Risk_Matrix!$B$1:$D$1,0))</f>
        <v>Low</v>
      </c>
      <c r="H3019" s="1">
        <v>46171</v>
      </c>
      <c r="I3019" t="s">
        <v>2015</v>
      </c>
      <c r="J3019" t="s">
        <v>2016</v>
      </c>
      <c r="K3019" t="s">
        <v>2010</v>
      </c>
      <c r="L3019">
        <f>IF(G3019="High",3,IF(G3019="Medium",2,1))</f>
        <v>1</v>
      </c>
    </row>
    <row r="3020" spans="1:12">
      <c r="A3020" t="s">
        <v>5046</v>
      </c>
      <c r="B3020" t="s">
        <v>1718</v>
      </c>
      <c r="C3020" t="s">
        <v>1985</v>
      </c>
      <c r="D3020" t="s">
        <v>2028</v>
      </c>
      <c r="E3020" t="s">
        <v>57</v>
      </c>
      <c r="F3020" t="s">
        <v>1971</v>
      </c>
      <c r="G3020" t="str">
        <f>INDEX(Risk_Matrix!$B$2:$D$4,MATCH(E3020,Risk_Matrix!$A$2:$A$4,0),MATCH(F3020,Risk_Matrix!$B$1:$D$1,0))</f>
        <v>Low</v>
      </c>
      <c r="H3020" s="1">
        <v>46207</v>
      </c>
      <c r="I3020" t="s">
        <v>2015</v>
      </c>
      <c r="J3020" t="s">
        <v>2032</v>
      </c>
      <c r="K3020" t="s">
        <v>1989</v>
      </c>
      <c r="L3020">
        <f>IF(G3020="High",3,IF(G3020="Medium",2,1))</f>
        <v>1</v>
      </c>
    </row>
    <row r="3021" spans="1:12">
      <c r="A3021" t="s">
        <v>5047</v>
      </c>
      <c r="B3021" t="s">
        <v>1718</v>
      </c>
      <c r="C3021" t="s">
        <v>1991</v>
      </c>
      <c r="D3021" t="s">
        <v>2064</v>
      </c>
      <c r="E3021" t="s">
        <v>1971</v>
      </c>
      <c r="F3021" t="s">
        <v>1971</v>
      </c>
      <c r="G3021" t="str">
        <f>INDEX(Risk_Matrix!$B$2:$D$4,MATCH(E3021,Risk_Matrix!$A$2:$A$4,0),MATCH(F3021,Risk_Matrix!$B$1:$D$1,0))</f>
        <v>Medium</v>
      </c>
      <c r="H3021" s="1">
        <v>46107</v>
      </c>
      <c r="I3021" t="s">
        <v>1987</v>
      </c>
      <c r="J3021" t="s">
        <v>1988</v>
      </c>
      <c r="K3021" t="s">
        <v>1993</v>
      </c>
      <c r="L3021">
        <f>IF(G3021="High",3,IF(G3021="Medium",2,1))</f>
        <v>2</v>
      </c>
    </row>
    <row r="3022" spans="1:12">
      <c r="A3022" t="s">
        <v>5048</v>
      </c>
      <c r="B3022" t="s">
        <v>1718</v>
      </c>
      <c r="C3022" t="s">
        <v>1995</v>
      </c>
      <c r="D3022" t="s">
        <v>2034</v>
      </c>
      <c r="E3022" t="s">
        <v>1971</v>
      </c>
      <c r="F3022" t="s">
        <v>1971</v>
      </c>
      <c r="G3022" t="str">
        <f>INDEX(Risk_Matrix!$B$2:$D$4,MATCH(E3022,Risk_Matrix!$A$2:$A$4,0),MATCH(F3022,Risk_Matrix!$B$1:$D$1,0))</f>
        <v>Medium</v>
      </c>
      <c r="H3022" s="1">
        <v>46136</v>
      </c>
      <c r="I3022" t="s">
        <v>2025</v>
      </c>
      <c r="J3022" t="s">
        <v>2026</v>
      </c>
      <c r="K3022" t="s">
        <v>2036</v>
      </c>
      <c r="L3022">
        <f>IF(G3022="High",3,IF(G3022="Medium",2,1))</f>
        <v>2</v>
      </c>
    </row>
    <row r="3023" spans="1:12">
      <c r="A3023" t="s">
        <v>5049</v>
      </c>
      <c r="B3023" t="s">
        <v>1718</v>
      </c>
      <c r="C3023" t="s">
        <v>2000</v>
      </c>
      <c r="D3023" t="s">
        <v>2045</v>
      </c>
      <c r="E3023" t="s">
        <v>57</v>
      </c>
      <c r="F3023" t="s">
        <v>57</v>
      </c>
      <c r="G3023" t="str">
        <f>INDEX(Risk_Matrix!$B$2:$D$4,MATCH(E3023,Risk_Matrix!$A$2:$A$4,0),MATCH(F3023,Risk_Matrix!$B$1:$D$1,0))</f>
        <v>Low</v>
      </c>
      <c r="H3023" s="1">
        <v>46195</v>
      </c>
      <c r="I3023" t="s">
        <v>1987</v>
      </c>
      <c r="J3023" t="s">
        <v>1997</v>
      </c>
      <c r="K3023" t="s">
        <v>1993</v>
      </c>
      <c r="L3023">
        <f>IF(G3023="High",3,IF(G3023="Medium",2,1))</f>
        <v>1</v>
      </c>
    </row>
    <row r="3024" spans="1:12">
      <c r="A3024" t="s">
        <v>5050</v>
      </c>
      <c r="B3024" t="s">
        <v>1718</v>
      </c>
      <c r="C3024" t="s">
        <v>2005</v>
      </c>
      <c r="D3024" t="s">
        <v>2006</v>
      </c>
      <c r="E3024" t="s">
        <v>47</v>
      </c>
      <c r="F3024" t="s">
        <v>57</v>
      </c>
      <c r="G3024" t="str">
        <f>INDEX(Risk_Matrix!$B$2:$D$4,MATCH(E3024,Risk_Matrix!$A$2:$A$4,0),MATCH(F3024,Risk_Matrix!$B$1:$D$1,0))</f>
        <v>Medium</v>
      </c>
      <c r="H3024" s="1">
        <v>46065</v>
      </c>
      <c r="I3024" t="s">
        <v>2025</v>
      </c>
      <c r="J3024" t="s">
        <v>2035</v>
      </c>
      <c r="K3024" t="s">
        <v>1993</v>
      </c>
      <c r="L3024">
        <f>IF(G3024="High",3,IF(G3024="Medium",2,1))</f>
        <v>2</v>
      </c>
    </row>
    <row r="3025" spans="1:12">
      <c r="A3025" t="s">
        <v>5051</v>
      </c>
      <c r="B3025" t="s">
        <v>1718</v>
      </c>
      <c r="C3025" t="s">
        <v>2008</v>
      </c>
      <c r="D3025" t="s">
        <v>2054</v>
      </c>
      <c r="E3025" t="s">
        <v>57</v>
      </c>
      <c r="F3025" t="s">
        <v>57</v>
      </c>
      <c r="G3025" t="str">
        <f>INDEX(Risk_Matrix!$B$2:$D$4,MATCH(E3025,Risk_Matrix!$A$2:$A$4,0),MATCH(F3025,Risk_Matrix!$B$1:$D$1,0))</f>
        <v>Low</v>
      </c>
      <c r="H3025" s="1">
        <v>46133</v>
      </c>
      <c r="I3025" t="s">
        <v>2025</v>
      </c>
      <c r="J3025" t="s">
        <v>2035</v>
      </c>
      <c r="K3025" t="s">
        <v>2010</v>
      </c>
      <c r="L3025">
        <f>IF(G3025="High",3,IF(G3025="Medium",2,1))</f>
        <v>1</v>
      </c>
    </row>
    <row r="3026" spans="1:12">
      <c r="A3026" t="s">
        <v>5052</v>
      </c>
      <c r="B3026" t="s">
        <v>1720</v>
      </c>
      <c r="C3026" t="s">
        <v>1985</v>
      </c>
      <c r="D3026" t="s">
        <v>2062</v>
      </c>
      <c r="E3026" t="s">
        <v>1971</v>
      </c>
      <c r="F3026" t="s">
        <v>47</v>
      </c>
      <c r="G3026" t="str">
        <f>INDEX(Risk_Matrix!$B$2:$D$4,MATCH(E3026,Risk_Matrix!$A$2:$A$4,0),MATCH(F3026,Risk_Matrix!$B$1:$D$1,0))</f>
        <v>High</v>
      </c>
      <c r="H3026" s="1">
        <v>46108</v>
      </c>
      <c r="I3026" t="s">
        <v>2025</v>
      </c>
      <c r="J3026" t="s">
        <v>2026</v>
      </c>
      <c r="K3026" t="s">
        <v>1989</v>
      </c>
      <c r="L3026">
        <f>IF(G3026="High",3,IF(G3026="Medium",2,1))</f>
        <v>3</v>
      </c>
    </row>
    <row r="3027" spans="1:12">
      <c r="A3027" t="s">
        <v>5053</v>
      </c>
      <c r="B3027" t="s">
        <v>1720</v>
      </c>
      <c r="C3027" t="s">
        <v>1991</v>
      </c>
      <c r="D3027" t="s">
        <v>2014</v>
      </c>
      <c r="E3027" t="s">
        <v>57</v>
      </c>
      <c r="F3027" t="s">
        <v>57</v>
      </c>
      <c r="G3027" t="str">
        <f>INDEX(Risk_Matrix!$B$2:$D$4,MATCH(E3027,Risk_Matrix!$A$2:$A$4,0),MATCH(F3027,Risk_Matrix!$B$1:$D$1,0))</f>
        <v>Low</v>
      </c>
      <c r="H3027" s="1">
        <v>46109</v>
      </c>
      <c r="I3027" t="s">
        <v>1987</v>
      </c>
      <c r="J3027" t="s">
        <v>1988</v>
      </c>
      <c r="K3027" t="s">
        <v>1993</v>
      </c>
      <c r="L3027">
        <f>IF(G3027="High",3,IF(G3027="Medium",2,1))</f>
        <v>1</v>
      </c>
    </row>
    <row r="3028" spans="1:12">
      <c r="A3028" t="s">
        <v>5054</v>
      </c>
      <c r="B3028" t="s">
        <v>1720</v>
      </c>
      <c r="C3028" t="s">
        <v>1995</v>
      </c>
      <c r="D3028" t="s">
        <v>1996</v>
      </c>
      <c r="E3028" t="s">
        <v>1971</v>
      </c>
      <c r="F3028" t="s">
        <v>1971</v>
      </c>
      <c r="G3028" t="str">
        <f>INDEX(Risk_Matrix!$B$2:$D$4,MATCH(E3028,Risk_Matrix!$A$2:$A$4,0),MATCH(F3028,Risk_Matrix!$B$1:$D$1,0))</f>
        <v>Medium</v>
      </c>
      <c r="H3028" s="1">
        <v>46091</v>
      </c>
      <c r="I3028" t="s">
        <v>2025</v>
      </c>
      <c r="J3028" t="s">
        <v>2026</v>
      </c>
      <c r="K3028" t="s">
        <v>2036</v>
      </c>
      <c r="L3028">
        <f>IF(G3028="High",3,IF(G3028="Medium",2,1))</f>
        <v>2</v>
      </c>
    </row>
    <row r="3029" spans="1:12">
      <c r="A3029" t="s">
        <v>5055</v>
      </c>
      <c r="B3029" t="s">
        <v>1720</v>
      </c>
      <c r="C3029" t="s">
        <v>2000</v>
      </c>
      <c r="D3029" t="s">
        <v>2001</v>
      </c>
      <c r="E3029" t="s">
        <v>47</v>
      </c>
      <c r="F3029" t="s">
        <v>1971</v>
      </c>
      <c r="G3029" t="str">
        <f>INDEX(Risk_Matrix!$B$2:$D$4,MATCH(E3029,Risk_Matrix!$A$2:$A$4,0),MATCH(F3029,Risk_Matrix!$B$1:$D$1,0))</f>
        <v>High</v>
      </c>
      <c r="H3029" s="1">
        <v>46168</v>
      </c>
      <c r="I3029" t="s">
        <v>2015</v>
      </c>
      <c r="J3029" t="s">
        <v>2016</v>
      </c>
      <c r="K3029" t="s">
        <v>1993</v>
      </c>
      <c r="L3029">
        <f>IF(G3029="High",3,IF(G3029="Medium",2,1))</f>
        <v>3</v>
      </c>
    </row>
    <row r="3030" spans="1:12">
      <c r="A3030" t="s">
        <v>5056</v>
      </c>
      <c r="B3030" t="s">
        <v>1720</v>
      </c>
      <c r="C3030" t="s">
        <v>2005</v>
      </c>
      <c r="D3030" t="s">
        <v>2022</v>
      </c>
      <c r="E3030" t="s">
        <v>1971</v>
      </c>
      <c r="F3030" t="s">
        <v>57</v>
      </c>
      <c r="G3030" t="str">
        <f>INDEX(Risk_Matrix!$B$2:$D$4,MATCH(E3030,Risk_Matrix!$A$2:$A$4,0),MATCH(F3030,Risk_Matrix!$B$1:$D$1,0))</f>
        <v>Low</v>
      </c>
      <c r="H3030" s="1">
        <v>46156</v>
      </c>
      <c r="I3030" t="s">
        <v>2002</v>
      </c>
      <c r="J3030" t="s">
        <v>2003</v>
      </c>
      <c r="K3030" t="s">
        <v>1993</v>
      </c>
      <c r="L3030">
        <f>IF(G3030="High",3,IF(G3030="Medium",2,1))</f>
        <v>1</v>
      </c>
    </row>
    <row r="3031" spans="1:12">
      <c r="A3031" t="s">
        <v>5057</v>
      </c>
      <c r="B3031" t="s">
        <v>1720</v>
      </c>
      <c r="C3031" t="s">
        <v>2008</v>
      </c>
      <c r="D3031" t="s">
        <v>2009</v>
      </c>
      <c r="E3031" t="s">
        <v>1971</v>
      </c>
      <c r="F3031" t="s">
        <v>57</v>
      </c>
      <c r="G3031" t="str">
        <f>INDEX(Risk_Matrix!$B$2:$D$4,MATCH(E3031,Risk_Matrix!$A$2:$A$4,0),MATCH(F3031,Risk_Matrix!$B$1:$D$1,0))</f>
        <v>Low</v>
      </c>
      <c r="H3031" s="1">
        <v>46112</v>
      </c>
      <c r="I3031" t="s">
        <v>2025</v>
      </c>
      <c r="J3031" t="s">
        <v>2026</v>
      </c>
      <c r="K3031" t="s">
        <v>2010</v>
      </c>
      <c r="L3031">
        <f>IF(G3031="High",3,IF(G3031="Medium",2,1))</f>
        <v>1</v>
      </c>
    </row>
    <row r="3032" spans="1:12">
      <c r="A3032" t="s">
        <v>5058</v>
      </c>
      <c r="B3032" t="s">
        <v>1723</v>
      </c>
      <c r="C3032" t="s">
        <v>1985</v>
      </c>
      <c r="D3032" t="s">
        <v>1986</v>
      </c>
      <c r="E3032" t="s">
        <v>57</v>
      </c>
      <c r="F3032" t="s">
        <v>47</v>
      </c>
      <c r="G3032" t="str">
        <f>INDEX(Risk_Matrix!$B$2:$D$4,MATCH(E3032,Risk_Matrix!$A$2:$A$4,0),MATCH(F3032,Risk_Matrix!$B$1:$D$1,0))</f>
        <v>Medium</v>
      </c>
      <c r="H3032" s="1">
        <v>46168</v>
      </c>
      <c r="I3032" t="s">
        <v>2015</v>
      </c>
      <c r="J3032" t="s">
        <v>2032</v>
      </c>
      <c r="K3032" t="s">
        <v>1998</v>
      </c>
      <c r="L3032">
        <f>IF(G3032="High",3,IF(G3032="Medium",2,1))</f>
        <v>2</v>
      </c>
    </row>
    <row r="3033" spans="1:12">
      <c r="A3033" t="s">
        <v>5059</v>
      </c>
      <c r="B3033" t="s">
        <v>1723</v>
      </c>
      <c r="C3033" t="s">
        <v>1991</v>
      </c>
      <c r="D3033" t="s">
        <v>2014</v>
      </c>
      <c r="E3033" t="s">
        <v>57</v>
      </c>
      <c r="F3033" t="s">
        <v>47</v>
      </c>
      <c r="G3033" t="str">
        <f>INDEX(Risk_Matrix!$B$2:$D$4,MATCH(E3033,Risk_Matrix!$A$2:$A$4,0),MATCH(F3033,Risk_Matrix!$B$1:$D$1,0))</f>
        <v>Medium</v>
      </c>
      <c r="H3033" s="1">
        <v>46181</v>
      </c>
      <c r="I3033" t="s">
        <v>2015</v>
      </c>
      <c r="J3033" t="s">
        <v>2032</v>
      </c>
      <c r="K3033" t="s">
        <v>1993</v>
      </c>
      <c r="L3033">
        <f>IF(G3033="High",3,IF(G3033="Medium",2,1))</f>
        <v>2</v>
      </c>
    </row>
    <row r="3034" spans="1:12">
      <c r="A3034" t="s">
        <v>5060</v>
      </c>
      <c r="B3034" t="s">
        <v>1723</v>
      </c>
      <c r="C3034" t="s">
        <v>1995</v>
      </c>
      <c r="D3034" t="s">
        <v>2034</v>
      </c>
      <c r="E3034" t="s">
        <v>1971</v>
      </c>
      <c r="F3034" t="s">
        <v>57</v>
      </c>
      <c r="G3034" t="str">
        <f>INDEX(Risk_Matrix!$B$2:$D$4,MATCH(E3034,Risk_Matrix!$A$2:$A$4,0),MATCH(F3034,Risk_Matrix!$B$1:$D$1,0))</f>
        <v>Low</v>
      </c>
      <c r="H3034" s="1">
        <v>46146</v>
      </c>
      <c r="I3034" t="s">
        <v>1987</v>
      </c>
      <c r="J3034" t="s">
        <v>1997</v>
      </c>
      <c r="K3034" t="s">
        <v>2036</v>
      </c>
      <c r="L3034">
        <f>IF(G3034="High",3,IF(G3034="Medium",2,1))</f>
        <v>1</v>
      </c>
    </row>
    <row r="3035" spans="1:12">
      <c r="A3035" t="s">
        <v>5061</v>
      </c>
      <c r="B3035" t="s">
        <v>1723</v>
      </c>
      <c r="C3035" t="s">
        <v>2000</v>
      </c>
      <c r="D3035" t="s">
        <v>2045</v>
      </c>
      <c r="E3035" t="s">
        <v>1971</v>
      </c>
      <c r="F3035" t="s">
        <v>47</v>
      </c>
      <c r="G3035" t="str">
        <f>INDEX(Risk_Matrix!$B$2:$D$4,MATCH(E3035,Risk_Matrix!$A$2:$A$4,0),MATCH(F3035,Risk_Matrix!$B$1:$D$1,0))</f>
        <v>High</v>
      </c>
      <c r="H3035" s="1">
        <v>46172</v>
      </c>
      <c r="I3035" t="s">
        <v>2015</v>
      </c>
      <c r="J3035" t="s">
        <v>2032</v>
      </c>
      <c r="K3035" t="s">
        <v>1993</v>
      </c>
      <c r="L3035">
        <f>IF(G3035="High",3,IF(G3035="Medium",2,1))</f>
        <v>3</v>
      </c>
    </row>
    <row r="3036" spans="1:12">
      <c r="A3036" t="s">
        <v>5062</v>
      </c>
      <c r="B3036" t="s">
        <v>1723</v>
      </c>
      <c r="C3036" t="s">
        <v>2005</v>
      </c>
      <c r="D3036" t="s">
        <v>2022</v>
      </c>
      <c r="E3036" t="s">
        <v>57</v>
      </c>
      <c r="F3036" t="s">
        <v>57</v>
      </c>
      <c r="G3036" t="str">
        <f>INDEX(Risk_Matrix!$B$2:$D$4,MATCH(E3036,Risk_Matrix!$A$2:$A$4,0),MATCH(F3036,Risk_Matrix!$B$1:$D$1,0))</f>
        <v>Low</v>
      </c>
      <c r="H3036" s="1">
        <v>46212</v>
      </c>
      <c r="I3036" t="s">
        <v>2015</v>
      </c>
      <c r="J3036" t="s">
        <v>2016</v>
      </c>
      <c r="K3036" t="s">
        <v>2036</v>
      </c>
      <c r="L3036">
        <f>IF(G3036="High",3,IF(G3036="Medium",2,1))</f>
        <v>1</v>
      </c>
    </row>
    <row r="3037" spans="1:12">
      <c r="A3037" t="s">
        <v>5063</v>
      </c>
      <c r="B3037" t="s">
        <v>1723</v>
      </c>
      <c r="C3037" t="s">
        <v>2008</v>
      </c>
      <c r="D3037" t="s">
        <v>2009</v>
      </c>
      <c r="E3037" t="s">
        <v>1971</v>
      </c>
      <c r="F3037" t="s">
        <v>47</v>
      </c>
      <c r="G3037" t="str">
        <f>INDEX(Risk_Matrix!$B$2:$D$4,MATCH(E3037,Risk_Matrix!$A$2:$A$4,0),MATCH(F3037,Risk_Matrix!$B$1:$D$1,0))</f>
        <v>High</v>
      </c>
      <c r="H3037" s="1">
        <v>46237</v>
      </c>
      <c r="I3037" t="s">
        <v>2015</v>
      </c>
      <c r="J3037" t="s">
        <v>2032</v>
      </c>
      <c r="K3037" t="s">
        <v>2010</v>
      </c>
      <c r="L3037">
        <f>IF(G3037="High",3,IF(G3037="Medium",2,1))</f>
        <v>3</v>
      </c>
    </row>
    <row r="3038" spans="1:12">
      <c r="A3038" t="s">
        <v>5064</v>
      </c>
      <c r="B3038" t="s">
        <v>1725</v>
      </c>
      <c r="C3038" t="s">
        <v>1985</v>
      </c>
      <c r="D3038" t="s">
        <v>2062</v>
      </c>
      <c r="E3038" t="s">
        <v>57</v>
      </c>
      <c r="F3038" t="s">
        <v>57</v>
      </c>
      <c r="G3038" t="str">
        <f>INDEX(Risk_Matrix!$B$2:$D$4,MATCH(E3038,Risk_Matrix!$A$2:$A$4,0),MATCH(F3038,Risk_Matrix!$B$1:$D$1,0))</f>
        <v>Low</v>
      </c>
      <c r="H3038" s="1">
        <v>46223</v>
      </c>
      <c r="I3038" t="s">
        <v>1987</v>
      </c>
      <c r="J3038" t="s">
        <v>1997</v>
      </c>
      <c r="K3038" t="s">
        <v>1998</v>
      </c>
      <c r="L3038">
        <f>IF(G3038="High",3,IF(G3038="Medium",2,1))</f>
        <v>1</v>
      </c>
    </row>
    <row r="3039" spans="1:12">
      <c r="A3039" t="s">
        <v>5065</v>
      </c>
      <c r="B3039" t="s">
        <v>1725</v>
      </c>
      <c r="C3039" t="s">
        <v>1991</v>
      </c>
      <c r="D3039" t="s">
        <v>2014</v>
      </c>
      <c r="E3039" t="s">
        <v>57</v>
      </c>
      <c r="F3039" t="s">
        <v>57</v>
      </c>
      <c r="G3039" t="str">
        <f>INDEX(Risk_Matrix!$B$2:$D$4,MATCH(E3039,Risk_Matrix!$A$2:$A$4,0),MATCH(F3039,Risk_Matrix!$B$1:$D$1,0))</f>
        <v>Low</v>
      </c>
      <c r="H3039" s="1">
        <v>46213</v>
      </c>
      <c r="I3039" t="s">
        <v>2025</v>
      </c>
      <c r="J3039" t="s">
        <v>2026</v>
      </c>
      <c r="K3039" t="s">
        <v>2010</v>
      </c>
      <c r="L3039">
        <f>IF(G3039="High",3,IF(G3039="Medium",2,1))</f>
        <v>1</v>
      </c>
    </row>
    <row r="3040" spans="1:12">
      <c r="A3040" t="s">
        <v>5066</v>
      </c>
      <c r="B3040" t="s">
        <v>1725</v>
      </c>
      <c r="C3040" t="s">
        <v>1995</v>
      </c>
      <c r="D3040" t="s">
        <v>2034</v>
      </c>
      <c r="E3040" t="s">
        <v>57</v>
      </c>
      <c r="F3040" t="s">
        <v>57</v>
      </c>
      <c r="G3040" t="str">
        <f>INDEX(Risk_Matrix!$B$2:$D$4,MATCH(E3040,Risk_Matrix!$A$2:$A$4,0),MATCH(F3040,Risk_Matrix!$B$1:$D$1,0))</f>
        <v>Low</v>
      </c>
      <c r="H3040" s="1">
        <v>46166</v>
      </c>
      <c r="I3040" t="s">
        <v>2002</v>
      </c>
      <c r="J3040" t="s">
        <v>2029</v>
      </c>
      <c r="K3040" t="s">
        <v>1998</v>
      </c>
      <c r="L3040">
        <f>IF(G3040="High",3,IF(G3040="Medium",2,1))</f>
        <v>1</v>
      </c>
    </row>
    <row r="3041" spans="1:12">
      <c r="A3041" t="s">
        <v>5067</v>
      </c>
      <c r="B3041" t="s">
        <v>1725</v>
      </c>
      <c r="C3041" t="s">
        <v>2000</v>
      </c>
      <c r="D3041" t="s">
        <v>2045</v>
      </c>
      <c r="E3041" t="s">
        <v>47</v>
      </c>
      <c r="F3041" t="s">
        <v>57</v>
      </c>
      <c r="G3041" t="str">
        <f>INDEX(Risk_Matrix!$B$2:$D$4,MATCH(E3041,Risk_Matrix!$A$2:$A$4,0),MATCH(F3041,Risk_Matrix!$B$1:$D$1,0))</f>
        <v>Medium</v>
      </c>
      <c r="H3041" s="1">
        <v>46182</v>
      </c>
      <c r="I3041" t="s">
        <v>2015</v>
      </c>
      <c r="J3041" t="s">
        <v>2032</v>
      </c>
      <c r="K3041" t="s">
        <v>1989</v>
      </c>
      <c r="L3041">
        <f>IF(G3041="High",3,IF(G3041="Medium",2,1))</f>
        <v>2</v>
      </c>
    </row>
    <row r="3042" spans="1:12">
      <c r="A3042" t="s">
        <v>5068</v>
      </c>
      <c r="B3042" t="s">
        <v>1725</v>
      </c>
      <c r="C3042" t="s">
        <v>2005</v>
      </c>
      <c r="D3042" t="s">
        <v>2039</v>
      </c>
      <c r="E3042" t="s">
        <v>57</v>
      </c>
      <c r="F3042" t="s">
        <v>57</v>
      </c>
      <c r="G3042" t="str">
        <f>INDEX(Risk_Matrix!$B$2:$D$4,MATCH(E3042,Risk_Matrix!$A$2:$A$4,0),MATCH(F3042,Risk_Matrix!$B$1:$D$1,0))</f>
        <v>Low</v>
      </c>
      <c r="H3042" s="1">
        <v>46095</v>
      </c>
      <c r="I3042" t="s">
        <v>2002</v>
      </c>
      <c r="J3042" t="s">
        <v>2003</v>
      </c>
      <c r="K3042" t="s">
        <v>1993</v>
      </c>
      <c r="L3042">
        <f>IF(G3042="High",3,IF(G3042="Medium",2,1))</f>
        <v>1</v>
      </c>
    </row>
    <row r="3043" spans="1:12">
      <c r="A3043" t="s">
        <v>5069</v>
      </c>
      <c r="B3043" t="s">
        <v>1725</v>
      </c>
      <c r="C3043" t="s">
        <v>2008</v>
      </c>
      <c r="D3043" t="s">
        <v>2024</v>
      </c>
      <c r="E3043" t="s">
        <v>57</v>
      </c>
      <c r="F3043" t="s">
        <v>57</v>
      </c>
      <c r="G3043" t="str">
        <f>INDEX(Risk_Matrix!$B$2:$D$4,MATCH(E3043,Risk_Matrix!$A$2:$A$4,0),MATCH(F3043,Risk_Matrix!$B$1:$D$1,0))</f>
        <v>Low</v>
      </c>
      <c r="H3043" s="1">
        <v>46179</v>
      </c>
      <c r="I3043" t="s">
        <v>1987</v>
      </c>
      <c r="J3043" t="s">
        <v>1997</v>
      </c>
      <c r="K3043" t="s">
        <v>2010</v>
      </c>
      <c r="L3043">
        <f>IF(G3043="High",3,IF(G3043="Medium",2,1))</f>
        <v>1</v>
      </c>
    </row>
    <row r="3044" spans="1:12">
      <c r="A3044" t="s">
        <v>5070</v>
      </c>
      <c r="B3044" t="s">
        <v>1728</v>
      </c>
      <c r="C3044" t="s">
        <v>1985</v>
      </c>
      <c r="D3044" t="s">
        <v>2012</v>
      </c>
      <c r="E3044" t="s">
        <v>1971</v>
      </c>
      <c r="F3044" t="s">
        <v>47</v>
      </c>
      <c r="G3044" t="str">
        <f>INDEX(Risk_Matrix!$B$2:$D$4,MATCH(E3044,Risk_Matrix!$A$2:$A$4,0),MATCH(F3044,Risk_Matrix!$B$1:$D$1,0))</f>
        <v>High</v>
      </c>
      <c r="H3044" s="1">
        <v>46162</v>
      </c>
      <c r="I3044" t="s">
        <v>2015</v>
      </c>
      <c r="J3044" t="s">
        <v>2032</v>
      </c>
      <c r="K3044" t="s">
        <v>1989</v>
      </c>
      <c r="L3044">
        <f>IF(G3044="High",3,IF(G3044="Medium",2,1))</f>
        <v>3</v>
      </c>
    </row>
    <row r="3045" spans="1:12">
      <c r="A3045" t="s">
        <v>5071</v>
      </c>
      <c r="B3045" t="s">
        <v>1728</v>
      </c>
      <c r="C3045" t="s">
        <v>1991</v>
      </c>
      <c r="D3045" t="s">
        <v>2031</v>
      </c>
      <c r="E3045" t="s">
        <v>57</v>
      </c>
      <c r="F3045" t="s">
        <v>57</v>
      </c>
      <c r="G3045" t="str">
        <f>INDEX(Risk_Matrix!$B$2:$D$4,MATCH(E3045,Risk_Matrix!$A$2:$A$4,0),MATCH(F3045,Risk_Matrix!$B$1:$D$1,0))</f>
        <v>Low</v>
      </c>
      <c r="H3045" s="1">
        <v>46144</v>
      </c>
      <c r="I3045" t="s">
        <v>1987</v>
      </c>
      <c r="J3045" t="s">
        <v>1997</v>
      </c>
      <c r="K3045" t="s">
        <v>1993</v>
      </c>
      <c r="L3045">
        <f>IF(G3045="High",3,IF(G3045="Medium",2,1))</f>
        <v>1</v>
      </c>
    </row>
    <row r="3046" spans="1:12">
      <c r="A3046" t="s">
        <v>5072</v>
      </c>
      <c r="B3046" t="s">
        <v>1728</v>
      </c>
      <c r="C3046" t="s">
        <v>1995</v>
      </c>
      <c r="D3046" t="s">
        <v>2018</v>
      </c>
      <c r="E3046" t="s">
        <v>47</v>
      </c>
      <c r="F3046" t="s">
        <v>57</v>
      </c>
      <c r="G3046" t="str">
        <f>INDEX(Risk_Matrix!$B$2:$D$4,MATCH(E3046,Risk_Matrix!$A$2:$A$4,0),MATCH(F3046,Risk_Matrix!$B$1:$D$1,0))</f>
        <v>Medium</v>
      </c>
      <c r="H3046" s="1">
        <v>46095</v>
      </c>
      <c r="I3046" t="s">
        <v>1987</v>
      </c>
      <c r="J3046" t="s">
        <v>1988</v>
      </c>
      <c r="K3046" t="s">
        <v>1998</v>
      </c>
      <c r="L3046">
        <f>IF(G3046="High",3,IF(G3046="Medium",2,1))</f>
        <v>2</v>
      </c>
    </row>
    <row r="3047" spans="1:12">
      <c r="A3047" t="s">
        <v>5073</v>
      </c>
      <c r="B3047" t="s">
        <v>1728</v>
      </c>
      <c r="C3047" t="s">
        <v>2000</v>
      </c>
      <c r="D3047" t="s">
        <v>2001</v>
      </c>
      <c r="E3047" t="s">
        <v>1971</v>
      </c>
      <c r="F3047" t="s">
        <v>47</v>
      </c>
      <c r="G3047" t="str">
        <f>INDEX(Risk_Matrix!$B$2:$D$4,MATCH(E3047,Risk_Matrix!$A$2:$A$4,0),MATCH(F3047,Risk_Matrix!$B$1:$D$1,0))</f>
        <v>High</v>
      </c>
      <c r="H3047" s="1">
        <v>46126</v>
      </c>
      <c r="I3047" t="s">
        <v>2025</v>
      </c>
      <c r="J3047" t="s">
        <v>2035</v>
      </c>
      <c r="K3047" t="s">
        <v>1989</v>
      </c>
      <c r="L3047">
        <f>IF(G3047="High",3,IF(G3047="Medium",2,1))</f>
        <v>3</v>
      </c>
    </row>
    <row r="3048" spans="1:12">
      <c r="A3048" t="s">
        <v>5074</v>
      </c>
      <c r="B3048" t="s">
        <v>1728</v>
      </c>
      <c r="C3048" t="s">
        <v>2005</v>
      </c>
      <c r="D3048" t="s">
        <v>2022</v>
      </c>
      <c r="E3048" t="s">
        <v>1971</v>
      </c>
      <c r="F3048" t="s">
        <v>1971</v>
      </c>
      <c r="G3048" t="str">
        <f>INDEX(Risk_Matrix!$B$2:$D$4,MATCH(E3048,Risk_Matrix!$A$2:$A$4,0),MATCH(F3048,Risk_Matrix!$B$1:$D$1,0))</f>
        <v>Medium</v>
      </c>
      <c r="H3048" s="1">
        <v>46214</v>
      </c>
      <c r="I3048" t="s">
        <v>1987</v>
      </c>
      <c r="J3048" t="s">
        <v>1997</v>
      </c>
      <c r="K3048" t="s">
        <v>1993</v>
      </c>
      <c r="L3048">
        <f>IF(G3048="High",3,IF(G3048="Medium",2,1))</f>
        <v>2</v>
      </c>
    </row>
    <row r="3049" spans="1:12">
      <c r="A3049" t="s">
        <v>5075</v>
      </c>
      <c r="B3049" t="s">
        <v>1728</v>
      </c>
      <c r="C3049" t="s">
        <v>2008</v>
      </c>
      <c r="D3049" t="s">
        <v>2009</v>
      </c>
      <c r="E3049" t="s">
        <v>47</v>
      </c>
      <c r="F3049" t="s">
        <v>57</v>
      </c>
      <c r="G3049" t="str">
        <f>INDEX(Risk_Matrix!$B$2:$D$4,MATCH(E3049,Risk_Matrix!$A$2:$A$4,0),MATCH(F3049,Risk_Matrix!$B$1:$D$1,0))</f>
        <v>Medium</v>
      </c>
      <c r="H3049" s="1">
        <v>46232</v>
      </c>
      <c r="I3049" t="s">
        <v>2002</v>
      </c>
      <c r="J3049" t="s">
        <v>2003</v>
      </c>
      <c r="K3049" t="s">
        <v>2010</v>
      </c>
      <c r="L3049">
        <f>IF(G3049="High",3,IF(G3049="Medium",2,1))</f>
        <v>2</v>
      </c>
    </row>
    <row r="3050" spans="1:12">
      <c r="A3050" t="s">
        <v>5076</v>
      </c>
      <c r="B3050" t="s">
        <v>1730</v>
      </c>
      <c r="C3050" t="s">
        <v>1985</v>
      </c>
      <c r="D3050" t="s">
        <v>2028</v>
      </c>
      <c r="E3050" t="s">
        <v>1971</v>
      </c>
      <c r="F3050" t="s">
        <v>1971</v>
      </c>
      <c r="G3050" t="str">
        <f>INDEX(Risk_Matrix!$B$2:$D$4,MATCH(E3050,Risk_Matrix!$A$2:$A$4,0),MATCH(F3050,Risk_Matrix!$B$1:$D$1,0))</f>
        <v>Medium</v>
      </c>
      <c r="H3050" s="1">
        <v>46205</v>
      </c>
      <c r="I3050" t="s">
        <v>1987</v>
      </c>
      <c r="J3050" t="s">
        <v>1988</v>
      </c>
      <c r="K3050" t="s">
        <v>1989</v>
      </c>
      <c r="L3050">
        <f>IF(G3050="High",3,IF(G3050="Medium",2,1))</f>
        <v>2</v>
      </c>
    </row>
    <row r="3051" spans="1:12">
      <c r="A3051" t="s">
        <v>5077</v>
      </c>
      <c r="B3051" t="s">
        <v>1730</v>
      </c>
      <c r="C3051" t="s">
        <v>1991</v>
      </c>
      <c r="D3051" t="s">
        <v>2064</v>
      </c>
      <c r="E3051" t="s">
        <v>57</v>
      </c>
      <c r="F3051" t="s">
        <v>57</v>
      </c>
      <c r="G3051" t="str">
        <f>INDEX(Risk_Matrix!$B$2:$D$4,MATCH(E3051,Risk_Matrix!$A$2:$A$4,0),MATCH(F3051,Risk_Matrix!$B$1:$D$1,0))</f>
        <v>Low</v>
      </c>
      <c r="H3051" s="1">
        <v>46156</v>
      </c>
      <c r="I3051" t="s">
        <v>2015</v>
      </c>
      <c r="J3051" t="s">
        <v>2032</v>
      </c>
      <c r="K3051" t="s">
        <v>2010</v>
      </c>
      <c r="L3051">
        <f>IF(G3051="High",3,IF(G3051="Medium",2,1))</f>
        <v>1</v>
      </c>
    </row>
    <row r="3052" spans="1:12">
      <c r="A3052" t="s">
        <v>5078</v>
      </c>
      <c r="B3052" t="s">
        <v>1730</v>
      </c>
      <c r="C3052" t="s">
        <v>1995</v>
      </c>
      <c r="D3052" t="s">
        <v>1996</v>
      </c>
      <c r="E3052" t="s">
        <v>57</v>
      </c>
      <c r="F3052" t="s">
        <v>1971</v>
      </c>
      <c r="G3052" t="str">
        <f>INDEX(Risk_Matrix!$B$2:$D$4,MATCH(E3052,Risk_Matrix!$A$2:$A$4,0),MATCH(F3052,Risk_Matrix!$B$1:$D$1,0))</f>
        <v>Low</v>
      </c>
      <c r="H3052" s="1">
        <v>46104</v>
      </c>
      <c r="I3052" t="s">
        <v>2002</v>
      </c>
      <c r="J3052" t="s">
        <v>2029</v>
      </c>
      <c r="K3052" t="s">
        <v>1998</v>
      </c>
      <c r="L3052">
        <f>IF(G3052="High",3,IF(G3052="Medium",2,1))</f>
        <v>1</v>
      </c>
    </row>
    <row r="3053" spans="1:12">
      <c r="A3053" t="s">
        <v>5079</v>
      </c>
      <c r="B3053" t="s">
        <v>1730</v>
      </c>
      <c r="C3053" t="s">
        <v>2000</v>
      </c>
      <c r="D3053" t="s">
        <v>2045</v>
      </c>
      <c r="E3053" t="s">
        <v>57</v>
      </c>
      <c r="F3053" t="s">
        <v>57</v>
      </c>
      <c r="G3053" t="str">
        <f>INDEX(Risk_Matrix!$B$2:$D$4,MATCH(E3053,Risk_Matrix!$A$2:$A$4,0),MATCH(F3053,Risk_Matrix!$B$1:$D$1,0))</f>
        <v>Low</v>
      </c>
      <c r="H3053" s="1">
        <v>46179</v>
      </c>
      <c r="I3053" t="s">
        <v>2015</v>
      </c>
      <c r="J3053" t="s">
        <v>2016</v>
      </c>
      <c r="K3053" t="s">
        <v>1989</v>
      </c>
      <c r="L3053">
        <f>IF(G3053="High",3,IF(G3053="Medium",2,1))</f>
        <v>1</v>
      </c>
    </row>
    <row r="3054" spans="1:12">
      <c r="A3054" t="s">
        <v>5080</v>
      </c>
      <c r="B3054" t="s">
        <v>1730</v>
      </c>
      <c r="C3054" t="s">
        <v>2005</v>
      </c>
      <c r="D3054" t="s">
        <v>2039</v>
      </c>
      <c r="E3054" t="s">
        <v>47</v>
      </c>
      <c r="F3054" t="s">
        <v>57</v>
      </c>
      <c r="G3054" t="str">
        <f>INDEX(Risk_Matrix!$B$2:$D$4,MATCH(E3054,Risk_Matrix!$A$2:$A$4,0),MATCH(F3054,Risk_Matrix!$B$1:$D$1,0))</f>
        <v>Medium</v>
      </c>
      <c r="H3054" s="1">
        <v>46161</v>
      </c>
      <c r="I3054" t="s">
        <v>2015</v>
      </c>
      <c r="J3054" t="s">
        <v>2032</v>
      </c>
      <c r="K3054" t="s">
        <v>1993</v>
      </c>
      <c r="L3054">
        <f>IF(G3054="High",3,IF(G3054="Medium",2,1))</f>
        <v>2</v>
      </c>
    </row>
    <row r="3055" spans="1:12">
      <c r="A3055" t="s">
        <v>5081</v>
      </c>
      <c r="B3055" t="s">
        <v>1730</v>
      </c>
      <c r="C3055" t="s">
        <v>2008</v>
      </c>
      <c r="D3055" t="s">
        <v>2009</v>
      </c>
      <c r="E3055" t="s">
        <v>1971</v>
      </c>
      <c r="F3055" t="s">
        <v>57</v>
      </c>
      <c r="G3055" t="str">
        <f>INDEX(Risk_Matrix!$B$2:$D$4,MATCH(E3055,Risk_Matrix!$A$2:$A$4,0),MATCH(F3055,Risk_Matrix!$B$1:$D$1,0))</f>
        <v>Low</v>
      </c>
      <c r="H3055" s="1">
        <v>46170</v>
      </c>
      <c r="I3055" t="s">
        <v>2025</v>
      </c>
      <c r="J3055" t="s">
        <v>2035</v>
      </c>
      <c r="K3055" t="s">
        <v>2010</v>
      </c>
      <c r="L3055">
        <f>IF(G3055="High",3,IF(G3055="Medium",2,1))</f>
        <v>1</v>
      </c>
    </row>
    <row r="3056" spans="1:12">
      <c r="A3056" t="s">
        <v>5082</v>
      </c>
      <c r="B3056" t="s">
        <v>1732</v>
      </c>
      <c r="C3056" t="s">
        <v>1985</v>
      </c>
      <c r="D3056" t="s">
        <v>1986</v>
      </c>
      <c r="E3056" t="s">
        <v>57</v>
      </c>
      <c r="F3056" t="s">
        <v>57</v>
      </c>
      <c r="G3056" t="str">
        <f>INDEX(Risk_Matrix!$B$2:$D$4,MATCH(E3056,Risk_Matrix!$A$2:$A$4,0),MATCH(F3056,Risk_Matrix!$B$1:$D$1,0))</f>
        <v>Low</v>
      </c>
      <c r="H3056" s="1">
        <v>46085</v>
      </c>
      <c r="I3056" t="s">
        <v>2025</v>
      </c>
      <c r="J3056" t="s">
        <v>2035</v>
      </c>
      <c r="K3056" t="s">
        <v>1989</v>
      </c>
      <c r="L3056">
        <f>IF(G3056="High",3,IF(G3056="Medium",2,1))</f>
        <v>1</v>
      </c>
    </row>
    <row r="3057" spans="1:12">
      <c r="A3057" t="s">
        <v>5083</v>
      </c>
      <c r="B3057" t="s">
        <v>1732</v>
      </c>
      <c r="C3057" t="s">
        <v>1991</v>
      </c>
      <c r="D3057" t="s">
        <v>2031</v>
      </c>
      <c r="E3057" t="s">
        <v>57</v>
      </c>
      <c r="F3057" t="s">
        <v>57</v>
      </c>
      <c r="G3057" t="str">
        <f>INDEX(Risk_Matrix!$B$2:$D$4,MATCH(E3057,Risk_Matrix!$A$2:$A$4,0),MATCH(F3057,Risk_Matrix!$B$1:$D$1,0))</f>
        <v>Low</v>
      </c>
      <c r="H3057" s="1">
        <v>46128</v>
      </c>
      <c r="I3057" t="s">
        <v>2025</v>
      </c>
      <c r="J3057" t="s">
        <v>2035</v>
      </c>
      <c r="K3057" t="s">
        <v>2010</v>
      </c>
      <c r="L3057">
        <f>IF(G3057="High",3,IF(G3057="Medium",2,1))</f>
        <v>1</v>
      </c>
    </row>
    <row r="3058" spans="1:12">
      <c r="A3058" t="s">
        <v>5084</v>
      </c>
      <c r="B3058" t="s">
        <v>1732</v>
      </c>
      <c r="C3058" t="s">
        <v>1995</v>
      </c>
      <c r="D3058" t="s">
        <v>2034</v>
      </c>
      <c r="E3058" t="s">
        <v>1971</v>
      </c>
      <c r="F3058" t="s">
        <v>57</v>
      </c>
      <c r="G3058" t="str">
        <f>INDEX(Risk_Matrix!$B$2:$D$4,MATCH(E3058,Risk_Matrix!$A$2:$A$4,0),MATCH(F3058,Risk_Matrix!$B$1:$D$1,0))</f>
        <v>Low</v>
      </c>
      <c r="H3058" s="1">
        <v>46118</v>
      </c>
      <c r="I3058" t="s">
        <v>2002</v>
      </c>
      <c r="J3058" t="s">
        <v>2029</v>
      </c>
      <c r="K3058" t="s">
        <v>2036</v>
      </c>
      <c r="L3058">
        <f>IF(G3058="High",3,IF(G3058="Medium",2,1))</f>
        <v>1</v>
      </c>
    </row>
    <row r="3059" spans="1:12">
      <c r="A3059" t="s">
        <v>5085</v>
      </c>
      <c r="B3059" t="s">
        <v>1732</v>
      </c>
      <c r="C3059" t="s">
        <v>2000</v>
      </c>
      <c r="D3059" t="s">
        <v>2020</v>
      </c>
      <c r="E3059" t="s">
        <v>47</v>
      </c>
      <c r="F3059" t="s">
        <v>47</v>
      </c>
      <c r="G3059" t="str">
        <f>INDEX(Risk_Matrix!$B$2:$D$4,MATCH(E3059,Risk_Matrix!$A$2:$A$4,0),MATCH(F3059,Risk_Matrix!$B$1:$D$1,0))</f>
        <v>High</v>
      </c>
      <c r="H3059" s="1">
        <v>46213</v>
      </c>
      <c r="I3059" t="s">
        <v>2015</v>
      </c>
      <c r="J3059" t="s">
        <v>2016</v>
      </c>
      <c r="K3059" t="s">
        <v>1989</v>
      </c>
      <c r="L3059">
        <f>IF(G3059="High",3,IF(G3059="Medium",2,1))</f>
        <v>3</v>
      </c>
    </row>
    <row r="3060" spans="1:12">
      <c r="A3060" t="s">
        <v>5086</v>
      </c>
      <c r="B3060" t="s">
        <v>1732</v>
      </c>
      <c r="C3060" t="s">
        <v>2005</v>
      </c>
      <c r="D3060" t="s">
        <v>2039</v>
      </c>
      <c r="E3060" t="s">
        <v>1971</v>
      </c>
      <c r="F3060" t="s">
        <v>1971</v>
      </c>
      <c r="G3060" t="str">
        <f>INDEX(Risk_Matrix!$B$2:$D$4,MATCH(E3060,Risk_Matrix!$A$2:$A$4,0),MATCH(F3060,Risk_Matrix!$B$1:$D$1,0))</f>
        <v>Medium</v>
      </c>
      <c r="H3060" s="1">
        <v>46160</v>
      </c>
      <c r="I3060" t="s">
        <v>2025</v>
      </c>
      <c r="J3060" t="s">
        <v>2035</v>
      </c>
      <c r="K3060" t="s">
        <v>1993</v>
      </c>
      <c r="L3060">
        <f>IF(G3060="High",3,IF(G3060="Medium",2,1))</f>
        <v>2</v>
      </c>
    </row>
    <row r="3061" spans="1:12">
      <c r="A3061" t="s">
        <v>5087</v>
      </c>
      <c r="B3061" t="s">
        <v>1732</v>
      </c>
      <c r="C3061" t="s">
        <v>2008</v>
      </c>
      <c r="D3061" t="s">
        <v>2024</v>
      </c>
      <c r="E3061" t="s">
        <v>47</v>
      </c>
      <c r="F3061" t="s">
        <v>1971</v>
      </c>
      <c r="G3061" t="str">
        <f>INDEX(Risk_Matrix!$B$2:$D$4,MATCH(E3061,Risk_Matrix!$A$2:$A$4,0),MATCH(F3061,Risk_Matrix!$B$1:$D$1,0))</f>
        <v>High</v>
      </c>
      <c r="H3061" s="1">
        <v>46159</v>
      </c>
      <c r="I3061" t="s">
        <v>2015</v>
      </c>
      <c r="J3061" t="s">
        <v>2016</v>
      </c>
      <c r="K3061" t="s">
        <v>2010</v>
      </c>
      <c r="L3061">
        <f>IF(G3061="High",3,IF(G3061="Medium",2,1))</f>
        <v>3</v>
      </c>
    </row>
    <row r="3062" spans="1:12">
      <c r="A3062" t="s">
        <v>5088</v>
      </c>
      <c r="B3062" t="s">
        <v>1735</v>
      </c>
      <c r="C3062" t="s">
        <v>1985</v>
      </c>
      <c r="D3062" t="s">
        <v>1986</v>
      </c>
      <c r="E3062" t="s">
        <v>57</v>
      </c>
      <c r="F3062" t="s">
        <v>1971</v>
      </c>
      <c r="G3062" t="str">
        <f>INDEX(Risk_Matrix!$B$2:$D$4,MATCH(E3062,Risk_Matrix!$A$2:$A$4,0),MATCH(F3062,Risk_Matrix!$B$1:$D$1,0))</f>
        <v>Low</v>
      </c>
      <c r="H3062" s="1">
        <v>46144</v>
      </c>
      <c r="I3062" t="s">
        <v>2002</v>
      </c>
      <c r="J3062" t="s">
        <v>2029</v>
      </c>
      <c r="K3062" t="s">
        <v>1998</v>
      </c>
      <c r="L3062">
        <f>IF(G3062="High",3,IF(G3062="Medium",2,1))</f>
        <v>1</v>
      </c>
    </row>
    <row r="3063" spans="1:12">
      <c r="A3063" t="s">
        <v>5089</v>
      </c>
      <c r="B3063" t="s">
        <v>1735</v>
      </c>
      <c r="C3063" t="s">
        <v>1991</v>
      </c>
      <c r="D3063" t="s">
        <v>2064</v>
      </c>
      <c r="E3063" t="s">
        <v>1971</v>
      </c>
      <c r="F3063" t="s">
        <v>47</v>
      </c>
      <c r="G3063" t="str">
        <f>INDEX(Risk_Matrix!$B$2:$D$4,MATCH(E3063,Risk_Matrix!$A$2:$A$4,0),MATCH(F3063,Risk_Matrix!$B$1:$D$1,0))</f>
        <v>High</v>
      </c>
      <c r="H3063" s="1">
        <v>46196</v>
      </c>
      <c r="I3063" t="s">
        <v>2015</v>
      </c>
      <c r="J3063" t="s">
        <v>2032</v>
      </c>
      <c r="K3063" t="s">
        <v>1993</v>
      </c>
      <c r="L3063">
        <f>IF(G3063="High",3,IF(G3063="Medium",2,1))</f>
        <v>3</v>
      </c>
    </row>
    <row r="3064" spans="1:12">
      <c r="A3064" t="s">
        <v>5090</v>
      </c>
      <c r="B3064" t="s">
        <v>1735</v>
      </c>
      <c r="C3064" t="s">
        <v>1995</v>
      </c>
      <c r="D3064" t="s">
        <v>2018</v>
      </c>
      <c r="E3064" t="s">
        <v>57</v>
      </c>
      <c r="F3064" t="s">
        <v>57</v>
      </c>
      <c r="G3064" t="str">
        <f>INDEX(Risk_Matrix!$B$2:$D$4,MATCH(E3064,Risk_Matrix!$A$2:$A$4,0),MATCH(F3064,Risk_Matrix!$B$1:$D$1,0))</f>
        <v>Low</v>
      </c>
      <c r="H3064" s="1">
        <v>46233</v>
      </c>
      <c r="I3064" t="s">
        <v>2015</v>
      </c>
      <c r="J3064" t="s">
        <v>2016</v>
      </c>
      <c r="K3064" t="s">
        <v>1998</v>
      </c>
      <c r="L3064">
        <f>IF(G3064="High",3,IF(G3064="Medium",2,1))</f>
        <v>1</v>
      </c>
    </row>
    <row r="3065" spans="1:12">
      <c r="A3065" t="s">
        <v>5091</v>
      </c>
      <c r="B3065" t="s">
        <v>1735</v>
      </c>
      <c r="C3065" t="s">
        <v>2000</v>
      </c>
      <c r="D3065" t="s">
        <v>2045</v>
      </c>
      <c r="E3065" t="s">
        <v>57</v>
      </c>
      <c r="F3065" t="s">
        <v>1971</v>
      </c>
      <c r="G3065" t="str">
        <f>INDEX(Risk_Matrix!$B$2:$D$4,MATCH(E3065,Risk_Matrix!$A$2:$A$4,0),MATCH(F3065,Risk_Matrix!$B$1:$D$1,0))</f>
        <v>Low</v>
      </c>
      <c r="H3065" s="1">
        <v>46184</v>
      </c>
      <c r="I3065" t="s">
        <v>2002</v>
      </c>
      <c r="J3065" t="s">
        <v>2003</v>
      </c>
      <c r="K3065" t="s">
        <v>1993</v>
      </c>
      <c r="L3065">
        <f>IF(G3065="High",3,IF(G3065="Medium",2,1))</f>
        <v>1</v>
      </c>
    </row>
    <row r="3066" spans="1:12">
      <c r="A3066" t="s">
        <v>5092</v>
      </c>
      <c r="B3066" t="s">
        <v>1735</v>
      </c>
      <c r="C3066" t="s">
        <v>2005</v>
      </c>
      <c r="D3066" t="s">
        <v>2006</v>
      </c>
      <c r="E3066" t="s">
        <v>1971</v>
      </c>
      <c r="F3066" t="s">
        <v>1971</v>
      </c>
      <c r="G3066" t="str">
        <f>INDEX(Risk_Matrix!$B$2:$D$4,MATCH(E3066,Risk_Matrix!$A$2:$A$4,0),MATCH(F3066,Risk_Matrix!$B$1:$D$1,0))</f>
        <v>Medium</v>
      </c>
      <c r="H3066" s="1">
        <v>46199</v>
      </c>
      <c r="I3066" t="s">
        <v>2015</v>
      </c>
      <c r="J3066" t="s">
        <v>2032</v>
      </c>
      <c r="K3066" t="s">
        <v>1993</v>
      </c>
      <c r="L3066">
        <f>IF(G3066="High",3,IF(G3066="Medium",2,1))</f>
        <v>2</v>
      </c>
    </row>
    <row r="3067" spans="1:12">
      <c r="A3067" t="s">
        <v>5093</v>
      </c>
      <c r="B3067" t="s">
        <v>1735</v>
      </c>
      <c r="C3067" t="s">
        <v>2008</v>
      </c>
      <c r="D3067" t="s">
        <v>2009</v>
      </c>
      <c r="E3067" t="s">
        <v>57</v>
      </c>
      <c r="F3067" t="s">
        <v>57</v>
      </c>
      <c r="G3067" t="str">
        <f>INDEX(Risk_Matrix!$B$2:$D$4,MATCH(E3067,Risk_Matrix!$A$2:$A$4,0),MATCH(F3067,Risk_Matrix!$B$1:$D$1,0))</f>
        <v>Low</v>
      </c>
      <c r="H3067" s="1">
        <v>46223</v>
      </c>
      <c r="I3067" t="s">
        <v>2025</v>
      </c>
      <c r="J3067" t="s">
        <v>2035</v>
      </c>
      <c r="K3067" t="s">
        <v>2010</v>
      </c>
      <c r="L3067">
        <f>IF(G3067="High",3,IF(G3067="Medium",2,1))</f>
        <v>1</v>
      </c>
    </row>
    <row r="3068" spans="1:12">
      <c r="A3068" t="s">
        <v>5094</v>
      </c>
      <c r="B3068" t="s">
        <v>1737</v>
      </c>
      <c r="C3068" t="s">
        <v>1985</v>
      </c>
      <c r="D3068" t="s">
        <v>1986</v>
      </c>
      <c r="E3068" t="s">
        <v>47</v>
      </c>
      <c r="F3068" t="s">
        <v>47</v>
      </c>
      <c r="G3068" t="str">
        <f>INDEX(Risk_Matrix!$B$2:$D$4,MATCH(E3068,Risk_Matrix!$A$2:$A$4,0),MATCH(F3068,Risk_Matrix!$B$1:$D$1,0))</f>
        <v>High</v>
      </c>
      <c r="H3068" s="1">
        <v>46216</v>
      </c>
      <c r="I3068" t="s">
        <v>2015</v>
      </c>
      <c r="J3068" t="s">
        <v>2016</v>
      </c>
      <c r="K3068" t="s">
        <v>1998</v>
      </c>
      <c r="L3068">
        <f>IF(G3068="High",3,IF(G3068="Medium",2,1))</f>
        <v>3</v>
      </c>
    </row>
    <row r="3069" spans="1:12">
      <c r="A3069" t="s">
        <v>5095</v>
      </c>
      <c r="B3069" t="s">
        <v>1737</v>
      </c>
      <c r="C3069" t="s">
        <v>1991</v>
      </c>
      <c r="D3069" t="s">
        <v>2031</v>
      </c>
      <c r="E3069" t="s">
        <v>47</v>
      </c>
      <c r="F3069" t="s">
        <v>57</v>
      </c>
      <c r="G3069" t="str">
        <f>INDEX(Risk_Matrix!$B$2:$D$4,MATCH(E3069,Risk_Matrix!$A$2:$A$4,0),MATCH(F3069,Risk_Matrix!$B$1:$D$1,0))</f>
        <v>Medium</v>
      </c>
      <c r="H3069" s="1">
        <v>46072</v>
      </c>
      <c r="I3069" t="s">
        <v>2025</v>
      </c>
      <c r="J3069" t="s">
        <v>2026</v>
      </c>
      <c r="K3069" t="s">
        <v>2010</v>
      </c>
      <c r="L3069">
        <f>IF(G3069="High",3,IF(G3069="Medium",2,1))</f>
        <v>2</v>
      </c>
    </row>
    <row r="3070" spans="1:12">
      <c r="A3070" t="s">
        <v>5096</v>
      </c>
      <c r="B3070" t="s">
        <v>1737</v>
      </c>
      <c r="C3070" t="s">
        <v>1995</v>
      </c>
      <c r="D3070" t="s">
        <v>2018</v>
      </c>
      <c r="E3070" t="s">
        <v>1971</v>
      </c>
      <c r="F3070" t="s">
        <v>1971</v>
      </c>
      <c r="G3070" t="str">
        <f>INDEX(Risk_Matrix!$B$2:$D$4,MATCH(E3070,Risk_Matrix!$A$2:$A$4,0),MATCH(F3070,Risk_Matrix!$B$1:$D$1,0))</f>
        <v>Medium</v>
      </c>
      <c r="H3070" s="1">
        <v>46148</v>
      </c>
      <c r="I3070" t="s">
        <v>1987</v>
      </c>
      <c r="J3070" t="s">
        <v>1997</v>
      </c>
      <c r="K3070" t="s">
        <v>2036</v>
      </c>
      <c r="L3070">
        <f>IF(G3070="High",3,IF(G3070="Medium",2,1))</f>
        <v>2</v>
      </c>
    </row>
    <row r="3071" spans="1:12">
      <c r="A3071" t="s">
        <v>5097</v>
      </c>
      <c r="B3071" t="s">
        <v>1737</v>
      </c>
      <c r="C3071" t="s">
        <v>2000</v>
      </c>
      <c r="D3071" t="s">
        <v>2045</v>
      </c>
      <c r="E3071" t="s">
        <v>57</v>
      </c>
      <c r="F3071" t="s">
        <v>57</v>
      </c>
      <c r="G3071" t="str">
        <f>INDEX(Risk_Matrix!$B$2:$D$4,MATCH(E3071,Risk_Matrix!$A$2:$A$4,0),MATCH(F3071,Risk_Matrix!$B$1:$D$1,0))</f>
        <v>Low</v>
      </c>
      <c r="H3071" s="1">
        <v>46171</v>
      </c>
      <c r="I3071" t="s">
        <v>2025</v>
      </c>
      <c r="J3071" t="s">
        <v>2026</v>
      </c>
      <c r="K3071" t="s">
        <v>1993</v>
      </c>
      <c r="L3071">
        <f>IF(G3071="High",3,IF(G3071="Medium",2,1))</f>
        <v>1</v>
      </c>
    </row>
    <row r="3072" spans="1:12">
      <c r="A3072" t="s">
        <v>5098</v>
      </c>
      <c r="B3072" t="s">
        <v>1737</v>
      </c>
      <c r="C3072" t="s">
        <v>2005</v>
      </c>
      <c r="D3072" t="s">
        <v>2022</v>
      </c>
      <c r="E3072" t="s">
        <v>1971</v>
      </c>
      <c r="F3072" t="s">
        <v>47</v>
      </c>
      <c r="G3072" t="str">
        <f>INDEX(Risk_Matrix!$B$2:$D$4,MATCH(E3072,Risk_Matrix!$A$2:$A$4,0),MATCH(F3072,Risk_Matrix!$B$1:$D$1,0))</f>
        <v>High</v>
      </c>
      <c r="H3072" s="1">
        <v>46212</v>
      </c>
      <c r="I3072" t="s">
        <v>2025</v>
      </c>
      <c r="J3072" t="s">
        <v>2026</v>
      </c>
      <c r="K3072" t="s">
        <v>1993</v>
      </c>
      <c r="L3072">
        <f>IF(G3072="High",3,IF(G3072="Medium",2,1))</f>
        <v>3</v>
      </c>
    </row>
    <row r="3073" spans="1:12">
      <c r="A3073" t="s">
        <v>5099</v>
      </c>
      <c r="B3073" t="s">
        <v>1737</v>
      </c>
      <c r="C3073" t="s">
        <v>2008</v>
      </c>
      <c r="D3073" t="s">
        <v>2024</v>
      </c>
      <c r="E3073" t="s">
        <v>47</v>
      </c>
      <c r="F3073" t="s">
        <v>47</v>
      </c>
      <c r="G3073" t="str">
        <f>INDEX(Risk_Matrix!$B$2:$D$4,MATCH(E3073,Risk_Matrix!$A$2:$A$4,0),MATCH(F3073,Risk_Matrix!$B$1:$D$1,0))</f>
        <v>High</v>
      </c>
      <c r="H3073" s="1">
        <v>46188</v>
      </c>
      <c r="I3073" t="s">
        <v>2015</v>
      </c>
      <c r="J3073" t="s">
        <v>2016</v>
      </c>
      <c r="K3073" t="s">
        <v>2010</v>
      </c>
      <c r="L3073">
        <f>IF(G3073="High",3,IF(G3073="Medium",2,1))</f>
        <v>3</v>
      </c>
    </row>
    <row r="3074" spans="1:12">
      <c r="A3074" t="s">
        <v>5100</v>
      </c>
      <c r="B3074" t="s">
        <v>1739</v>
      </c>
      <c r="C3074" t="s">
        <v>1985</v>
      </c>
      <c r="D3074" t="s">
        <v>2012</v>
      </c>
      <c r="E3074" t="s">
        <v>1971</v>
      </c>
      <c r="F3074" t="s">
        <v>57</v>
      </c>
      <c r="G3074" t="str">
        <f>INDEX(Risk_Matrix!$B$2:$D$4,MATCH(E3074,Risk_Matrix!$A$2:$A$4,0),MATCH(F3074,Risk_Matrix!$B$1:$D$1,0))</f>
        <v>Low</v>
      </c>
      <c r="H3074" s="1">
        <v>46169</v>
      </c>
      <c r="I3074" t="s">
        <v>1987</v>
      </c>
      <c r="J3074" t="s">
        <v>1988</v>
      </c>
      <c r="K3074" t="s">
        <v>1989</v>
      </c>
      <c r="L3074">
        <f>IF(G3074="High",3,IF(G3074="Medium",2,1))</f>
        <v>1</v>
      </c>
    </row>
    <row r="3075" spans="1:12">
      <c r="A3075" t="s">
        <v>5101</v>
      </c>
      <c r="B3075" t="s">
        <v>1739</v>
      </c>
      <c r="C3075" t="s">
        <v>1991</v>
      </c>
      <c r="D3075" t="s">
        <v>1992</v>
      </c>
      <c r="E3075" t="s">
        <v>57</v>
      </c>
      <c r="F3075" t="s">
        <v>57</v>
      </c>
      <c r="G3075" t="str">
        <f>INDEX(Risk_Matrix!$B$2:$D$4,MATCH(E3075,Risk_Matrix!$A$2:$A$4,0),MATCH(F3075,Risk_Matrix!$B$1:$D$1,0))</f>
        <v>Low</v>
      </c>
      <c r="H3075" s="1">
        <v>46235</v>
      </c>
      <c r="I3075" t="s">
        <v>2025</v>
      </c>
      <c r="J3075" t="s">
        <v>2026</v>
      </c>
      <c r="K3075" t="s">
        <v>1993</v>
      </c>
      <c r="L3075">
        <f>IF(G3075="High",3,IF(G3075="Medium",2,1))</f>
        <v>1</v>
      </c>
    </row>
    <row r="3076" spans="1:12">
      <c r="A3076" t="s">
        <v>5102</v>
      </c>
      <c r="B3076" t="s">
        <v>1739</v>
      </c>
      <c r="C3076" t="s">
        <v>1995</v>
      </c>
      <c r="D3076" t="s">
        <v>2150</v>
      </c>
      <c r="E3076" t="s">
        <v>57</v>
      </c>
      <c r="F3076" t="s">
        <v>57</v>
      </c>
      <c r="G3076" t="str">
        <f>INDEX(Risk_Matrix!$B$2:$D$4,MATCH(E3076,Risk_Matrix!$A$2:$A$4,0),MATCH(F3076,Risk_Matrix!$B$1:$D$1,0))</f>
        <v>Low</v>
      </c>
      <c r="H3076" s="1">
        <v>46201</v>
      </c>
      <c r="I3076" t="s">
        <v>2025</v>
      </c>
      <c r="J3076" t="s">
        <v>2035</v>
      </c>
      <c r="K3076" t="s">
        <v>2036</v>
      </c>
      <c r="L3076">
        <f>IF(G3076="High",3,IF(G3076="Medium",2,1))</f>
        <v>1</v>
      </c>
    </row>
    <row r="3077" spans="1:12">
      <c r="A3077" t="s">
        <v>5103</v>
      </c>
      <c r="B3077" t="s">
        <v>1739</v>
      </c>
      <c r="C3077" t="s">
        <v>2000</v>
      </c>
      <c r="D3077" t="s">
        <v>2001</v>
      </c>
      <c r="E3077" t="s">
        <v>47</v>
      </c>
      <c r="F3077" t="s">
        <v>1971</v>
      </c>
      <c r="G3077" t="str">
        <f>INDEX(Risk_Matrix!$B$2:$D$4,MATCH(E3077,Risk_Matrix!$A$2:$A$4,0),MATCH(F3077,Risk_Matrix!$B$1:$D$1,0))</f>
        <v>High</v>
      </c>
      <c r="H3077" s="1">
        <v>46233</v>
      </c>
      <c r="I3077" t="s">
        <v>2025</v>
      </c>
      <c r="J3077" t="s">
        <v>2035</v>
      </c>
      <c r="K3077" t="s">
        <v>1993</v>
      </c>
      <c r="L3077">
        <f>IF(G3077="High",3,IF(G3077="Medium",2,1))</f>
        <v>3</v>
      </c>
    </row>
    <row r="3078" spans="1:12">
      <c r="A3078" t="s">
        <v>5104</v>
      </c>
      <c r="B3078" t="s">
        <v>1739</v>
      </c>
      <c r="C3078" t="s">
        <v>2005</v>
      </c>
      <c r="D3078" t="s">
        <v>2022</v>
      </c>
      <c r="E3078" t="s">
        <v>47</v>
      </c>
      <c r="F3078" t="s">
        <v>47</v>
      </c>
      <c r="G3078" t="str">
        <f>INDEX(Risk_Matrix!$B$2:$D$4,MATCH(E3078,Risk_Matrix!$A$2:$A$4,0),MATCH(F3078,Risk_Matrix!$B$1:$D$1,0))</f>
        <v>High</v>
      </c>
      <c r="H3078" s="1">
        <v>46137</v>
      </c>
      <c r="I3078" t="s">
        <v>1987</v>
      </c>
      <c r="J3078" t="s">
        <v>1988</v>
      </c>
      <c r="K3078" t="s">
        <v>1993</v>
      </c>
      <c r="L3078">
        <f>IF(G3078="High",3,IF(G3078="Medium",2,1))</f>
        <v>3</v>
      </c>
    </row>
    <row r="3079" spans="1:12">
      <c r="A3079" t="s">
        <v>5105</v>
      </c>
      <c r="B3079" t="s">
        <v>1739</v>
      </c>
      <c r="C3079" t="s">
        <v>2008</v>
      </c>
      <c r="D3079" t="s">
        <v>2009</v>
      </c>
      <c r="E3079" t="s">
        <v>57</v>
      </c>
      <c r="F3079" t="s">
        <v>57</v>
      </c>
      <c r="G3079" t="str">
        <f>INDEX(Risk_Matrix!$B$2:$D$4,MATCH(E3079,Risk_Matrix!$A$2:$A$4,0),MATCH(F3079,Risk_Matrix!$B$1:$D$1,0))</f>
        <v>Low</v>
      </c>
      <c r="H3079" s="1">
        <v>46180</v>
      </c>
      <c r="I3079" t="s">
        <v>1987</v>
      </c>
      <c r="J3079" t="s">
        <v>1997</v>
      </c>
      <c r="K3079" t="s">
        <v>2010</v>
      </c>
      <c r="L3079">
        <f>IF(G3079="High",3,IF(G3079="Medium",2,1))</f>
        <v>1</v>
      </c>
    </row>
    <row r="3080" spans="1:12">
      <c r="A3080" t="s">
        <v>5106</v>
      </c>
      <c r="B3080" t="s">
        <v>1742</v>
      </c>
      <c r="C3080" t="s">
        <v>1985</v>
      </c>
      <c r="D3080" t="s">
        <v>2012</v>
      </c>
      <c r="E3080" t="s">
        <v>1971</v>
      </c>
      <c r="F3080" t="s">
        <v>1971</v>
      </c>
      <c r="G3080" t="str">
        <f>INDEX(Risk_Matrix!$B$2:$D$4,MATCH(E3080,Risk_Matrix!$A$2:$A$4,0),MATCH(F3080,Risk_Matrix!$B$1:$D$1,0))</f>
        <v>Medium</v>
      </c>
      <c r="H3080" s="1">
        <v>46172</v>
      </c>
      <c r="I3080" t="s">
        <v>2015</v>
      </c>
      <c r="J3080" t="s">
        <v>2032</v>
      </c>
      <c r="K3080" t="s">
        <v>1998</v>
      </c>
      <c r="L3080">
        <f>IF(G3080="High",3,IF(G3080="Medium",2,1))</f>
        <v>2</v>
      </c>
    </row>
    <row r="3081" spans="1:12">
      <c r="A3081" t="s">
        <v>5107</v>
      </c>
      <c r="B3081" t="s">
        <v>1742</v>
      </c>
      <c r="C3081" t="s">
        <v>1991</v>
      </c>
      <c r="D3081" t="s">
        <v>2014</v>
      </c>
      <c r="E3081" t="s">
        <v>1971</v>
      </c>
      <c r="F3081" t="s">
        <v>57</v>
      </c>
      <c r="G3081" t="str">
        <f>INDEX(Risk_Matrix!$B$2:$D$4,MATCH(E3081,Risk_Matrix!$A$2:$A$4,0),MATCH(F3081,Risk_Matrix!$B$1:$D$1,0))</f>
        <v>Low</v>
      </c>
      <c r="H3081" s="1">
        <v>46229</v>
      </c>
      <c r="I3081" t="s">
        <v>2002</v>
      </c>
      <c r="J3081" t="s">
        <v>2003</v>
      </c>
      <c r="K3081" t="s">
        <v>1993</v>
      </c>
      <c r="L3081">
        <f>IF(G3081="High",3,IF(G3081="Medium",2,1))</f>
        <v>1</v>
      </c>
    </row>
    <row r="3082" spans="1:12">
      <c r="A3082" t="s">
        <v>5108</v>
      </c>
      <c r="B3082" t="s">
        <v>1742</v>
      </c>
      <c r="C3082" t="s">
        <v>1995</v>
      </c>
      <c r="D3082" t="s">
        <v>2018</v>
      </c>
      <c r="E3082" t="s">
        <v>1971</v>
      </c>
      <c r="F3082" t="s">
        <v>57</v>
      </c>
      <c r="G3082" t="str">
        <f>INDEX(Risk_Matrix!$B$2:$D$4,MATCH(E3082,Risk_Matrix!$A$2:$A$4,0),MATCH(F3082,Risk_Matrix!$B$1:$D$1,0))</f>
        <v>Low</v>
      </c>
      <c r="H3082" s="1">
        <v>46227</v>
      </c>
      <c r="I3082" t="s">
        <v>1987</v>
      </c>
      <c r="J3082" t="s">
        <v>1997</v>
      </c>
      <c r="K3082" t="s">
        <v>1998</v>
      </c>
      <c r="L3082">
        <f>IF(G3082="High",3,IF(G3082="Medium",2,1))</f>
        <v>1</v>
      </c>
    </row>
    <row r="3083" spans="1:12">
      <c r="A3083" t="s">
        <v>5109</v>
      </c>
      <c r="B3083" t="s">
        <v>1742</v>
      </c>
      <c r="C3083" t="s">
        <v>2000</v>
      </c>
      <c r="D3083" t="s">
        <v>2001</v>
      </c>
      <c r="E3083" t="s">
        <v>1971</v>
      </c>
      <c r="F3083" t="s">
        <v>47</v>
      </c>
      <c r="G3083" t="str">
        <f>INDEX(Risk_Matrix!$B$2:$D$4,MATCH(E3083,Risk_Matrix!$A$2:$A$4,0),MATCH(F3083,Risk_Matrix!$B$1:$D$1,0))</f>
        <v>High</v>
      </c>
      <c r="H3083" s="1">
        <v>46217</v>
      </c>
      <c r="I3083" t="s">
        <v>2025</v>
      </c>
      <c r="J3083" t="s">
        <v>2026</v>
      </c>
      <c r="K3083" t="s">
        <v>1989</v>
      </c>
      <c r="L3083">
        <f>IF(G3083="High",3,IF(G3083="Medium",2,1))</f>
        <v>3</v>
      </c>
    </row>
    <row r="3084" spans="1:12">
      <c r="A3084" t="s">
        <v>5110</v>
      </c>
      <c r="B3084" t="s">
        <v>1742</v>
      </c>
      <c r="C3084" t="s">
        <v>2005</v>
      </c>
      <c r="D3084" t="s">
        <v>2022</v>
      </c>
      <c r="E3084" t="s">
        <v>47</v>
      </c>
      <c r="F3084" t="s">
        <v>47</v>
      </c>
      <c r="G3084" t="str">
        <f>INDEX(Risk_Matrix!$B$2:$D$4,MATCH(E3084,Risk_Matrix!$A$2:$A$4,0),MATCH(F3084,Risk_Matrix!$B$1:$D$1,0))</f>
        <v>High</v>
      </c>
      <c r="H3084" s="1">
        <v>46216</v>
      </c>
      <c r="I3084" t="s">
        <v>2015</v>
      </c>
      <c r="J3084" t="s">
        <v>2032</v>
      </c>
      <c r="K3084" t="s">
        <v>1993</v>
      </c>
      <c r="L3084">
        <f>IF(G3084="High",3,IF(G3084="Medium",2,1))</f>
        <v>3</v>
      </c>
    </row>
    <row r="3085" spans="1:12">
      <c r="A3085" t="s">
        <v>5111</v>
      </c>
      <c r="B3085" t="s">
        <v>1742</v>
      </c>
      <c r="C3085" t="s">
        <v>2008</v>
      </c>
      <c r="D3085" t="s">
        <v>2054</v>
      </c>
      <c r="E3085" t="s">
        <v>47</v>
      </c>
      <c r="F3085" t="s">
        <v>47</v>
      </c>
      <c r="G3085" t="str">
        <f>INDEX(Risk_Matrix!$B$2:$D$4,MATCH(E3085,Risk_Matrix!$A$2:$A$4,0),MATCH(F3085,Risk_Matrix!$B$1:$D$1,0))</f>
        <v>High</v>
      </c>
      <c r="H3085" s="1">
        <v>46112</v>
      </c>
      <c r="I3085" t="s">
        <v>2025</v>
      </c>
      <c r="J3085" t="s">
        <v>2026</v>
      </c>
      <c r="K3085" t="s">
        <v>2010</v>
      </c>
      <c r="L3085">
        <f>IF(G3085="High",3,IF(G3085="Medium",2,1))</f>
        <v>3</v>
      </c>
    </row>
    <row r="3086" spans="1:12">
      <c r="A3086" t="s">
        <v>5112</v>
      </c>
      <c r="B3086" t="s">
        <v>1745</v>
      </c>
      <c r="C3086" t="s">
        <v>1985</v>
      </c>
      <c r="D3086" t="s">
        <v>1986</v>
      </c>
      <c r="E3086" t="s">
        <v>47</v>
      </c>
      <c r="F3086" t="s">
        <v>47</v>
      </c>
      <c r="G3086" t="str">
        <f>INDEX(Risk_Matrix!$B$2:$D$4,MATCH(E3086,Risk_Matrix!$A$2:$A$4,0),MATCH(F3086,Risk_Matrix!$B$1:$D$1,0))</f>
        <v>High</v>
      </c>
      <c r="H3086" s="1">
        <v>46180</v>
      </c>
      <c r="I3086" t="s">
        <v>2025</v>
      </c>
      <c r="J3086" t="s">
        <v>2026</v>
      </c>
      <c r="K3086" t="s">
        <v>1998</v>
      </c>
      <c r="L3086">
        <f>IF(G3086="High",3,IF(G3086="Medium",2,1))</f>
        <v>3</v>
      </c>
    </row>
    <row r="3087" spans="1:12">
      <c r="A3087" t="s">
        <v>5113</v>
      </c>
      <c r="B3087" t="s">
        <v>1745</v>
      </c>
      <c r="C3087" t="s">
        <v>1991</v>
      </c>
      <c r="D3087" t="s">
        <v>2014</v>
      </c>
      <c r="E3087" t="s">
        <v>47</v>
      </c>
      <c r="F3087" t="s">
        <v>1971</v>
      </c>
      <c r="G3087" t="str">
        <f>INDEX(Risk_Matrix!$B$2:$D$4,MATCH(E3087,Risk_Matrix!$A$2:$A$4,0),MATCH(F3087,Risk_Matrix!$B$1:$D$1,0))</f>
        <v>High</v>
      </c>
      <c r="H3087" s="1">
        <v>46193</v>
      </c>
      <c r="I3087" t="s">
        <v>2015</v>
      </c>
      <c r="J3087" t="s">
        <v>2032</v>
      </c>
      <c r="K3087" t="s">
        <v>2010</v>
      </c>
      <c r="L3087">
        <f>IF(G3087="High",3,IF(G3087="Medium",2,1))</f>
        <v>3</v>
      </c>
    </row>
    <row r="3088" spans="1:12">
      <c r="A3088" t="s">
        <v>5114</v>
      </c>
      <c r="B3088" t="s">
        <v>1745</v>
      </c>
      <c r="C3088" t="s">
        <v>1995</v>
      </c>
      <c r="D3088" t="s">
        <v>1996</v>
      </c>
      <c r="E3088" t="s">
        <v>57</v>
      </c>
      <c r="F3088" t="s">
        <v>57</v>
      </c>
      <c r="G3088" t="str">
        <f>INDEX(Risk_Matrix!$B$2:$D$4,MATCH(E3088,Risk_Matrix!$A$2:$A$4,0),MATCH(F3088,Risk_Matrix!$B$1:$D$1,0))</f>
        <v>Low</v>
      </c>
      <c r="H3088" s="1">
        <v>46166</v>
      </c>
      <c r="I3088" t="s">
        <v>2015</v>
      </c>
      <c r="J3088" t="s">
        <v>2032</v>
      </c>
      <c r="K3088" t="s">
        <v>2036</v>
      </c>
      <c r="L3088">
        <f>IF(G3088="High",3,IF(G3088="Medium",2,1))</f>
        <v>1</v>
      </c>
    </row>
    <row r="3089" spans="1:12">
      <c r="A3089" t="s">
        <v>5115</v>
      </c>
      <c r="B3089" t="s">
        <v>1745</v>
      </c>
      <c r="C3089" t="s">
        <v>2000</v>
      </c>
      <c r="D3089" t="s">
        <v>2001</v>
      </c>
      <c r="E3089" t="s">
        <v>1971</v>
      </c>
      <c r="F3089" t="s">
        <v>47</v>
      </c>
      <c r="G3089" t="str">
        <f>INDEX(Risk_Matrix!$B$2:$D$4,MATCH(E3089,Risk_Matrix!$A$2:$A$4,0),MATCH(F3089,Risk_Matrix!$B$1:$D$1,0))</f>
        <v>High</v>
      </c>
      <c r="H3089" s="1">
        <v>46179</v>
      </c>
      <c r="I3089" t="s">
        <v>2015</v>
      </c>
      <c r="J3089" t="s">
        <v>2032</v>
      </c>
      <c r="K3089" t="s">
        <v>1993</v>
      </c>
      <c r="L3089">
        <f>IF(G3089="High",3,IF(G3089="Medium",2,1))</f>
        <v>3</v>
      </c>
    </row>
    <row r="3090" spans="1:12">
      <c r="A3090" t="s">
        <v>5116</v>
      </c>
      <c r="B3090" t="s">
        <v>1745</v>
      </c>
      <c r="C3090" t="s">
        <v>2005</v>
      </c>
      <c r="D3090" t="s">
        <v>2022</v>
      </c>
      <c r="E3090" t="s">
        <v>57</v>
      </c>
      <c r="F3090" t="s">
        <v>57</v>
      </c>
      <c r="G3090" t="str">
        <f>INDEX(Risk_Matrix!$B$2:$D$4,MATCH(E3090,Risk_Matrix!$A$2:$A$4,0),MATCH(F3090,Risk_Matrix!$B$1:$D$1,0))</f>
        <v>Low</v>
      </c>
      <c r="H3090" s="1">
        <v>46114</v>
      </c>
      <c r="I3090" t="s">
        <v>2025</v>
      </c>
      <c r="J3090" t="s">
        <v>2035</v>
      </c>
      <c r="K3090" t="s">
        <v>1993</v>
      </c>
      <c r="L3090">
        <f>IF(G3090="High",3,IF(G3090="Medium",2,1))</f>
        <v>1</v>
      </c>
    </row>
    <row r="3091" spans="1:12">
      <c r="A3091" t="s">
        <v>5117</v>
      </c>
      <c r="B3091" t="s">
        <v>1745</v>
      </c>
      <c r="C3091" t="s">
        <v>2008</v>
      </c>
      <c r="D3091" t="s">
        <v>2024</v>
      </c>
      <c r="E3091" t="s">
        <v>57</v>
      </c>
      <c r="F3091" t="s">
        <v>1971</v>
      </c>
      <c r="G3091" t="str">
        <f>INDEX(Risk_Matrix!$B$2:$D$4,MATCH(E3091,Risk_Matrix!$A$2:$A$4,0),MATCH(F3091,Risk_Matrix!$B$1:$D$1,0))</f>
        <v>Low</v>
      </c>
      <c r="H3091" s="1">
        <v>46138</v>
      </c>
      <c r="I3091" t="s">
        <v>2025</v>
      </c>
      <c r="J3091" t="s">
        <v>2035</v>
      </c>
      <c r="K3091" t="s">
        <v>1998</v>
      </c>
      <c r="L3091">
        <f>IF(G3091="High",3,IF(G3091="Medium",2,1))</f>
        <v>1</v>
      </c>
    </row>
    <row r="3092" spans="1:12">
      <c r="A3092" t="s">
        <v>5118</v>
      </c>
      <c r="B3092" t="s">
        <v>1747</v>
      </c>
      <c r="C3092" t="s">
        <v>1985</v>
      </c>
      <c r="D3092" t="s">
        <v>2062</v>
      </c>
      <c r="E3092" t="s">
        <v>47</v>
      </c>
      <c r="F3092" t="s">
        <v>47</v>
      </c>
      <c r="G3092" t="str">
        <f>INDEX(Risk_Matrix!$B$2:$D$4,MATCH(E3092,Risk_Matrix!$A$2:$A$4,0),MATCH(F3092,Risk_Matrix!$B$1:$D$1,0))</f>
        <v>High</v>
      </c>
      <c r="H3092" s="1">
        <v>46232</v>
      </c>
      <c r="I3092" t="s">
        <v>2015</v>
      </c>
      <c r="J3092" t="s">
        <v>2032</v>
      </c>
      <c r="K3092" t="s">
        <v>1998</v>
      </c>
      <c r="L3092">
        <f>IF(G3092="High",3,IF(G3092="Medium",2,1))</f>
        <v>3</v>
      </c>
    </row>
    <row r="3093" spans="1:12">
      <c r="A3093" t="s">
        <v>5119</v>
      </c>
      <c r="B3093" t="s">
        <v>1747</v>
      </c>
      <c r="C3093" t="s">
        <v>1991</v>
      </c>
      <c r="D3093" t="s">
        <v>1992</v>
      </c>
      <c r="E3093" t="s">
        <v>57</v>
      </c>
      <c r="F3093" t="s">
        <v>1971</v>
      </c>
      <c r="G3093" t="str">
        <f>INDEX(Risk_Matrix!$B$2:$D$4,MATCH(E3093,Risk_Matrix!$A$2:$A$4,0),MATCH(F3093,Risk_Matrix!$B$1:$D$1,0))</f>
        <v>Low</v>
      </c>
      <c r="H3093" s="1">
        <v>46217</v>
      </c>
      <c r="I3093" t="s">
        <v>2025</v>
      </c>
      <c r="J3093" t="s">
        <v>2035</v>
      </c>
      <c r="K3093" t="s">
        <v>1993</v>
      </c>
      <c r="L3093">
        <f>IF(G3093="High",3,IF(G3093="Medium",2,1))</f>
        <v>1</v>
      </c>
    </row>
    <row r="3094" spans="1:12">
      <c r="A3094" t="s">
        <v>5120</v>
      </c>
      <c r="B3094" t="s">
        <v>1747</v>
      </c>
      <c r="C3094" t="s">
        <v>1995</v>
      </c>
      <c r="D3094" t="s">
        <v>2034</v>
      </c>
      <c r="E3094" t="s">
        <v>57</v>
      </c>
      <c r="F3094" t="s">
        <v>57</v>
      </c>
      <c r="G3094" t="str">
        <f>INDEX(Risk_Matrix!$B$2:$D$4,MATCH(E3094,Risk_Matrix!$A$2:$A$4,0),MATCH(F3094,Risk_Matrix!$B$1:$D$1,0))</f>
        <v>Low</v>
      </c>
      <c r="H3094" s="1">
        <v>46174</v>
      </c>
      <c r="I3094" t="s">
        <v>1987</v>
      </c>
      <c r="J3094" t="s">
        <v>1988</v>
      </c>
      <c r="K3094" t="s">
        <v>2036</v>
      </c>
      <c r="L3094">
        <f>IF(G3094="High",3,IF(G3094="Medium",2,1))</f>
        <v>1</v>
      </c>
    </row>
    <row r="3095" spans="1:12">
      <c r="A3095" t="s">
        <v>5121</v>
      </c>
      <c r="B3095" t="s">
        <v>1747</v>
      </c>
      <c r="C3095" t="s">
        <v>2000</v>
      </c>
      <c r="D3095" t="s">
        <v>2020</v>
      </c>
      <c r="E3095" t="s">
        <v>1971</v>
      </c>
      <c r="F3095" t="s">
        <v>1971</v>
      </c>
      <c r="G3095" t="str">
        <f>INDEX(Risk_Matrix!$B$2:$D$4,MATCH(E3095,Risk_Matrix!$A$2:$A$4,0),MATCH(F3095,Risk_Matrix!$B$1:$D$1,0))</f>
        <v>Medium</v>
      </c>
      <c r="H3095" s="1">
        <v>46183</v>
      </c>
      <c r="I3095" t="s">
        <v>2015</v>
      </c>
      <c r="J3095" t="s">
        <v>2016</v>
      </c>
      <c r="K3095" t="s">
        <v>1993</v>
      </c>
      <c r="L3095">
        <f>IF(G3095="High",3,IF(G3095="Medium",2,1))</f>
        <v>2</v>
      </c>
    </row>
    <row r="3096" spans="1:12">
      <c r="A3096" t="s">
        <v>5122</v>
      </c>
      <c r="B3096" t="s">
        <v>1747</v>
      </c>
      <c r="C3096" t="s">
        <v>2005</v>
      </c>
      <c r="D3096" t="s">
        <v>2006</v>
      </c>
      <c r="E3096" t="s">
        <v>47</v>
      </c>
      <c r="F3096" t="s">
        <v>57</v>
      </c>
      <c r="G3096" t="str">
        <f>INDEX(Risk_Matrix!$B$2:$D$4,MATCH(E3096,Risk_Matrix!$A$2:$A$4,0),MATCH(F3096,Risk_Matrix!$B$1:$D$1,0))</f>
        <v>Medium</v>
      </c>
      <c r="H3096" s="1">
        <v>46207</v>
      </c>
      <c r="I3096" t="s">
        <v>2015</v>
      </c>
      <c r="J3096" t="s">
        <v>2016</v>
      </c>
      <c r="K3096" t="s">
        <v>1993</v>
      </c>
      <c r="L3096">
        <f>IF(G3096="High",3,IF(G3096="Medium",2,1))</f>
        <v>2</v>
      </c>
    </row>
    <row r="3097" spans="1:12">
      <c r="A3097" t="s">
        <v>5123</v>
      </c>
      <c r="B3097" t="s">
        <v>1747</v>
      </c>
      <c r="C3097" t="s">
        <v>2008</v>
      </c>
      <c r="D3097" t="s">
        <v>2054</v>
      </c>
      <c r="E3097" t="s">
        <v>57</v>
      </c>
      <c r="F3097" t="s">
        <v>1971</v>
      </c>
      <c r="G3097" t="str">
        <f>INDEX(Risk_Matrix!$B$2:$D$4,MATCH(E3097,Risk_Matrix!$A$2:$A$4,0),MATCH(F3097,Risk_Matrix!$B$1:$D$1,0))</f>
        <v>Low</v>
      </c>
      <c r="H3097" s="1">
        <v>46131</v>
      </c>
      <c r="I3097" t="s">
        <v>2025</v>
      </c>
      <c r="J3097" t="s">
        <v>2035</v>
      </c>
      <c r="K3097" t="s">
        <v>2010</v>
      </c>
      <c r="L3097">
        <f>IF(G3097="High",3,IF(G3097="Medium",2,1))</f>
        <v>1</v>
      </c>
    </row>
    <row r="3098" spans="1:12">
      <c r="A3098" t="s">
        <v>5124</v>
      </c>
      <c r="B3098" t="s">
        <v>1749</v>
      </c>
      <c r="C3098" t="s">
        <v>1985</v>
      </c>
      <c r="D3098" t="s">
        <v>2012</v>
      </c>
      <c r="E3098" t="s">
        <v>47</v>
      </c>
      <c r="F3098" t="s">
        <v>47</v>
      </c>
      <c r="G3098" t="str">
        <f>INDEX(Risk_Matrix!$B$2:$D$4,MATCH(E3098,Risk_Matrix!$A$2:$A$4,0),MATCH(F3098,Risk_Matrix!$B$1:$D$1,0))</f>
        <v>High</v>
      </c>
      <c r="H3098" s="1">
        <v>46161</v>
      </c>
      <c r="I3098" t="s">
        <v>2015</v>
      </c>
      <c r="J3098" t="s">
        <v>2032</v>
      </c>
      <c r="K3098" t="s">
        <v>1989</v>
      </c>
      <c r="L3098">
        <f>IF(G3098="High",3,IF(G3098="Medium",2,1))</f>
        <v>3</v>
      </c>
    </row>
    <row r="3099" spans="1:12">
      <c r="A3099" t="s">
        <v>5125</v>
      </c>
      <c r="B3099" t="s">
        <v>1749</v>
      </c>
      <c r="C3099" t="s">
        <v>1991</v>
      </c>
      <c r="D3099" t="s">
        <v>1992</v>
      </c>
      <c r="E3099" t="s">
        <v>47</v>
      </c>
      <c r="F3099" t="s">
        <v>47</v>
      </c>
      <c r="G3099" t="str">
        <f>INDEX(Risk_Matrix!$B$2:$D$4,MATCH(E3099,Risk_Matrix!$A$2:$A$4,0),MATCH(F3099,Risk_Matrix!$B$1:$D$1,0))</f>
        <v>High</v>
      </c>
      <c r="H3099" s="1">
        <v>46069</v>
      </c>
      <c r="I3099" t="s">
        <v>2025</v>
      </c>
      <c r="J3099" t="s">
        <v>2035</v>
      </c>
      <c r="K3099" t="s">
        <v>1993</v>
      </c>
      <c r="L3099">
        <f>IF(G3099="High",3,IF(G3099="Medium",2,1))</f>
        <v>3</v>
      </c>
    </row>
    <row r="3100" spans="1:12">
      <c r="A3100" t="s">
        <v>5126</v>
      </c>
      <c r="B3100" t="s">
        <v>1749</v>
      </c>
      <c r="C3100" t="s">
        <v>1995</v>
      </c>
      <c r="D3100" t="s">
        <v>2018</v>
      </c>
      <c r="E3100" t="s">
        <v>57</v>
      </c>
      <c r="F3100" t="s">
        <v>1971</v>
      </c>
      <c r="G3100" t="str">
        <f>INDEX(Risk_Matrix!$B$2:$D$4,MATCH(E3100,Risk_Matrix!$A$2:$A$4,0),MATCH(F3100,Risk_Matrix!$B$1:$D$1,0))</f>
        <v>Low</v>
      </c>
      <c r="H3100" s="1">
        <v>46193</v>
      </c>
      <c r="I3100" t="s">
        <v>1987</v>
      </c>
      <c r="J3100" t="s">
        <v>1997</v>
      </c>
      <c r="K3100" t="s">
        <v>1998</v>
      </c>
      <c r="L3100">
        <f>IF(G3100="High",3,IF(G3100="Medium",2,1))</f>
        <v>1</v>
      </c>
    </row>
    <row r="3101" spans="1:12">
      <c r="A3101" t="s">
        <v>5127</v>
      </c>
      <c r="B3101" t="s">
        <v>1749</v>
      </c>
      <c r="C3101" t="s">
        <v>2000</v>
      </c>
      <c r="D3101" t="s">
        <v>2020</v>
      </c>
      <c r="E3101" t="s">
        <v>47</v>
      </c>
      <c r="F3101" t="s">
        <v>57</v>
      </c>
      <c r="G3101" t="str">
        <f>INDEX(Risk_Matrix!$B$2:$D$4,MATCH(E3101,Risk_Matrix!$A$2:$A$4,0),MATCH(F3101,Risk_Matrix!$B$1:$D$1,0))</f>
        <v>Medium</v>
      </c>
      <c r="H3101" s="1">
        <v>46143</v>
      </c>
      <c r="I3101" t="s">
        <v>2002</v>
      </c>
      <c r="J3101" t="s">
        <v>2003</v>
      </c>
      <c r="K3101" t="s">
        <v>1989</v>
      </c>
      <c r="L3101">
        <f>IF(G3101="High",3,IF(G3101="Medium",2,1))</f>
        <v>2</v>
      </c>
    </row>
    <row r="3102" spans="1:12">
      <c r="A3102" t="s">
        <v>5128</v>
      </c>
      <c r="B3102" t="s">
        <v>1749</v>
      </c>
      <c r="C3102" t="s">
        <v>2005</v>
      </c>
      <c r="D3102" t="s">
        <v>2006</v>
      </c>
      <c r="E3102" t="s">
        <v>57</v>
      </c>
      <c r="F3102" t="s">
        <v>57</v>
      </c>
      <c r="G3102" t="str">
        <f>INDEX(Risk_Matrix!$B$2:$D$4,MATCH(E3102,Risk_Matrix!$A$2:$A$4,0),MATCH(F3102,Risk_Matrix!$B$1:$D$1,0))</f>
        <v>Low</v>
      </c>
      <c r="H3102" s="1">
        <v>46224</v>
      </c>
      <c r="I3102" t="s">
        <v>2025</v>
      </c>
      <c r="J3102" t="s">
        <v>2026</v>
      </c>
      <c r="K3102" t="s">
        <v>1993</v>
      </c>
      <c r="L3102">
        <f>IF(G3102="High",3,IF(G3102="Medium",2,1))</f>
        <v>1</v>
      </c>
    </row>
    <row r="3103" spans="1:12">
      <c r="A3103" t="s">
        <v>5129</v>
      </c>
      <c r="B3103" t="s">
        <v>1749</v>
      </c>
      <c r="C3103" t="s">
        <v>2008</v>
      </c>
      <c r="D3103" t="s">
        <v>2009</v>
      </c>
      <c r="E3103" t="s">
        <v>57</v>
      </c>
      <c r="F3103" t="s">
        <v>57</v>
      </c>
      <c r="G3103" t="str">
        <f>INDEX(Risk_Matrix!$B$2:$D$4,MATCH(E3103,Risk_Matrix!$A$2:$A$4,0),MATCH(F3103,Risk_Matrix!$B$1:$D$1,0))</f>
        <v>Low</v>
      </c>
      <c r="H3103" s="1">
        <v>46056</v>
      </c>
      <c r="I3103" t="s">
        <v>2002</v>
      </c>
      <c r="J3103" t="s">
        <v>2003</v>
      </c>
      <c r="K3103" t="s">
        <v>1998</v>
      </c>
      <c r="L3103">
        <f>IF(G3103="High",3,IF(G3103="Medium",2,1))</f>
        <v>1</v>
      </c>
    </row>
    <row r="3104" spans="1:12">
      <c r="A3104" t="s">
        <v>5130</v>
      </c>
      <c r="B3104" t="s">
        <v>1751</v>
      </c>
      <c r="C3104" t="s">
        <v>1985</v>
      </c>
      <c r="D3104" t="s">
        <v>2028</v>
      </c>
      <c r="E3104" t="s">
        <v>57</v>
      </c>
      <c r="F3104" t="s">
        <v>47</v>
      </c>
      <c r="G3104" t="str">
        <f>INDEX(Risk_Matrix!$B$2:$D$4,MATCH(E3104,Risk_Matrix!$A$2:$A$4,0),MATCH(F3104,Risk_Matrix!$B$1:$D$1,0))</f>
        <v>Medium</v>
      </c>
      <c r="H3104" s="1">
        <v>46214</v>
      </c>
      <c r="I3104" t="s">
        <v>2015</v>
      </c>
      <c r="J3104" t="s">
        <v>2016</v>
      </c>
      <c r="K3104" t="s">
        <v>1989</v>
      </c>
      <c r="L3104">
        <f>IF(G3104="High",3,IF(G3104="Medium",2,1))</f>
        <v>2</v>
      </c>
    </row>
    <row r="3105" spans="1:12">
      <c r="A3105" t="s">
        <v>5131</v>
      </c>
      <c r="B3105" t="s">
        <v>1751</v>
      </c>
      <c r="C3105" t="s">
        <v>1991</v>
      </c>
      <c r="D3105" t="s">
        <v>1992</v>
      </c>
      <c r="E3105" t="s">
        <v>1971</v>
      </c>
      <c r="F3105" t="s">
        <v>57</v>
      </c>
      <c r="G3105" t="str">
        <f>INDEX(Risk_Matrix!$B$2:$D$4,MATCH(E3105,Risk_Matrix!$A$2:$A$4,0),MATCH(F3105,Risk_Matrix!$B$1:$D$1,0))</f>
        <v>Low</v>
      </c>
      <c r="H3105" s="1">
        <v>46074</v>
      </c>
      <c r="I3105" t="s">
        <v>1987</v>
      </c>
      <c r="J3105" t="s">
        <v>1997</v>
      </c>
      <c r="K3105" t="s">
        <v>1993</v>
      </c>
      <c r="L3105">
        <f>IF(G3105="High",3,IF(G3105="Medium",2,1))</f>
        <v>1</v>
      </c>
    </row>
    <row r="3106" spans="1:12">
      <c r="A3106" t="s">
        <v>5132</v>
      </c>
      <c r="B3106" t="s">
        <v>1751</v>
      </c>
      <c r="C3106" t="s">
        <v>1995</v>
      </c>
      <c r="D3106" t="s">
        <v>2150</v>
      </c>
      <c r="E3106" t="s">
        <v>47</v>
      </c>
      <c r="F3106" t="s">
        <v>57</v>
      </c>
      <c r="G3106" t="str">
        <f>INDEX(Risk_Matrix!$B$2:$D$4,MATCH(E3106,Risk_Matrix!$A$2:$A$4,0),MATCH(F3106,Risk_Matrix!$B$1:$D$1,0))</f>
        <v>Medium</v>
      </c>
      <c r="H3106" s="1">
        <v>46203</v>
      </c>
      <c r="I3106" t="s">
        <v>2025</v>
      </c>
      <c r="J3106" t="s">
        <v>2035</v>
      </c>
      <c r="K3106" t="s">
        <v>2036</v>
      </c>
      <c r="L3106">
        <f>IF(G3106="High",3,IF(G3106="Medium",2,1))</f>
        <v>2</v>
      </c>
    </row>
    <row r="3107" spans="1:12">
      <c r="A3107" t="s">
        <v>5133</v>
      </c>
      <c r="B3107" t="s">
        <v>1751</v>
      </c>
      <c r="C3107" t="s">
        <v>2000</v>
      </c>
      <c r="D3107" t="s">
        <v>2045</v>
      </c>
      <c r="E3107" t="s">
        <v>1971</v>
      </c>
      <c r="F3107" t="s">
        <v>57</v>
      </c>
      <c r="G3107" t="str">
        <f>INDEX(Risk_Matrix!$B$2:$D$4,MATCH(E3107,Risk_Matrix!$A$2:$A$4,0),MATCH(F3107,Risk_Matrix!$B$1:$D$1,0))</f>
        <v>Low</v>
      </c>
      <c r="H3107" s="1">
        <v>46068</v>
      </c>
      <c r="I3107" t="s">
        <v>1987</v>
      </c>
      <c r="J3107" t="s">
        <v>1997</v>
      </c>
      <c r="K3107" t="s">
        <v>1989</v>
      </c>
      <c r="L3107">
        <f>IF(G3107="High",3,IF(G3107="Medium",2,1))</f>
        <v>1</v>
      </c>
    </row>
    <row r="3108" spans="1:12">
      <c r="A3108" t="s">
        <v>5134</v>
      </c>
      <c r="B3108" t="s">
        <v>1751</v>
      </c>
      <c r="C3108" t="s">
        <v>2005</v>
      </c>
      <c r="D3108" t="s">
        <v>2039</v>
      </c>
      <c r="E3108" t="s">
        <v>1971</v>
      </c>
      <c r="F3108" t="s">
        <v>1971</v>
      </c>
      <c r="G3108" t="str">
        <f>INDEX(Risk_Matrix!$B$2:$D$4,MATCH(E3108,Risk_Matrix!$A$2:$A$4,0),MATCH(F3108,Risk_Matrix!$B$1:$D$1,0))</f>
        <v>Medium</v>
      </c>
      <c r="H3108" s="1">
        <v>46198</v>
      </c>
      <c r="I3108" t="s">
        <v>2015</v>
      </c>
      <c r="J3108" t="s">
        <v>2032</v>
      </c>
      <c r="K3108" t="s">
        <v>2036</v>
      </c>
      <c r="L3108">
        <f>IF(G3108="High",3,IF(G3108="Medium",2,1))</f>
        <v>2</v>
      </c>
    </row>
    <row r="3109" spans="1:12">
      <c r="A3109" t="s">
        <v>5135</v>
      </c>
      <c r="B3109" t="s">
        <v>1751</v>
      </c>
      <c r="C3109" t="s">
        <v>2008</v>
      </c>
      <c r="D3109" t="s">
        <v>2054</v>
      </c>
      <c r="E3109" t="s">
        <v>47</v>
      </c>
      <c r="F3109" t="s">
        <v>57</v>
      </c>
      <c r="G3109" t="str">
        <f>INDEX(Risk_Matrix!$B$2:$D$4,MATCH(E3109,Risk_Matrix!$A$2:$A$4,0),MATCH(F3109,Risk_Matrix!$B$1:$D$1,0))</f>
        <v>Medium</v>
      </c>
      <c r="H3109" s="1">
        <v>46197</v>
      </c>
      <c r="I3109" t="s">
        <v>2015</v>
      </c>
      <c r="J3109" t="s">
        <v>2016</v>
      </c>
      <c r="K3109" t="s">
        <v>2010</v>
      </c>
      <c r="L3109">
        <f>IF(G3109="High",3,IF(G3109="Medium",2,1))</f>
        <v>2</v>
      </c>
    </row>
    <row r="3110" spans="1:12">
      <c r="A3110" t="s">
        <v>5136</v>
      </c>
      <c r="B3110" t="s">
        <v>1753</v>
      </c>
      <c r="C3110" t="s">
        <v>1985</v>
      </c>
      <c r="D3110" t="s">
        <v>1986</v>
      </c>
      <c r="E3110" t="s">
        <v>1971</v>
      </c>
      <c r="F3110" t="s">
        <v>47</v>
      </c>
      <c r="G3110" t="str">
        <f>INDEX(Risk_Matrix!$B$2:$D$4,MATCH(E3110,Risk_Matrix!$A$2:$A$4,0),MATCH(F3110,Risk_Matrix!$B$1:$D$1,0))</f>
        <v>High</v>
      </c>
      <c r="H3110" s="1">
        <v>46195</v>
      </c>
      <c r="I3110" t="s">
        <v>2015</v>
      </c>
      <c r="J3110" t="s">
        <v>2032</v>
      </c>
      <c r="K3110" t="s">
        <v>1998</v>
      </c>
      <c r="L3110">
        <f>IF(G3110="High",3,IF(G3110="Medium",2,1))</f>
        <v>3</v>
      </c>
    </row>
    <row r="3111" spans="1:12">
      <c r="A3111" t="s">
        <v>5137</v>
      </c>
      <c r="B3111" t="s">
        <v>1753</v>
      </c>
      <c r="C3111" t="s">
        <v>1991</v>
      </c>
      <c r="D3111" t="s">
        <v>2031</v>
      </c>
      <c r="E3111" t="s">
        <v>57</v>
      </c>
      <c r="F3111" t="s">
        <v>1971</v>
      </c>
      <c r="G3111" t="str">
        <f>INDEX(Risk_Matrix!$B$2:$D$4,MATCH(E3111,Risk_Matrix!$A$2:$A$4,0),MATCH(F3111,Risk_Matrix!$B$1:$D$1,0))</f>
        <v>Low</v>
      </c>
      <c r="H3111" s="1">
        <v>46124</v>
      </c>
      <c r="I3111" t="s">
        <v>1987</v>
      </c>
      <c r="J3111" t="s">
        <v>1997</v>
      </c>
      <c r="K3111" t="s">
        <v>1993</v>
      </c>
      <c r="L3111">
        <f>IF(G3111="High",3,IF(G3111="Medium",2,1))</f>
        <v>1</v>
      </c>
    </row>
    <row r="3112" spans="1:12">
      <c r="A3112" t="s">
        <v>5138</v>
      </c>
      <c r="B3112" t="s">
        <v>1753</v>
      </c>
      <c r="C3112" t="s">
        <v>1995</v>
      </c>
      <c r="D3112" t="s">
        <v>2150</v>
      </c>
      <c r="E3112" t="s">
        <v>1971</v>
      </c>
      <c r="F3112" t="s">
        <v>47</v>
      </c>
      <c r="G3112" t="str">
        <f>INDEX(Risk_Matrix!$B$2:$D$4,MATCH(E3112,Risk_Matrix!$A$2:$A$4,0),MATCH(F3112,Risk_Matrix!$B$1:$D$1,0))</f>
        <v>High</v>
      </c>
      <c r="H3112" s="1">
        <v>46182</v>
      </c>
      <c r="I3112" t="s">
        <v>2015</v>
      </c>
      <c r="J3112" t="s">
        <v>2032</v>
      </c>
      <c r="K3112" t="s">
        <v>1998</v>
      </c>
      <c r="L3112">
        <f>IF(G3112="High",3,IF(G3112="Medium",2,1))</f>
        <v>3</v>
      </c>
    </row>
    <row r="3113" spans="1:12">
      <c r="A3113" t="s">
        <v>5139</v>
      </c>
      <c r="B3113" t="s">
        <v>1753</v>
      </c>
      <c r="C3113" t="s">
        <v>2000</v>
      </c>
      <c r="D3113" t="s">
        <v>2045</v>
      </c>
      <c r="E3113" t="s">
        <v>47</v>
      </c>
      <c r="F3113" t="s">
        <v>1971</v>
      </c>
      <c r="G3113" t="str">
        <f>INDEX(Risk_Matrix!$B$2:$D$4,MATCH(E3113,Risk_Matrix!$A$2:$A$4,0),MATCH(F3113,Risk_Matrix!$B$1:$D$1,0))</f>
        <v>High</v>
      </c>
      <c r="H3113" s="1">
        <v>46202</v>
      </c>
      <c r="I3113" t="s">
        <v>2025</v>
      </c>
      <c r="J3113" t="s">
        <v>2035</v>
      </c>
      <c r="K3113" t="s">
        <v>1989</v>
      </c>
      <c r="L3113">
        <f>IF(G3113="High",3,IF(G3113="Medium",2,1))</f>
        <v>3</v>
      </c>
    </row>
    <row r="3114" spans="1:12">
      <c r="A3114" t="s">
        <v>5140</v>
      </c>
      <c r="B3114" t="s">
        <v>1753</v>
      </c>
      <c r="C3114" t="s">
        <v>2005</v>
      </c>
      <c r="D3114" t="s">
        <v>2022</v>
      </c>
      <c r="E3114" t="s">
        <v>47</v>
      </c>
      <c r="F3114" t="s">
        <v>1971</v>
      </c>
      <c r="G3114" t="str">
        <f>INDEX(Risk_Matrix!$B$2:$D$4,MATCH(E3114,Risk_Matrix!$A$2:$A$4,0),MATCH(F3114,Risk_Matrix!$B$1:$D$1,0))</f>
        <v>High</v>
      </c>
      <c r="H3114" s="1">
        <v>46203</v>
      </c>
      <c r="I3114" t="s">
        <v>2015</v>
      </c>
      <c r="J3114" t="s">
        <v>2016</v>
      </c>
      <c r="K3114" t="s">
        <v>2036</v>
      </c>
      <c r="L3114">
        <f>IF(G3114="High",3,IF(G3114="Medium",2,1))</f>
        <v>3</v>
      </c>
    </row>
    <row r="3115" spans="1:12">
      <c r="A3115" t="s">
        <v>5141</v>
      </c>
      <c r="B3115" t="s">
        <v>1753</v>
      </c>
      <c r="C3115" t="s">
        <v>2008</v>
      </c>
      <c r="D3115" t="s">
        <v>2009</v>
      </c>
      <c r="E3115" t="s">
        <v>47</v>
      </c>
      <c r="F3115" t="s">
        <v>1971</v>
      </c>
      <c r="G3115" t="str">
        <f>INDEX(Risk_Matrix!$B$2:$D$4,MATCH(E3115,Risk_Matrix!$A$2:$A$4,0),MATCH(F3115,Risk_Matrix!$B$1:$D$1,0))</f>
        <v>High</v>
      </c>
      <c r="H3115" s="1">
        <v>46223</v>
      </c>
      <c r="I3115" t="s">
        <v>2025</v>
      </c>
      <c r="J3115" t="s">
        <v>2026</v>
      </c>
      <c r="K3115" t="s">
        <v>2010</v>
      </c>
      <c r="L3115">
        <f>IF(G3115="High",3,IF(G3115="Medium",2,1))</f>
        <v>3</v>
      </c>
    </row>
    <row r="3116" spans="1:12">
      <c r="A3116" t="s">
        <v>5142</v>
      </c>
      <c r="B3116" t="s">
        <v>1756</v>
      </c>
      <c r="C3116" t="s">
        <v>1985</v>
      </c>
      <c r="D3116" t="s">
        <v>2062</v>
      </c>
      <c r="E3116" t="s">
        <v>1971</v>
      </c>
      <c r="F3116" t="s">
        <v>47</v>
      </c>
      <c r="G3116" t="str">
        <f>INDEX(Risk_Matrix!$B$2:$D$4,MATCH(E3116,Risk_Matrix!$A$2:$A$4,0),MATCH(F3116,Risk_Matrix!$B$1:$D$1,0))</f>
        <v>High</v>
      </c>
      <c r="H3116" s="1">
        <v>46211</v>
      </c>
      <c r="I3116" t="s">
        <v>2015</v>
      </c>
      <c r="J3116" t="s">
        <v>2016</v>
      </c>
      <c r="K3116" t="s">
        <v>1989</v>
      </c>
      <c r="L3116">
        <f>IF(G3116="High",3,IF(G3116="Medium",2,1))</f>
        <v>3</v>
      </c>
    </row>
    <row r="3117" spans="1:12">
      <c r="A3117" t="s">
        <v>5143</v>
      </c>
      <c r="B3117" t="s">
        <v>1756</v>
      </c>
      <c r="C3117" t="s">
        <v>1991</v>
      </c>
      <c r="D3117" t="s">
        <v>2014</v>
      </c>
      <c r="E3117" t="s">
        <v>57</v>
      </c>
      <c r="F3117" t="s">
        <v>57</v>
      </c>
      <c r="G3117" t="str">
        <f>INDEX(Risk_Matrix!$B$2:$D$4,MATCH(E3117,Risk_Matrix!$A$2:$A$4,0),MATCH(F3117,Risk_Matrix!$B$1:$D$1,0))</f>
        <v>Low</v>
      </c>
      <c r="H3117" s="1">
        <v>46171</v>
      </c>
      <c r="I3117" t="s">
        <v>1987</v>
      </c>
      <c r="J3117" t="s">
        <v>1988</v>
      </c>
      <c r="K3117" t="s">
        <v>2010</v>
      </c>
      <c r="L3117">
        <f>IF(G3117="High",3,IF(G3117="Medium",2,1))</f>
        <v>1</v>
      </c>
    </row>
    <row r="3118" spans="1:12">
      <c r="A3118" t="s">
        <v>5144</v>
      </c>
      <c r="B3118" t="s">
        <v>1756</v>
      </c>
      <c r="C3118" t="s">
        <v>1995</v>
      </c>
      <c r="D3118" t="s">
        <v>2018</v>
      </c>
      <c r="E3118" t="s">
        <v>57</v>
      </c>
      <c r="F3118" t="s">
        <v>47</v>
      </c>
      <c r="G3118" t="str">
        <f>INDEX(Risk_Matrix!$B$2:$D$4,MATCH(E3118,Risk_Matrix!$A$2:$A$4,0),MATCH(F3118,Risk_Matrix!$B$1:$D$1,0))</f>
        <v>Medium</v>
      </c>
      <c r="H3118" s="1">
        <v>46164</v>
      </c>
      <c r="I3118" t="s">
        <v>2025</v>
      </c>
      <c r="J3118" t="s">
        <v>2035</v>
      </c>
      <c r="K3118" t="s">
        <v>1998</v>
      </c>
      <c r="L3118">
        <f>IF(G3118="High",3,IF(G3118="Medium",2,1))</f>
        <v>2</v>
      </c>
    </row>
    <row r="3119" spans="1:12">
      <c r="A3119" t="s">
        <v>5145</v>
      </c>
      <c r="B3119" t="s">
        <v>1756</v>
      </c>
      <c r="C3119" t="s">
        <v>2000</v>
      </c>
      <c r="D3119" t="s">
        <v>2045</v>
      </c>
      <c r="E3119" t="s">
        <v>57</v>
      </c>
      <c r="F3119" t="s">
        <v>1971</v>
      </c>
      <c r="G3119" t="str">
        <f>INDEX(Risk_Matrix!$B$2:$D$4,MATCH(E3119,Risk_Matrix!$A$2:$A$4,0),MATCH(F3119,Risk_Matrix!$B$1:$D$1,0))</f>
        <v>Low</v>
      </c>
      <c r="H3119" s="1">
        <v>46151</v>
      </c>
      <c r="I3119" t="s">
        <v>2025</v>
      </c>
      <c r="J3119" t="s">
        <v>2026</v>
      </c>
      <c r="K3119" t="s">
        <v>1993</v>
      </c>
      <c r="L3119">
        <f>IF(G3119="High",3,IF(G3119="Medium",2,1))</f>
        <v>1</v>
      </c>
    </row>
    <row r="3120" spans="1:12">
      <c r="A3120" t="s">
        <v>5146</v>
      </c>
      <c r="B3120" t="s">
        <v>1756</v>
      </c>
      <c r="C3120" t="s">
        <v>2005</v>
      </c>
      <c r="D3120" t="s">
        <v>2022</v>
      </c>
      <c r="E3120" t="s">
        <v>47</v>
      </c>
      <c r="F3120" t="s">
        <v>1971</v>
      </c>
      <c r="G3120" t="str">
        <f>INDEX(Risk_Matrix!$B$2:$D$4,MATCH(E3120,Risk_Matrix!$A$2:$A$4,0),MATCH(F3120,Risk_Matrix!$B$1:$D$1,0))</f>
        <v>High</v>
      </c>
      <c r="H3120" s="1">
        <v>46173</v>
      </c>
      <c r="I3120" t="s">
        <v>2015</v>
      </c>
      <c r="J3120" t="s">
        <v>2016</v>
      </c>
      <c r="K3120" t="s">
        <v>1993</v>
      </c>
      <c r="L3120">
        <f>IF(G3120="High",3,IF(G3120="Medium",2,1))</f>
        <v>3</v>
      </c>
    </row>
    <row r="3121" spans="1:12">
      <c r="A3121" t="s">
        <v>5147</v>
      </c>
      <c r="B3121" t="s">
        <v>1756</v>
      </c>
      <c r="C3121" t="s">
        <v>2008</v>
      </c>
      <c r="D3121" t="s">
        <v>2054</v>
      </c>
      <c r="E3121" t="s">
        <v>57</v>
      </c>
      <c r="F3121" t="s">
        <v>57</v>
      </c>
      <c r="G3121" t="str">
        <f>INDEX(Risk_Matrix!$B$2:$D$4,MATCH(E3121,Risk_Matrix!$A$2:$A$4,0),MATCH(F3121,Risk_Matrix!$B$1:$D$1,0))</f>
        <v>Low</v>
      </c>
      <c r="H3121" s="1">
        <v>46126</v>
      </c>
      <c r="I3121" t="s">
        <v>1987</v>
      </c>
      <c r="J3121" t="s">
        <v>1997</v>
      </c>
      <c r="K3121" t="s">
        <v>2010</v>
      </c>
      <c r="L3121">
        <f>IF(G3121="High",3,IF(G3121="Medium",2,1))</f>
        <v>1</v>
      </c>
    </row>
    <row r="3122" spans="1:12">
      <c r="A3122" t="s">
        <v>5148</v>
      </c>
      <c r="B3122" t="s">
        <v>1759</v>
      </c>
      <c r="C3122" t="s">
        <v>1985</v>
      </c>
      <c r="D3122" t="s">
        <v>1986</v>
      </c>
      <c r="E3122" t="s">
        <v>47</v>
      </c>
      <c r="F3122" t="s">
        <v>1971</v>
      </c>
      <c r="G3122" t="str">
        <f>INDEX(Risk_Matrix!$B$2:$D$4,MATCH(E3122,Risk_Matrix!$A$2:$A$4,0),MATCH(F3122,Risk_Matrix!$B$1:$D$1,0))</f>
        <v>High</v>
      </c>
      <c r="H3122" s="1">
        <v>46100</v>
      </c>
      <c r="I3122" t="s">
        <v>2025</v>
      </c>
      <c r="J3122" t="s">
        <v>2026</v>
      </c>
      <c r="K3122" t="s">
        <v>1998</v>
      </c>
      <c r="L3122">
        <f>IF(G3122="High",3,IF(G3122="Medium",2,1))</f>
        <v>3</v>
      </c>
    </row>
    <row r="3123" spans="1:12">
      <c r="A3123" t="s">
        <v>5149</v>
      </c>
      <c r="B3123" t="s">
        <v>1759</v>
      </c>
      <c r="C3123" t="s">
        <v>1991</v>
      </c>
      <c r="D3123" t="s">
        <v>2031</v>
      </c>
      <c r="E3123" t="s">
        <v>47</v>
      </c>
      <c r="F3123" t="s">
        <v>47</v>
      </c>
      <c r="G3123" t="str">
        <f>INDEX(Risk_Matrix!$B$2:$D$4,MATCH(E3123,Risk_Matrix!$A$2:$A$4,0),MATCH(F3123,Risk_Matrix!$B$1:$D$1,0))</f>
        <v>High</v>
      </c>
      <c r="H3123" s="1">
        <v>46237</v>
      </c>
      <c r="I3123" t="s">
        <v>2015</v>
      </c>
      <c r="J3123" t="s">
        <v>2032</v>
      </c>
      <c r="K3123" t="s">
        <v>2010</v>
      </c>
      <c r="L3123">
        <f>IF(G3123="High",3,IF(G3123="Medium",2,1))</f>
        <v>3</v>
      </c>
    </row>
    <row r="3124" spans="1:12">
      <c r="A3124" t="s">
        <v>5150</v>
      </c>
      <c r="B3124" t="s">
        <v>1759</v>
      </c>
      <c r="C3124" t="s">
        <v>1995</v>
      </c>
      <c r="D3124" t="s">
        <v>2034</v>
      </c>
      <c r="E3124" t="s">
        <v>1971</v>
      </c>
      <c r="F3124" t="s">
        <v>47</v>
      </c>
      <c r="G3124" t="str">
        <f>INDEX(Risk_Matrix!$B$2:$D$4,MATCH(E3124,Risk_Matrix!$A$2:$A$4,0),MATCH(F3124,Risk_Matrix!$B$1:$D$1,0))</f>
        <v>High</v>
      </c>
      <c r="H3124" s="1">
        <v>46223</v>
      </c>
      <c r="I3124" t="s">
        <v>2015</v>
      </c>
      <c r="J3124" t="s">
        <v>2016</v>
      </c>
      <c r="K3124" t="s">
        <v>1998</v>
      </c>
      <c r="L3124">
        <f>IF(G3124="High",3,IF(G3124="Medium",2,1))</f>
        <v>3</v>
      </c>
    </row>
    <row r="3125" spans="1:12">
      <c r="A3125" t="s">
        <v>5151</v>
      </c>
      <c r="B3125" t="s">
        <v>1759</v>
      </c>
      <c r="C3125" t="s">
        <v>2000</v>
      </c>
      <c r="D3125" t="s">
        <v>2020</v>
      </c>
      <c r="E3125" t="s">
        <v>57</v>
      </c>
      <c r="F3125" t="s">
        <v>1971</v>
      </c>
      <c r="G3125" t="str">
        <f>INDEX(Risk_Matrix!$B$2:$D$4,MATCH(E3125,Risk_Matrix!$A$2:$A$4,0),MATCH(F3125,Risk_Matrix!$B$1:$D$1,0))</f>
        <v>Low</v>
      </c>
      <c r="H3125" s="1">
        <v>46170</v>
      </c>
      <c r="I3125" t="s">
        <v>2015</v>
      </c>
      <c r="J3125" t="s">
        <v>2032</v>
      </c>
      <c r="K3125" t="s">
        <v>1989</v>
      </c>
      <c r="L3125">
        <f>IF(G3125="High",3,IF(G3125="Medium",2,1))</f>
        <v>1</v>
      </c>
    </row>
    <row r="3126" spans="1:12">
      <c r="A3126" t="s">
        <v>5152</v>
      </c>
      <c r="B3126" t="s">
        <v>1759</v>
      </c>
      <c r="C3126" t="s">
        <v>2005</v>
      </c>
      <c r="D3126" t="s">
        <v>2022</v>
      </c>
      <c r="E3126" t="s">
        <v>47</v>
      </c>
      <c r="F3126" t="s">
        <v>47</v>
      </c>
      <c r="G3126" t="str">
        <f>INDEX(Risk_Matrix!$B$2:$D$4,MATCH(E3126,Risk_Matrix!$A$2:$A$4,0),MATCH(F3126,Risk_Matrix!$B$1:$D$1,0))</f>
        <v>High</v>
      </c>
      <c r="H3126" s="1">
        <v>46226</v>
      </c>
      <c r="I3126" t="s">
        <v>2015</v>
      </c>
      <c r="J3126" t="s">
        <v>2032</v>
      </c>
      <c r="K3126" t="s">
        <v>1993</v>
      </c>
      <c r="L3126">
        <f>IF(G3126="High",3,IF(G3126="Medium",2,1))</f>
        <v>3</v>
      </c>
    </row>
    <row r="3127" spans="1:12">
      <c r="A3127" t="s">
        <v>5153</v>
      </c>
      <c r="B3127" t="s">
        <v>1759</v>
      </c>
      <c r="C3127" t="s">
        <v>2008</v>
      </c>
      <c r="D3127" t="s">
        <v>2009</v>
      </c>
      <c r="E3127" t="s">
        <v>47</v>
      </c>
      <c r="F3127" t="s">
        <v>1971</v>
      </c>
      <c r="G3127" t="str">
        <f>INDEX(Risk_Matrix!$B$2:$D$4,MATCH(E3127,Risk_Matrix!$A$2:$A$4,0),MATCH(F3127,Risk_Matrix!$B$1:$D$1,0))</f>
        <v>High</v>
      </c>
      <c r="H3127" s="1">
        <v>46162</v>
      </c>
      <c r="I3127" t="s">
        <v>2025</v>
      </c>
      <c r="J3127" t="s">
        <v>2026</v>
      </c>
      <c r="K3127" t="s">
        <v>2010</v>
      </c>
      <c r="L3127">
        <f>IF(G3127="High",3,IF(G3127="Medium",2,1))</f>
        <v>3</v>
      </c>
    </row>
    <row r="3128" spans="1:12">
      <c r="A3128" t="s">
        <v>5154</v>
      </c>
      <c r="B3128" t="s">
        <v>1761</v>
      </c>
      <c r="C3128" t="s">
        <v>1985</v>
      </c>
      <c r="D3128" t="s">
        <v>2028</v>
      </c>
      <c r="E3128" t="s">
        <v>1971</v>
      </c>
      <c r="F3128" t="s">
        <v>1971</v>
      </c>
      <c r="G3128" t="str">
        <f>INDEX(Risk_Matrix!$B$2:$D$4,MATCH(E3128,Risk_Matrix!$A$2:$A$4,0),MATCH(F3128,Risk_Matrix!$B$1:$D$1,0))</f>
        <v>Medium</v>
      </c>
      <c r="H3128" s="1">
        <v>46229</v>
      </c>
      <c r="I3128" t="s">
        <v>2015</v>
      </c>
      <c r="J3128" t="s">
        <v>2032</v>
      </c>
      <c r="K3128" t="s">
        <v>1989</v>
      </c>
      <c r="L3128">
        <f>IF(G3128="High",3,IF(G3128="Medium",2,1))</f>
        <v>2</v>
      </c>
    </row>
    <row r="3129" spans="1:12">
      <c r="A3129" t="s">
        <v>5155</v>
      </c>
      <c r="B3129" t="s">
        <v>1761</v>
      </c>
      <c r="C3129" t="s">
        <v>1991</v>
      </c>
      <c r="D3129" t="s">
        <v>2014</v>
      </c>
      <c r="E3129" t="s">
        <v>1971</v>
      </c>
      <c r="F3129" t="s">
        <v>57</v>
      </c>
      <c r="G3129" t="str">
        <f>INDEX(Risk_Matrix!$B$2:$D$4,MATCH(E3129,Risk_Matrix!$A$2:$A$4,0),MATCH(F3129,Risk_Matrix!$B$1:$D$1,0))</f>
        <v>Low</v>
      </c>
      <c r="H3129" s="1">
        <v>46174</v>
      </c>
      <c r="I3129" t="s">
        <v>2015</v>
      </c>
      <c r="J3129" t="s">
        <v>2016</v>
      </c>
      <c r="K3129" t="s">
        <v>2010</v>
      </c>
      <c r="L3129">
        <f>IF(G3129="High",3,IF(G3129="Medium",2,1))</f>
        <v>1</v>
      </c>
    </row>
    <row r="3130" spans="1:12">
      <c r="A3130" t="s">
        <v>5156</v>
      </c>
      <c r="B3130" t="s">
        <v>1761</v>
      </c>
      <c r="C3130" t="s">
        <v>1995</v>
      </c>
      <c r="D3130" t="s">
        <v>2150</v>
      </c>
      <c r="E3130" t="s">
        <v>57</v>
      </c>
      <c r="F3130" t="s">
        <v>57</v>
      </c>
      <c r="G3130" t="str">
        <f>INDEX(Risk_Matrix!$B$2:$D$4,MATCH(E3130,Risk_Matrix!$A$2:$A$4,0),MATCH(F3130,Risk_Matrix!$B$1:$D$1,0))</f>
        <v>Low</v>
      </c>
      <c r="H3130" s="1">
        <v>46216</v>
      </c>
      <c r="I3130" t="s">
        <v>2002</v>
      </c>
      <c r="J3130" t="s">
        <v>2003</v>
      </c>
      <c r="K3130" t="s">
        <v>1998</v>
      </c>
      <c r="L3130">
        <f>IF(G3130="High",3,IF(G3130="Medium",2,1))</f>
        <v>1</v>
      </c>
    </row>
    <row r="3131" spans="1:12">
      <c r="A3131" t="s">
        <v>5157</v>
      </c>
      <c r="B3131" t="s">
        <v>1761</v>
      </c>
      <c r="C3131" t="s">
        <v>2000</v>
      </c>
      <c r="D3131" t="s">
        <v>2020</v>
      </c>
      <c r="E3131" t="s">
        <v>57</v>
      </c>
      <c r="F3131" t="s">
        <v>57</v>
      </c>
      <c r="G3131" t="str">
        <f>INDEX(Risk_Matrix!$B$2:$D$4,MATCH(E3131,Risk_Matrix!$A$2:$A$4,0),MATCH(F3131,Risk_Matrix!$B$1:$D$1,0))</f>
        <v>Low</v>
      </c>
      <c r="H3131" s="1">
        <v>46062</v>
      </c>
      <c r="I3131" t="s">
        <v>2002</v>
      </c>
      <c r="J3131" t="s">
        <v>2003</v>
      </c>
      <c r="K3131" t="s">
        <v>1993</v>
      </c>
      <c r="L3131">
        <f>IF(G3131="High",3,IF(G3131="Medium",2,1))</f>
        <v>1</v>
      </c>
    </row>
    <row r="3132" spans="1:12">
      <c r="A3132" t="s">
        <v>5158</v>
      </c>
      <c r="B3132" t="s">
        <v>1761</v>
      </c>
      <c r="C3132" t="s">
        <v>2005</v>
      </c>
      <c r="D3132" t="s">
        <v>2006</v>
      </c>
      <c r="E3132" t="s">
        <v>47</v>
      </c>
      <c r="F3132" t="s">
        <v>47</v>
      </c>
      <c r="G3132" t="str">
        <f>INDEX(Risk_Matrix!$B$2:$D$4,MATCH(E3132,Risk_Matrix!$A$2:$A$4,0),MATCH(F3132,Risk_Matrix!$B$1:$D$1,0))</f>
        <v>High</v>
      </c>
      <c r="H3132" s="1">
        <v>46149</v>
      </c>
      <c r="I3132" t="s">
        <v>2025</v>
      </c>
      <c r="J3132" t="s">
        <v>2035</v>
      </c>
      <c r="K3132" t="s">
        <v>1993</v>
      </c>
      <c r="L3132">
        <f>IF(G3132="High",3,IF(G3132="Medium",2,1))</f>
        <v>3</v>
      </c>
    </row>
    <row r="3133" spans="1:12">
      <c r="A3133" t="s">
        <v>5159</v>
      </c>
      <c r="B3133" t="s">
        <v>1761</v>
      </c>
      <c r="C3133" t="s">
        <v>2008</v>
      </c>
      <c r="D3133" t="s">
        <v>2054</v>
      </c>
      <c r="E3133" t="s">
        <v>57</v>
      </c>
      <c r="F3133" t="s">
        <v>57</v>
      </c>
      <c r="G3133" t="str">
        <f>INDEX(Risk_Matrix!$B$2:$D$4,MATCH(E3133,Risk_Matrix!$A$2:$A$4,0),MATCH(F3133,Risk_Matrix!$B$1:$D$1,0))</f>
        <v>Low</v>
      </c>
      <c r="H3133" s="1">
        <v>46185</v>
      </c>
      <c r="I3133" t="s">
        <v>2002</v>
      </c>
      <c r="J3133" t="s">
        <v>2003</v>
      </c>
      <c r="K3133" t="s">
        <v>2010</v>
      </c>
      <c r="L3133">
        <f>IF(G3133="High",3,IF(G3133="Medium",2,1))</f>
        <v>1</v>
      </c>
    </row>
    <row r="3134" spans="1:12">
      <c r="A3134" t="s">
        <v>5160</v>
      </c>
      <c r="B3134" t="s">
        <v>1763</v>
      </c>
      <c r="C3134" t="s">
        <v>1985</v>
      </c>
      <c r="D3134" t="s">
        <v>1986</v>
      </c>
      <c r="E3134" t="s">
        <v>57</v>
      </c>
      <c r="F3134" t="s">
        <v>1971</v>
      </c>
      <c r="G3134" t="str">
        <f>INDEX(Risk_Matrix!$B$2:$D$4,MATCH(E3134,Risk_Matrix!$A$2:$A$4,0),MATCH(F3134,Risk_Matrix!$B$1:$D$1,0))</f>
        <v>Low</v>
      </c>
      <c r="H3134" s="1">
        <v>46159</v>
      </c>
      <c r="I3134" t="s">
        <v>1987</v>
      </c>
      <c r="J3134" t="s">
        <v>1997</v>
      </c>
      <c r="K3134" t="s">
        <v>1989</v>
      </c>
      <c r="L3134">
        <f>IF(G3134="High",3,IF(G3134="Medium",2,1))</f>
        <v>1</v>
      </c>
    </row>
    <row r="3135" spans="1:12">
      <c r="A3135" t="s">
        <v>5161</v>
      </c>
      <c r="B3135" t="s">
        <v>1763</v>
      </c>
      <c r="C3135" t="s">
        <v>1991</v>
      </c>
      <c r="D3135" t="s">
        <v>2031</v>
      </c>
      <c r="E3135" t="s">
        <v>47</v>
      </c>
      <c r="F3135" t="s">
        <v>47</v>
      </c>
      <c r="G3135" t="str">
        <f>INDEX(Risk_Matrix!$B$2:$D$4,MATCH(E3135,Risk_Matrix!$A$2:$A$4,0),MATCH(F3135,Risk_Matrix!$B$1:$D$1,0))</f>
        <v>High</v>
      </c>
      <c r="H3135" s="1">
        <v>46204</v>
      </c>
      <c r="I3135" t="s">
        <v>2015</v>
      </c>
      <c r="J3135" t="s">
        <v>2032</v>
      </c>
      <c r="K3135" t="s">
        <v>2010</v>
      </c>
      <c r="L3135">
        <f>IF(G3135="High",3,IF(G3135="Medium",2,1))</f>
        <v>3</v>
      </c>
    </row>
    <row r="3136" spans="1:12">
      <c r="A3136" t="s">
        <v>5162</v>
      </c>
      <c r="B3136" t="s">
        <v>1763</v>
      </c>
      <c r="C3136" t="s">
        <v>1995</v>
      </c>
      <c r="D3136" t="s">
        <v>2034</v>
      </c>
      <c r="E3136" t="s">
        <v>57</v>
      </c>
      <c r="F3136" t="s">
        <v>47</v>
      </c>
      <c r="G3136" t="str">
        <f>INDEX(Risk_Matrix!$B$2:$D$4,MATCH(E3136,Risk_Matrix!$A$2:$A$4,0),MATCH(F3136,Risk_Matrix!$B$1:$D$1,0))</f>
        <v>Medium</v>
      </c>
      <c r="H3136" s="1">
        <v>46123</v>
      </c>
      <c r="I3136" t="s">
        <v>2025</v>
      </c>
      <c r="J3136" t="s">
        <v>2035</v>
      </c>
      <c r="K3136" t="s">
        <v>2036</v>
      </c>
      <c r="L3136">
        <f>IF(G3136="High",3,IF(G3136="Medium",2,1))</f>
        <v>2</v>
      </c>
    </row>
    <row r="3137" spans="1:12">
      <c r="A3137" t="s">
        <v>5163</v>
      </c>
      <c r="B3137" t="s">
        <v>1763</v>
      </c>
      <c r="C3137" t="s">
        <v>2000</v>
      </c>
      <c r="D3137" t="s">
        <v>2020</v>
      </c>
      <c r="E3137" t="s">
        <v>1971</v>
      </c>
      <c r="F3137" t="s">
        <v>57</v>
      </c>
      <c r="G3137" t="str">
        <f>INDEX(Risk_Matrix!$B$2:$D$4,MATCH(E3137,Risk_Matrix!$A$2:$A$4,0),MATCH(F3137,Risk_Matrix!$B$1:$D$1,0))</f>
        <v>Low</v>
      </c>
      <c r="H3137" s="1">
        <v>46218</v>
      </c>
      <c r="I3137" t="s">
        <v>1987</v>
      </c>
      <c r="J3137" t="s">
        <v>1997</v>
      </c>
      <c r="K3137" t="s">
        <v>1989</v>
      </c>
      <c r="L3137">
        <f>IF(G3137="High",3,IF(G3137="Medium",2,1))</f>
        <v>1</v>
      </c>
    </row>
    <row r="3138" spans="1:12">
      <c r="A3138" t="s">
        <v>5164</v>
      </c>
      <c r="B3138" t="s">
        <v>1763</v>
      </c>
      <c r="C3138" t="s">
        <v>2005</v>
      </c>
      <c r="D3138" t="s">
        <v>2039</v>
      </c>
      <c r="E3138" t="s">
        <v>47</v>
      </c>
      <c r="F3138" t="s">
        <v>47</v>
      </c>
      <c r="G3138" t="str">
        <f>INDEX(Risk_Matrix!$B$2:$D$4,MATCH(E3138,Risk_Matrix!$A$2:$A$4,0),MATCH(F3138,Risk_Matrix!$B$1:$D$1,0))</f>
        <v>High</v>
      </c>
      <c r="H3138" s="1">
        <v>46149</v>
      </c>
      <c r="I3138" t="s">
        <v>1987</v>
      </c>
      <c r="J3138" t="s">
        <v>1988</v>
      </c>
      <c r="K3138" t="s">
        <v>1993</v>
      </c>
      <c r="L3138">
        <f>IF(G3138="High",3,IF(G3138="Medium",2,1))</f>
        <v>3</v>
      </c>
    </row>
    <row r="3139" spans="1:12">
      <c r="A3139" t="s">
        <v>5165</v>
      </c>
      <c r="B3139" t="s">
        <v>1763</v>
      </c>
      <c r="C3139" t="s">
        <v>2008</v>
      </c>
      <c r="D3139" t="s">
        <v>2024</v>
      </c>
      <c r="E3139" t="s">
        <v>57</v>
      </c>
      <c r="F3139" t="s">
        <v>57</v>
      </c>
      <c r="G3139" t="str">
        <f>INDEX(Risk_Matrix!$B$2:$D$4,MATCH(E3139,Risk_Matrix!$A$2:$A$4,0),MATCH(F3139,Risk_Matrix!$B$1:$D$1,0))</f>
        <v>Low</v>
      </c>
      <c r="H3139" s="1">
        <v>46112</v>
      </c>
      <c r="I3139" t="s">
        <v>1987</v>
      </c>
      <c r="J3139" t="s">
        <v>1997</v>
      </c>
      <c r="K3139" t="s">
        <v>1998</v>
      </c>
      <c r="L3139">
        <f>IF(G3139="High",3,IF(G3139="Medium",2,1))</f>
        <v>1</v>
      </c>
    </row>
    <row r="3140" spans="1:12">
      <c r="A3140" t="s">
        <v>5166</v>
      </c>
      <c r="B3140" t="s">
        <v>1766</v>
      </c>
      <c r="C3140" t="s">
        <v>1985</v>
      </c>
      <c r="D3140" t="s">
        <v>1986</v>
      </c>
      <c r="E3140" t="s">
        <v>1971</v>
      </c>
      <c r="F3140" t="s">
        <v>47</v>
      </c>
      <c r="G3140" t="str">
        <f>INDEX(Risk_Matrix!$B$2:$D$4,MATCH(E3140,Risk_Matrix!$A$2:$A$4,0),MATCH(F3140,Risk_Matrix!$B$1:$D$1,0))</f>
        <v>High</v>
      </c>
      <c r="H3140" s="1">
        <v>46181</v>
      </c>
      <c r="I3140" t="s">
        <v>2015</v>
      </c>
      <c r="J3140" t="s">
        <v>2032</v>
      </c>
      <c r="K3140" t="s">
        <v>1989</v>
      </c>
      <c r="L3140">
        <f>IF(G3140="High",3,IF(G3140="Medium",2,1))</f>
        <v>3</v>
      </c>
    </row>
    <row r="3141" spans="1:12">
      <c r="A3141" t="s">
        <v>5167</v>
      </c>
      <c r="B3141" t="s">
        <v>1766</v>
      </c>
      <c r="C3141" t="s">
        <v>1991</v>
      </c>
      <c r="D3141" t="s">
        <v>1992</v>
      </c>
      <c r="E3141" t="s">
        <v>47</v>
      </c>
      <c r="F3141" t="s">
        <v>57</v>
      </c>
      <c r="G3141" t="str">
        <f>INDEX(Risk_Matrix!$B$2:$D$4,MATCH(E3141,Risk_Matrix!$A$2:$A$4,0),MATCH(F3141,Risk_Matrix!$B$1:$D$1,0))</f>
        <v>Medium</v>
      </c>
      <c r="H3141" s="1">
        <v>46233</v>
      </c>
      <c r="I3141" t="s">
        <v>2025</v>
      </c>
      <c r="J3141" t="s">
        <v>2035</v>
      </c>
      <c r="K3141" t="s">
        <v>2010</v>
      </c>
      <c r="L3141">
        <f>IF(G3141="High",3,IF(G3141="Medium",2,1))</f>
        <v>2</v>
      </c>
    </row>
    <row r="3142" spans="1:12">
      <c r="A3142" t="s">
        <v>5168</v>
      </c>
      <c r="B3142" t="s">
        <v>1766</v>
      </c>
      <c r="C3142" t="s">
        <v>1995</v>
      </c>
      <c r="D3142" t="s">
        <v>2034</v>
      </c>
      <c r="E3142" t="s">
        <v>47</v>
      </c>
      <c r="F3142" t="s">
        <v>57</v>
      </c>
      <c r="G3142" t="str">
        <f>INDEX(Risk_Matrix!$B$2:$D$4,MATCH(E3142,Risk_Matrix!$A$2:$A$4,0),MATCH(F3142,Risk_Matrix!$B$1:$D$1,0))</f>
        <v>Medium</v>
      </c>
      <c r="H3142" s="1">
        <v>46206</v>
      </c>
      <c r="I3142" t="s">
        <v>2025</v>
      </c>
      <c r="J3142" t="s">
        <v>2026</v>
      </c>
      <c r="K3142" t="s">
        <v>1998</v>
      </c>
      <c r="L3142">
        <f>IF(G3142="High",3,IF(G3142="Medium",2,1))</f>
        <v>2</v>
      </c>
    </row>
    <row r="3143" spans="1:12">
      <c r="A3143" t="s">
        <v>5169</v>
      </c>
      <c r="B3143" t="s">
        <v>1766</v>
      </c>
      <c r="C3143" t="s">
        <v>2000</v>
      </c>
      <c r="D3143" t="s">
        <v>2045</v>
      </c>
      <c r="E3143" t="s">
        <v>57</v>
      </c>
      <c r="F3143" t="s">
        <v>1971</v>
      </c>
      <c r="G3143" t="str">
        <f>INDEX(Risk_Matrix!$B$2:$D$4,MATCH(E3143,Risk_Matrix!$A$2:$A$4,0),MATCH(F3143,Risk_Matrix!$B$1:$D$1,0))</f>
        <v>Low</v>
      </c>
      <c r="H3143" s="1">
        <v>46236</v>
      </c>
      <c r="I3143" t="s">
        <v>2002</v>
      </c>
      <c r="J3143" t="s">
        <v>2003</v>
      </c>
      <c r="K3143" t="s">
        <v>1989</v>
      </c>
      <c r="L3143">
        <f>IF(G3143="High",3,IF(G3143="Medium",2,1))</f>
        <v>1</v>
      </c>
    </row>
    <row r="3144" spans="1:12">
      <c r="A3144" t="s">
        <v>5170</v>
      </c>
      <c r="B3144" t="s">
        <v>1766</v>
      </c>
      <c r="C3144" t="s">
        <v>2005</v>
      </c>
      <c r="D3144" t="s">
        <v>2006</v>
      </c>
      <c r="E3144" t="s">
        <v>57</v>
      </c>
      <c r="F3144" t="s">
        <v>57</v>
      </c>
      <c r="G3144" t="str">
        <f>INDEX(Risk_Matrix!$B$2:$D$4,MATCH(E3144,Risk_Matrix!$A$2:$A$4,0),MATCH(F3144,Risk_Matrix!$B$1:$D$1,0))</f>
        <v>Low</v>
      </c>
      <c r="H3144" s="1">
        <v>46074</v>
      </c>
      <c r="I3144" t="s">
        <v>1987</v>
      </c>
      <c r="J3144" t="s">
        <v>1997</v>
      </c>
      <c r="K3144" t="s">
        <v>1993</v>
      </c>
      <c r="L3144">
        <f>IF(G3144="High",3,IF(G3144="Medium",2,1))</f>
        <v>1</v>
      </c>
    </row>
    <row r="3145" spans="1:12">
      <c r="A3145" t="s">
        <v>5171</v>
      </c>
      <c r="B3145" t="s">
        <v>1766</v>
      </c>
      <c r="C3145" t="s">
        <v>2008</v>
      </c>
      <c r="D3145" t="s">
        <v>2054</v>
      </c>
      <c r="E3145" t="s">
        <v>1971</v>
      </c>
      <c r="F3145" t="s">
        <v>1971</v>
      </c>
      <c r="G3145" t="str">
        <f>INDEX(Risk_Matrix!$B$2:$D$4,MATCH(E3145,Risk_Matrix!$A$2:$A$4,0),MATCH(F3145,Risk_Matrix!$B$1:$D$1,0))</f>
        <v>Medium</v>
      </c>
      <c r="H3145" s="1">
        <v>46229</v>
      </c>
      <c r="I3145" t="s">
        <v>2015</v>
      </c>
      <c r="J3145" t="s">
        <v>2032</v>
      </c>
      <c r="K3145" t="s">
        <v>2010</v>
      </c>
      <c r="L3145">
        <f>IF(G3145="High",3,IF(G3145="Medium",2,1))</f>
        <v>2</v>
      </c>
    </row>
    <row r="3146" spans="1:12">
      <c r="A3146" t="s">
        <v>5172</v>
      </c>
      <c r="B3146" t="s">
        <v>1768</v>
      </c>
      <c r="C3146" t="s">
        <v>1985</v>
      </c>
      <c r="D3146" t="s">
        <v>2062</v>
      </c>
      <c r="E3146" t="s">
        <v>57</v>
      </c>
      <c r="F3146" t="s">
        <v>57</v>
      </c>
      <c r="G3146" t="str">
        <f>INDEX(Risk_Matrix!$B$2:$D$4,MATCH(E3146,Risk_Matrix!$A$2:$A$4,0),MATCH(F3146,Risk_Matrix!$B$1:$D$1,0))</f>
        <v>Low</v>
      </c>
      <c r="H3146" s="1">
        <v>46179</v>
      </c>
      <c r="I3146" t="s">
        <v>2002</v>
      </c>
      <c r="J3146" t="s">
        <v>2003</v>
      </c>
      <c r="K3146" t="s">
        <v>1989</v>
      </c>
      <c r="L3146">
        <f>IF(G3146="High",3,IF(G3146="Medium",2,1))</f>
        <v>1</v>
      </c>
    </row>
    <row r="3147" spans="1:12">
      <c r="A3147" t="s">
        <v>5173</v>
      </c>
      <c r="B3147" t="s">
        <v>1768</v>
      </c>
      <c r="C3147" t="s">
        <v>1991</v>
      </c>
      <c r="D3147" t="s">
        <v>1992</v>
      </c>
      <c r="E3147" t="s">
        <v>1971</v>
      </c>
      <c r="F3147" t="s">
        <v>1971</v>
      </c>
      <c r="G3147" t="str">
        <f>INDEX(Risk_Matrix!$B$2:$D$4,MATCH(E3147,Risk_Matrix!$A$2:$A$4,0),MATCH(F3147,Risk_Matrix!$B$1:$D$1,0))</f>
        <v>Medium</v>
      </c>
      <c r="H3147" s="1">
        <v>46166</v>
      </c>
      <c r="I3147" t="s">
        <v>1987</v>
      </c>
      <c r="J3147" t="s">
        <v>1997</v>
      </c>
      <c r="K3147" t="s">
        <v>1993</v>
      </c>
      <c r="L3147">
        <f>IF(G3147="High",3,IF(G3147="Medium",2,1))</f>
        <v>2</v>
      </c>
    </row>
    <row r="3148" spans="1:12">
      <c r="A3148" t="s">
        <v>5174</v>
      </c>
      <c r="B3148" t="s">
        <v>1768</v>
      </c>
      <c r="C3148" t="s">
        <v>1995</v>
      </c>
      <c r="D3148" t="s">
        <v>2150</v>
      </c>
      <c r="E3148" t="s">
        <v>57</v>
      </c>
      <c r="F3148" t="s">
        <v>57</v>
      </c>
      <c r="G3148" t="str">
        <f>INDEX(Risk_Matrix!$B$2:$D$4,MATCH(E3148,Risk_Matrix!$A$2:$A$4,0),MATCH(F3148,Risk_Matrix!$B$1:$D$1,0))</f>
        <v>Low</v>
      </c>
      <c r="H3148" s="1">
        <v>46076</v>
      </c>
      <c r="I3148" t="s">
        <v>1987</v>
      </c>
      <c r="J3148" t="s">
        <v>1988</v>
      </c>
      <c r="K3148" t="s">
        <v>2036</v>
      </c>
      <c r="L3148">
        <f>IF(G3148="High",3,IF(G3148="Medium",2,1))</f>
        <v>1</v>
      </c>
    </row>
    <row r="3149" spans="1:12">
      <c r="A3149" t="s">
        <v>5175</v>
      </c>
      <c r="B3149" t="s">
        <v>1768</v>
      </c>
      <c r="C3149" t="s">
        <v>2000</v>
      </c>
      <c r="D3149" t="s">
        <v>2001</v>
      </c>
      <c r="E3149" t="s">
        <v>1971</v>
      </c>
      <c r="F3149" t="s">
        <v>47</v>
      </c>
      <c r="G3149" t="str">
        <f>INDEX(Risk_Matrix!$B$2:$D$4,MATCH(E3149,Risk_Matrix!$A$2:$A$4,0),MATCH(F3149,Risk_Matrix!$B$1:$D$1,0))</f>
        <v>High</v>
      </c>
      <c r="H3149" s="1">
        <v>46228</v>
      </c>
      <c r="I3149" t="s">
        <v>2002</v>
      </c>
      <c r="J3149" t="s">
        <v>2003</v>
      </c>
      <c r="K3149" t="s">
        <v>1989</v>
      </c>
      <c r="L3149">
        <f>IF(G3149="High",3,IF(G3149="Medium",2,1))</f>
        <v>3</v>
      </c>
    </row>
    <row r="3150" spans="1:12">
      <c r="A3150" t="s">
        <v>5176</v>
      </c>
      <c r="B3150" t="s">
        <v>1768</v>
      </c>
      <c r="C3150" t="s">
        <v>2005</v>
      </c>
      <c r="D3150" t="s">
        <v>2039</v>
      </c>
      <c r="E3150" t="s">
        <v>1971</v>
      </c>
      <c r="F3150" t="s">
        <v>47</v>
      </c>
      <c r="G3150" t="str">
        <f>INDEX(Risk_Matrix!$B$2:$D$4,MATCH(E3150,Risk_Matrix!$A$2:$A$4,0),MATCH(F3150,Risk_Matrix!$B$1:$D$1,0))</f>
        <v>High</v>
      </c>
      <c r="H3150" s="1">
        <v>46227</v>
      </c>
      <c r="I3150" t="s">
        <v>2015</v>
      </c>
      <c r="J3150" t="s">
        <v>2016</v>
      </c>
      <c r="K3150" t="s">
        <v>1993</v>
      </c>
      <c r="L3150">
        <f>IF(G3150="High",3,IF(G3150="Medium",2,1))</f>
        <v>3</v>
      </c>
    </row>
    <row r="3151" spans="1:12">
      <c r="A3151" t="s">
        <v>5177</v>
      </c>
      <c r="B3151" t="s">
        <v>1768</v>
      </c>
      <c r="C3151" t="s">
        <v>2008</v>
      </c>
      <c r="D3151" t="s">
        <v>2054</v>
      </c>
      <c r="E3151" t="s">
        <v>1971</v>
      </c>
      <c r="F3151" t="s">
        <v>47</v>
      </c>
      <c r="G3151" t="str">
        <f>INDEX(Risk_Matrix!$B$2:$D$4,MATCH(E3151,Risk_Matrix!$A$2:$A$4,0),MATCH(F3151,Risk_Matrix!$B$1:$D$1,0))</f>
        <v>High</v>
      </c>
      <c r="H3151" s="1">
        <v>46201</v>
      </c>
      <c r="I3151" t="s">
        <v>2015</v>
      </c>
      <c r="J3151" t="s">
        <v>2032</v>
      </c>
      <c r="K3151" t="s">
        <v>2010</v>
      </c>
      <c r="L3151">
        <f>IF(G3151="High",3,IF(G3151="Medium",2,1))</f>
        <v>3</v>
      </c>
    </row>
    <row r="3152" spans="1:12">
      <c r="A3152" t="s">
        <v>5178</v>
      </c>
      <c r="B3152" t="s">
        <v>1770</v>
      </c>
      <c r="C3152" t="s">
        <v>1985</v>
      </c>
      <c r="D3152" t="s">
        <v>2028</v>
      </c>
      <c r="E3152" t="s">
        <v>1971</v>
      </c>
      <c r="F3152" t="s">
        <v>1971</v>
      </c>
      <c r="G3152" t="str">
        <f>INDEX(Risk_Matrix!$B$2:$D$4,MATCH(E3152,Risk_Matrix!$A$2:$A$4,0),MATCH(F3152,Risk_Matrix!$B$1:$D$1,0))</f>
        <v>Medium</v>
      </c>
      <c r="H3152" s="1">
        <v>46196</v>
      </c>
      <c r="I3152" t="s">
        <v>2015</v>
      </c>
      <c r="J3152" t="s">
        <v>2032</v>
      </c>
      <c r="K3152" t="s">
        <v>1989</v>
      </c>
      <c r="L3152">
        <f>IF(G3152="High",3,IF(G3152="Medium",2,1))</f>
        <v>2</v>
      </c>
    </row>
    <row r="3153" spans="1:12">
      <c r="A3153" t="s">
        <v>5179</v>
      </c>
      <c r="B3153" t="s">
        <v>1770</v>
      </c>
      <c r="C3153" t="s">
        <v>1991</v>
      </c>
      <c r="D3153" t="s">
        <v>2064</v>
      </c>
      <c r="E3153" t="s">
        <v>1971</v>
      </c>
      <c r="F3153" t="s">
        <v>57</v>
      </c>
      <c r="G3153" t="str">
        <f>INDEX(Risk_Matrix!$B$2:$D$4,MATCH(E3153,Risk_Matrix!$A$2:$A$4,0),MATCH(F3153,Risk_Matrix!$B$1:$D$1,0))</f>
        <v>Low</v>
      </c>
      <c r="H3153" s="1">
        <v>46169</v>
      </c>
      <c r="I3153" t="s">
        <v>2015</v>
      </c>
      <c r="J3153" t="s">
        <v>2016</v>
      </c>
      <c r="K3153" t="s">
        <v>2010</v>
      </c>
      <c r="L3153">
        <f>IF(G3153="High",3,IF(G3153="Medium",2,1))</f>
        <v>1</v>
      </c>
    </row>
    <row r="3154" spans="1:12">
      <c r="A3154" t="s">
        <v>5180</v>
      </c>
      <c r="B3154" t="s">
        <v>1770</v>
      </c>
      <c r="C3154" t="s">
        <v>1995</v>
      </c>
      <c r="D3154" t="s">
        <v>1996</v>
      </c>
      <c r="E3154" t="s">
        <v>47</v>
      </c>
      <c r="F3154" t="s">
        <v>47</v>
      </c>
      <c r="G3154" t="str">
        <f>INDEX(Risk_Matrix!$B$2:$D$4,MATCH(E3154,Risk_Matrix!$A$2:$A$4,0),MATCH(F3154,Risk_Matrix!$B$1:$D$1,0))</f>
        <v>High</v>
      </c>
      <c r="H3154" s="1">
        <v>46191</v>
      </c>
      <c r="I3154" t="s">
        <v>2015</v>
      </c>
      <c r="J3154" t="s">
        <v>2032</v>
      </c>
      <c r="K3154" t="s">
        <v>2036</v>
      </c>
      <c r="L3154">
        <f>IF(G3154="High",3,IF(G3154="Medium",2,1))</f>
        <v>3</v>
      </c>
    </row>
    <row r="3155" spans="1:12">
      <c r="A3155" t="s">
        <v>5181</v>
      </c>
      <c r="B3155" t="s">
        <v>1770</v>
      </c>
      <c r="C3155" t="s">
        <v>2000</v>
      </c>
      <c r="D3155" t="s">
        <v>2001</v>
      </c>
      <c r="E3155" t="s">
        <v>57</v>
      </c>
      <c r="F3155" t="s">
        <v>47</v>
      </c>
      <c r="G3155" t="str">
        <f>INDEX(Risk_Matrix!$B$2:$D$4,MATCH(E3155,Risk_Matrix!$A$2:$A$4,0),MATCH(F3155,Risk_Matrix!$B$1:$D$1,0))</f>
        <v>Medium</v>
      </c>
      <c r="H3155" s="1">
        <v>46181</v>
      </c>
      <c r="I3155" t="s">
        <v>2015</v>
      </c>
      <c r="J3155" t="s">
        <v>2016</v>
      </c>
      <c r="K3155" t="s">
        <v>1989</v>
      </c>
      <c r="L3155">
        <f>IF(G3155="High",3,IF(G3155="Medium",2,1))</f>
        <v>2</v>
      </c>
    </row>
    <row r="3156" spans="1:12">
      <c r="A3156" t="s">
        <v>5182</v>
      </c>
      <c r="B3156" t="s">
        <v>1770</v>
      </c>
      <c r="C3156" t="s">
        <v>2005</v>
      </c>
      <c r="D3156" t="s">
        <v>2006</v>
      </c>
      <c r="E3156" t="s">
        <v>57</v>
      </c>
      <c r="F3156" t="s">
        <v>1971</v>
      </c>
      <c r="G3156" t="str">
        <f>INDEX(Risk_Matrix!$B$2:$D$4,MATCH(E3156,Risk_Matrix!$A$2:$A$4,0),MATCH(F3156,Risk_Matrix!$B$1:$D$1,0))</f>
        <v>Low</v>
      </c>
      <c r="H3156" s="1">
        <v>46072</v>
      </c>
      <c r="I3156" t="s">
        <v>1987</v>
      </c>
      <c r="J3156" t="s">
        <v>1997</v>
      </c>
      <c r="K3156" t="s">
        <v>2036</v>
      </c>
      <c r="L3156">
        <f>IF(G3156="High",3,IF(G3156="Medium",2,1))</f>
        <v>1</v>
      </c>
    </row>
    <row r="3157" spans="1:12">
      <c r="A3157" t="s">
        <v>5183</v>
      </c>
      <c r="B3157" t="s">
        <v>1770</v>
      </c>
      <c r="C3157" t="s">
        <v>2008</v>
      </c>
      <c r="D3157" t="s">
        <v>2009</v>
      </c>
      <c r="E3157" t="s">
        <v>47</v>
      </c>
      <c r="F3157" t="s">
        <v>1971</v>
      </c>
      <c r="G3157" t="str">
        <f>INDEX(Risk_Matrix!$B$2:$D$4,MATCH(E3157,Risk_Matrix!$A$2:$A$4,0),MATCH(F3157,Risk_Matrix!$B$1:$D$1,0))</f>
        <v>High</v>
      </c>
      <c r="H3157" s="1">
        <v>46199</v>
      </c>
      <c r="I3157" t="s">
        <v>2025</v>
      </c>
      <c r="J3157" t="s">
        <v>2026</v>
      </c>
      <c r="K3157" t="s">
        <v>2010</v>
      </c>
      <c r="L3157">
        <f>IF(G3157="High",3,IF(G3157="Medium",2,1))</f>
        <v>3</v>
      </c>
    </row>
    <row r="3158" spans="1:12">
      <c r="A3158" t="s">
        <v>5184</v>
      </c>
      <c r="B3158" t="s">
        <v>1772</v>
      </c>
      <c r="C3158" t="s">
        <v>1985</v>
      </c>
      <c r="D3158" t="s">
        <v>2028</v>
      </c>
      <c r="E3158" t="s">
        <v>57</v>
      </c>
      <c r="F3158" t="s">
        <v>57</v>
      </c>
      <c r="G3158" t="str">
        <f>INDEX(Risk_Matrix!$B$2:$D$4,MATCH(E3158,Risk_Matrix!$A$2:$A$4,0),MATCH(F3158,Risk_Matrix!$B$1:$D$1,0))</f>
        <v>Low</v>
      </c>
      <c r="H3158" s="1">
        <v>46145</v>
      </c>
      <c r="I3158" t="s">
        <v>2002</v>
      </c>
      <c r="J3158" t="s">
        <v>2029</v>
      </c>
      <c r="K3158" t="s">
        <v>1998</v>
      </c>
      <c r="L3158">
        <f>IF(G3158="High",3,IF(G3158="Medium",2,1))</f>
        <v>1</v>
      </c>
    </row>
    <row r="3159" spans="1:12">
      <c r="A3159" t="s">
        <v>5185</v>
      </c>
      <c r="B3159" t="s">
        <v>1772</v>
      </c>
      <c r="C3159" t="s">
        <v>1991</v>
      </c>
      <c r="D3159" t="s">
        <v>1992</v>
      </c>
      <c r="E3159" t="s">
        <v>1971</v>
      </c>
      <c r="F3159" t="s">
        <v>57</v>
      </c>
      <c r="G3159" t="str">
        <f>INDEX(Risk_Matrix!$B$2:$D$4,MATCH(E3159,Risk_Matrix!$A$2:$A$4,0),MATCH(F3159,Risk_Matrix!$B$1:$D$1,0))</f>
        <v>Low</v>
      </c>
      <c r="H3159" s="1">
        <v>46105</v>
      </c>
      <c r="I3159" t="s">
        <v>2025</v>
      </c>
      <c r="J3159" t="s">
        <v>2026</v>
      </c>
      <c r="K3159" t="s">
        <v>2010</v>
      </c>
      <c r="L3159">
        <f>IF(G3159="High",3,IF(G3159="Medium",2,1))</f>
        <v>1</v>
      </c>
    </row>
    <row r="3160" spans="1:12">
      <c r="A3160" t="s">
        <v>5186</v>
      </c>
      <c r="B3160" t="s">
        <v>1772</v>
      </c>
      <c r="C3160" t="s">
        <v>1995</v>
      </c>
      <c r="D3160" t="s">
        <v>2034</v>
      </c>
      <c r="E3160" t="s">
        <v>1971</v>
      </c>
      <c r="F3160" t="s">
        <v>1971</v>
      </c>
      <c r="G3160" t="str">
        <f>INDEX(Risk_Matrix!$B$2:$D$4,MATCH(E3160,Risk_Matrix!$A$2:$A$4,0),MATCH(F3160,Risk_Matrix!$B$1:$D$1,0))</f>
        <v>Medium</v>
      </c>
      <c r="H3160" s="1">
        <v>46177</v>
      </c>
      <c r="I3160" t="s">
        <v>2015</v>
      </c>
      <c r="J3160" t="s">
        <v>2016</v>
      </c>
      <c r="K3160" t="s">
        <v>1998</v>
      </c>
      <c r="L3160">
        <f>IF(G3160="High",3,IF(G3160="Medium",2,1))</f>
        <v>2</v>
      </c>
    </row>
    <row r="3161" spans="1:12">
      <c r="A3161" t="s">
        <v>5187</v>
      </c>
      <c r="B3161" t="s">
        <v>1772</v>
      </c>
      <c r="C3161" t="s">
        <v>2000</v>
      </c>
      <c r="D3161" t="s">
        <v>2001</v>
      </c>
      <c r="E3161" t="s">
        <v>1971</v>
      </c>
      <c r="F3161" t="s">
        <v>57</v>
      </c>
      <c r="G3161" t="str">
        <f>INDEX(Risk_Matrix!$B$2:$D$4,MATCH(E3161,Risk_Matrix!$A$2:$A$4,0),MATCH(F3161,Risk_Matrix!$B$1:$D$1,0))</f>
        <v>Low</v>
      </c>
      <c r="H3161" s="1">
        <v>46063</v>
      </c>
      <c r="I3161" t="s">
        <v>2002</v>
      </c>
      <c r="J3161" t="s">
        <v>2029</v>
      </c>
      <c r="K3161" t="s">
        <v>1993</v>
      </c>
      <c r="L3161">
        <f>IF(G3161="High",3,IF(G3161="Medium",2,1))</f>
        <v>1</v>
      </c>
    </row>
    <row r="3162" spans="1:12">
      <c r="A3162" t="s">
        <v>5188</v>
      </c>
      <c r="B3162" t="s">
        <v>1772</v>
      </c>
      <c r="C3162" t="s">
        <v>2005</v>
      </c>
      <c r="D3162" t="s">
        <v>2006</v>
      </c>
      <c r="E3162" t="s">
        <v>57</v>
      </c>
      <c r="F3162" t="s">
        <v>1971</v>
      </c>
      <c r="G3162" t="str">
        <f>INDEX(Risk_Matrix!$B$2:$D$4,MATCH(E3162,Risk_Matrix!$A$2:$A$4,0),MATCH(F3162,Risk_Matrix!$B$1:$D$1,0))</f>
        <v>Low</v>
      </c>
      <c r="H3162" s="1">
        <v>46152</v>
      </c>
      <c r="I3162" t="s">
        <v>2002</v>
      </c>
      <c r="J3162" t="s">
        <v>2029</v>
      </c>
      <c r="K3162" t="s">
        <v>1993</v>
      </c>
      <c r="L3162">
        <f>IF(G3162="High",3,IF(G3162="Medium",2,1))</f>
        <v>1</v>
      </c>
    </row>
    <row r="3163" spans="1:12">
      <c r="A3163" t="s">
        <v>5189</v>
      </c>
      <c r="B3163" t="s">
        <v>1772</v>
      </c>
      <c r="C3163" t="s">
        <v>2008</v>
      </c>
      <c r="D3163" t="s">
        <v>2054</v>
      </c>
      <c r="E3163" t="s">
        <v>57</v>
      </c>
      <c r="F3163" t="s">
        <v>47</v>
      </c>
      <c r="G3163" t="str">
        <f>INDEX(Risk_Matrix!$B$2:$D$4,MATCH(E3163,Risk_Matrix!$A$2:$A$4,0),MATCH(F3163,Risk_Matrix!$B$1:$D$1,0))</f>
        <v>Medium</v>
      </c>
      <c r="H3163" s="1">
        <v>46173</v>
      </c>
      <c r="I3163" t="s">
        <v>2015</v>
      </c>
      <c r="J3163" t="s">
        <v>2016</v>
      </c>
      <c r="K3163" t="s">
        <v>2010</v>
      </c>
      <c r="L3163">
        <f>IF(G3163="High",3,IF(G3163="Medium",2,1))</f>
        <v>2</v>
      </c>
    </row>
    <row r="3164" spans="1:12">
      <c r="A3164" t="s">
        <v>5190</v>
      </c>
      <c r="B3164" t="s">
        <v>1775</v>
      </c>
      <c r="C3164" t="s">
        <v>1985</v>
      </c>
      <c r="D3164" t="s">
        <v>2028</v>
      </c>
      <c r="E3164" t="s">
        <v>57</v>
      </c>
      <c r="F3164" t="s">
        <v>57</v>
      </c>
      <c r="G3164" t="str">
        <f>INDEX(Risk_Matrix!$B$2:$D$4,MATCH(E3164,Risk_Matrix!$A$2:$A$4,0),MATCH(F3164,Risk_Matrix!$B$1:$D$1,0))</f>
        <v>Low</v>
      </c>
      <c r="H3164" s="1">
        <v>46190</v>
      </c>
      <c r="I3164" t="s">
        <v>2025</v>
      </c>
      <c r="J3164" t="s">
        <v>2026</v>
      </c>
      <c r="K3164" t="s">
        <v>1989</v>
      </c>
      <c r="L3164">
        <f>IF(G3164="High",3,IF(G3164="Medium",2,1))</f>
        <v>1</v>
      </c>
    </row>
    <row r="3165" spans="1:12">
      <c r="A3165" t="s">
        <v>5191</v>
      </c>
      <c r="B3165" t="s">
        <v>1775</v>
      </c>
      <c r="C3165" t="s">
        <v>1991</v>
      </c>
      <c r="D3165" t="s">
        <v>2031</v>
      </c>
      <c r="E3165" t="s">
        <v>47</v>
      </c>
      <c r="F3165" t="s">
        <v>47</v>
      </c>
      <c r="G3165" t="str">
        <f>INDEX(Risk_Matrix!$B$2:$D$4,MATCH(E3165,Risk_Matrix!$A$2:$A$4,0),MATCH(F3165,Risk_Matrix!$B$1:$D$1,0))</f>
        <v>High</v>
      </c>
      <c r="H3165" s="1">
        <v>46204</v>
      </c>
      <c r="I3165" t="s">
        <v>2015</v>
      </c>
      <c r="J3165" t="s">
        <v>2016</v>
      </c>
      <c r="K3165" t="s">
        <v>1993</v>
      </c>
      <c r="L3165">
        <f>IF(G3165="High",3,IF(G3165="Medium",2,1))</f>
        <v>3</v>
      </c>
    </row>
    <row r="3166" spans="1:12">
      <c r="A3166" t="s">
        <v>5192</v>
      </c>
      <c r="B3166" t="s">
        <v>1775</v>
      </c>
      <c r="C3166" t="s">
        <v>1995</v>
      </c>
      <c r="D3166" t="s">
        <v>2018</v>
      </c>
      <c r="E3166" t="s">
        <v>57</v>
      </c>
      <c r="F3166" t="s">
        <v>1971</v>
      </c>
      <c r="G3166" t="str">
        <f>INDEX(Risk_Matrix!$B$2:$D$4,MATCH(E3166,Risk_Matrix!$A$2:$A$4,0),MATCH(F3166,Risk_Matrix!$B$1:$D$1,0))</f>
        <v>Low</v>
      </c>
      <c r="H3166" s="1">
        <v>46174</v>
      </c>
      <c r="I3166" t="s">
        <v>1987</v>
      </c>
      <c r="J3166" t="s">
        <v>1988</v>
      </c>
      <c r="K3166" t="s">
        <v>1998</v>
      </c>
      <c r="L3166">
        <f>IF(G3166="High",3,IF(G3166="Medium",2,1))</f>
        <v>1</v>
      </c>
    </row>
    <row r="3167" spans="1:12">
      <c r="A3167" t="s">
        <v>5193</v>
      </c>
      <c r="B3167" t="s">
        <v>1775</v>
      </c>
      <c r="C3167" t="s">
        <v>2000</v>
      </c>
      <c r="D3167" t="s">
        <v>2020</v>
      </c>
      <c r="E3167" t="s">
        <v>57</v>
      </c>
      <c r="F3167" t="s">
        <v>57</v>
      </c>
      <c r="G3167" t="str">
        <f>INDEX(Risk_Matrix!$B$2:$D$4,MATCH(E3167,Risk_Matrix!$A$2:$A$4,0),MATCH(F3167,Risk_Matrix!$B$1:$D$1,0))</f>
        <v>Low</v>
      </c>
      <c r="H3167" s="1">
        <v>46073</v>
      </c>
      <c r="I3167" t="s">
        <v>2002</v>
      </c>
      <c r="J3167" t="s">
        <v>2029</v>
      </c>
      <c r="K3167" t="s">
        <v>1989</v>
      </c>
      <c r="L3167">
        <f>IF(G3167="High",3,IF(G3167="Medium",2,1))</f>
        <v>1</v>
      </c>
    </row>
    <row r="3168" spans="1:12">
      <c r="A3168" t="s">
        <v>5194</v>
      </c>
      <c r="B3168" t="s">
        <v>1775</v>
      </c>
      <c r="C3168" t="s">
        <v>2005</v>
      </c>
      <c r="D3168" t="s">
        <v>2022</v>
      </c>
      <c r="E3168" t="s">
        <v>1971</v>
      </c>
      <c r="F3168" t="s">
        <v>1971</v>
      </c>
      <c r="G3168" t="str">
        <f>INDEX(Risk_Matrix!$B$2:$D$4,MATCH(E3168,Risk_Matrix!$A$2:$A$4,0),MATCH(F3168,Risk_Matrix!$B$1:$D$1,0))</f>
        <v>Medium</v>
      </c>
      <c r="H3168" s="1">
        <v>46220</v>
      </c>
      <c r="I3168" t="s">
        <v>1987</v>
      </c>
      <c r="J3168" t="s">
        <v>1988</v>
      </c>
      <c r="K3168" t="s">
        <v>1993</v>
      </c>
      <c r="L3168">
        <f>IF(G3168="High",3,IF(G3168="Medium",2,1))</f>
        <v>2</v>
      </c>
    </row>
    <row r="3169" spans="1:12">
      <c r="A3169" t="s">
        <v>5195</v>
      </c>
      <c r="B3169" t="s">
        <v>1775</v>
      </c>
      <c r="C3169" t="s">
        <v>2008</v>
      </c>
      <c r="D3169" t="s">
        <v>2009</v>
      </c>
      <c r="E3169" t="s">
        <v>1971</v>
      </c>
      <c r="F3169" t="s">
        <v>1971</v>
      </c>
      <c r="G3169" t="str">
        <f>INDEX(Risk_Matrix!$B$2:$D$4,MATCH(E3169,Risk_Matrix!$A$2:$A$4,0),MATCH(F3169,Risk_Matrix!$B$1:$D$1,0))</f>
        <v>Medium</v>
      </c>
      <c r="H3169" s="1">
        <v>46168</v>
      </c>
      <c r="I3169" t="s">
        <v>1987</v>
      </c>
      <c r="J3169" t="s">
        <v>1997</v>
      </c>
      <c r="K3169" t="s">
        <v>2010</v>
      </c>
      <c r="L3169">
        <f>IF(G3169="High",3,IF(G3169="Medium",2,1))</f>
        <v>2</v>
      </c>
    </row>
    <row r="3170" spans="1:12">
      <c r="A3170" t="s">
        <v>5196</v>
      </c>
      <c r="B3170" t="s">
        <v>1778</v>
      </c>
      <c r="C3170" t="s">
        <v>1985</v>
      </c>
      <c r="D3170" t="s">
        <v>2062</v>
      </c>
      <c r="E3170" t="s">
        <v>1971</v>
      </c>
      <c r="F3170" t="s">
        <v>47</v>
      </c>
      <c r="G3170" t="str">
        <f>INDEX(Risk_Matrix!$B$2:$D$4,MATCH(E3170,Risk_Matrix!$A$2:$A$4,0),MATCH(F3170,Risk_Matrix!$B$1:$D$1,0))</f>
        <v>High</v>
      </c>
      <c r="H3170" s="1">
        <v>46212</v>
      </c>
      <c r="I3170" t="s">
        <v>2015</v>
      </c>
      <c r="J3170" t="s">
        <v>2016</v>
      </c>
      <c r="K3170" t="s">
        <v>1989</v>
      </c>
      <c r="L3170">
        <f>IF(G3170="High",3,IF(G3170="Medium",2,1))</f>
        <v>3</v>
      </c>
    </row>
    <row r="3171" spans="1:12">
      <c r="A3171" t="s">
        <v>5197</v>
      </c>
      <c r="B3171" t="s">
        <v>1778</v>
      </c>
      <c r="C3171" t="s">
        <v>1991</v>
      </c>
      <c r="D3171" t="s">
        <v>2031</v>
      </c>
      <c r="E3171" t="s">
        <v>47</v>
      </c>
      <c r="F3171" t="s">
        <v>57</v>
      </c>
      <c r="G3171" t="str">
        <f>INDEX(Risk_Matrix!$B$2:$D$4,MATCH(E3171,Risk_Matrix!$A$2:$A$4,0),MATCH(F3171,Risk_Matrix!$B$1:$D$1,0))</f>
        <v>Medium</v>
      </c>
      <c r="H3171" s="1">
        <v>46159</v>
      </c>
      <c r="I3171" t="s">
        <v>2025</v>
      </c>
      <c r="J3171" t="s">
        <v>2026</v>
      </c>
      <c r="K3171" t="s">
        <v>1993</v>
      </c>
      <c r="L3171">
        <f>IF(G3171="High",3,IF(G3171="Medium",2,1))</f>
        <v>2</v>
      </c>
    </row>
    <row r="3172" spans="1:12">
      <c r="A3172" t="s">
        <v>5198</v>
      </c>
      <c r="B3172" t="s">
        <v>1778</v>
      </c>
      <c r="C3172" t="s">
        <v>1995</v>
      </c>
      <c r="D3172" t="s">
        <v>2150</v>
      </c>
      <c r="E3172" t="s">
        <v>1971</v>
      </c>
      <c r="F3172" t="s">
        <v>1971</v>
      </c>
      <c r="G3172" t="str">
        <f>INDEX(Risk_Matrix!$B$2:$D$4,MATCH(E3172,Risk_Matrix!$A$2:$A$4,0),MATCH(F3172,Risk_Matrix!$B$1:$D$1,0))</f>
        <v>Medium</v>
      </c>
      <c r="H3172" s="1">
        <v>46183</v>
      </c>
      <c r="I3172" t="s">
        <v>2015</v>
      </c>
      <c r="J3172" t="s">
        <v>2016</v>
      </c>
      <c r="K3172" t="s">
        <v>2036</v>
      </c>
      <c r="L3172">
        <f>IF(G3172="High",3,IF(G3172="Medium",2,1))</f>
        <v>2</v>
      </c>
    </row>
    <row r="3173" spans="1:12">
      <c r="A3173" t="s">
        <v>5199</v>
      </c>
      <c r="B3173" t="s">
        <v>1778</v>
      </c>
      <c r="C3173" t="s">
        <v>2000</v>
      </c>
      <c r="D3173" t="s">
        <v>2020</v>
      </c>
      <c r="E3173" t="s">
        <v>57</v>
      </c>
      <c r="F3173" t="s">
        <v>1971</v>
      </c>
      <c r="G3173" t="str">
        <f>INDEX(Risk_Matrix!$B$2:$D$4,MATCH(E3173,Risk_Matrix!$A$2:$A$4,0),MATCH(F3173,Risk_Matrix!$B$1:$D$1,0))</f>
        <v>Low</v>
      </c>
      <c r="H3173" s="1">
        <v>46073</v>
      </c>
      <c r="I3173" t="s">
        <v>1987</v>
      </c>
      <c r="J3173" t="s">
        <v>1997</v>
      </c>
      <c r="K3173" t="s">
        <v>1993</v>
      </c>
      <c r="L3173">
        <f>IF(G3173="High",3,IF(G3173="Medium",2,1))</f>
        <v>1</v>
      </c>
    </row>
    <row r="3174" spans="1:12">
      <c r="A3174" t="s">
        <v>5200</v>
      </c>
      <c r="B3174" t="s">
        <v>1778</v>
      </c>
      <c r="C3174" t="s">
        <v>2005</v>
      </c>
      <c r="D3174" t="s">
        <v>2022</v>
      </c>
      <c r="E3174" t="s">
        <v>47</v>
      </c>
      <c r="F3174" t="s">
        <v>1971</v>
      </c>
      <c r="G3174" t="str">
        <f>INDEX(Risk_Matrix!$B$2:$D$4,MATCH(E3174,Risk_Matrix!$A$2:$A$4,0),MATCH(F3174,Risk_Matrix!$B$1:$D$1,0))</f>
        <v>High</v>
      </c>
      <c r="H3174" s="1">
        <v>46075</v>
      </c>
      <c r="I3174" t="s">
        <v>1987</v>
      </c>
      <c r="J3174" t="s">
        <v>1988</v>
      </c>
      <c r="K3174" t="s">
        <v>1993</v>
      </c>
      <c r="L3174">
        <f>IF(G3174="High",3,IF(G3174="Medium",2,1))</f>
        <v>3</v>
      </c>
    </row>
    <row r="3175" spans="1:12">
      <c r="A3175" t="s">
        <v>5201</v>
      </c>
      <c r="B3175" t="s">
        <v>1778</v>
      </c>
      <c r="C3175" t="s">
        <v>2008</v>
      </c>
      <c r="D3175" t="s">
        <v>2009</v>
      </c>
      <c r="E3175" t="s">
        <v>57</v>
      </c>
      <c r="F3175" t="s">
        <v>57</v>
      </c>
      <c r="G3175" t="str">
        <f>INDEX(Risk_Matrix!$B$2:$D$4,MATCH(E3175,Risk_Matrix!$A$2:$A$4,0),MATCH(F3175,Risk_Matrix!$B$1:$D$1,0))</f>
        <v>Low</v>
      </c>
      <c r="H3175" s="1">
        <v>46066</v>
      </c>
      <c r="I3175" t="s">
        <v>2002</v>
      </c>
      <c r="J3175" t="s">
        <v>2003</v>
      </c>
      <c r="K3175" t="s">
        <v>2010</v>
      </c>
      <c r="L3175">
        <f>IF(G3175="High",3,IF(G3175="Medium",2,1))</f>
        <v>1</v>
      </c>
    </row>
    <row r="3176" spans="1:12">
      <c r="A3176" t="s">
        <v>5202</v>
      </c>
      <c r="B3176" t="s">
        <v>1780</v>
      </c>
      <c r="C3176" t="s">
        <v>1985</v>
      </c>
      <c r="D3176" t="s">
        <v>2028</v>
      </c>
      <c r="E3176" t="s">
        <v>57</v>
      </c>
      <c r="F3176" t="s">
        <v>47</v>
      </c>
      <c r="G3176" t="str">
        <f>INDEX(Risk_Matrix!$B$2:$D$4,MATCH(E3176,Risk_Matrix!$A$2:$A$4,0),MATCH(F3176,Risk_Matrix!$B$1:$D$1,0))</f>
        <v>Medium</v>
      </c>
      <c r="H3176" s="1">
        <v>46221</v>
      </c>
      <c r="I3176" t="s">
        <v>2015</v>
      </c>
      <c r="J3176" t="s">
        <v>2016</v>
      </c>
      <c r="K3176" t="s">
        <v>1998</v>
      </c>
      <c r="L3176">
        <f>IF(G3176="High",3,IF(G3176="Medium",2,1))</f>
        <v>2</v>
      </c>
    </row>
    <row r="3177" spans="1:12">
      <c r="A3177" t="s">
        <v>5203</v>
      </c>
      <c r="B3177" t="s">
        <v>1780</v>
      </c>
      <c r="C3177" t="s">
        <v>1991</v>
      </c>
      <c r="D3177" t="s">
        <v>2031</v>
      </c>
      <c r="E3177" t="s">
        <v>1971</v>
      </c>
      <c r="F3177" t="s">
        <v>1971</v>
      </c>
      <c r="G3177" t="str">
        <f>INDEX(Risk_Matrix!$B$2:$D$4,MATCH(E3177,Risk_Matrix!$A$2:$A$4,0),MATCH(F3177,Risk_Matrix!$B$1:$D$1,0))</f>
        <v>Medium</v>
      </c>
      <c r="H3177" s="1">
        <v>46113</v>
      </c>
      <c r="I3177" t="s">
        <v>1987</v>
      </c>
      <c r="J3177" t="s">
        <v>1988</v>
      </c>
      <c r="K3177" t="s">
        <v>2010</v>
      </c>
      <c r="L3177">
        <f>IF(G3177="High",3,IF(G3177="Medium",2,1))</f>
        <v>2</v>
      </c>
    </row>
    <row r="3178" spans="1:12">
      <c r="A3178" t="s">
        <v>5204</v>
      </c>
      <c r="B3178" t="s">
        <v>1780</v>
      </c>
      <c r="C3178" t="s">
        <v>1995</v>
      </c>
      <c r="D3178" t="s">
        <v>1996</v>
      </c>
      <c r="E3178" t="s">
        <v>57</v>
      </c>
      <c r="F3178" t="s">
        <v>57</v>
      </c>
      <c r="G3178" t="str">
        <f>INDEX(Risk_Matrix!$B$2:$D$4,MATCH(E3178,Risk_Matrix!$A$2:$A$4,0),MATCH(F3178,Risk_Matrix!$B$1:$D$1,0))</f>
        <v>Low</v>
      </c>
      <c r="H3178" s="1">
        <v>46208</v>
      </c>
      <c r="I3178" t="s">
        <v>1987</v>
      </c>
      <c r="J3178" t="s">
        <v>1997</v>
      </c>
      <c r="K3178" t="s">
        <v>1998</v>
      </c>
      <c r="L3178">
        <f>IF(G3178="High",3,IF(G3178="Medium",2,1))</f>
        <v>1</v>
      </c>
    </row>
    <row r="3179" spans="1:12">
      <c r="A3179" t="s">
        <v>5205</v>
      </c>
      <c r="B3179" t="s">
        <v>1780</v>
      </c>
      <c r="C3179" t="s">
        <v>2000</v>
      </c>
      <c r="D3179" t="s">
        <v>2020</v>
      </c>
      <c r="E3179" t="s">
        <v>1971</v>
      </c>
      <c r="F3179" t="s">
        <v>57</v>
      </c>
      <c r="G3179" t="str">
        <f>INDEX(Risk_Matrix!$B$2:$D$4,MATCH(E3179,Risk_Matrix!$A$2:$A$4,0),MATCH(F3179,Risk_Matrix!$B$1:$D$1,0))</f>
        <v>Low</v>
      </c>
      <c r="H3179" s="1">
        <v>46111</v>
      </c>
      <c r="I3179" t="s">
        <v>2002</v>
      </c>
      <c r="J3179" t="s">
        <v>2003</v>
      </c>
      <c r="K3179" t="s">
        <v>1989</v>
      </c>
      <c r="L3179">
        <f>IF(G3179="High",3,IF(G3179="Medium",2,1))</f>
        <v>1</v>
      </c>
    </row>
    <row r="3180" spans="1:12">
      <c r="A3180" t="s">
        <v>5206</v>
      </c>
      <c r="B3180" t="s">
        <v>1780</v>
      </c>
      <c r="C3180" t="s">
        <v>2005</v>
      </c>
      <c r="D3180" t="s">
        <v>2006</v>
      </c>
      <c r="E3180" t="s">
        <v>47</v>
      </c>
      <c r="F3180" t="s">
        <v>1971</v>
      </c>
      <c r="G3180" t="str">
        <f>INDEX(Risk_Matrix!$B$2:$D$4,MATCH(E3180,Risk_Matrix!$A$2:$A$4,0),MATCH(F3180,Risk_Matrix!$B$1:$D$1,0))</f>
        <v>High</v>
      </c>
      <c r="H3180" s="1">
        <v>46184</v>
      </c>
      <c r="I3180" t="s">
        <v>2015</v>
      </c>
      <c r="J3180" t="s">
        <v>2016</v>
      </c>
      <c r="K3180" t="s">
        <v>1993</v>
      </c>
      <c r="L3180">
        <f>IF(G3180="High",3,IF(G3180="Medium",2,1))</f>
        <v>3</v>
      </c>
    </row>
    <row r="3181" spans="1:12">
      <c r="A3181" t="s">
        <v>5207</v>
      </c>
      <c r="B3181" t="s">
        <v>1780</v>
      </c>
      <c r="C3181" t="s">
        <v>2008</v>
      </c>
      <c r="D3181" t="s">
        <v>2054</v>
      </c>
      <c r="E3181" t="s">
        <v>57</v>
      </c>
      <c r="F3181" t="s">
        <v>1971</v>
      </c>
      <c r="G3181" t="str">
        <f>INDEX(Risk_Matrix!$B$2:$D$4,MATCH(E3181,Risk_Matrix!$A$2:$A$4,0),MATCH(F3181,Risk_Matrix!$B$1:$D$1,0))</f>
        <v>Low</v>
      </c>
      <c r="H3181" s="1">
        <v>46088</v>
      </c>
      <c r="I3181" t="s">
        <v>1987</v>
      </c>
      <c r="J3181" t="s">
        <v>1988</v>
      </c>
      <c r="K3181" t="s">
        <v>2010</v>
      </c>
      <c r="L3181">
        <f>IF(G3181="High",3,IF(G3181="Medium",2,1))</f>
        <v>1</v>
      </c>
    </row>
    <row r="3182" spans="1:12">
      <c r="A3182" t="s">
        <v>5208</v>
      </c>
      <c r="B3182" t="s">
        <v>1782</v>
      </c>
      <c r="C3182" t="s">
        <v>1985</v>
      </c>
      <c r="D3182" t="s">
        <v>2028</v>
      </c>
      <c r="E3182" t="s">
        <v>1971</v>
      </c>
      <c r="F3182" t="s">
        <v>1971</v>
      </c>
      <c r="G3182" t="str">
        <f>INDEX(Risk_Matrix!$B$2:$D$4,MATCH(E3182,Risk_Matrix!$A$2:$A$4,0),MATCH(F3182,Risk_Matrix!$B$1:$D$1,0))</f>
        <v>Medium</v>
      </c>
      <c r="H3182" s="1">
        <v>46163</v>
      </c>
      <c r="I3182" t="s">
        <v>2015</v>
      </c>
      <c r="J3182" t="s">
        <v>2032</v>
      </c>
      <c r="K3182" t="s">
        <v>1989</v>
      </c>
      <c r="L3182">
        <f>IF(G3182="High",3,IF(G3182="Medium",2,1))</f>
        <v>2</v>
      </c>
    </row>
    <row r="3183" spans="1:12">
      <c r="A3183" t="s">
        <v>5209</v>
      </c>
      <c r="B3183" t="s">
        <v>1782</v>
      </c>
      <c r="C3183" t="s">
        <v>1991</v>
      </c>
      <c r="D3183" t="s">
        <v>2014</v>
      </c>
      <c r="E3183" t="s">
        <v>1971</v>
      </c>
      <c r="F3183" t="s">
        <v>1971</v>
      </c>
      <c r="G3183" t="str">
        <f>INDEX(Risk_Matrix!$B$2:$D$4,MATCH(E3183,Risk_Matrix!$A$2:$A$4,0),MATCH(F3183,Risk_Matrix!$B$1:$D$1,0))</f>
        <v>Medium</v>
      </c>
      <c r="H3183" s="1">
        <v>46081</v>
      </c>
      <c r="I3183" t="s">
        <v>1987</v>
      </c>
      <c r="J3183" t="s">
        <v>1988</v>
      </c>
      <c r="K3183" t="s">
        <v>1993</v>
      </c>
      <c r="L3183">
        <f>IF(G3183="High",3,IF(G3183="Medium",2,1))</f>
        <v>2</v>
      </c>
    </row>
    <row r="3184" spans="1:12">
      <c r="A3184" t="s">
        <v>5210</v>
      </c>
      <c r="B3184" t="s">
        <v>1782</v>
      </c>
      <c r="C3184" t="s">
        <v>1995</v>
      </c>
      <c r="D3184" t="s">
        <v>2150</v>
      </c>
      <c r="E3184" t="s">
        <v>1971</v>
      </c>
      <c r="F3184" t="s">
        <v>57</v>
      </c>
      <c r="G3184" t="str">
        <f>INDEX(Risk_Matrix!$B$2:$D$4,MATCH(E3184,Risk_Matrix!$A$2:$A$4,0),MATCH(F3184,Risk_Matrix!$B$1:$D$1,0))</f>
        <v>Low</v>
      </c>
      <c r="H3184" s="1">
        <v>46185</v>
      </c>
      <c r="I3184" t="s">
        <v>2002</v>
      </c>
      <c r="J3184" t="s">
        <v>2029</v>
      </c>
      <c r="K3184" t="s">
        <v>2036</v>
      </c>
      <c r="L3184">
        <f>IF(G3184="High",3,IF(G3184="Medium",2,1))</f>
        <v>1</v>
      </c>
    </row>
    <row r="3185" spans="1:12">
      <c r="A3185" t="s">
        <v>5211</v>
      </c>
      <c r="B3185" t="s">
        <v>1782</v>
      </c>
      <c r="C3185" t="s">
        <v>2000</v>
      </c>
      <c r="D3185" t="s">
        <v>2045</v>
      </c>
      <c r="E3185" t="s">
        <v>57</v>
      </c>
      <c r="F3185" t="s">
        <v>57</v>
      </c>
      <c r="G3185" t="str">
        <f>INDEX(Risk_Matrix!$B$2:$D$4,MATCH(E3185,Risk_Matrix!$A$2:$A$4,0),MATCH(F3185,Risk_Matrix!$B$1:$D$1,0))</f>
        <v>Low</v>
      </c>
      <c r="H3185" s="1">
        <v>46132</v>
      </c>
      <c r="I3185" t="s">
        <v>1987</v>
      </c>
      <c r="J3185" t="s">
        <v>1988</v>
      </c>
      <c r="K3185" t="s">
        <v>1989</v>
      </c>
      <c r="L3185">
        <f>IF(G3185="High",3,IF(G3185="Medium",2,1))</f>
        <v>1</v>
      </c>
    </row>
    <row r="3186" spans="1:12">
      <c r="A3186" t="s">
        <v>5212</v>
      </c>
      <c r="B3186" t="s">
        <v>1782</v>
      </c>
      <c r="C3186" t="s">
        <v>2005</v>
      </c>
      <c r="D3186" t="s">
        <v>2006</v>
      </c>
      <c r="E3186" t="s">
        <v>57</v>
      </c>
      <c r="F3186" t="s">
        <v>57</v>
      </c>
      <c r="G3186" t="str">
        <f>INDEX(Risk_Matrix!$B$2:$D$4,MATCH(E3186,Risk_Matrix!$A$2:$A$4,0),MATCH(F3186,Risk_Matrix!$B$1:$D$1,0))</f>
        <v>Low</v>
      </c>
      <c r="H3186" s="1">
        <v>46057</v>
      </c>
      <c r="I3186" t="s">
        <v>2025</v>
      </c>
      <c r="J3186" t="s">
        <v>2026</v>
      </c>
      <c r="K3186" t="s">
        <v>1993</v>
      </c>
      <c r="L3186">
        <f>IF(G3186="High",3,IF(G3186="Medium",2,1))</f>
        <v>1</v>
      </c>
    </row>
    <row r="3187" spans="1:12">
      <c r="A3187" t="s">
        <v>5213</v>
      </c>
      <c r="B3187" t="s">
        <v>1782</v>
      </c>
      <c r="C3187" t="s">
        <v>2008</v>
      </c>
      <c r="D3187" t="s">
        <v>2054</v>
      </c>
      <c r="E3187" t="s">
        <v>57</v>
      </c>
      <c r="F3187" t="s">
        <v>57</v>
      </c>
      <c r="G3187" t="str">
        <f>INDEX(Risk_Matrix!$B$2:$D$4,MATCH(E3187,Risk_Matrix!$A$2:$A$4,0),MATCH(F3187,Risk_Matrix!$B$1:$D$1,0))</f>
        <v>Low</v>
      </c>
      <c r="H3187" s="1">
        <v>46178</v>
      </c>
      <c r="I3187" t="s">
        <v>2015</v>
      </c>
      <c r="J3187" t="s">
        <v>2032</v>
      </c>
      <c r="K3187" t="s">
        <v>2010</v>
      </c>
      <c r="L3187">
        <f>IF(G3187="High",3,IF(G3187="Medium",2,1))</f>
        <v>1</v>
      </c>
    </row>
    <row r="3188" spans="1:12">
      <c r="A3188" t="s">
        <v>5214</v>
      </c>
      <c r="B3188" t="s">
        <v>1784</v>
      </c>
      <c r="C3188" t="s">
        <v>1985</v>
      </c>
      <c r="D3188" t="s">
        <v>1986</v>
      </c>
      <c r="E3188" t="s">
        <v>57</v>
      </c>
      <c r="F3188" t="s">
        <v>1971</v>
      </c>
      <c r="G3188" t="str">
        <f>INDEX(Risk_Matrix!$B$2:$D$4,MATCH(E3188,Risk_Matrix!$A$2:$A$4,0),MATCH(F3188,Risk_Matrix!$B$1:$D$1,0))</f>
        <v>Low</v>
      </c>
      <c r="H3188" s="1">
        <v>46189</v>
      </c>
      <c r="I3188" t="s">
        <v>2015</v>
      </c>
      <c r="J3188" t="s">
        <v>2016</v>
      </c>
      <c r="K3188" t="s">
        <v>1989</v>
      </c>
      <c r="L3188">
        <f>IF(G3188="High",3,IF(G3188="Medium",2,1))</f>
        <v>1</v>
      </c>
    </row>
    <row r="3189" spans="1:12">
      <c r="A3189" t="s">
        <v>5215</v>
      </c>
      <c r="B3189" t="s">
        <v>1784</v>
      </c>
      <c r="C3189" t="s">
        <v>1991</v>
      </c>
      <c r="D3189" t="s">
        <v>2014</v>
      </c>
      <c r="E3189" t="s">
        <v>47</v>
      </c>
      <c r="F3189" t="s">
        <v>1971</v>
      </c>
      <c r="G3189" t="str">
        <f>INDEX(Risk_Matrix!$B$2:$D$4,MATCH(E3189,Risk_Matrix!$A$2:$A$4,0),MATCH(F3189,Risk_Matrix!$B$1:$D$1,0))</f>
        <v>High</v>
      </c>
      <c r="H3189" s="1">
        <v>46213</v>
      </c>
      <c r="I3189" t="s">
        <v>2015</v>
      </c>
      <c r="J3189" t="s">
        <v>2016</v>
      </c>
      <c r="K3189" t="s">
        <v>1993</v>
      </c>
      <c r="L3189">
        <f>IF(G3189="High",3,IF(G3189="Medium",2,1))</f>
        <v>3</v>
      </c>
    </row>
    <row r="3190" spans="1:12">
      <c r="A3190" t="s">
        <v>5216</v>
      </c>
      <c r="B3190" t="s">
        <v>1784</v>
      </c>
      <c r="C3190" t="s">
        <v>1995</v>
      </c>
      <c r="D3190" t="s">
        <v>1996</v>
      </c>
      <c r="E3190" t="s">
        <v>47</v>
      </c>
      <c r="F3190" t="s">
        <v>47</v>
      </c>
      <c r="G3190" t="str">
        <f>INDEX(Risk_Matrix!$B$2:$D$4,MATCH(E3190,Risk_Matrix!$A$2:$A$4,0),MATCH(F3190,Risk_Matrix!$B$1:$D$1,0))</f>
        <v>High</v>
      </c>
      <c r="H3190" s="1">
        <v>46166</v>
      </c>
      <c r="I3190" t="s">
        <v>2015</v>
      </c>
      <c r="J3190" t="s">
        <v>2032</v>
      </c>
      <c r="K3190" t="s">
        <v>2036</v>
      </c>
      <c r="L3190">
        <f>IF(G3190="High",3,IF(G3190="Medium",2,1))</f>
        <v>3</v>
      </c>
    </row>
    <row r="3191" spans="1:12">
      <c r="A3191" t="s">
        <v>5217</v>
      </c>
      <c r="B3191" t="s">
        <v>1784</v>
      </c>
      <c r="C3191" t="s">
        <v>2000</v>
      </c>
      <c r="D3191" t="s">
        <v>2020</v>
      </c>
      <c r="E3191" t="s">
        <v>1971</v>
      </c>
      <c r="F3191" t="s">
        <v>57</v>
      </c>
      <c r="G3191" t="str">
        <f>INDEX(Risk_Matrix!$B$2:$D$4,MATCH(E3191,Risk_Matrix!$A$2:$A$4,0),MATCH(F3191,Risk_Matrix!$B$1:$D$1,0))</f>
        <v>Low</v>
      </c>
      <c r="H3191" s="1">
        <v>46123</v>
      </c>
      <c r="I3191" t="s">
        <v>1987</v>
      </c>
      <c r="J3191" t="s">
        <v>1988</v>
      </c>
      <c r="K3191" t="s">
        <v>1993</v>
      </c>
      <c r="L3191">
        <f>IF(G3191="High",3,IF(G3191="Medium",2,1))</f>
        <v>1</v>
      </c>
    </row>
    <row r="3192" spans="1:12">
      <c r="A3192" t="s">
        <v>5218</v>
      </c>
      <c r="B3192" t="s">
        <v>1784</v>
      </c>
      <c r="C3192" t="s">
        <v>2005</v>
      </c>
      <c r="D3192" t="s">
        <v>2022</v>
      </c>
      <c r="E3192" t="s">
        <v>57</v>
      </c>
      <c r="F3192" t="s">
        <v>1971</v>
      </c>
      <c r="G3192" t="str">
        <f>INDEX(Risk_Matrix!$B$2:$D$4,MATCH(E3192,Risk_Matrix!$A$2:$A$4,0),MATCH(F3192,Risk_Matrix!$B$1:$D$1,0))</f>
        <v>Low</v>
      </c>
      <c r="H3192" s="1">
        <v>46158</v>
      </c>
      <c r="I3192" t="s">
        <v>2015</v>
      </c>
      <c r="J3192" t="s">
        <v>2032</v>
      </c>
      <c r="K3192" t="s">
        <v>2036</v>
      </c>
      <c r="L3192">
        <f>IF(G3192="High",3,IF(G3192="Medium",2,1))</f>
        <v>1</v>
      </c>
    </row>
    <row r="3193" spans="1:12">
      <c r="A3193" t="s">
        <v>5219</v>
      </c>
      <c r="B3193" t="s">
        <v>1784</v>
      </c>
      <c r="C3193" t="s">
        <v>2008</v>
      </c>
      <c r="D3193" t="s">
        <v>2054</v>
      </c>
      <c r="E3193" t="s">
        <v>47</v>
      </c>
      <c r="F3193" t="s">
        <v>1971</v>
      </c>
      <c r="G3193" t="str">
        <f>INDEX(Risk_Matrix!$B$2:$D$4,MATCH(E3193,Risk_Matrix!$A$2:$A$4,0),MATCH(F3193,Risk_Matrix!$B$1:$D$1,0))</f>
        <v>High</v>
      </c>
      <c r="H3193" s="1">
        <v>46203</v>
      </c>
      <c r="I3193" t="s">
        <v>2015</v>
      </c>
      <c r="J3193" t="s">
        <v>2016</v>
      </c>
      <c r="K3193" t="s">
        <v>2010</v>
      </c>
      <c r="L3193">
        <f>IF(G3193="High",3,IF(G3193="Medium",2,1))</f>
        <v>3</v>
      </c>
    </row>
    <row r="3194" spans="1:12">
      <c r="A3194" t="s">
        <v>5220</v>
      </c>
      <c r="B3194" t="s">
        <v>1787</v>
      </c>
      <c r="C3194" t="s">
        <v>1985</v>
      </c>
      <c r="D3194" t="s">
        <v>2062</v>
      </c>
      <c r="E3194" t="s">
        <v>1971</v>
      </c>
      <c r="F3194" t="s">
        <v>57</v>
      </c>
      <c r="G3194" t="str">
        <f>INDEX(Risk_Matrix!$B$2:$D$4,MATCH(E3194,Risk_Matrix!$A$2:$A$4,0),MATCH(F3194,Risk_Matrix!$B$1:$D$1,0))</f>
        <v>Low</v>
      </c>
      <c r="H3194" s="1">
        <v>46176</v>
      </c>
      <c r="I3194" t="s">
        <v>2002</v>
      </c>
      <c r="J3194" t="s">
        <v>2003</v>
      </c>
      <c r="K3194" t="s">
        <v>1989</v>
      </c>
      <c r="L3194">
        <f>IF(G3194="High",3,IF(G3194="Medium",2,1))</f>
        <v>1</v>
      </c>
    </row>
    <row r="3195" spans="1:12">
      <c r="A3195" t="s">
        <v>5221</v>
      </c>
      <c r="B3195" t="s">
        <v>1787</v>
      </c>
      <c r="C3195" t="s">
        <v>1991</v>
      </c>
      <c r="D3195" t="s">
        <v>1992</v>
      </c>
      <c r="E3195" t="s">
        <v>1971</v>
      </c>
      <c r="F3195" t="s">
        <v>57</v>
      </c>
      <c r="G3195" t="str">
        <f>INDEX(Risk_Matrix!$B$2:$D$4,MATCH(E3195,Risk_Matrix!$A$2:$A$4,0),MATCH(F3195,Risk_Matrix!$B$1:$D$1,0))</f>
        <v>Low</v>
      </c>
      <c r="H3195" s="1">
        <v>46190</v>
      </c>
      <c r="I3195" t="s">
        <v>2002</v>
      </c>
      <c r="J3195" t="s">
        <v>2029</v>
      </c>
      <c r="K3195" t="s">
        <v>2010</v>
      </c>
      <c r="L3195">
        <f>IF(G3195="High",3,IF(G3195="Medium",2,1))</f>
        <v>1</v>
      </c>
    </row>
    <row r="3196" spans="1:12">
      <c r="A3196" t="s">
        <v>5222</v>
      </c>
      <c r="B3196" t="s">
        <v>1787</v>
      </c>
      <c r="C3196" t="s">
        <v>1995</v>
      </c>
      <c r="D3196" t="s">
        <v>2150</v>
      </c>
      <c r="E3196" t="s">
        <v>1971</v>
      </c>
      <c r="F3196" t="s">
        <v>47</v>
      </c>
      <c r="G3196" t="str">
        <f>INDEX(Risk_Matrix!$B$2:$D$4,MATCH(E3196,Risk_Matrix!$A$2:$A$4,0),MATCH(F3196,Risk_Matrix!$B$1:$D$1,0))</f>
        <v>High</v>
      </c>
      <c r="H3196" s="1">
        <v>46159</v>
      </c>
      <c r="I3196" t="s">
        <v>1987</v>
      </c>
      <c r="J3196" t="s">
        <v>1997</v>
      </c>
      <c r="K3196" t="s">
        <v>2036</v>
      </c>
      <c r="L3196">
        <f>IF(G3196="High",3,IF(G3196="Medium",2,1))</f>
        <v>3</v>
      </c>
    </row>
    <row r="3197" spans="1:12">
      <c r="A3197" t="s">
        <v>5223</v>
      </c>
      <c r="B3197" t="s">
        <v>1787</v>
      </c>
      <c r="C3197" t="s">
        <v>2000</v>
      </c>
      <c r="D3197" t="s">
        <v>2020</v>
      </c>
      <c r="E3197" t="s">
        <v>1971</v>
      </c>
      <c r="F3197" t="s">
        <v>57</v>
      </c>
      <c r="G3197" t="str">
        <f>INDEX(Risk_Matrix!$B$2:$D$4,MATCH(E3197,Risk_Matrix!$A$2:$A$4,0),MATCH(F3197,Risk_Matrix!$B$1:$D$1,0))</f>
        <v>Low</v>
      </c>
      <c r="H3197" s="1">
        <v>46173</v>
      </c>
      <c r="I3197" t="s">
        <v>2015</v>
      </c>
      <c r="J3197" t="s">
        <v>2016</v>
      </c>
      <c r="K3197" t="s">
        <v>1993</v>
      </c>
      <c r="L3197">
        <f>IF(G3197="High",3,IF(G3197="Medium",2,1))</f>
        <v>1</v>
      </c>
    </row>
    <row r="3198" spans="1:12">
      <c r="A3198" t="s">
        <v>5224</v>
      </c>
      <c r="B3198" t="s">
        <v>1787</v>
      </c>
      <c r="C3198" t="s">
        <v>2005</v>
      </c>
      <c r="D3198" t="s">
        <v>2006</v>
      </c>
      <c r="E3198" t="s">
        <v>57</v>
      </c>
      <c r="F3198" t="s">
        <v>57</v>
      </c>
      <c r="G3198" t="str">
        <f>INDEX(Risk_Matrix!$B$2:$D$4,MATCH(E3198,Risk_Matrix!$A$2:$A$4,0),MATCH(F3198,Risk_Matrix!$B$1:$D$1,0))</f>
        <v>Low</v>
      </c>
      <c r="H3198" s="1">
        <v>46125</v>
      </c>
      <c r="I3198" t="s">
        <v>1987</v>
      </c>
      <c r="J3198" t="s">
        <v>1997</v>
      </c>
      <c r="K3198" t="s">
        <v>1993</v>
      </c>
      <c r="L3198">
        <f>IF(G3198="High",3,IF(G3198="Medium",2,1))</f>
        <v>1</v>
      </c>
    </row>
    <row r="3199" spans="1:12">
      <c r="A3199" t="s">
        <v>5225</v>
      </c>
      <c r="B3199" t="s">
        <v>1787</v>
      </c>
      <c r="C3199" t="s">
        <v>2008</v>
      </c>
      <c r="D3199" t="s">
        <v>2009</v>
      </c>
      <c r="E3199" t="s">
        <v>1971</v>
      </c>
      <c r="F3199" t="s">
        <v>47</v>
      </c>
      <c r="G3199" t="str">
        <f>INDEX(Risk_Matrix!$B$2:$D$4,MATCH(E3199,Risk_Matrix!$A$2:$A$4,0),MATCH(F3199,Risk_Matrix!$B$1:$D$1,0))</f>
        <v>High</v>
      </c>
      <c r="H3199" s="1">
        <v>46079</v>
      </c>
      <c r="I3199" t="s">
        <v>2025</v>
      </c>
      <c r="J3199" t="s">
        <v>2035</v>
      </c>
      <c r="K3199" t="s">
        <v>2010</v>
      </c>
      <c r="L3199">
        <f>IF(G3199="High",3,IF(G3199="Medium",2,1))</f>
        <v>3</v>
      </c>
    </row>
    <row r="3200" spans="1:12">
      <c r="A3200" t="s">
        <v>5226</v>
      </c>
      <c r="B3200" t="s">
        <v>1790</v>
      </c>
      <c r="C3200" t="s">
        <v>1985</v>
      </c>
      <c r="D3200" t="s">
        <v>1986</v>
      </c>
      <c r="E3200" t="s">
        <v>47</v>
      </c>
      <c r="F3200" t="s">
        <v>47</v>
      </c>
      <c r="G3200" t="str">
        <f>INDEX(Risk_Matrix!$B$2:$D$4,MATCH(E3200,Risk_Matrix!$A$2:$A$4,0),MATCH(F3200,Risk_Matrix!$B$1:$D$1,0))</f>
        <v>High</v>
      </c>
      <c r="H3200" s="1">
        <v>46164</v>
      </c>
      <c r="I3200" t="s">
        <v>2015</v>
      </c>
      <c r="J3200" t="s">
        <v>2032</v>
      </c>
      <c r="K3200" t="s">
        <v>1989</v>
      </c>
      <c r="L3200">
        <f>IF(G3200="High",3,IF(G3200="Medium",2,1))</f>
        <v>3</v>
      </c>
    </row>
    <row r="3201" spans="1:12">
      <c r="A3201" t="s">
        <v>5227</v>
      </c>
      <c r="B3201" t="s">
        <v>1790</v>
      </c>
      <c r="C3201" t="s">
        <v>1991</v>
      </c>
      <c r="D3201" t="s">
        <v>2014</v>
      </c>
      <c r="E3201" t="s">
        <v>1971</v>
      </c>
      <c r="F3201" t="s">
        <v>57</v>
      </c>
      <c r="G3201" t="str">
        <f>INDEX(Risk_Matrix!$B$2:$D$4,MATCH(E3201,Risk_Matrix!$A$2:$A$4,0),MATCH(F3201,Risk_Matrix!$B$1:$D$1,0))</f>
        <v>Low</v>
      </c>
      <c r="H3201" s="1">
        <v>46219</v>
      </c>
      <c r="I3201" t="s">
        <v>2015</v>
      </c>
      <c r="J3201" t="s">
        <v>2016</v>
      </c>
      <c r="K3201" t="s">
        <v>1993</v>
      </c>
      <c r="L3201">
        <f>IF(G3201="High",3,IF(G3201="Medium",2,1))</f>
        <v>1</v>
      </c>
    </row>
    <row r="3202" spans="1:12">
      <c r="A3202" t="s">
        <v>5228</v>
      </c>
      <c r="B3202" t="s">
        <v>1790</v>
      </c>
      <c r="C3202" t="s">
        <v>1995</v>
      </c>
      <c r="D3202" t="s">
        <v>2150</v>
      </c>
      <c r="E3202" t="s">
        <v>57</v>
      </c>
      <c r="F3202" t="s">
        <v>47</v>
      </c>
      <c r="G3202" t="str">
        <f>INDEX(Risk_Matrix!$B$2:$D$4,MATCH(E3202,Risk_Matrix!$A$2:$A$4,0),MATCH(F3202,Risk_Matrix!$B$1:$D$1,0))</f>
        <v>Medium</v>
      </c>
      <c r="H3202" s="1">
        <v>46161</v>
      </c>
      <c r="I3202" t="s">
        <v>2015</v>
      </c>
      <c r="J3202" t="s">
        <v>2016</v>
      </c>
      <c r="K3202" t="s">
        <v>2036</v>
      </c>
      <c r="L3202">
        <f>IF(G3202="High",3,IF(G3202="Medium",2,1))</f>
        <v>2</v>
      </c>
    </row>
    <row r="3203" spans="1:12">
      <c r="A3203" t="s">
        <v>5229</v>
      </c>
      <c r="B3203" t="s">
        <v>1790</v>
      </c>
      <c r="C3203" t="s">
        <v>2000</v>
      </c>
      <c r="D3203" t="s">
        <v>2020</v>
      </c>
      <c r="E3203" t="s">
        <v>1971</v>
      </c>
      <c r="F3203" t="s">
        <v>47</v>
      </c>
      <c r="G3203" t="str">
        <f>INDEX(Risk_Matrix!$B$2:$D$4,MATCH(E3203,Risk_Matrix!$A$2:$A$4,0),MATCH(F3203,Risk_Matrix!$B$1:$D$1,0))</f>
        <v>High</v>
      </c>
      <c r="H3203" s="1">
        <v>46189</v>
      </c>
      <c r="I3203" t="s">
        <v>2015</v>
      </c>
      <c r="J3203" t="s">
        <v>2016</v>
      </c>
      <c r="K3203" t="s">
        <v>1993</v>
      </c>
      <c r="L3203">
        <f>IF(G3203="High",3,IF(G3203="Medium",2,1))</f>
        <v>3</v>
      </c>
    </row>
    <row r="3204" spans="1:12">
      <c r="A3204" t="s">
        <v>5230</v>
      </c>
      <c r="B3204" t="s">
        <v>1790</v>
      </c>
      <c r="C3204" t="s">
        <v>2005</v>
      </c>
      <c r="D3204" t="s">
        <v>2022</v>
      </c>
      <c r="E3204" t="s">
        <v>57</v>
      </c>
      <c r="F3204" t="s">
        <v>1971</v>
      </c>
      <c r="G3204" t="str">
        <f>INDEX(Risk_Matrix!$B$2:$D$4,MATCH(E3204,Risk_Matrix!$A$2:$A$4,0),MATCH(F3204,Risk_Matrix!$B$1:$D$1,0))</f>
        <v>Low</v>
      </c>
      <c r="H3204" s="1">
        <v>46081</v>
      </c>
      <c r="I3204" t="s">
        <v>2002</v>
      </c>
      <c r="J3204" t="s">
        <v>2029</v>
      </c>
      <c r="K3204" t="s">
        <v>1993</v>
      </c>
      <c r="L3204">
        <f>IF(G3204="High",3,IF(G3204="Medium",2,1))</f>
        <v>1</v>
      </c>
    </row>
    <row r="3205" spans="1:12">
      <c r="A3205" t="s">
        <v>5231</v>
      </c>
      <c r="B3205" t="s">
        <v>1790</v>
      </c>
      <c r="C3205" t="s">
        <v>2008</v>
      </c>
      <c r="D3205" t="s">
        <v>2024</v>
      </c>
      <c r="E3205" t="s">
        <v>1971</v>
      </c>
      <c r="F3205" t="s">
        <v>47</v>
      </c>
      <c r="G3205" t="str">
        <f>INDEX(Risk_Matrix!$B$2:$D$4,MATCH(E3205,Risk_Matrix!$A$2:$A$4,0),MATCH(F3205,Risk_Matrix!$B$1:$D$1,0))</f>
        <v>High</v>
      </c>
      <c r="H3205" s="1">
        <v>46213</v>
      </c>
      <c r="I3205" t="s">
        <v>2025</v>
      </c>
      <c r="J3205" t="s">
        <v>2026</v>
      </c>
      <c r="K3205" t="s">
        <v>2010</v>
      </c>
      <c r="L3205">
        <f>IF(G3205="High",3,IF(G3205="Medium",2,1))</f>
        <v>3</v>
      </c>
    </row>
    <row r="3206" spans="1:12">
      <c r="A3206" t="s">
        <v>5232</v>
      </c>
      <c r="B3206" t="s">
        <v>1792</v>
      </c>
      <c r="C3206" t="s">
        <v>1985</v>
      </c>
      <c r="D3206" t="s">
        <v>2062</v>
      </c>
      <c r="E3206" t="s">
        <v>1971</v>
      </c>
      <c r="F3206" t="s">
        <v>57</v>
      </c>
      <c r="G3206" t="str">
        <f>INDEX(Risk_Matrix!$B$2:$D$4,MATCH(E3206,Risk_Matrix!$A$2:$A$4,0),MATCH(F3206,Risk_Matrix!$B$1:$D$1,0))</f>
        <v>Low</v>
      </c>
      <c r="H3206" s="1">
        <v>46143</v>
      </c>
      <c r="I3206" t="s">
        <v>1987</v>
      </c>
      <c r="J3206" t="s">
        <v>1997</v>
      </c>
      <c r="K3206" t="s">
        <v>1989</v>
      </c>
      <c r="L3206">
        <f>IF(G3206="High",3,IF(G3206="Medium",2,1))</f>
        <v>1</v>
      </c>
    </row>
    <row r="3207" spans="1:12">
      <c r="A3207" t="s">
        <v>5233</v>
      </c>
      <c r="B3207" t="s">
        <v>1792</v>
      </c>
      <c r="C3207" t="s">
        <v>1991</v>
      </c>
      <c r="D3207" t="s">
        <v>2014</v>
      </c>
      <c r="E3207" t="s">
        <v>57</v>
      </c>
      <c r="F3207" t="s">
        <v>57</v>
      </c>
      <c r="G3207" t="str">
        <f>INDEX(Risk_Matrix!$B$2:$D$4,MATCH(E3207,Risk_Matrix!$A$2:$A$4,0),MATCH(F3207,Risk_Matrix!$B$1:$D$1,0))</f>
        <v>Low</v>
      </c>
      <c r="H3207" s="1">
        <v>46191</v>
      </c>
      <c r="I3207" t="s">
        <v>2015</v>
      </c>
      <c r="J3207" t="s">
        <v>2016</v>
      </c>
      <c r="K3207" t="s">
        <v>1993</v>
      </c>
      <c r="L3207">
        <f>IF(G3207="High",3,IF(G3207="Medium",2,1))</f>
        <v>1</v>
      </c>
    </row>
    <row r="3208" spans="1:12">
      <c r="A3208" t="s">
        <v>5234</v>
      </c>
      <c r="B3208" t="s">
        <v>1792</v>
      </c>
      <c r="C3208" t="s">
        <v>1995</v>
      </c>
      <c r="D3208" t="s">
        <v>2034</v>
      </c>
      <c r="E3208" t="s">
        <v>1971</v>
      </c>
      <c r="F3208" t="s">
        <v>1971</v>
      </c>
      <c r="G3208" t="str">
        <f>INDEX(Risk_Matrix!$B$2:$D$4,MATCH(E3208,Risk_Matrix!$A$2:$A$4,0),MATCH(F3208,Risk_Matrix!$B$1:$D$1,0))</f>
        <v>Medium</v>
      </c>
      <c r="H3208" s="1">
        <v>46232</v>
      </c>
      <c r="I3208" t="s">
        <v>2025</v>
      </c>
      <c r="J3208" t="s">
        <v>2026</v>
      </c>
      <c r="K3208" t="s">
        <v>1998</v>
      </c>
      <c r="L3208">
        <f>IF(G3208="High",3,IF(G3208="Medium",2,1))</f>
        <v>2</v>
      </c>
    </row>
    <row r="3209" spans="1:12">
      <c r="A3209" t="s">
        <v>5235</v>
      </c>
      <c r="B3209" t="s">
        <v>1792</v>
      </c>
      <c r="C3209" t="s">
        <v>2000</v>
      </c>
      <c r="D3209" t="s">
        <v>2045</v>
      </c>
      <c r="E3209" t="s">
        <v>47</v>
      </c>
      <c r="F3209" t="s">
        <v>57</v>
      </c>
      <c r="G3209" t="str">
        <f>INDEX(Risk_Matrix!$B$2:$D$4,MATCH(E3209,Risk_Matrix!$A$2:$A$4,0),MATCH(F3209,Risk_Matrix!$B$1:$D$1,0))</f>
        <v>Medium</v>
      </c>
      <c r="H3209" s="1">
        <v>46224</v>
      </c>
      <c r="I3209" t="s">
        <v>2015</v>
      </c>
      <c r="J3209" t="s">
        <v>2016</v>
      </c>
      <c r="K3209" t="s">
        <v>1993</v>
      </c>
      <c r="L3209">
        <f>IF(G3209="High",3,IF(G3209="Medium",2,1))</f>
        <v>2</v>
      </c>
    </row>
    <row r="3210" spans="1:12">
      <c r="A3210" t="s">
        <v>5236</v>
      </c>
      <c r="B3210" t="s">
        <v>1792</v>
      </c>
      <c r="C3210" t="s">
        <v>2005</v>
      </c>
      <c r="D3210" t="s">
        <v>2006</v>
      </c>
      <c r="E3210" t="s">
        <v>47</v>
      </c>
      <c r="F3210" t="s">
        <v>47</v>
      </c>
      <c r="G3210" t="str">
        <f>INDEX(Risk_Matrix!$B$2:$D$4,MATCH(E3210,Risk_Matrix!$A$2:$A$4,0),MATCH(F3210,Risk_Matrix!$B$1:$D$1,0))</f>
        <v>High</v>
      </c>
      <c r="H3210" s="1">
        <v>46199</v>
      </c>
      <c r="I3210" t="s">
        <v>2025</v>
      </c>
      <c r="J3210" t="s">
        <v>2035</v>
      </c>
      <c r="K3210" t="s">
        <v>1993</v>
      </c>
      <c r="L3210">
        <f>IF(G3210="High",3,IF(G3210="Medium",2,1))</f>
        <v>3</v>
      </c>
    </row>
    <row r="3211" spans="1:12">
      <c r="A3211" t="s">
        <v>5237</v>
      </c>
      <c r="B3211" t="s">
        <v>1792</v>
      </c>
      <c r="C3211" t="s">
        <v>2008</v>
      </c>
      <c r="D3211" t="s">
        <v>2024</v>
      </c>
      <c r="E3211" t="s">
        <v>57</v>
      </c>
      <c r="F3211" t="s">
        <v>57</v>
      </c>
      <c r="G3211" t="str">
        <f>INDEX(Risk_Matrix!$B$2:$D$4,MATCH(E3211,Risk_Matrix!$A$2:$A$4,0),MATCH(F3211,Risk_Matrix!$B$1:$D$1,0))</f>
        <v>Low</v>
      </c>
      <c r="H3211" s="1">
        <v>46072</v>
      </c>
      <c r="I3211" t="s">
        <v>2002</v>
      </c>
      <c r="J3211" t="s">
        <v>2003</v>
      </c>
      <c r="K3211" t="s">
        <v>2010</v>
      </c>
      <c r="L3211">
        <f>IF(G3211="High",3,IF(G3211="Medium",2,1))</f>
        <v>1</v>
      </c>
    </row>
    <row r="3212" spans="1:12">
      <c r="A3212" t="s">
        <v>5238</v>
      </c>
      <c r="B3212" t="s">
        <v>1794</v>
      </c>
      <c r="C3212" t="s">
        <v>1985</v>
      </c>
      <c r="D3212" t="s">
        <v>1986</v>
      </c>
      <c r="E3212" t="s">
        <v>47</v>
      </c>
      <c r="F3212" t="s">
        <v>47</v>
      </c>
      <c r="G3212" t="str">
        <f>INDEX(Risk_Matrix!$B$2:$D$4,MATCH(E3212,Risk_Matrix!$A$2:$A$4,0),MATCH(F3212,Risk_Matrix!$B$1:$D$1,0))</f>
        <v>High</v>
      </c>
      <c r="H3212" s="1">
        <v>46157</v>
      </c>
      <c r="I3212" t="s">
        <v>2015</v>
      </c>
      <c r="J3212" t="s">
        <v>2032</v>
      </c>
      <c r="K3212" t="s">
        <v>1998</v>
      </c>
      <c r="L3212">
        <f>IF(G3212="High",3,IF(G3212="Medium",2,1))</f>
        <v>3</v>
      </c>
    </row>
    <row r="3213" spans="1:12">
      <c r="A3213" t="s">
        <v>5239</v>
      </c>
      <c r="B3213" t="s">
        <v>1794</v>
      </c>
      <c r="C3213" t="s">
        <v>1991</v>
      </c>
      <c r="D3213" t="s">
        <v>2064</v>
      </c>
      <c r="E3213" t="s">
        <v>1971</v>
      </c>
      <c r="F3213" t="s">
        <v>1971</v>
      </c>
      <c r="G3213" t="str">
        <f>INDEX(Risk_Matrix!$B$2:$D$4,MATCH(E3213,Risk_Matrix!$A$2:$A$4,0),MATCH(F3213,Risk_Matrix!$B$1:$D$1,0))</f>
        <v>Medium</v>
      </c>
      <c r="H3213" s="1">
        <v>46229</v>
      </c>
      <c r="I3213" t="s">
        <v>2002</v>
      </c>
      <c r="J3213" t="s">
        <v>2003</v>
      </c>
      <c r="K3213" t="s">
        <v>2010</v>
      </c>
      <c r="L3213">
        <f>IF(G3213="High",3,IF(G3213="Medium",2,1))</f>
        <v>2</v>
      </c>
    </row>
    <row r="3214" spans="1:12">
      <c r="A3214" t="s">
        <v>5240</v>
      </c>
      <c r="B3214" t="s">
        <v>1794</v>
      </c>
      <c r="C3214" t="s">
        <v>1995</v>
      </c>
      <c r="D3214" t="s">
        <v>2018</v>
      </c>
      <c r="E3214" t="s">
        <v>1971</v>
      </c>
      <c r="F3214" t="s">
        <v>1971</v>
      </c>
      <c r="G3214" t="str">
        <f>INDEX(Risk_Matrix!$B$2:$D$4,MATCH(E3214,Risk_Matrix!$A$2:$A$4,0),MATCH(F3214,Risk_Matrix!$B$1:$D$1,0))</f>
        <v>Medium</v>
      </c>
      <c r="H3214" s="1">
        <v>46072</v>
      </c>
      <c r="I3214" t="s">
        <v>1987</v>
      </c>
      <c r="J3214" t="s">
        <v>1997</v>
      </c>
      <c r="K3214" t="s">
        <v>1998</v>
      </c>
      <c r="L3214">
        <f>IF(G3214="High",3,IF(G3214="Medium",2,1))</f>
        <v>2</v>
      </c>
    </row>
    <row r="3215" spans="1:12">
      <c r="A3215" t="s">
        <v>5241</v>
      </c>
      <c r="B3215" t="s">
        <v>1794</v>
      </c>
      <c r="C3215" t="s">
        <v>2000</v>
      </c>
      <c r="D3215" t="s">
        <v>2001</v>
      </c>
      <c r="E3215" t="s">
        <v>47</v>
      </c>
      <c r="F3215" t="s">
        <v>1971</v>
      </c>
      <c r="G3215" t="str">
        <f>INDEX(Risk_Matrix!$B$2:$D$4,MATCH(E3215,Risk_Matrix!$A$2:$A$4,0),MATCH(F3215,Risk_Matrix!$B$1:$D$1,0))</f>
        <v>High</v>
      </c>
      <c r="H3215" s="1">
        <v>46075</v>
      </c>
      <c r="I3215" t="s">
        <v>2025</v>
      </c>
      <c r="J3215" t="s">
        <v>2035</v>
      </c>
      <c r="K3215" t="s">
        <v>1993</v>
      </c>
      <c r="L3215">
        <f>IF(G3215="High",3,IF(G3215="Medium",2,1))</f>
        <v>3</v>
      </c>
    </row>
    <row r="3216" spans="1:12">
      <c r="A3216" t="s">
        <v>5242</v>
      </c>
      <c r="B3216" t="s">
        <v>1794</v>
      </c>
      <c r="C3216" t="s">
        <v>2005</v>
      </c>
      <c r="D3216" t="s">
        <v>2006</v>
      </c>
      <c r="E3216" t="s">
        <v>47</v>
      </c>
      <c r="F3216" t="s">
        <v>1971</v>
      </c>
      <c r="G3216" t="str">
        <f>INDEX(Risk_Matrix!$B$2:$D$4,MATCH(E3216,Risk_Matrix!$A$2:$A$4,0),MATCH(F3216,Risk_Matrix!$B$1:$D$1,0))</f>
        <v>High</v>
      </c>
      <c r="H3216" s="1">
        <v>46224</v>
      </c>
      <c r="I3216" t="s">
        <v>2015</v>
      </c>
      <c r="J3216" t="s">
        <v>2016</v>
      </c>
      <c r="K3216" t="s">
        <v>2036</v>
      </c>
      <c r="L3216">
        <f>IF(G3216="High",3,IF(G3216="Medium",2,1))</f>
        <v>3</v>
      </c>
    </row>
    <row r="3217" spans="1:12">
      <c r="A3217" t="s">
        <v>5243</v>
      </c>
      <c r="B3217" t="s">
        <v>1794</v>
      </c>
      <c r="C3217" t="s">
        <v>2008</v>
      </c>
      <c r="D3217" t="s">
        <v>2054</v>
      </c>
      <c r="E3217" t="s">
        <v>1971</v>
      </c>
      <c r="F3217" t="s">
        <v>57</v>
      </c>
      <c r="G3217" t="str">
        <f>INDEX(Risk_Matrix!$B$2:$D$4,MATCH(E3217,Risk_Matrix!$A$2:$A$4,0),MATCH(F3217,Risk_Matrix!$B$1:$D$1,0))</f>
        <v>Low</v>
      </c>
      <c r="H3217" s="1">
        <v>46139</v>
      </c>
      <c r="I3217" t="s">
        <v>1987</v>
      </c>
      <c r="J3217" t="s">
        <v>1997</v>
      </c>
      <c r="K3217" t="s">
        <v>2010</v>
      </c>
      <c r="L3217">
        <f>IF(G3217="High",3,IF(G3217="Medium",2,1))</f>
        <v>1</v>
      </c>
    </row>
    <row r="3218" spans="1:12">
      <c r="A3218" t="s">
        <v>5244</v>
      </c>
      <c r="B3218" t="s">
        <v>1797</v>
      </c>
      <c r="C3218" t="s">
        <v>1985</v>
      </c>
      <c r="D3218" t="s">
        <v>1986</v>
      </c>
      <c r="E3218" t="s">
        <v>57</v>
      </c>
      <c r="F3218" t="s">
        <v>57</v>
      </c>
      <c r="G3218" t="str">
        <f>INDEX(Risk_Matrix!$B$2:$D$4,MATCH(E3218,Risk_Matrix!$A$2:$A$4,0),MATCH(F3218,Risk_Matrix!$B$1:$D$1,0))</f>
        <v>Low</v>
      </c>
      <c r="H3218" s="1">
        <v>46190</v>
      </c>
      <c r="I3218" t="s">
        <v>2002</v>
      </c>
      <c r="J3218" t="s">
        <v>2029</v>
      </c>
      <c r="K3218" t="s">
        <v>1998</v>
      </c>
      <c r="L3218">
        <f>IF(G3218="High",3,IF(G3218="Medium",2,1))</f>
        <v>1</v>
      </c>
    </row>
    <row r="3219" spans="1:12">
      <c r="A3219" t="s">
        <v>5245</v>
      </c>
      <c r="B3219" t="s">
        <v>1797</v>
      </c>
      <c r="C3219" t="s">
        <v>1991</v>
      </c>
      <c r="D3219" t="s">
        <v>2031</v>
      </c>
      <c r="E3219" t="s">
        <v>57</v>
      </c>
      <c r="F3219" t="s">
        <v>57</v>
      </c>
      <c r="G3219" t="str">
        <f>INDEX(Risk_Matrix!$B$2:$D$4,MATCH(E3219,Risk_Matrix!$A$2:$A$4,0),MATCH(F3219,Risk_Matrix!$B$1:$D$1,0))</f>
        <v>Low</v>
      </c>
      <c r="H3219" s="1">
        <v>46161</v>
      </c>
      <c r="I3219" t="s">
        <v>2025</v>
      </c>
      <c r="J3219" t="s">
        <v>2026</v>
      </c>
      <c r="K3219" t="s">
        <v>2010</v>
      </c>
      <c r="L3219">
        <f>IF(G3219="High",3,IF(G3219="Medium",2,1))</f>
        <v>1</v>
      </c>
    </row>
    <row r="3220" spans="1:12">
      <c r="A3220" t="s">
        <v>5246</v>
      </c>
      <c r="B3220" t="s">
        <v>1797</v>
      </c>
      <c r="C3220" t="s">
        <v>1995</v>
      </c>
      <c r="D3220" t="s">
        <v>2034</v>
      </c>
      <c r="E3220" t="s">
        <v>57</v>
      </c>
      <c r="F3220" t="s">
        <v>57</v>
      </c>
      <c r="G3220" t="str">
        <f>INDEX(Risk_Matrix!$B$2:$D$4,MATCH(E3220,Risk_Matrix!$A$2:$A$4,0),MATCH(F3220,Risk_Matrix!$B$1:$D$1,0))</f>
        <v>Low</v>
      </c>
      <c r="H3220" s="1">
        <v>46214</v>
      </c>
      <c r="I3220" t="s">
        <v>1987</v>
      </c>
      <c r="J3220" t="s">
        <v>1997</v>
      </c>
      <c r="K3220" t="s">
        <v>1998</v>
      </c>
      <c r="L3220">
        <f>IF(G3220="High",3,IF(G3220="Medium",2,1))</f>
        <v>1</v>
      </c>
    </row>
    <row r="3221" spans="1:12">
      <c r="A3221" t="s">
        <v>5247</v>
      </c>
      <c r="B3221" t="s">
        <v>1797</v>
      </c>
      <c r="C3221" t="s">
        <v>2000</v>
      </c>
      <c r="D3221" t="s">
        <v>2001</v>
      </c>
      <c r="E3221" t="s">
        <v>47</v>
      </c>
      <c r="F3221" t="s">
        <v>47</v>
      </c>
      <c r="G3221" t="str">
        <f>INDEX(Risk_Matrix!$B$2:$D$4,MATCH(E3221,Risk_Matrix!$A$2:$A$4,0),MATCH(F3221,Risk_Matrix!$B$1:$D$1,0))</f>
        <v>High</v>
      </c>
      <c r="H3221" s="1">
        <v>46192</v>
      </c>
      <c r="I3221" t="s">
        <v>2015</v>
      </c>
      <c r="J3221" t="s">
        <v>2032</v>
      </c>
      <c r="K3221" t="s">
        <v>1993</v>
      </c>
      <c r="L3221">
        <f>IF(G3221="High",3,IF(G3221="Medium",2,1))</f>
        <v>3</v>
      </c>
    </row>
    <row r="3222" spans="1:12">
      <c r="A3222" t="s">
        <v>5248</v>
      </c>
      <c r="B3222" t="s">
        <v>1797</v>
      </c>
      <c r="C3222" t="s">
        <v>2005</v>
      </c>
      <c r="D3222" t="s">
        <v>2006</v>
      </c>
      <c r="E3222" t="s">
        <v>57</v>
      </c>
      <c r="F3222" t="s">
        <v>57</v>
      </c>
      <c r="G3222" t="str">
        <f>INDEX(Risk_Matrix!$B$2:$D$4,MATCH(E3222,Risk_Matrix!$A$2:$A$4,0),MATCH(F3222,Risk_Matrix!$B$1:$D$1,0))</f>
        <v>Low</v>
      </c>
      <c r="H3222" s="1">
        <v>46081</v>
      </c>
      <c r="I3222" t="s">
        <v>2025</v>
      </c>
      <c r="J3222" t="s">
        <v>2026</v>
      </c>
      <c r="K3222" t="s">
        <v>1993</v>
      </c>
      <c r="L3222">
        <f>IF(G3222="High",3,IF(G3222="Medium",2,1))</f>
        <v>1</v>
      </c>
    </row>
    <row r="3223" spans="1:12">
      <c r="A3223" t="s">
        <v>5249</v>
      </c>
      <c r="B3223" t="s">
        <v>1797</v>
      </c>
      <c r="C3223" t="s">
        <v>2008</v>
      </c>
      <c r="D3223" t="s">
        <v>2009</v>
      </c>
      <c r="E3223" t="s">
        <v>57</v>
      </c>
      <c r="F3223" t="s">
        <v>1971</v>
      </c>
      <c r="G3223" t="str">
        <f>INDEX(Risk_Matrix!$B$2:$D$4,MATCH(E3223,Risk_Matrix!$A$2:$A$4,0),MATCH(F3223,Risk_Matrix!$B$1:$D$1,0))</f>
        <v>Low</v>
      </c>
      <c r="H3223" s="1">
        <v>46094</v>
      </c>
      <c r="I3223" t="s">
        <v>1987</v>
      </c>
      <c r="J3223" t="s">
        <v>1988</v>
      </c>
      <c r="K3223" t="s">
        <v>2010</v>
      </c>
      <c r="L3223">
        <f>IF(G3223="High",3,IF(G3223="Medium",2,1))</f>
        <v>1</v>
      </c>
    </row>
    <row r="3224" spans="1:12">
      <c r="A3224" t="s">
        <v>5250</v>
      </c>
      <c r="B3224" t="s">
        <v>1799</v>
      </c>
      <c r="C3224" t="s">
        <v>1985</v>
      </c>
      <c r="D3224" t="s">
        <v>2012</v>
      </c>
      <c r="E3224" t="s">
        <v>57</v>
      </c>
      <c r="F3224" t="s">
        <v>1971</v>
      </c>
      <c r="G3224" t="str">
        <f>INDEX(Risk_Matrix!$B$2:$D$4,MATCH(E3224,Risk_Matrix!$A$2:$A$4,0),MATCH(F3224,Risk_Matrix!$B$1:$D$1,0))</f>
        <v>Low</v>
      </c>
      <c r="H3224" s="1">
        <v>46181</v>
      </c>
      <c r="I3224" t="s">
        <v>2025</v>
      </c>
      <c r="J3224" t="s">
        <v>2026</v>
      </c>
      <c r="K3224" t="s">
        <v>1998</v>
      </c>
      <c r="L3224">
        <f>IF(G3224="High",3,IF(G3224="Medium",2,1))</f>
        <v>1</v>
      </c>
    </row>
    <row r="3225" spans="1:12">
      <c r="A3225" t="s">
        <v>5251</v>
      </c>
      <c r="B3225" t="s">
        <v>1799</v>
      </c>
      <c r="C3225" t="s">
        <v>1991</v>
      </c>
      <c r="D3225" t="s">
        <v>2031</v>
      </c>
      <c r="E3225" t="s">
        <v>1971</v>
      </c>
      <c r="F3225" t="s">
        <v>47</v>
      </c>
      <c r="G3225" t="str">
        <f>INDEX(Risk_Matrix!$B$2:$D$4,MATCH(E3225,Risk_Matrix!$A$2:$A$4,0),MATCH(F3225,Risk_Matrix!$B$1:$D$1,0))</f>
        <v>High</v>
      </c>
      <c r="H3225" s="1">
        <v>46156</v>
      </c>
      <c r="I3225" t="s">
        <v>2015</v>
      </c>
      <c r="J3225" t="s">
        <v>2016</v>
      </c>
      <c r="K3225" t="s">
        <v>2010</v>
      </c>
      <c r="L3225">
        <f>IF(G3225="High",3,IF(G3225="Medium",2,1))</f>
        <v>3</v>
      </c>
    </row>
    <row r="3226" spans="1:12">
      <c r="A3226" t="s">
        <v>5252</v>
      </c>
      <c r="B3226" t="s">
        <v>1799</v>
      </c>
      <c r="C3226" t="s">
        <v>1995</v>
      </c>
      <c r="D3226" t="s">
        <v>2034</v>
      </c>
      <c r="E3226" t="s">
        <v>57</v>
      </c>
      <c r="F3226" t="s">
        <v>1971</v>
      </c>
      <c r="G3226" t="str">
        <f>INDEX(Risk_Matrix!$B$2:$D$4,MATCH(E3226,Risk_Matrix!$A$2:$A$4,0),MATCH(F3226,Risk_Matrix!$B$1:$D$1,0))</f>
        <v>Low</v>
      </c>
      <c r="H3226" s="1">
        <v>46127</v>
      </c>
      <c r="I3226" t="s">
        <v>2002</v>
      </c>
      <c r="J3226" t="s">
        <v>2003</v>
      </c>
      <c r="K3226" t="s">
        <v>2036</v>
      </c>
      <c r="L3226">
        <f>IF(G3226="High",3,IF(G3226="Medium",2,1))</f>
        <v>1</v>
      </c>
    </row>
    <row r="3227" spans="1:12">
      <c r="A3227" t="s">
        <v>5253</v>
      </c>
      <c r="B3227" t="s">
        <v>1799</v>
      </c>
      <c r="C3227" t="s">
        <v>2000</v>
      </c>
      <c r="D3227" t="s">
        <v>2020</v>
      </c>
      <c r="E3227" t="s">
        <v>57</v>
      </c>
      <c r="F3227" t="s">
        <v>57</v>
      </c>
      <c r="G3227" t="str">
        <f>INDEX(Risk_Matrix!$B$2:$D$4,MATCH(E3227,Risk_Matrix!$A$2:$A$4,0),MATCH(F3227,Risk_Matrix!$B$1:$D$1,0))</f>
        <v>Low</v>
      </c>
      <c r="H3227" s="1">
        <v>46056</v>
      </c>
      <c r="I3227" t="s">
        <v>2025</v>
      </c>
      <c r="J3227" t="s">
        <v>2026</v>
      </c>
      <c r="K3227" t="s">
        <v>1989</v>
      </c>
      <c r="L3227">
        <f>IF(G3227="High",3,IF(G3227="Medium",2,1))</f>
        <v>1</v>
      </c>
    </row>
    <row r="3228" spans="1:12">
      <c r="A3228" t="s">
        <v>5254</v>
      </c>
      <c r="B3228" t="s">
        <v>1799</v>
      </c>
      <c r="C3228" t="s">
        <v>2005</v>
      </c>
      <c r="D3228" t="s">
        <v>2039</v>
      </c>
      <c r="E3228" t="s">
        <v>1971</v>
      </c>
      <c r="F3228" t="s">
        <v>1971</v>
      </c>
      <c r="G3228" t="str">
        <f>INDEX(Risk_Matrix!$B$2:$D$4,MATCH(E3228,Risk_Matrix!$A$2:$A$4,0),MATCH(F3228,Risk_Matrix!$B$1:$D$1,0))</f>
        <v>Medium</v>
      </c>
      <c r="H3228" s="1">
        <v>46218</v>
      </c>
      <c r="I3228" t="s">
        <v>2025</v>
      </c>
      <c r="J3228" t="s">
        <v>2035</v>
      </c>
      <c r="K3228" t="s">
        <v>1993</v>
      </c>
      <c r="L3228">
        <f>IF(G3228="High",3,IF(G3228="Medium",2,1))</f>
        <v>2</v>
      </c>
    </row>
    <row r="3229" spans="1:12">
      <c r="A3229" t="s">
        <v>5255</v>
      </c>
      <c r="B3229" t="s">
        <v>1799</v>
      </c>
      <c r="C3229" t="s">
        <v>2008</v>
      </c>
      <c r="D3229" t="s">
        <v>2054</v>
      </c>
      <c r="E3229" t="s">
        <v>47</v>
      </c>
      <c r="F3229" t="s">
        <v>47</v>
      </c>
      <c r="G3229" t="str">
        <f>INDEX(Risk_Matrix!$B$2:$D$4,MATCH(E3229,Risk_Matrix!$A$2:$A$4,0),MATCH(F3229,Risk_Matrix!$B$1:$D$1,0))</f>
        <v>High</v>
      </c>
      <c r="H3229" s="1">
        <v>46060</v>
      </c>
      <c r="I3229" t="s">
        <v>1987</v>
      </c>
      <c r="J3229" t="s">
        <v>1988</v>
      </c>
      <c r="K3229" t="s">
        <v>2010</v>
      </c>
      <c r="L3229">
        <f>IF(G3229="High",3,IF(G3229="Medium",2,1))</f>
        <v>3</v>
      </c>
    </row>
    <row r="3230" spans="1:12">
      <c r="A3230" t="s">
        <v>5256</v>
      </c>
      <c r="B3230" t="s">
        <v>1801</v>
      </c>
      <c r="C3230" t="s">
        <v>1985</v>
      </c>
      <c r="D3230" t="s">
        <v>2012</v>
      </c>
      <c r="E3230" t="s">
        <v>57</v>
      </c>
      <c r="F3230" t="s">
        <v>1971</v>
      </c>
      <c r="G3230" t="str">
        <f>INDEX(Risk_Matrix!$B$2:$D$4,MATCH(E3230,Risk_Matrix!$A$2:$A$4,0),MATCH(F3230,Risk_Matrix!$B$1:$D$1,0))</f>
        <v>Low</v>
      </c>
      <c r="H3230" s="1">
        <v>46153</v>
      </c>
      <c r="I3230" t="s">
        <v>1987</v>
      </c>
      <c r="J3230" t="s">
        <v>1988</v>
      </c>
      <c r="K3230" t="s">
        <v>1989</v>
      </c>
      <c r="L3230">
        <f>IF(G3230="High",3,IF(G3230="Medium",2,1))</f>
        <v>1</v>
      </c>
    </row>
    <row r="3231" spans="1:12">
      <c r="A3231" t="s">
        <v>5257</v>
      </c>
      <c r="B3231" t="s">
        <v>1801</v>
      </c>
      <c r="C3231" t="s">
        <v>1991</v>
      </c>
      <c r="D3231" t="s">
        <v>2064</v>
      </c>
      <c r="E3231" t="s">
        <v>47</v>
      </c>
      <c r="F3231" t="s">
        <v>1971</v>
      </c>
      <c r="G3231" t="str">
        <f>INDEX(Risk_Matrix!$B$2:$D$4,MATCH(E3231,Risk_Matrix!$A$2:$A$4,0),MATCH(F3231,Risk_Matrix!$B$1:$D$1,0))</f>
        <v>High</v>
      </c>
      <c r="H3231" s="1">
        <v>46163</v>
      </c>
      <c r="I3231" t="s">
        <v>2015</v>
      </c>
      <c r="J3231" t="s">
        <v>2032</v>
      </c>
      <c r="K3231" t="s">
        <v>2010</v>
      </c>
      <c r="L3231">
        <f>IF(G3231="High",3,IF(G3231="Medium",2,1))</f>
        <v>3</v>
      </c>
    </row>
    <row r="3232" spans="1:12">
      <c r="A3232" t="s">
        <v>5258</v>
      </c>
      <c r="B3232" t="s">
        <v>1801</v>
      </c>
      <c r="C3232" t="s">
        <v>1995</v>
      </c>
      <c r="D3232" t="s">
        <v>2018</v>
      </c>
      <c r="E3232" t="s">
        <v>57</v>
      </c>
      <c r="F3232" t="s">
        <v>1971</v>
      </c>
      <c r="G3232" t="str">
        <f>INDEX(Risk_Matrix!$B$2:$D$4,MATCH(E3232,Risk_Matrix!$A$2:$A$4,0),MATCH(F3232,Risk_Matrix!$B$1:$D$1,0))</f>
        <v>Low</v>
      </c>
      <c r="H3232" s="1">
        <v>46147</v>
      </c>
      <c r="I3232" t="s">
        <v>1987</v>
      </c>
      <c r="J3232" t="s">
        <v>1997</v>
      </c>
      <c r="K3232" t="s">
        <v>2036</v>
      </c>
      <c r="L3232">
        <f>IF(G3232="High",3,IF(G3232="Medium",2,1))</f>
        <v>1</v>
      </c>
    </row>
    <row r="3233" spans="1:12">
      <c r="A3233" t="s">
        <v>5259</v>
      </c>
      <c r="B3233" t="s">
        <v>1801</v>
      </c>
      <c r="C3233" t="s">
        <v>2000</v>
      </c>
      <c r="D3233" t="s">
        <v>2001</v>
      </c>
      <c r="E3233" t="s">
        <v>57</v>
      </c>
      <c r="F3233" t="s">
        <v>1971</v>
      </c>
      <c r="G3233" t="str">
        <f>INDEX(Risk_Matrix!$B$2:$D$4,MATCH(E3233,Risk_Matrix!$A$2:$A$4,0),MATCH(F3233,Risk_Matrix!$B$1:$D$1,0))</f>
        <v>Low</v>
      </c>
      <c r="H3233" s="1">
        <v>46208</v>
      </c>
      <c r="I3233" t="s">
        <v>2002</v>
      </c>
      <c r="J3233" t="s">
        <v>2029</v>
      </c>
      <c r="K3233" t="s">
        <v>1989</v>
      </c>
      <c r="L3233">
        <f>IF(G3233="High",3,IF(G3233="Medium",2,1))</f>
        <v>1</v>
      </c>
    </row>
    <row r="3234" spans="1:12">
      <c r="A3234" t="s">
        <v>5260</v>
      </c>
      <c r="B3234" t="s">
        <v>1801</v>
      </c>
      <c r="C3234" t="s">
        <v>2005</v>
      </c>
      <c r="D3234" t="s">
        <v>2006</v>
      </c>
      <c r="E3234" t="s">
        <v>1971</v>
      </c>
      <c r="F3234" t="s">
        <v>1971</v>
      </c>
      <c r="G3234" t="str">
        <f>INDEX(Risk_Matrix!$B$2:$D$4,MATCH(E3234,Risk_Matrix!$A$2:$A$4,0),MATCH(F3234,Risk_Matrix!$B$1:$D$1,0))</f>
        <v>Medium</v>
      </c>
      <c r="H3234" s="1">
        <v>46139</v>
      </c>
      <c r="I3234" t="s">
        <v>1987</v>
      </c>
      <c r="J3234" t="s">
        <v>1988</v>
      </c>
      <c r="K3234" t="s">
        <v>1993</v>
      </c>
      <c r="L3234">
        <f>IF(G3234="High",3,IF(G3234="Medium",2,1))</f>
        <v>2</v>
      </c>
    </row>
    <row r="3235" spans="1:12">
      <c r="A3235" t="s">
        <v>5261</v>
      </c>
      <c r="B3235" t="s">
        <v>1801</v>
      </c>
      <c r="C3235" t="s">
        <v>2008</v>
      </c>
      <c r="D3235" t="s">
        <v>2009</v>
      </c>
      <c r="E3235" t="s">
        <v>1971</v>
      </c>
      <c r="F3235" t="s">
        <v>1971</v>
      </c>
      <c r="G3235" t="str">
        <f>INDEX(Risk_Matrix!$B$2:$D$4,MATCH(E3235,Risk_Matrix!$A$2:$A$4,0),MATCH(F3235,Risk_Matrix!$B$1:$D$1,0))</f>
        <v>Medium</v>
      </c>
      <c r="H3235" s="1">
        <v>46182</v>
      </c>
      <c r="I3235" t="s">
        <v>1987</v>
      </c>
      <c r="J3235" t="s">
        <v>1988</v>
      </c>
      <c r="K3235" t="s">
        <v>2010</v>
      </c>
      <c r="L3235">
        <f>IF(G3235="High",3,IF(G3235="Medium",2,1))</f>
        <v>2</v>
      </c>
    </row>
    <row r="3236" spans="1:12">
      <c r="A3236" t="s">
        <v>5262</v>
      </c>
      <c r="B3236" t="s">
        <v>1802</v>
      </c>
      <c r="C3236" t="s">
        <v>1985</v>
      </c>
      <c r="D3236" t="s">
        <v>1986</v>
      </c>
      <c r="E3236" t="s">
        <v>47</v>
      </c>
      <c r="F3236" t="s">
        <v>47</v>
      </c>
      <c r="G3236" t="str">
        <f>INDEX(Risk_Matrix!$B$2:$D$4,MATCH(E3236,Risk_Matrix!$A$2:$A$4,0),MATCH(F3236,Risk_Matrix!$B$1:$D$1,0))</f>
        <v>High</v>
      </c>
      <c r="H3236" s="1">
        <v>46164</v>
      </c>
      <c r="I3236" t="s">
        <v>2015</v>
      </c>
      <c r="J3236" t="s">
        <v>2016</v>
      </c>
      <c r="K3236" t="s">
        <v>1989</v>
      </c>
      <c r="L3236">
        <f>IF(G3236="High",3,IF(G3236="Medium",2,1))</f>
        <v>3</v>
      </c>
    </row>
    <row r="3237" spans="1:12">
      <c r="A3237" t="s">
        <v>5263</v>
      </c>
      <c r="B3237" t="s">
        <v>1802</v>
      </c>
      <c r="C3237" t="s">
        <v>1991</v>
      </c>
      <c r="D3237" t="s">
        <v>2031</v>
      </c>
      <c r="E3237" t="s">
        <v>47</v>
      </c>
      <c r="F3237" t="s">
        <v>1971</v>
      </c>
      <c r="G3237" t="str">
        <f>INDEX(Risk_Matrix!$B$2:$D$4,MATCH(E3237,Risk_Matrix!$A$2:$A$4,0),MATCH(F3237,Risk_Matrix!$B$1:$D$1,0))</f>
        <v>High</v>
      </c>
      <c r="H3237" s="1">
        <v>46140</v>
      </c>
      <c r="I3237" t="s">
        <v>2025</v>
      </c>
      <c r="J3237" t="s">
        <v>2035</v>
      </c>
      <c r="K3237" t="s">
        <v>1993</v>
      </c>
      <c r="L3237">
        <f>IF(G3237="High",3,IF(G3237="Medium",2,1))</f>
        <v>3</v>
      </c>
    </row>
    <row r="3238" spans="1:12">
      <c r="A3238" t="s">
        <v>5264</v>
      </c>
      <c r="B3238" t="s">
        <v>1802</v>
      </c>
      <c r="C3238" t="s">
        <v>1995</v>
      </c>
      <c r="D3238" t="s">
        <v>2150</v>
      </c>
      <c r="E3238" t="s">
        <v>57</v>
      </c>
      <c r="F3238" t="s">
        <v>57</v>
      </c>
      <c r="G3238" t="str">
        <f>INDEX(Risk_Matrix!$B$2:$D$4,MATCH(E3238,Risk_Matrix!$A$2:$A$4,0),MATCH(F3238,Risk_Matrix!$B$1:$D$1,0))</f>
        <v>Low</v>
      </c>
      <c r="H3238" s="1">
        <v>46092</v>
      </c>
      <c r="I3238" t="s">
        <v>2025</v>
      </c>
      <c r="J3238" t="s">
        <v>2035</v>
      </c>
      <c r="K3238" t="s">
        <v>1998</v>
      </c>
      <c r="L3238">
        <f>IF(G3238="High",3,IF(G3238="Medium",2,1))</f>
        <v>1</v>
      </c>
    </row>
    <row r="3239" spans="1:12">
      <c r="A3239" t="s">
        <v>5265</v>
      </c>
      <c r="B3239" t="s">
        <v>1802</v>
      </c>
      <c r="C3239" t="s">
        <v>2000</v>
      </c>
      <c r="D3239" t="s">
        <v>2001</v>
      </c>
      <c r="E3239" t="s">
        <v>57</v>
      </c>
      <c r="F3239" t="s">
        <v>1971</v>
      </c>
      <c r="G3239" t="str">
        <f>INDEX(Risk_Matrix!$B$2:$D$4,MATCH(E3239,Risk_Matrix!$A$2:$A$4,0),MATCH(F3239,Risk_Matrix!$B$1:$D$1,0))</f>
        <v>Low</v>
      </c>
      <c r="H3239" s="1">
        <v>46064</v>
      </c>
      <c r="I3239" t="s">
        <v>2025</v>
      </c>
      <c r="J3239" t="s">
        <v>2035</v>
      </c>
      <c r="K3239" t="s">
        <v>1993</v>
      </c>
      <c r="L3239">
        <f>IF(G3239="High",3,IF(G3239="Medium",2,1))</f>
        <v>1</v>
      </c>
    </row>
    <row r="3240" spans="1:12">
      <c r="A3240" t="s">
        <v>5266</v>
      </c>
      <c r="B3240" t="s">
        <v>1802</v>
      </c>
      <c r="C3240" t="s">
        <v>2005</v>
      </c>
      <c r="D3240" t="s">
        <v>2022</v>
      </c>
      <c r="E3240" t="s">
        <v>57</v>
      </c>
      <c r="F3240" t="s">
        <v>57</v>
      </c>
      <c r="G3240" t="str">
        <f>INDEX(Risk_Matrix!$B$2:$D$4,MATCH(E3240,Risk_Matrix!$A$2:$A$4,0),MATCH(F3240,Risk_Matrix!$B$1:$D$1,0))</f>
        <v>Low</v>
      </c>
      <c r="H3240" s="1">
        <v>46166</v>
      </c>
      <c r="I3240" t="s">
        <v>2025</v>
      </c>
      <c r="J3240" t="s">
        <v>2035</v>
      </c>
      <c r="K3240" t="s">
        <v>1993</v>
      </c>
      <c r="L3240">
        <f>IF(G3240="High",3,IF(G3240="Medium",2,1))</f>
        <v>1</v>
      </c>
    </row>
    <row r="3241" spans="1:12">
      <c r="A3241" t="s">
        <v>5267</v>
      </c>
      <c r="B3241" t="s">
        <v>1802</v>
      </c>
      <c r="C3241" t="s">
        <v>2008</v>
      </c>
      <c r="D3241" t="s">
        <v>2024</v>
      </c>
      <c r="E3241" t="s">
        <v>47</v>
      </c>
      <c r="F3241" t="s">
        <v>47</v>
      </c>
      <c r="G3241" t="str">
        <f>INDEX(Risk_Matrix!$B$2:$D$4,MATCH(E3241,Risk_Matrix!$A$2:$A$4,0),MATCH(F3241,Risk_Matrix!$B$1:$D$1,0))</f>
        <v>High</v>
      </c>
      <c r="H3241" s="1">
        <v>46178</v>
      </c>
      <c r="I3241" t="s">
        <v>1987</v>
      </c>
      <c r="J3241" t="s">
        <v>1997</v>
      </c>
      <c r="K3241" t="s">
        <v>2010</v>
      </c>
      <c r="L3241">
        <f>IF(G3241="High",3,IF(G3241="Medium",2,1))</f>
        <v>3</v>
      </c>
    </row>
    <row r="3242" spans="1:12">
      <c r="A3242" t="s">
        <v>5268</v>
      </c>
      <c r="B3242" t="s">
        <v>1804</v>
      </c>
      <c r="C3242" t="s">
        <v>1985</v>
      </c>
      <c r="D3242" t="s">
        <v>1986</v>
      </c>
      <c r="E3242" t="s">
        <v>1971</v>
      </c>
      <c r="F3242" t="s">
        <v>1971</v>
      </c>
      <c r="G3242" t="str">
        <f>INDEX(Risk_Matrix!$B$2:$D$4,MATCH(E3242,Risk_Matrix!$A$2:$A$4,0),MATCH(F3242,Risk_Matrix!$B$1:$D$1,0))</f>
        <v>Medium</v>
      </c>
      <c r="H3242" s="1">
        <v>46176</v>
      </c>
      <c r="I3242" t="s">
        <v>2002</v>
      </c>
      <c r="J3242" t="s">
        <v>2003</v>
      </c>
      <c r="K3242" t="s">
        <v>1998</v>
      </c>
      <c r="L3242">
        <f>IF(G3242="High",3,IF(G3242="Medium",2,1))</f>
        <v>2</v>
      </c>
    </row>
    <row r="3243" spans="1:12">
      <c r="A3243" t="s">
        <v>5269</v>
      </c>
      <c r="B3243" t="s">
        <v>1804</v>
      </c>
      <c r="C3243" t="s">
        <v>1991</v>
      </c>
      <c r="D3243" t="s">
        <v>2031</v>
      </c>
      <c r="E3243" t="s">
        <v>57</v>
      </c>
      <c r="F3243" t="s">
        <v>1971</v>
      </c>
      <c r="G3243" t="str">
        <f>INDEX(Risk_Matrix!$B$2:$D$4,MATCH(E3243,Risk_Matrix!$A$2:$A$4,0),MATCH(F3243,Risk_Matrix!$B$1:$D$1,0))</f>
        <v>Low</v>
      </c>
      <c r="H3243" s="1">
        <v>46201</v>
      </c>
      <c r="I3243" t="s">
        <v>2025</v>
      </c>
      <c r="J3243" t="s">
        <v>2035</v>
      </c>
      <c r="K3243" t="s">
        <v>1993</v>
      </c>
      <c r="L3243">
        <f>IF(G3243="High",3,IF(G3243="Medium",2,1))</f>
        <v>1</v>
      </c>
    </row>
    <row r="3244" spans="1:12">
      <c r="A3244" t="s">
        <v>5270</v>
      </c>
      <c r="B3244" t="s">
        <v>1804</v>
      </c>
      <c r="C3244" t="s">
        <v>1995</v>
      </c>
      <c r="D3244" t="s">
        <v>2034</v>
      </c>
      <c r="E3244" t="s">
        <v>57</v>
      </c>
      <c r="F3244" t="s">
        <v>1971</v>
      </c>
      <c r="G3244" t="str">
        <f>INDEX(Risk_Matrix!$B$2:$D$4,MATCH(E3244,Risk_Matrix!$A$2:$A$4,0),MATCH(F3244,Risk_Matrix!$B$1:$D$1,0))</f>
        <v>Low</v>
      </c>
      <c r="H3244" s="1">
        <v>46078</v>
      </c>
      <c r="I3244" t="s">
        <v>1987</v>
      </c>
      <c r="J3244" t="s">
        <v>1988</v>
      </c>
      <c r="K3244" t="s">
        <v>2036</v>
      </c>
      <c r="L3244">
        <f>IF(G3244="High",3,IF(G3244="Medium",2,1))</f>
        <v>1</v>
      </c>
    </row>
    <row r="3245" spans="1:12">
      <c r="A3245" t="s">
        <v>5271</v>
      </c>
      <c r="B3245" t="s">
        <v>1804</v>
      </c>
      <c r="C3245" t="s">
        <v>2000</v>
      </c>
      <c r="D3245" t="s">
        <v>2001</v>
      </c>
      <c r="E3245" t="s">
        <v>57</v>
      </c>
      <c r="F3245" t="s">
        <v>57</v>
      </c>
      <c r="G3245" t="str">
        <f>INDEX(Risk_Matrix!$B$2:$D$4,MATCH(E3245,Risk_Matrix!$A$2:$A$4,0),MATCH(F3245,Risk_Matrix!$B$1:$D$1,0))</f>
        <v>Low</v>
      </c>
      <c r="H3245" s="1">
        <v>46131</v>
      </c>
      <c r="I3245" t="s">
        <v>2025</v>
      </c>
      <c r="J3245" t="s">
        <v>2035</v>
      </c>
      <c r="K3245" t="s">
        <v>1989</v>
      </c>
      <c r="L3245">
        <f>IF(G3245="High",3,IF(G3245="Medium",2,1))</f>
        <v>1</v>
      </c>
    </row>
    <row r="3246" spans="1:12">
      <c r="A3246" t="s">
        <v>5272</v>
      </c>
      <c r="B3246" t="s">
        <v>1804</v>
      </c>
      <c r="C3246" t="s">
        <v>2005</v>
      </c>
      <c r="D3246" t="s">
        <v>2039</v>
      </c>
      <c r="E3246" t="s">
        <v>1971</v>
      </c>
      <c r="F3246" t="s">
        <v>57</v>
      </c>
      <c r="G3246" t="str">
        <f>INDEX(Risk_Matrix!$B$2:$D$4,MATCH(E3246,Risk_Matrix!$A$2:$A$4,0),MATCH(F3246,Risk_Matrix!$B$1:$D$1,0))</f>
        <v>Low</v>
      </c>
      <c r="H3246" s="1">
        <v>46175</v>
      </c>
      <c r="I3246" t="s">
        <v>2015</v>
      </c>
      <c r="J3246" t="s">
        <v>2032</v>
      </c>
      <c r="K3246" t="s">
        <v>1993</v>
      </c>
      <c r="L3246">
        <f>IF(G3246="High",3,IF(G3246="Medium",2,1))</f>
        <v>1</v>
      </c>
    </row>
    <row r="3247" spans="1:12">
      <c r="A3247" t="s">
        <v>5273</v>
      </c>
      <c r="B3247" t="s">
        <v>1804</v>
      </c>
      <c r="C3247" t="s">
        <v>2008</v>
      </c>
      <c r="D3247" t="s">
        <v>2024</v>
      </c>
      <c r="E3247" t="s">
        <v>57</v>
      </c>
      <c r="F3247" t="s">
        <v>1971</v>
      </c>
      <c r="G3247" t="str">
        <f>INDEX(Risk_Matrix!$B$2:$D$4,MATCH(E3247,Risk_Matrix!$A$2:$A$4,0),MATCH(F3247,Risk_Matrix!$B$1:$D$1,0))</f>
        <v>Low</v>
      </c>
      <c r="H3247" s="1">
        <v>46232</v>
      </c>
      <c r="I3247" t="s">
        <v>1987</v>
      </c>
      <c r="J3247" t="s">
        <v>1988</v>
      </c>
      <c r="K3247" t="s">
        <v>2010</v>
      </c>
      <c r="L3247">
        <f>IF(G3247="High",3,IF(G3247="Medium",2,1))</f>
        <v>1</v>
      </c>
    </row>
    <row r="3248" spans="1:12">
      <c r="A3248" t="s">
        <v>5274</v>
      </c>
      <c r="B3248" t="s">
        <v>1806</v>
      </c>
      <c r="C3248" t="s">
        <v>1985</v>
      </c>
      <c r="D3248" t="s">
        <v>1986</v>
      </c>
      <c r="E3248" t="s">
        <v>47</v>
      </c>
      <c r="F3248" t="s">
        <v>57</v>
      </c>
      <c r="G3248" t="str">
        <f>INDEX(Risk_Matrix!$B$2:$D$4,MATCH(E3248,Risk_Matrix!$A$2:$A$4,0),MATCH(F3248,Risk_Matrix!$B$1:$D$1,0))</f>
        <v>Medium</v>
      </c>
      <c r="H3248" s="1">
        <v>46116</v>
      </c>
      <c r="I3248" t="s">
        <v>1987</v>
      </c>
      <c r="J3248" t="s">
        <v>1997</v>
      </c>
      <c r="K3248" t="s">
        <v>1998</v>
      </c>
      <c r="L3248">
        <f>IF(G3248="High",3,IF(G3248="Medium",2,1))</f>
        <v>2</v>
      </c>
    </row>
    <row r="3249" spans="1:12">
      <c r="A3249" t="s">
        <v>5275</v>
      </c>
      <c r="B3249" t="s">
        <v>1806</v>
      </c>
      <c r="C3249" t="s">
        <v>1991</v>
      </c>
      <c r="D3249" t="s">
        <v>2064</v>
      </c>
      <c r="E3249" t="s">
        <v>57</v>
      </c>
      <c r="F3249" t="s">
        <v>57</v>
      </c>
      <c r="G3249" t="str">
        <f>INDEX(Risk_Matrix!$B$2:$D$4,MATCH(E3249,Risk_Matrix!$A$2:$A$4,0),MATCH(F3249,Risk_Matrix!$B$1:$D$1,0))</f>
        <v>Low</v>
      </c>
      <c r="H3249" s="1">
        <v>46074</v>
      </c>
      <c r="I3249" t="s">
        <v>2025</v>
      </c>
      <c r="J3249" t="s">
        <v>2026</v>
      </c>
      <c r="K3249" t="s">
        <v>1993</v>
      </c>
      <c r="L3249">
        <f>IF(G3249="High",3,IF(G3249="Medium",2,1))</f>
        <v>1</v>
      </c>
    </row>
    <row r="3250" spans="1:12">
      <c r="A3250" t="s">
        <v>5276</v>
      </c>
      <c r="B3250" t="s">
        <v>1806</v>
      </c>
      <c r="C3250" t="s">
        <v>1995</v>
      </c>
      <c r="D3250" t="s">
        <v>1996</v>
      </c>
      <c r="E3250" t="s">
        <v>1971</v>
      </c>
      <c r="F3250" t="s">
        <v>47</v>
      </c>
      <c r="G3250" t="str">
        <f>INDEX(Risk_Matrix!$B$2:$D$4,MATCH(E3250,Risk_Matrix!$A$2:$A$4,0),MATCH(F3250,Risk_Matrix!$B$1:$D$1,0))</f>
        <v>High</v>
      </c>
      <c r="H3250" s="1">
        <v>46189</v>
      </c>
      <c r="I3250" t="s">
        <v>2015</v>
      </c>
      <c r="J3250" t="s">
        <v>2016</v>
      </c>
      <c r="K3250" t="s">
        <v>1998</v>
      </c>
      <c r="L3250">
        <f>IF(G3250="High",3,IF(G3250="Medium",2,1))</f>
        <v>3</v>
      </c>
    </row>
    <row r="3251" spans="1:12">
      <c r="A3251" t="s">
        <v>5277</v>
      </c>
      <c r="B3251" t="s">
        <v>1806</v>
      </c>
      <c r="C3251" t="s">
        <v>2000</v>
      </c>
      <c r="D3251" t="s">
        <v>2020</v>
      </c>
      <c r="E3251" t="s">
        <v>47</v>
      </c>
      <c r="F3251" t="s">
        <v>1971</v>
      </c>
      <c r="G3251" t="str">
        <f>INDEX(Risk_Matrix!$B$2:$D$4,MATCH(E3251,Risk_Matrix!$A$2:$A$4,0),MATCH(F3251,Risk_Matrix!$B$1:$D$1,0))</f>
        <v>High</v>
      </c>
      <c r="H3251" s="1">
        <v>46165</v>
      </c>
      <c r="I3251" t="s">
        <v>2015</v>
      </c>
      <c r="J3251" t="s">
        <v>2032</v>
      </c>
      <c r="K3251" t="s">
        <v>1993</v>
      </c>
      <c r="L3251">
        <f>IF(G3251="High",3,IF(G3251="Medium",2,1))</f>
        <v>3</v>
      </c>
    </row>
    <row r="3252" spans="1:12">
      <c r="A3252" t="s">
        <v>5278</v>
      </c>
      <c r="B3252" t="s">
        <v>1806</v>
      </c>
      <c r="C3252" t="s">
        <v>2005</v>
      </c>
      <c r="D3252" t="s">
        <v>2039</v>
      </c>
      <c r="E3252" t="s">
        <v>47</v>
      </c>
      <c r="F3252" t="s">
        <v>47</v>
      </c>
      <c r="G3252" t="str">
        <f>INDEX(Risk_Matrix!$B$2:$D$4,MATCH(E3252,Risk_Matrix!$A$2:$A$4,0),MATCH(F3252,Risk_Matrix!$B$1:$D$1,0))</f>
        <v>High</v>
      </c>
      <c r="H3252" s="1">
        <v>46109</v>
      </c>
      <c r="I3252" t="s">
        <v>2025</v>
      </c>
      <c r="J3252" t="s">
        <v>2026</v>
      </c>
      <c r="K3252" t="s">
        <v>1993</v>
      </c>
      <c r="L3252">
        <f>IF(G3252="High",3,IF(G3252="Medium",2,1))</f>
        <v>3</v>
      </c>
    </row>
    <row r="3253" spans="1:12">
      <c r="A3253" t="s">
        <v>5279</v>
      </c>
      <c r="B3253" t="s">
        <v>1806</v>
      </c>
      <c r="C3253" t="s">
        <v>2008</v>
      </c>
      <c r="D3253" t="s">
        <v>2054</v>
      </c>
      <c r="E3253" t="s">
        <v>1971</v>
      </c>
      <c r="F3253" t="s">
        <v>57</v>
      </c>
      <c r="G3253" t="str">
        <f>INDEX(Risk_Matrix!$B$2:$D$4,MATCH(E3253,Risk_Matrix!$A$2:$A$4,0),MATCH(F3253,Risk_Matrix!$B$1:$D$1,0))</f>
        <v>Low</v>
      </c>
      <c r="H3253" s="1">
        <v>46082</v>
      </c>
      <c r="I3253" t="s">
        <v>2025</v>
      </c>
      <c r="J3253" t="s">
        <v>2026</v>
      </c>
      <c r="K3253" t="s">
        <v>2010</v>
      </c>
      <c r="L3253">
        <f>IF(G3253="High",3,IF(G3253="Medium",2,1))</f>
        <v>1</v>
      </c>
    </row>
    <row r="3254" spans="1:12">
      <c r="A3254" t="s">
        <v>5280</v>
      </c>
      <c r="B3254" t="s">
        <v>1808</v>
      </c>
      <c r="C3254" t="s">
        <v>1985</v>
      </c>
      <c r="D3254" t="s">
        <v>2062</v>
      </c>
      <c r="E3254" t="s">
        <v>1971</v>
      </c>
      <c r="F3254" t="s">
        <v>57</v>
      </c>
      <c r="G3254" t="str">
        <f>INDEX(Risk_Matrix!$B$2:$D$4,MATCH(E3254,Risk_Matrix!$A$2:$A$4,0),MATCH(F3254,Risk_Matrix!$B$1:$D$1,0))</f>
        <v>Low</v>
      </c>
      <c r="H3254" s="1">
        <v>46174</v>
      </c>
      <c r="I3254" t="s">
        <v>2025</v>
      </c>
      <c r="J3254" t="s">
        <v>2035</v>
      </c>
      <c r="K3254" t="s">
        <v>1989</v>
      </c>
      <c r="L3254">
        <f>IF(G3254="High",3,IF(G3254="Medium",2,1))</f>
        <v>1</v>
      </c>
    </row>
    <row r="3255" spans="1:12">
      <c r="A3255" t="s">
        <v>5281</v>
      </c>
      <c r="B3255" t="s">
        <v>1808</v>
      </c>
      <c r="C3255" t="s">
        <v>1991</v>
      </c>
      <c r="D3255" t="s">
        <v>2014</v>
      </c>
      <c r="E3255" t="s">
        <v>57</v>
      </c>
      <c r="F3255" t="s">
        <v>1971</v>
      </c>
      <c r="G3255" t="str">
        <f>INDEX(Risk_Matrix!$B$2:$D$4,MATCH(E3255,Risk_Matrix!$A$2:$A$4,0),MATCH(F3255,Risk_Matrix!$B$1:$D$1,0))</f>
        <v>Low</v>
      </c>
      <c r="H3255" s="1">
        <v>46203</v>
      </c>
      <c r="I3255" t="s">
        <v>2002</v>
      </c>
      <c r="J3255" t="s">
        <v>2003</v>
      </c>
      <c r="K3255" t="s">
        <v>1993</v>
      </c>
      <c r="L3255">
        <f>IF(G3255="High",3,IF(G3255="Medium",2,1))</f>
        <v>1</v>
      </c>
    </row>
    <row r="3256" spans="1:12">
      <c r="A3256" t="s">
        <v>5282</v>
      </c>
      <c r="B3256" t="s">
        <v>1808</v>
      </c>
      <c r="C3256" t="s">
        <v>1995</v>
      </c>
      <c r="D3256" t="s">
        <v>2034</v>
      </c>
      <c r="E3256" t="s">
        <v>1971</v>
      </c>
      <c r="F3256" t="s">
        <v>57</v>
      </c>
      <c r="G3256" t="str">
        <f>INDEX(Risk_Matrix!$B$2:$D$4,MATCH(E3256,Risk_Matrix!$A$2:$A$4,0),MATCH(F3256,Risk_Matrix!$B$1:$D$1,0))</f>
        <v>Low</v>
      </c>
      <c r="H3256" s="1">
        <v>46090</v>
      </c>
      <c r="I3256" t="s">
        <v>1987</v>
      </c>
      <c r="J3256" t="s">
        <v>1997</v>
      </c>
      <c r="K3256" t="s">
        <v>2036</v>
      </c>
      <c r="L3256">
        <f>IF(G3256="High",3,IF(G3256="Medium",2,1))</f>
        <v>1</v>
      </c>
    </row>
    <row r="3257" spans="1:12">
      <c r="A3257" t="s">
        <v>5283</v>
      </c>
      <c r="B3257" t="s">
        <v>1808</v>
      </c>
      <c r="C3257" t="s">
        <v>2000</v>
      </c>
      <c r="D3257" t="s">
        <v>2020</v>
      </c>
      <c r="E3257" t="s">
        <v>1971</v>
      </c>
      <c r="F3257" t="s">
        <v>1971</v>
      </c>
      <c r="G3257" t="str">
        <f>INDEX(Risk_Matrix!$B$2:$D$4,MATCH(E3257,Risk_Matrix!$A$2:$A$4,0),MATCH(F3257,Risk_Matrix!$B$1:$D$1,0))</f>
        <v>Medium</v>
      </c>
      <c r="H3257" s="1">
        <v>46106</v>
      </c>
      <c r="I3257" t="s">
        <v>2025</v>
      </c>
      <c r="J3257" t="s">
        <v>2035</v>
      </c>
      <c r="K3257" t="s">
        <v>1989</v>
      </c>
      <c r="L3257">
        <f>IF(G3257="High",3,IF(G3257="Medium",2,1))</f>
        <v>2</v>
      </c>
    </row>
    <row r="3258" spans="1:12">
      <c r="A3258" t="s">
        <v>5284</v>
      </c>
      <c r="B3258" t="s">
        <v>1808</v>
      </c>
      <c r="C3258" t="s">
        <v>2005</v>
      </c>
      <c r="D3258" t="s">
        <v>2022</v>
      </c>
      <c r="E3258" t="s">
        <v>57</v>
      </c>
      <c r="F3258" t="s">
        <v>1971</v>
      </c>
      <c r="G3258" t="str">
        <f>INDEX(Risk_Matrix!$B$2:$D$4,MATCH(E3258,Risk_Matrix!$A$2:$A$4,0),MATCH(F3258,Risk_Matrix!$B$1:$D$1,0))</f>
        <v>Low</v>
      </c>
      <c r="H3258" s="1">
        <v>46069</v>
      </c>
      <c r="I3258" t="s">
        <v>2025</v>
      </c>
      <c r="J3258" t="s">
        <v>2026</v>
      </c>
      <c r="K3258" t="s">
        <v>1993</v>
      </c>
      <c r="L3258">
        <f>IF(G3258="High",3,IF(G3258="Medium",2,1))</f>
        <v>1</v>
      </c>
    </row>
    <row r="3259" spans="1:12">
      <c r="A3259" t="s">
        <v>5285</v>
      </c>
      <c r="B3259" t="s">
        <v>1808</v>
      </c>
      <c r="C3259" t="s">
        <v>2008</v>
      </c>
      <c r="D3259" t="s">
        <v>2054</v>
      </c>
      <c r="E3259" t="s">
        <v>1971</v>
      </c>
      <c r="F3259" t="s">
        <v>57</v>
      </c>
      <c r="G3259" t="str">
        <f>INDEX(Risk_Matrix!$B$2:$D$4,MATCH(E3259,Risk_Matrix!$A$2:$A$4,0),MATCH(F3259,Risk_Matrix!$B$1:$D$1,0))</f>
        <v>Low</v>
      </c>
      <c r="H3259" s="1">
        <v>46223</v>
      </c>
      <c r="I3259" t="s">
        <v>1987</v>
      </c>
      <c r="J3259" t="s">
        <v>1988</v>
      </c>
      <c r="K3259" t="s">
        <v>2010</v>
      </c>
      <c r="L3259">
        <f>IF(G3259="High",3,IF(G3259="Medium",2,1))</f>
        <v>1</v>
      </c>
    </row>
    <row r="3260" spans="1:12">
      <c r="A3260" t="s">
        <v>5286</v>
      </c>
      <c r="B3260" t="s">
        <v>1810</v>
      </c>
      <c r="C3260" t="s">
        <v>1985</v>
      </c>
      <c r="D3260" t="s">
        <v>1986</v>
      </c>
      <c r="E3260" t="s">
        <v>1971</v>
      </c>
      <c r="F3260" t="s">
        <v>57</v>
      </c>
      <c r="G3260" t="str">
        <f>INDEX(Risk_Matrix!$B$2:$D$4,MATCH(E3260,Risk_Matrix!$A$2:$A$4,0),MATCH(F3260,Risk_Matrix!$B$1:$D$1,0))</f>
        <v>Low</v>
      </c>
      <c r="H3260" s="1">
        <v>46219</v>
      </c>
      <c r="I3260" t="s">
        <v>1987</v>
      </c>
      <c r="J3260" t="s">
        <v>1997</v>
      </c>
      <c r="K3260" t="s">
        <v>1989</v>
      </c>
      <c r="L3260">
        <f>IF(G3260="High",3,IF(G3260="Medium",2,1))</f>
        <v>1</v>
      </c>
    </row>
    <row r="3261" spans="1:12">
      <c r="A3261" t="s">
        <v>5287</v>
      </c>
      <c r="B3261" t="s">
        <v>1810</v>
      </c>
      <c r="C3261" t="s">
        <v>1991</v>
      </c>
      <c r="D3261" t="s">
        <v>2064</v>
      </c>
      <c r="E3261" t="s">
        <v>1971</v>
      </c>
      <c r="F3261" t="s">
        <v>47</v>
      </c>
      <c r="G3261" t="str">
        <f>INDEX(Risk_Matrix!$B$2:$D$4,MATCH(E3261,Risk_Matrix!$A$2:$A$4,0),MATCH(F3261,Risk_Matrix!$B$1:$D$1,0))</f>
        <v>High</v>
      </c>
      <c r="H3261" s="1">
        <v>46166</v>
      </c>
      <c r="I3261" t="s">
        <v>2015</v>
      </c>
      <c r="J3261" t="s">
        <v>2032</v>
      </c>
      <c r="K3261" t="s">
        <v>1993</v>
      </c>
      <c r="L3261">
        <f>IF(G3261="High",3,IF(G3261="Medium",2,1))</f>
        <v>3</v>
      </c>
    </row>
    <row r="3262" spans="1:12">
      <c r="A3262" t="s">
        <v>5288</v>
      </c>
      <c r="B3262" t="s">
        <v>1810</v>
      </c>
      <c r="C3262" t="s">
        <v>1995</v>
      </c>
      <c r="D3262" t="s">
        <v>1996</v>
      </c>
      <c r="E3262" t="s">
        <v>57</v>
      </c>
      <c r="F3262" t="s">
        <v>57</v>
      </c>
      <c r="G3262" t="str">
        <f>INDEX(Risk_Matrix!$B$2:$D$4,MATCH(E3262,Risk_Matrix!$A$2:$A$4,0),MATCH(F3262,Risk_Matrix!$B$1:$D$1,0))</f>
        <v>Low</v>
      </c>
      <c r="H3262" s="1">
        <v>46197</v>
      </c>
      <c r="I3262" t="s">
        <v>2025</v>
      </c>
      <c r="J3262" t="s">
        <v>2026</v>
      </c>
      <c r="K3262" t="s">
        <v>2036</v>
      </c>
      <c r="L3262">
        <f>IF(G3262="High",3,IF(G3262="Medium",2,1))</f>
        <v>1</v>
      </c>
    </row>
    <row r="3263" spans="1:12">
      <c r="A3263" t="s">
        <v>5289</v>
      </c>
      <c r="B3263" t="s">
        <v>1810</v>
      </c>
      <c r="C3263" t="s">
        <v>2000</v>
      </c>
      <c r="D3263" t="s">
        <v>2001</v>
      </c>
      <c r="E3263" t="s">
        <v>1971</v>
      </c>
      <c r="F3263" t="s">
        <v>47</v>
      </c>
      <c r="G3263" t="str">
        <f>INDEX(Risk_Matrix!$B$2:$D$4,MATCH(E3263,Risk_Matrix!$A$2:$A$4,0),MATCH(F3263,Risk_Matrix!$B$1:$D$1,0))</f>
        <v>High</v>
      </c>
      <c r="H3263" s="1">
        <v>46192</v>
      </c>
      <c r="I3263" t="s">
        <v>2015</v>
      </c>
      <c r="J3263" t="s">
        <v>2016</v>
      </c>
      <c r="K3263" t="s">
        <v>1993</v>
      </c>
      <c r="L3263">
        <f>IF(G3263="High",3,IF(G3263="Medium",2,1))</f>
        <v>3</v>
      </c>
    </row>
    <row r="3264" spans="1:12">
      <c r="A3264" t="s">
        <v>5290</v>
      </c>
      <c r="B3264" t="s">
        <v>1810</v>
      </c>
      <c r="C3264" t="s">
        <v>2005</v>
      </c>
      <c r="D3264" t="s">
        <v>2039</v>
      </c>
      <c r="E3264" t="s">
        <v>1971</v>
      </c>
      <c r="F3264" t="s">
        <v>57</v>
      </c>
      <c r="G3264" t="str">
        <f>INDEX(Risk_Matrix!$B$2:$D$4,MATCH(E3264,Risk_Matrix!$A$2:$A$4,0),MATCH(F3264,Risk_Matrix!$B$1:$D$1,0))</f>
        <v>Low</v>
      </c>
      <c r="H3264" s="1">
        <v>46236</v>
      </c>
      <c r="I3264" t="s">
        <v>2015</v>
      </c>
      <c r="J3264" t="s">
        <v>2032</v>
      </c>
      <c r="K3264" t="s">
        <v>1993</v>
      </c>
      <c r="L3264">
        <f>IF(G3264="High",3,IF(G3264="Medium",2,1))</f>
        <v>1</v>
      </c>
    </row>
    <row r="3265" spans="1:12">
      <c r="A3265" t="s">
        <v>5291</v>
      </c>
      <c r="B3265" t="s">
        <v>1810</v>
      </c>
      <c r="C3265" t="s">
        <v>2008</v>
      </c>
      <c r="D3265" t="s">
        <v>2024</v>
      </c>
      <c r="E3265" t="s">
        <v>1971</v>
      </c>
      <c r="F3265" t="s">
        <v>1971</v>
      </c>
      <c r="G3265" t="str">
        <f>INDEX(Risk_Matrix!$B$2:$D$4,MATCH(E3265,Risk_Matrix!$A$2:$A$4,0),MATCH(F3265,Risk_Matrix!$B$1:$D$1,0))</f>
        <v>Medium</v>
      </c>
      <c r="H3265" s="1">
        <v>46158</v>
      </c>
      <c r="I3265" t="s">
        <v>2015</v>
      </c>
      <c r="J3265" t="s">
        <v>2032</v>
      </c>
      <c r="K3265" t="s">
        <v>2010</v>
      </c>
      <c r="L3265">
        <f>IF(G3265="High",3,IF(G3265="Medium",2,1))</f>
        <v>2</v>
      </c>
    </row>
    <row r="3266" spans="1:12">
      <c r="A3266" t="s">
        <v>5292</v>
      </c>
      <c r="B3266" t="s">
        <v>1812</v>
      </c>
      <c r="C3266" t="s">
        <v>1985</v>
      </c>
      <c r="D3266" t="s">
        <v>1986</v>
      </c>
      <c r="E3266" t="s">
        <v>57</v>
      </c>
      <c r="F3266" t="s">
        <v>47</v>
      </c>
      <c r="G3266" t="str">
        <f>INDEX(Risk_Matrix!$B$2:$D$4,MATCH(E3266,Risk_Matrix!$A$2:$A$4,0),MATCH(F3266,Risk_Matrix!$B$1:$D$1,0))</f>
        <v>Medium</v>
      </c>
      <c r="H3266" s="1">
        <v>46147</v>
      </c>
      <c r="I3266" t="s">
        <v>2025</v>
      </c>
      <c r="J3266" t="s">
        <v>2035</v>
      </c>
      <c r="K3266" t="s">
        <v>1998</v>
      </c>
      <c r="L3266">
        <f>IF(G3266="High",3,IF(G3266="Medium",2,1))</f>
        <v>2</v>
      </c>
    </row>
    <row r="3267" spans="1:12">
      <c r="A3267" t="s">
        <v>5293</v>
      </c>
      <c r="B3267" t="s">
        <v>1812</v>
      </c>
      <c r="C3267" t="s">
        <v>1991</v>
      </c>
      <c r="D3267" t="s">
        <v>2014</v>
      </c>
      <c r="E3267" t="s">
        <v>57</v>
      </c>
      <c r="F3267" t="s">
        <v>57</v>
      </c>
      <c r="G3267" t="str">
        <f>INDEX(Risk_Matrix!$B$2:$D$4,MATCH(E3267,Risk_Matrix!$A$2:$A$4,0),MATCH(F3267,Risk_Matrix!$B$1:$D$1,0))</f>
        <v>Low</v>
      </c>
      <c r="H3267" s="1">
        <v>46181</v>
      </c>
      <c r="I3267" t="s">
        <v>1987</v>
      </c>
      <c r="J3267" t="s">
        <v>1997</v>
      </c>
      <c r="K3267" t="s">
        <v>2010</v>
      </c>
      <c r="L3267">
        <f>IF(G3267="High",3,IF(G3267="Medium",2,1))</f>
        <v>1</v>
      </c>
    </row>
    <row r="3268" spans="1:12">
      <c r="A3268" t="s">
        <v>5294</v>
      </c>
      <c r="B3268" t="s">
        <v>1812</v>
      </c>
      <c r="C3268" t="s">
        <v>1995</v>
      </c>
      <c r="D3268" t="s">
        <v>1996</v>
      </c>
      <c r="E3268" t="s">
        <v>1971</v>
      </c>
      <c r="F3268" t="s">
        <v>57</v>
      </c>
      <c r="G3268" t="str">
        <f>INDEX(Risk_Matrix!$B$2:$D$4,MATCH(E3268,Risk_Matrix!$A$2:$A$4,0),MATCH(F3268,Risk_Matrix!$B$1:$D$1,0))</f>
        <v>Low</v>
      </c>
      <c r="H3268" s="1">
        <v>46191</v>
      </c>
      <c r="I3268" t="s">
        <v>1987</v>
      </c>
      <c r="J3268" t="s">
        <v>1988</v>
      </c>
      <c r="K3268" t="s">
        <v>2036</v>
      </c>
      <c r="L3268">
        <f>IF(G3268="High",3,IF(G3268="Medium",2,1))</f>
        <v>1</v>
      </c>
    </row>
    <row r="3269" spans="1:12">
      <c r="A3269" t="s">
        <v>5295</v>
      </c>
      <c r="B3269" t="s">
        <v>1812</v>
      </c>
      <c r="C3269" t="s">
        <v>2000</v>
      </c>
      <c r="D3269" t="s">
        <v>2001</v>
      </c>
      <c r="E3269" t="s">
        <v>1971</v>
      </c>
      <c r="F3269" t="s">
        <v>57</v>
      </c>
      <c r="G3269" t="str">
        <f>INDEX(Risk_Matrix!$B$2:$D$4,MATCH(E3269,Risk_Matrix!$A$2:$A$4,0),MATCH(F3269,Risk_Matrix!$B$1:$D$1,0))</f>
        <v>Low</v>
      </c>
      <c r="H3269" s="1">
        <v>46114</v>
      </c>
      <c r="I3269" t="s">
        <v>1987</v>
      </c>
      <c r="J3269" t="s">
        <v>1997</v>
      </c>
      <c r="K3269" t="s">
        <v>1993</v>
      </c>
      <c r="L3269">
        <f>IF(G3269="High",3,IF(G3269="Medium",2,1))</f>
        <v>1</v>
      </c>
    </row>
    <row r="3270" spans="1:12">
      <c r="A3270" t="s">
        <v>5296</v>
      </c>
      <c r="B3270" t="s">
        <v>1812</v>
      </c>
      <c r="C3270" t="s">
        <v>2005</v>
      </c>
      <c r="D3270" t="s">
        <v>2006</v>
      </c>
      <c r="E3270" t="s">
        <v>1971</v>
      </c>
      <c r="F3270" t="s">
        <v>1971</v>
      </c>
      <c r="G3270" t="str">
        <f>INDEX(Risk_Matrix!$B$2:$D$4,MATCH(E3270,Risk_Matrix!$A$2:$A$4,0),MATCH(F3270,Risk_Matrix!$B$1:$D$1,0))</f>
        <v>Medium</v>
      </c>
      <c r="H3270" s="1">
        <v>46086</v>
      </c>
      <c r="I3270" t="s">
        <v>2025</v>
      </c>
      <c r="J3270" t="s">
        <v>2026</v>
      </c>
      <c r="K3270" t="s">
        <v>1993</v>
      </c>
      <c r="L3270">
        <f>IF(G3270="High",3,IF(G3270="Medium",2,1))</f>
        <v>2</v>
      </c>
    </row>
    <row r="3271" spans="1:12">
      <c r="A3271" t="s">
        <v>5297</v>
      </c>
      <c r="B3271" t="s">
        <v>1812</v>
      </c>
      <c r="C3271" t="s">
        <v>2008</v>
      </c>
      <c r="D3271" t="s">
        <v>2009</v>
      </c>
      <c r="E3271" t="s">
        <v>57</v>
      </c>
      <c r="F3271" t="s">
        <v>57</v>
      </c>
      <c r="G3271" t="str">
        <f>INDEX(Risk_Matrix!$B$2:$D$4,MATCH(E3271,Risk_Matrix!$A$2:$A$4,0),MATCH(F3271,Risk_Matrix!$B$1:$D$1,0))</f>
        <v>Low</v>
      </c>
      <c r="H3271" s="1">
        <v>46200</v>
      </c>
      <c r="I3271" t="s">
        <v>1987</v>
      </c>
      <c r="J3271" t="s">
        <v>1988</v>
      </c>
      <c r="K3271" t="s">
        <v>2010</v>
      </c>
      <c r="L3271">
        <f>IF(G3271="High",3,IF(G3271="Medium",2,1))</f>
        <v>1</v>
      </c>
    </row>
    <row r="3272" spans="1:12">
      <c r="A3272" t="s">
        <v>5298</v>
      </c>
      <c r="B3272" t="s">
        <v>1815</v>
      </c>
      <c r="C3272" t="s">
        <v>1985</v>
      </c>
      <c r="D3272" t="s">
        <v>2028</v>
      </c>
      <c r="E3272" t="s">
        <v>47</v>
      </c>
      <c r="F3272" t="s">
        <v>47</v>
      </c>
      <c r="G3272" t="str">
        <f>INDEX(Risk_Matrix!$B$2:$D$4,MATCH(E3272,Risk_Matrix!$A$2:$A$4,0),MATCH(F3272,Risk_Matrix!$B$1:$D$1,0))</f>
        <v>High</v>
      </c>
      <c r="H3272" s="1">
        <v>46143</v>
      </c>
      <c r="I3272" t="s">
        <v>2025</v>
      </c>
      <c r="J3272" t="s">
        <v>2035</v>
      </c>
      <c r="K3272" t="s">
        <v>1998</v>
      </c>
      <c r="L3272">
        <f>IF(G3272="High",3,IF(G3272="Medium",2,1))</f>
        <v>3</v>
      </c>
    </row>
    <row r="3273" spans="1:12">
      <c r="A3273" t="s">
        <v>5299</v>
      </c>
      <c r="B3273" t="s">
        <v>1815</v>
      </c>
      <c r="C3273" t="s">
        <v>1991</v>
      </c>
      <c r="D3273" t="s">
        <v>2064</v>
      </c>
      <c r="E3273" t="s">
        <v>47</v>
      </c>
      <c r="F3273" t="s">
        <v>1971</v>
      </c>
      <c r="G3273" t="str">
        <f>INDEX(Risk_Matrix!$B$2:$D$4,MATCH(E3273,Risk_Matrix!$A$2:$A$4,0),MATCH(F3273,Risk_Matrix!$B$1:$D$1,0))</f>
        <v>High</v>
      </c>
      <c r="H3273" s="1">
        <v>46228</v>
      </c>
      <c r="I3273" t="s">
        <v>2015</v>
      </c>
      <c r="J3273" t="s">
        <v>2032</v>
      </c>
      <c r="K3273" t="s">
        <v>1993</v>
      </c>
      <c r="L3273">
        <f>IF(G3273="High",3,IF(G3273="Medium",2,1))</f>
        <v>3</v>
      </c>
    </row>
    <row r="3274" spans="1:12">
      <c r="A3274" t="s">
        <v>5300</v>
      </c>
      <c r="B3274" t="s">
        <v>1815</v>
      </c>
      <c r="C3274" t="s">
        <v>1995</v>
      </c>
      <c r="D3274" t="s">
        <v>2018</v>
      </c>
      <c r="E3274" t="s">
        <v>57</v>
      </c>
      <c r="F3274" t="s">
        <v>57</v>
      </c>
      <c r="G3274" t="str">
        <f>INDEX(Risk_Matrix!$B$2:$D$4,MATCH(E3274,Risk_Matrix!$A$2:$A$4,0),MATCH(F3274,Risk_Matrix!$B$1:$D$1,0))</f>
        <v>Low</v>
      </c>
      <c r="H3274" s="1">
        <v>46199</v>
      </c>
      <c r="I3274" t="s">
        <v>1987</v>
      </c>
      <c r="J3274" t="s">
        <v>1997</v>
      </c>
      <c r="K3274" t="s">
        <v>1998</v>
      </c>
      <c r="L3274">
        <f>IF(G3274="High",3,IF(G3274="Medium",2,1))</f>
        <v>1</v>
      </c>
    </row>
    <row r="3275" spans="1:12">
      <c r="A3275" t="s">
        <v>5301</v>
      </c>
      <c r="B3275" t="s">
        <v>1815</v>
      </c>
      <c r="C3275" t="s">
        <v>2000</v>
      </c>
      <c r="D3275" t="s">
        <v>2020</v>
      </c>
      <c r="E3275" t="s">
        <v>57</v>
      </c>
      <c r="F3275" t="s">
        <v>1971</v>
      </c>
      <c r="G3275" t="str">
        <f>INDEX(Risk_Matrix!$B$2:$D$4,MATCH(E3275,Risk_Matrix!$A$2:$A$4,0),MATCH(F3275,Risk_Matrix!$B$1:$D$1,0))</f>
        <v>Low</v>
      </c>
      <c r="H3275" s="1">
        <v>46173</v>
      </c>
      <c r="I3275" t="s">
        <v>2025</v>
      </c>
      <c r="J3275" t="s">
        <v>2026</v>
      </c>
      <c r="K3275" t="s">
        <v>1989</v>
      </c>
      <c r="L3275">
        <f>IF(G3275="High",3,IF(G3275="Medium",2,1))</f>
        <v>1</v>
      </c>
    </row>
    <row r="3276" spans="1:12">
      <c r="A3276" t="s">
        <v>5302</v>
      </c>
      <c r="B3276" t="s">
        <v>1815</v>
      </c>
      <c r="C3276" t="s">
        <v>2005</v>
      </c>
      <c r="D3276" t="s">
        <v>2022</v>
      </c>
      <c r="E3276" t="s">
        <v>57</v>
      </c>
      <c r="F3276" t="s">
        <v>47</v>
      </c>
      <c r="G3276" t="str">
        <f>INDEX(Risk_Matrix!$B$2:$D$4,MATCH(E3276,Risk_Matrix!$A$2:$A$4,0),MATCH(F3276,Risk_Matrix!$B$1:$D$1,0))</f>
        <v>Medium</v>
      </c>
      <c r="H3276" s="1">
        <v>46104</v>
      </c>
      <c r="I3276" t="s">
        <v>2025</v>
      </c>
      <c r="J3276" t="s">
        <v>2026</v>
      </c>
      <c r="K3276" t="s">
        <v>1993</v>
      </c>
      <c r="L3276">
        <f>IF(G3276="High",3,IF(G3276="Medium",2,1))</f>
        <v>2</v>
      </c>
    </row>
    <row r="3277" spans="1:12">
      <c r="A3277" t="s">
        <v>5303</v>
      </c>
      <c r="B3277" t="s">
        <v>1815</v>
      </c>
      <c r="C3277" t="s">
        <v>2008</v>
      </c>
      <c r="D3277" t="s">
        <v>2024</v>
      </c>
      <c r="E3277" t="s">
        <v>1971</v>
      </c>
      <c r="F3277" t="s">
        <v>1971</v>
      </c>
      <c r="G3277" t="str">
        <f>INDEX(Risk_Matrix!$B$2:$D$4,MATCH(E3277,Risk_Matrix!$A$2:$A$4,0),MATCH(F3277,Risk_Matrix!$B$1:$D$1,0))</f>
        <v>Medium</v>
      </c>
      <c r="H3277" s="1">
        <v>46055</v>
      </c>
      <c r="I3277" t="s">
        <v>2025</v>
      </c>
      <c r="J3277" t="s">
        <v>2026</v>
      </c>
      <c r="K3277" t="s">
        <v>2010</v>
      </c>
      <c r="L3277">
        <f>IF(G3277="High",3,IF(G3277="Medium",2,1))</f>
        <v>2</v>
      </c>
    </row>
    <row r="3278" spans="1:12">
      <c r="A3278" t="s">
        <v>5304</v>
      </c>
      <c r="B3278" t="s">
        <v>1818</v>
      </c>
      <c r="C3278" t="s">
        <v>1985</v>
      </c>
      <c r="D3278" t="s">
        <v>2062</v>
      </c>
      <c r="E3278" t="s">
        <v>47</v>
      </c>
      <c r="F3278" t="s">
        <v>1971</v>
      </c>
      <c r="G3278" t="str">
        <f>INDEX(Risk_Matrix!$B$2:$D$4,MATCH(E3278,Risk_Matrix!$A$2:$A$4,0),MATCH(F3278,Risk_Matrix!$B$1:$D$1,0))</f>
        <v>High</v>
      </c>
      <c r="H3278" s="1">
        <v>46114</v>
      </c>
      <c r="I3278" t="s">
        <v>2025</v>
      </c>
      <c r="J3278" t="s">
        <v>2035</v>
      </c>
      <c r="K3278" t="s">
        <v>1989</v>
      </c>
      <c r="L3278">
        <f>IF(G3278="High",3,IF(G3278="Medium",2,1))</f>
        <v>3</v>
      </c>
    </row>
    <row r="3279" spans="1:12">
      <c r="A3279" t="s">
        <v>5305</v>
      </c>
      <c r="B3279" t="s">
        <v>1818</v>
      </c>
      <c r="C3279" t="s">
        <v>1991</v>
      </c>
      <c r="D3279" t="s">
        <v>2031</v>
      </c>
      <c r="E3279" t="s">
        <v>57</v>
      </c>
      <c r="F3279" t="s">
        <v>1971</v>
      </c>
      <c r="G3279" t="str">
        <f>INDEX(Risk_Matrix!$B$2:$D$4,MATCH(E3279,Risk_Matrix!$A$2:$A$4,0),MATCH(F3279,Risk_Matrix!$B$1:$D$1,0))</f>
        <v>Low</v>
      </c>
      <c r="H3279" s="1">
        <v>46104</v>
      </c>
      <c r="I3279" t="s">
        <v>2025</v>
      </c>
      <c r="J3279" t="s">
        <v>2026</v>
      </c>
      <c r="K3279" t="s">
        <v>1993</v>
      </c>
      <c r="L3279">
        <f>IF(G3279="High",3,IF(G3279="Medium",2,1))</f>
        <v>1</v>
      </c>
    </row>
    <row r="3280" spans="1:12">
      <c r="A3280" t="s">
        <v>5306</v>
      </c>
      <c r="B3280" t="s">
        <v>1818</v>
      </c>
      <c r="C3280" t="s">
        <v>1995</v>
      </c>
      <c r="D3280" t="s">
        <v>2150</v>
      </c>
      <c r="E3280" t="s">
        <v>1971</v>
      </c>
      <c r="F3280" t="s">
        <v>1971</v>
      </c>
      <c r="G3280" t="str">
        <f>INDEX(Risk_Matrix!$B$2:$D$4,MATCH(E3280,Risk_Matrix!$A$2:$A$4,0),MATCH(F3280,Risk_Matrix!$B$1:$D$1,0))</f>
        <v>Medium</v>
      </c>
      <c r="H3280" s="1">
        <v>46176</v>
      </c>
      <c r="I3280" t="s">
        <v>2015</v>
      </c>
      <c r="J3280" t="s">
        <v>2016</v>
      </c>
      <c r="K3280" t="s">
        <v>2036</v>
      </c>
      <c r="L3280">
        <f>IF(G3280="High",3,IF(G3280="Medium",2,1))</f>
        <v>2</v>
      </c>
    </row>
    <row r="3281" spans="1:12">
      <c r="A3281" t="s">
        <v>5307</v>
      </c>
      <c r="B3281" t="s">
        <v>1818</v>
      </c>
      <c r="C3281" t="s">
        <v>2000</v>
      </c>
      <c r="D3281" t="s">
        <v>2045</v>
      </c>
      <c r="E3281" t="s">
        <v>57</v>
      </c>
      <c r="F3281" t="s">
        <v>57</v>
      </c>
      <c r="G3281" t="str">
        <f>INDEX(Risk_Matrix!$B$2:$D$4,MATCH(E3281,Risk_Matrix!$A$2:$A$4,0),MATCH(F3281,Risk_Matrix!$B$1:$D$1,0))</f>
        <v>Low</v>
      </c>
      <c r="H3281" s="1">
        <v>46171</v>
      </c>
      <c r="I3281" t="s">
        <v>2025</v>
      </c>
      <c r="J3281" t="s">
        <v>2026</v>
      </c>
      <c r="K3281" t="s">
        <v>1989</v>
      </c>
      <c r="L3281">
        <f>IF(G3281="High",3,IF(G3281="Medium",2,1))</f>
        <v>1</v>
      </c>
    </row>
    <row r="3282" spans="1:12">
      <c r="A3282" t="s">
        <v>5308</v>
      </c>
      <c r="B3282" t="s">
        <v>1818</v>
      </c>
      <c r="C3282" t="s">
        <v>2005</v>
      </c>
      <c r="D3282" t="s">
        <v>2006</v>
      </c>
      <c r="E3282" t="s">
        <v>1971</v>
      </c>
      <c r="F3282" t="s">
        <v>1971</v>
      </c>
      <c r="G3282" t="str">
        <f>INDEX(Risk_Matrix!$B$2:$D$4,MATCH(E3282,Risk_Matrix!$A$2:$A$4,0),MATCH(F3282,Risk_Matrix!$B$1:$D$1,0))</f>
        <v>Medium</v>
      </c>
      <c r="H3282" s="1">
        <v>46208</v>
      </c>
      <c r="I3282" t="s">
        <v>2015</v>
      </c>
      <c r="J3282" t="s">
        <v>2032</v>
      </c>
      <c r="K3282" t="s">
        <v>2036</v>
      </c>
      <c r="L3282">
        <f>IF(G3282="High",3,IF(G3282="Medium",2,1))</f>
        <v>2</v>
      </c>
    </row>
    <row r="3283" spans="1:12">
      <c r="A3283" t="s">
        <v>5309</v>
      </c>
      <c r="B3283" t="s">
        <v>1818</v>
      </c>
      <c r="C3283" t="s">
        <v>2008</v>
      </c>
      <c r="D3283" t="s">
        <v>2054</v>
      </c>
      <c r="E3283" t="s">
        <v>1971</v>
      </c>
      <c r="F3283" t="s">
        <v>1971</v>
      </c>
      <c r="G3283" t="str">
        <f>INDEX(Risk_Matrix!$B$2:$D$4,MATCH(E3283,Risk_Matrix!$A$2:$A$4,0),MATCH(F3283,Risk_Matrix!$B$1:$D$1,0))</f>
        <v>Medium</v>
      </c>
      <c r="H3283" s="1">
        <v>46199</v>
      </c>
      <c r="I3283" t="s">
        <v>2015</v>
      </c>
      <c r="J3283" t="s">
        <v>2032</v>
      </c>
      <c r="K3283" t="s">
        <v>1998</v>
      </c>
      <c r="L3283">
        <f>IF(G3283="High",3,IF(G3283="Medium",2,1))</f>
        <v>2</v>
      </c>
    </row>
    <row r="3284" spans="1:12">
      <c r="A3284" t="s">
        <v>5310</v>
      </c>
      <c r="B3284" t="s">
        <v>1820</v>
      </c>
      <c r="C3284" t="s">
        <v>1985</v>
      </c>
      <c r="D3284" t="s">
        <v>1986</v>
      </c>
      <c r="E3284" t="s">
        <v>57</v>
      </c>
      <c r="F3284" t="s">
        <v>47</v>
      </c>
      <c r="G3284" t="str">
        <f>INDEX(Risk_Matrix!$B$2:$D$4,MATCH(E3284,Risk_Matrix!$A$2:$A$4,0),MATCH(F3284,Risk_Matrix!$B$1:$D$1,0))</f>
        <v>Medium</v>
      </c>
      <c r="H3284" s="1">
        <v>46153</v>
      </c>
      <c r="I3284" t="s">
        <v>2002</v>
      </c>
      <c r="J3284" t="s">
        <v>2029</v>
      </c>
      <c r="K3284" t="s">
        <v>1989</v>
      </c>
      <c r="L3284">
        <f>IF(G3284="High",3,IF(G3284="Medium",2,1))</f>
        <v>2</v>
      </c>
    </row>
    <row r="3285" spans="1:12">
      <c r="A3285" t="s">
        <v>5311</v>
      </c>
      <c r="B3285" t="s">
        <v>1820</v>
      </c>
      <c r="C3285" t="s">
        <v>1991</v>
      </c>
      <c r="D3285" t="s">
        <v>2031</v>
      </c>
      <c r="E3285" t="s">
        <v>1971</v>
      </c>
      <c r="F3285" t="s">
        <v>1971</v>
      </c>
      <c r="G3285" t="str">
        <f>INDEX(Risk_Matrix!$B$2:$D$4,MATCH(E3285,Risk_Matrix!$A$2:$A$4,0),MATCH(F3285,Risk_Matrix!$B$1:$D$1,0))</f>
        <v>Medium</v>
      </c>
      <c r="H3285" s="1">
        <v>46200</v>
      </c>
      <c r="I3285" t="s">
        <v>2015</v>
      </c>
      <c r="J3285" t="s">
        <v>2016</v>
      </c>
      <c r="K3285" t="s">
        <v>2010</v>
      </c>
      <c r="L3285">
        <f>IF(G3285="High",3,IF(G3285="Medium",2,1))</f>
        <v>2</v>
      </c>
    </row>
    <row r="3286" spans="1:12">
      <c r="A3286" t="s">
        <v>5312</v>
      </c>
      <c r="B3286" t="s">
        <v>1820</v>
      </c>
      <c r="C3286" t="s">
        <v>1995</v>
      </c>
      <c r="D3286" t="s">
        <v>2034</v>
      </c>
      <c r="E3286" t="s">
        <v>57</v>
      </c>
      <c r="F3286" t="s">
        <v>57</v>
      </c>
      <c r="G3286" t="str">
        <f>INDEX(Risk_Matrix!$B$2:$D$4,MATCH(E3286,Risk_Matrix!$A$2:$A$4,0),MATCH(F3286,Risk_Matrix!$B$1:$D$1,0))</f>
        <v>Low</v>
      </c>
      <c r="H3286" s="1">
        <v>46114</v>
      </c>
      <c r="I3286" t="s">
        <v>2002</v>
      </c>
      <c r="J3286" t="s">
        <v>2029</v>
      </c>
      <c r="K3286" t="s">
        <v>1998</v>
      </c>
      <c r="L3286">
        <f>IF(G3286="High",3,IF(G3286="Medium",2,1))</f>
        <v>1</v>
      </c>
    </row>
    <row r="3287" spans="1:12">
      <c r="A3287" t="s">
        <v>5313</v>
      </c>
      <c r="B3287" t="s">
        <v>1820</v>
      </c>
      <c r="C3287" t="s">
        <v>2000</v>
      </c>
      <c r="D3287" t="s">
        <v>2020</v>
      </c>
      <c r="E3287" t="s">
        <v>57</v>
      </c>
      <c r="F3287" t="s">
        <v>57</v>
      </c>
      <c r="G3287" t="str">
        <f>INDEX(Risk_Matrix!$B$2:$D$4,MATCH(E3287,Risk_Matrix!$A$2:$A$4,0),MATCH(F3287,Risk_Matrix!$B$1:$D$1,0))</f>
        <v>Low</v>
      </c>
      <c r="H3287" s="1">
        <v>46192</v>
      </c>
      <c r="I3287" t="s">
        <v>2025</v>
      </c>
      <c r="J3287" t="s">
        <v>2035</v>
      </c>
      <c r="K3287" t="s">
        <v>1993</v>
      </c>
      <c r="L3287">
        <f>IF(G3287="High",3,IF(G3287="Medium",2,1))</f>
        <v>1</v>
      </c>
    </row>
    <row r="3288" spans="1:12">
      <c r="A3288" t="s">
        <v>5314</v>
      </c>
      <c r="B3288" t="s">
        <v>1820</v>
      </c>
      <c r="C3288" t="s">
        <v>2005</v>
      </c>
      <c r="D3288" t="s">
        <v>2022</v>
      </c>
      <c r="E3288" t="s">
        <v>1971</v>
      </c>
      <c r="F3288" t="s">
        <v>1971</v>
      </c>
      <c r="G3288" t="str">
        <f>INDEX(Risk_Matrix!$B$2:$D$4,MATCH(E3288,Risk_Matrix!$A$2:$A$4,0),MATCH(F3288,Risk_Matrix!$B$1:$D$1,0))</f>
        <v>Medium</v>
      </c>
      <c r="H3288" s="1">
        <v>46186</v>
      </c>
      <c r="I3288" t="s">
        <v>2015</v>
      </c>
      <c r="J3288" t="s">
        <v>2032</v>
      </c>
      <c r="K3288" t="s">
        <v>1993</v>
      </c>
      <c r="L3288">
        <f>IF(G3288="High",3,IF(G3288="Medium",2,1))</f>
        <v>2</v>
      </c>
    </row>
    <row r="3289" spans="1:12">
      <c r="A3289" t="s">
        <v>5315</v>
      </c>
      <c r="B3289" t="s">
        <v>1820</v>
      </c>
      <c r="C3289" t="s">
        <v>2008</v>
      </c>
      <c r="D3289" t="s">
        <v>2009</v>
      </c>
      <c r="E3289" t="s">
        <v>57</v>
      </c>
      <c r="F3289" t="s">
        <v>1971</v>
      </c>
      <c r="G3289" t="str">
        <f>INDEX(Risk_Matrix!$B$2:$D$4,MATCH(E3289,Risk_Matrix!$A$2:$A$4,0),MATCH(F3289,Risk_Matrix!$B$1:$D$1,0))</f>
        <v>Low</v>
      </c>
      <c r="H3289" s="1">
        <v>46219</v>
      </c>
      <c r="I3289" t="s">
        <v>1987</v>
      </c>
      <c r="J3289" t="s">
        <v>1988</v>
      </c>
      <c r="K3289" t="s">
        <v>2010</v>
      </c>
      <c r="L3289">
        <f>IF(G3289="High",3,IF(G3289="Medium",2,1))</f>
        <v>1</v>
      </c>
    </row>
    <row r="3290" spans="1:12">
      <c r="A3290" t="s">
        <v>5316</v>
      </c>
      <c r="B3290" t="s">
        <v>1822</v>
      </c>
      <c r="C3290" t="s">
        <v>1985</v>
      </c>
      <c r="D3290" t="s">
        <v>1986</v>
      </c>
      <c r="E3290" t="s">
        <v>57</v>
      </c>
      <c r="F3290" t="s">
        <v>57</v>
      </c>
      <c r="G3290" t="str">
        <f>INDEX(Risk_Matrix!$B$2:$D$4,MATCH(E3290,Risk_Matrix!$A$2:$A$4,0),MATCH(F3290,Risk_Matrix!$B$1:$D$1,0))</f>
        <v>Low</v>
      </c>
      <c r="H3290" s="1">
        <v>46128</v>
      </c>
      <c r="I3290" t="s">
        <v>2002</v>
      </c>
      <c r="J3290" t="s">
        <v>2003</v>
      </c>
      <c r="K3290" t="s">
        <v>1998</v>
      </c>
      <c r="L3290">
        <f>IF(G3290="High",3,IF(G3290="Medium",2,1))</f>
        <v>1</v>
      </c>
    </row>
    <row r="3291" spans="1:12">
      <c r="A3291" t="s">
        <v>5317</v>
      </c>
      <c r="B3291" t="s">
        <v>1822</v>
      </c>
      <c r="C3291" t="s">
        <v>1991</v>
      </c>
      <c r="D3291" t="s">
        <v>1992</v>
      </c>
      <c r="E3291" t="s">
        <v>57</v>
      </c>
      <c r="F3291" t="s">
        <v>1971</v>
      </c>
      <c r="G3291" t="str">
        <f>INDEX(Risk_Matrix!$B$2:$D$4,MATCH(E3291,Risk_Matrix!$A$2:$A$4,0),MATCH(F3291,Risk_Matrix!$B$1:$D$1,0))</f>
        <v>Low</v>
      </c>
      <c r="H3291" s="1">
        <v>46174</v>
      </c>
      <c r="I3291" t="s">
        <v>1987</v>
      </c>
      <c r="J3291" t="s">
        <v>1988</v>
      </c>
      <c r="K3291" t="s">
        <v>1993</v>
      </c>
      <c r="L3291">
        <f>IF(G3291="High",3,IF(G3291="Medium",2,1))</f>
        <v>1</v>
      </c>
    </row>
    <row r="3292" spans="1:12">
      <c r="A3292" t="s">
        <v>5318</v>
      </c>
      <c r="B3292" t="s">
        <v>1822</v>
      </c>
      <c r="C3292" t="s">
        <v>1995</v>
      </c>
      <c r="D3292" t="s">
        <v>2150</v>
      </c>
      <c r="E3292" t="s">
        <v>57</v>
      </c>
      <c r="F3292" t="s">
        <v>57</v>
      </c>
      <c r="G3292" t="str">
        <f>INDEX(Risk_Matrix!$B$2:$D$4,MATCH(E3292,Risk_Matrix!$A$2:$A$4,0),MATCH(F3292,Risk_Matrix!$B$1:$D$1,0))</f>
        <v>Low</v>
      </c>
      <c r="H3292" s="1">
        <v>46087</v>
      </c>
      <c r="I3292" t="s">
        <v>2002</v>
      </c>
      <c r="J3292" t="s">
        <v>2003</v>
      </c>
      <c r="K3292" t="s">
        <v>1998</v>
      </c>
      <c r="L3292">
        <f>IF(G3292="High",3,IF(G3292="Medium",2,1))</f>
        <v>1</v>
      </c>
    </row>
    <row r="3293" spans="1:12">
      <c r="A3293" t="s">
        <v>5319</v>
      </c>
      <c r="B3293" t="s">
        <v>1822</v>
      </c>
      <c r="C3293" t="s">
        <v>2000</v>
      </c>
      <c r="D3293" t="s">
        <v>2020</v>
      </c>
      <c r="E3293" t="s">
        <v>57</v>
      </c>
      <c r="F3293" t="s">
        <v>1971</v>
      </c>
      <c r="G3293" t="str">
        <f>INDEX(Risk_Matrix!$B$2:$D$4,MATCH(E3293,Risk_Matrix!$A$2:$A$4,0),MATCH(F3293,Risk_Matrix!$B$1:$D$1,0))</f>
        <v>Low</v>
      </c>
      <c r="H3293" s="1">
        <v>46215</v>
      </c>
      <c r="I3293" t="s">
        <v>2025</v>
      </c>
      <c r="J3293" t="s">
        <v>2026</v>
      </c>
      <c r="K3293" t="s">
        <v>1993</v>
      </c>
      <c r="L3293">
        <f>IF(G3293="High",3,IF(G3293="Medium",2,1))</f>
        <v>1</v>
      </c>
    </row>
    <row r="3294" spans="1:12">
      <c r="A3294" t="s">
        <v>5320</v>
      </c>
      <c r="B3294" t="s">
        <v>1822</v>
      </c>
      <c r="C3294" t="s">
        <v>2005</v>
      </c>
      <c r="D3294" t="s">
        <v>2006</v>
      </c>
      <c r="E3294" t="s">
        <v>57</v>
      </c>
      <c r="F3294" t="s">
        <v>1971</v>
      </c>
      <c r="G3294" t="str">
        <f>INDEX(Risk_Matrix!$B$2:$D$4,MATCH(E3294,Risk_Matrix!$A$2:$A$4,0),MATCH(F3294,Risk_Matrix!$B$1:$D$1,0))</f>
        <v>Low</v>
      </c>
      <c r="H3294" s="1">
        <v>46222</v>
      </c>
      <c r="I3294" t="s">
        <v>2025</v>
      </c>
      <c r="J3294" t="s">
        <v>2026</v>
      </c>
      <c r="K3294" t="s">
        <v>1993</v>
      </c>
      <c r="L3294">
        <f>IF(G3294="High",3,IF(G3294="Medium",2,1))</f>
        <v>1</v>
      </c>
    </row>
    <row r="3295" spans="1:12">
      <c r="A3295" t="s">
        <v>5321</v>
      </c>
      <c r="B3295" t="s">
        <v>1822</v>
      </c>
      <c r="C3295" t="s">
        <v>2008</v>
      </c>
      <c r="D3295" t="s">
        <v>2024</v>
      </c>
      <c r="E3295" t="s">
        <v>57</v>
      </c>
      <c r="F3295" t="s">
        <v>57</v>
      </c>
      <c r="G3295" t="str">
        <f>INDEX(Risk_Matrix!$B$2:$D$4,MATCH(E3295,Risk_Matrix!$A$2:$A$4,0),MATCH(F3295,Risk_Matrix!$B$1:$D$1,0))</f>
        <v>Low</v>
      </c>
      <c r="H3295" s="1">
        <v>46167</v>
      </c>
      <c r="I3295" t="s">
        <v>2025</v>
      </c>
      <c r="J3295" t="s">
        <v>2026</v>
      </c>
      <c r="K3295" t="s">
        <v>2010</v>
      </c>
      <c r="L3295">
        <f>IF(G3295="High",3,IF(G3295="Medium",2,1))</f>
        <v>1</v>
      </c>
    </row>
    <row r="3296" spans="1:12">
      <c r="A3296" t="s">
        <v>5322</v>
      </c>
      <c r="B3296" t="s">
        <v>1824</v>
      </c>
      <c r="C3296" t="s">
        <v>1985</v>
      </c>
      <c r="D3296" t="s">
        <v>2062</v>
      </c>
      <c r="E3296" t="s">
        <v>57</v>
      </c>
      <c r="F3296" t="s">
        <v>47</v>
      </c>
      <c r="G3296" t="str">
        <f>INDEX(Risk_Matrix!$B$2:$D$4,MATCH(E3296,Risk_Matrix!$A$2:$A$4,0),MATCH(F3296,Risk_Matrix!$B$1:$D$1,0))</f>
        <v>Medium</v>
      </c>
      <c r="H3296" s="1">
        <v>46202</v>
      </c>
      <c r="I3296" t="s">
        <v>1987</v>
      </c>
      <c r="J3296" t="s">
        <v>1997</v>
      </c>
      <c r="K3296" t="s">
        <v>1989</v>
      </c>
      <c r="L3296">
        <f>IF(G3296="High",3,IF(G3296="Medium",2,1))</f>
        <v>2</v>
      </c>
    </row>
    <row r="3297" spans="1:12">
      <c r="A3297" t="s">
        <v>5323</v>
      </c>
      <c r="B3297" t="s">
        <v>1824</v>
      </c>
      <c r="C3297" t="s">
        <v>1991</v>
      </c>
      <c r="D3297" t="s">
        <v>1992</v>
      </c>
      <c r="E3297" t="s">
        <v>57</v>
      </c>
      <c r="F3297" t="s">
        <v>57</v>
      </c>
      <c r="G3297" t="str">
        <f>INDEX(Risk_Matrix!$B$2:$D$4,MATCH(E3297,Risk_Matrix!$A$2:$A$4,0),MATCH(F3297,Risk_Matrix!$B$1:$D$1,0))</f>
        <v>Low</v>
      </c>
      <c r="H3297" s="1">
        <v>46221</v>
      </c>
      <c r="I3297" t="s">
        <v>2002</v>
      </c>
      <c r="J3297" t="s">
        <v>2003</v>
      </c>
      <c r="K3297" t="s">
        <v>2010</v>
      </c>
      <c r="L3297">
        <f>IF(G3297="High",3,IF(G3297="Medium",2,1))</f>
        <v>1</v>
      </c>
    </row>
    <row r="3298" spans="1:12">
      <c r="A3298" t="s">
        <v>5324</v>
      </c>
      <c r="B3298" t="s">
        <v>1824</v>
      </c>
      <c r="C3298" t="s">
        <v>1995</v>
      </c>
      <c r="D3298" t="s">
        <v>2034</v>
      </c>
      <c r="E3298" t="s">
        <v>57</v>
      </c>
      <c r="F3298" t="s">
        <v>1971</v>
      </c>
      <c r="G3298" t="str">
        <f>INDEX(Risk_Matrix!$B$2:$D$4,MATCH(E3298,Risk_Matrix!$A$2:$A$4,0),MATCH(F3298,Risk_Matrix!$B$1:$D$1,0))</f>
        <v>Low</v>
      </c>
      <c r="H3298" s="1">
        <v>46122</v>
      </c>
      <c r="I3298" t="s">
        <v>2025</v>
      </c>
      <c r="J3298" t="s">
        <v>2035</v>
      </c>
      <c r="K3298" t="s">
        <v>2036</v>
      </c>
      <c r="L3298">
        <f>IF(G3298="High",3,IF(G3298="Medium",2,1))</f>
        <v>1</v>
      </c>
    </row>
    <row r="3299" spans="1:12">
      <c r="A3299" t="s">
        <v>5325</v>
      </c>
      <c r="B3299" t="s">
        <v>1824</v>
      </c>
      <c r="C3299" t="s">
        <v>2000</v>
      </c>
      <c r="D3299" t="s">
        <v>2045</v>
      </c>
      <c r="E3299" t="s">
        <v>1971</v>
      </c>
      <c r="F3299" t="s">
        <v>57</v>
      </c>
      <c r="G3299" t="str">
        <f>INDEX(Risk_Matrix!$B$2:$D$4,MATCH(E3299,Risk_Matrix!$A$2:$A$4,0),MATCH(F3299,Risk_Matrix!$B$1:$D$1,0))</f>
        <v>Low</v>
      </c>
      <c r="H3299" s="1">
        <v>46174</v>
      </c>
      <c r="I3299" t="s">
        <v>2015</v>
      </c>
      <c r="J3299" t="s">
        <v>2016</v>
      </c>
      <c r="K3299" t="s">
        <v>1989</v>
      </c>
      <c r="L3299">
        <f>IF(G3299="High",3,IF(G3299="Medium",2,1))</f>
        <v>1</v>
      </c>
    </row>
    <row r="3300" spans="1:12">
      <c r="A3300" t="s">
        <v>5326</v>
      </c>
      <c r="B3300" t="s">
        <v>1824</v>
      </c>
      <c r="C3300" t="s">
        <v>2005</v>
      </c>
      <c r="D3300" t="s">
        <v>2022</v>
      </c>
      <c r="E3300" t="s">
        <v>1971</v>
      </c>
      <c r="F3300" t="s">
        <v>47</v>
      </c>
      <c r="G3300" t="str">
        <f>INDEX(Risk_Matrix!$B$2:$D$4,MATCH(E3300,Risk_Matrix!$A$2:$A$4,0),MATCH(F3300,Risk_Matrix!$B$1:$D$1,0))</f>
        <v>High</v>
      </c>
      <c r="H3300" s="1">
        <v>46155</v>
      </c>
      <c r="I3300" t="s">
        <v>2015</v>
      </c>
      <c r="J3300" t="s">
        <v>2032</v>
      </c>
      <c r="K3300" t="s">
        <v>1993</v>
      </c>
      <c r="L3300">
        <f>IF(G3300="High",3,IF(G3300="Medium",2,1))</f>
        <v>3</v>
      </c>
    </row>
    <row r="3301" spans="1:12">
      <c r="A3301" t="s">
        <v>5327</v>
      </c>
      <c r="B3301" t="s">
        <v>1824</v>
      </c>
      <c r="C3301" t="s">
        <v>2008</v>
      </c>
      <c r="D3301" t="s">
        <v>2054</v>
      </c>
      <c r="E3301" t="s">
        <v>1971</v>
      </c>
      <c r="F3301" t="s">
        <v>1971</v>
      </c>
      <c r="G3301" t="str">
        <f>INDEX(Risk_Matrix!$B$2:$D$4,MATCH(E3301,Risk_Matrix!$A$2:$A$4,0),MATCH(F3301,Risk_Matrix!$B$1:$D$1,0))</f>
        <v>Medium</v>
      </c>
      <c r="H3301" s="1">
        <v>46149</v>
      </c>
      <c r="I3301" t="s">
        <v>2025</v>
      </c>
      <c r="J3301" t="s">
        <v>2035</v>
      </c>
      <c r="K3301" t="s">
        <v>2010</v>
      </c>
      <c r="L3301">
        <f>IF(G3301="High",3,IF(G3301="Medium",2,1))</f>
        <v>2</v>
      </c>
    </row>
    <row r="3302" spans="1:12">
      <c r="A3302" t="s">
        <v>5328</v>
      </c>
      <c r="B3302" t="s">
        <v>1826</v>
      </c>
      <c r="C3302" t="s">
        <v>1985</v>
      </c>
      <c r="D3302" t="s">
        <v>2028</v>
      </c>
      <c r="E3302" t="s">
        <v>1971</v>
      </c>
      <c r="F3302" t="s">
        <v>57</v>
      </c>
      <c r="G3302" t="str">
        <f>INDEX(Risk_Matrix!$B$2:$D$4,MATCH(E3302,Risk_Matrix!$A$2:$A$4,0),MATCH(F3302,Risk_Matrix!$B$1:$D$1,0))</f>
        <v>Low</v>
      </c>
      <c r="H3302" s="1">
        <v>46187</v>
      </c>
      <c r="I3302" t="s">
        <v>1987</v>
      </c>
      <c r="J3302" t="s">
        <v>1988</v>
      </c>
      <c r="K3302" t="s">
        <v>1989</v>
      </c>
      <c r="L3302">
        <f>IF(G3302="High",3,IF(G3302="Medium",2,1))</f>
        <v>1</v>
      </c>
    </row>
    <row r="3303" spans="1:12">
      <c r="A3303" t="s">
        <v>5329</v>
      </c>
      <c r="B3303" t="s">
        <v>1826</v>
      </c>
      <c r="C3303" t="s">
        <v>1991</v>
      </c>
      <c r="D3303" t="s">
        <v>2014</v>
      </c>
      <c r="E3303" t="s">
        <v>57</v>
      </c>
      <c r="F3303" t="s">
        <v>57</v>
      </c>
      <c r="G3303" t="str">
        <f>INDEX(Risk_Matrix!$B$2:$D$4,MATCH(E3303,Risk_Matrix!$A$2:$A$4,0),MATCH(F3303,Risk_Matrix!$B$1:$D$1,0))</f>
        <v>Low</v>
      </c>
      <c r="H3303" s="1">
        <v>46192</v>
      </c>
      <c r="I3303" t="s">
        <v>2025</v>
      </c>
      <c r="J3303" t="s">
        <v>2035</v>
      </c>
      <c r="K3303" t="s">
        <v>1993</v>
      </c>
      <c r="L3303">
        <f>IF(G3303="High",3,IF(G3303="Medium",2,1))</f>
        <v>1</v>
      </c>
    </row>
    <row r="3304" spans="1:12">
      <c r="A3304" t="s">
        <v>5330</v>
      </c>
      <c r="B3304" t="s">
        <v>1826</v>
      </c>
      <c r="C3304" t="s">
        <v>1995</v>
      </c>
      <c r="D3304" t="s">
        <v>1996</v>
      </c>
      <c r="E3304" t="s">
        <v>1971</v>
      </c>
      <c r="F3304" t="s">
        <v>57</v>
      </c>
      <c r="G3304" t="str">
        <f>INDEX(Risk_Matrix!$B$2:$D$4,MATCH(E3304,Risk_Matrix!$A$2:$A$4,0),MATCH(F3304,Risk_Matrix!$B$1:$D$1,0))</f>
        <v>Low</v>
      </c>
      <c r="H3304" s="1">
        <v>46087</v>
      </c>
      <c r="I3304" t="s">
        <v>2025</v>
      </c>
      <c r="J3304" t="s">
        <v>2035</v>
      </c>
      <c r="K3304" t="s">
        <v>1998</v>
      </c>
      <c r="L3304">
        <f>IF(G3304="High",3,IF(G3304="Medium",2,1))</f>
        <v>1</v>
      </c>
    </row>
    <row r="3305" spans="1:12">
      <c r="A3305" t="s">
        <v>5331</v>
      </c>
      <c r="B3305" t="s">
        <v>1826</v>
      </c>
      <c r="C3305" t="s">
        <v>2000</v>
      </c>
      <c r="D3305" t="s">
        <v>2001</v>
      </c>
      <c r="E3305" t="s">
        <v>57</v>
      </c>
      <c r="F3305" t="s">
        <v>57</v>
      </c>
      <c r="G3305" t="str">
        <f>INDEX(Risk_Matrix!$B$2:$D$4,MATCH(E3305,Risk_Matrix!$A$2:$A$4,0),MATCH(F3305,Risk_Matrix!$B$1:$D$1,0))</f>
        <v>Low</v>
      </c>
      <c r="H3305" s="1">
        <v>46209</v>
      </c>
      <c r="I3305" t="s">
        <v>2025</v>
      </c>
      <c r="J3305" t="s">
        <v>2026</v>
      </c>
      <c r="K3305" t="s">
        <v>1993</v>
      </c>
      <c r="L3305">
        <f>IF(G3305="High",3,IF(G3305="Medium",2,1))</f>
        <v>1</v>
      </c>
    </row>
    <row r="3306" spans="1:12">
      <c r="A3306" t="s">
        <v>5332</v>
      </c>
      <c r="B3306" t="s">
        <v>1826</v>
      </c>
      <c r="C3306" t="s">
        <v>2005</v>
      </c>
      <c r="D3306" t="s">
        <v>2006</v>
      </c>
      <c r="E3306" t="s">
        <v>47</v>
      </c>
      <c r="F3306" t="s">
        <v>47</v>
      </c>
      <c r="G3306" t="str">
        <f>INDEX(Risk_Matrix!$B$2:$D$4,MATCH(E3306,Risk_Matrix!$A$2:$A$4,0),MATCH(F3306,Risk_Matrix!$B$1:$D$1,0))</f>
        <v>High</v>
      </c>
      <c r="H3306" s="1">
        <v>46181</v>
      </c>
      <c r="I3306" t="s">
        <v>2015</v>
      </c>
      <c r="J3306" t="s">
        <v>2032</v>
      </c>
      <c r="K3306" t="s">
        <v>1993</v>
      </c>
      <c r="L3306">
        <f>IF(G3306="High",3,IF(G3306="Medium",2,1))</f>
        <v>3</v>
      </c>
    </row>
    <row r="3307" spans="1:12">
      <c r="A3307" t="s">
        <v>5333</v>
      </c>
      <c r="B3307" t="s">
        <v>1826</v>
      </c>
      <c r="C3307" t="s">
        <v>2008</v>
      </c>
      <c r="D3307" t="s">
        <v>2024</v>
      </c>
      <c r="E3307" t="s">
        <v>1971</v>
      </c>
      <c r="F3307" t="s">
        <v>57</v>
      </c>
      <c r="G3307" t="str">
        <f>INDEX(Risk_Matrix!$B$2:$D$4,MATCH(E3307,Risk_Matrix!$A$2:$A$4,0),MATCH(F3307,Risk_Matrix!$B$1:$D$1,0))</f>
        <v>Low</v>
      </c>
      <c r="H3307" s="1">
        <v>46230</v>
      </c>
      <c r="I3307" t="s">
        <v>1987</v>
      </c>
      <c r="J3307" t="s">
        <v>1988</v>
      </c>
      <c r="K3307" t="s">
        <v>1998</v>
      </c>
      <c r="L3307">
        <f>IF(G3307="High",3,IF(G3307="Medium",2,1))</f>
        <v>1</v>
      </c>
    </row>
    <row r="3308" spans="1:12">
      <c r="A3308" t="s">
        <v>5334</v>
      </c>
      <c r="B3308" t="s">
        <v>1828</v>
      </c>
      <c r="C3308" t="s">
        <v>1985</v>
      </c>
      <c r="D3308" t="s">
        <v>2028</v>
      </c>
      <c r="E3308" t="s">
        <v>47</v>
      </c>
      <c r="F3308" t="s">
        <v>57</v>
      </c>
      <c r="G3308" t="str">
        <f>INDEX(Risk_Matrix!$B$2:$D$4,MATCH(E3308,Risk_Matrix!$A$2:$A$4,0),MATCH(F3308,Risk_Matrix!$B$1:$D$1,0))</f>
        <v>Medium</v>
      </c>
      <c r="H3308" s="1">
        <v>46188</v>
      </c>
      <c r="I3308" t="s">
        <v>2015</v>
      </c>
      <c r="J3308" t="s">
        <v>2032</v>
      </c>
      <c r="K3308" t="s">
        <v>1998</v>
      </c>
      <c r="L3308">
        <f>IF(G3308="High",3,IF(G3308="Medium",2,1))</f>
        <v>2</v>
      </c>
    </row>
    <row r="3309" spans="1:12">
      <c r="A3309" t="s">
        <v>5335</v>
      </c>
      <c r="B3309" t="s">
        <v>1828</v>
      </c>
      <c r="C3309" t="s">
        <v>1991</v>
      </c>
      <c r="D3309" t="s">
        <v>2031</v>
      </c>
      <c r="E3309" t="s">
        <v>57</v>
      </c>
      <c r="F3309" t="s">
        <v>57</v>
      </c>
      <c r="G3309" t="str">
        <f>INDEX(Risk_Matrix!$B$2:$D$4,MATCH(E3309,Risk_Matrix!$A$2:$A$4,0),MATCH(F3309,Risk_Matrix!$B$1:$D$1,0))</f>
        <v>Low</v>
      </c>
      <c r="H3309" s="1">
        <v>46133</v>
      </c>
      <c r="I3309" t="s">
        <v>2002</v>
      </c>
      <c r="J3309" t="s">
        <v>2003</v>
      </c>
      <c r="K3309" t="s">
        <v>2010</v>
      </c>
      <c r="L3309">
        <f>IF(G3309="High",3,IF(G3309="Medium",2,1))</f>
        <v>1</v>
      </c>
    </row>
    <row r="3310" spans="1:12">
      <c r="A3310" t="s">
        <v>5336</v>
      </c>
      <c r="B3310" t="s">
        <v>1828</v>
      </c>
      <c r="C3310" t="s">
        <v>1995</v>
      </c>
      <c r="D3310" t="s">
        <v>2018</v>
      </c>
      <c r="E3310" t="s">
        <v>57</v>
      </c>
      <c r="F3310" t="s">
        <v>57</v>
      </c>
      <c r="G3310" t="str">
        <f>INDEX(Risk_Matrix!$B$2:$D$4,MATCH(E3310,Risk_Matrix!$A$2:$A$4,0),MATCH(F3310,Risk_Matrix!$B$1:$D$1,0))</f>
        <v>Low</v>
      </c>
      <c r="H3310" s="1">
        <v>46207</v>
      </c>
      <c r="I3310" t="s">
        <v>2025</v>
      </c>
      <c r="J3310" t="s">
        <v>2035</v>
      </c>
      <c r="K3310" t="s">
        <v>1998</v>
      </c>
      <c r="L3310">
        <f>IF(G3310="High",3,IF(G3310="Medium",2,1))</f>
        <v>1</v>
      </c>
    </row>
    <row r="3311" spans="1:12">
      <c r="A3311" t="s">
        <v>5337</v>
      </c>
      <c r="B3311" t="s">
        <v>1828</v>
      </c>
      <c r="C3311" t="s">
        <v>2000</v>
      </c>
      <c r="D3311" t="s">
        <v>2001</v>
      </c>
      <c r="E3311" t="s">
        <v>1971</v>
      </c>
      <c r="F3311" t="s">
        <v>57</v>
      </c>
      <c r="G3311" t="str">
        <f>INDEX(Risk_Matrix!$B$2:$D$4,MATCH(E3311,Risk_Matrix!$A$2:$A$4,0),MATCH(F3311,Risk_Matrix!$B$1:$D$1,0))</f>
        <v>Low</v>
      </c>
      <c r="H3311" s="1">
        <v>46195</v>
      </c>
      <c r="I3311" t="s">
        <v>2025</v>
      </c>
      <c r="J3311" t="s">
        <v>2035</v>
      </c>
      <c r="K3311" t="s">
        <v>1993</v>
      </c>
      <c r="L3311">
        <f>IF(G3311="High",3,IF(G3311="Medium",2,1))</f>
        <v>1</v>
      </c>
    </row>
    <row r="3312" spans="1:12">
      <c r="A3312" t="s">
        <v>5338</v>
      </c>
      <c r="B3312" t="s">
        <v>1828</v>
      </c>
      <c r="C3312" t="s">
        <v>2005</v>
      </c>
      <c r="D3312" t="s">
        <v>2006</v>
      </c>
      <c r="E3312" t="s">
        <v>1971</v>
      </c>
      <c r="F3312" t="s">
        <v>57</v>
      </c>
      <c r="G3312" t="str">
        <f>INDEX(Risk_Matrix!$B$2:$D$4,MATCH(E3312,Risk_Matrix!$A$2:$A$4,0),MATCH(F3312,Risk_Matrix!$B$1:$D$1,0))</f>
        <v>Low</v>
      </c>
      <c r="H3312" s="1">
        <v>46098</v>
      </c>
      <c r="I3312" t="s">
        <v>2025</v>
      </c>
      <c r="J3312" t="s">
        <v>2026</v>
      </c>
      <c r="K3312" t="s">
        <v>1993</v>
      </c>
      <c r="L3312">
        <f>IF(G3312="High",3,IF(G3312="Medium",2,1))</f>
        <v>1</v>
      </c>
    </row>
    <row r="3313" spans="1:12">
      <c r="A3313" t="s">
        <v>5339</v>
      </c>
      <c r="B3313" t="s">
        <v>1828</v>
      </c>
      <c r="C3313" t="s">
        <v>2008</v>
      </c>
      <c r="D3313" t="s">
        <v>2054</v>
      </c>
      <c r="E3313" t="s">
        <v>57</v>
      </c>
      <c r="F3313" t="s">
        <v>57</v>
      </c>
      <c r="G3313" t="str">
        <f>INDEX(Risk_Matrix!$B$2:$D$4,MATCH(E3313,Risk_Matrix!$A$2:$A$4,0),MATCH(F3313,Risk_Matrix!$B$1:$D$1,0))</f>
        <v>Low</v>
      </c>
      <c r="H3313" s="1">
        <v>46209</v>
      </c>
      <c r="I3313" t="s">
        <v>2015</v>
      </c>
      <c r="J3313" t="s">
        <v>2016</v>
      </c>
      <c r="K3313" t="s">
        <v>2010</v>
      </c>
      <c r="L3313">
        <f>IF(G3313="High",3,IF(G3313="Medium",2,1))</f>
        <v>1</v>
      </c>
    </row>
    <row r="3314" spans="1:12">
      <c r="A3314" t="s">
        <v>5340</v>
      </c>
      <c r="B3314" t="s">
        <v>1831</v>
      </c>
      <c r="C3314" t="s">
        <v>1985</v>
      </c>
      <c r="D3314" t="s">
        <v>2028</v>
      </c>
      <c r="E3314" t="s">
        <v>1971</v>
      </c>
      <c r="F3314" t="s">
        <v>57</v>
      </c>
      <c r="G3314" t="str">
        <f>INDEX(Risk_Matrix!$B$2:$D$4,MATCH(E3314,Risk_Matrix!$A$2:$A$4,0),MATCH(F3314,Risk_Matrix!$B$1:$D$1,0))</f>
        <v>Low</v>
      </c>
      <c r="H3314" s="1">
        <v>46094</v>
      </c>
      <c r="I3314" t="s">
        <v>2025</v>
      </c>
      <c r="J3314" t="s">
        <v>2026</v>
      </c>
      <c r="K3314" t="s">
        <v>1989</v>
      </c>
      <c r="L3314">
        <f>IF(G3314="High",3,IF(G3314="Medium",2,1))</f>
        <v>1</v>
      </c>
    </row>
    <row r="3315" spans="1:12">
      <c r="A3315" t="s">
        <v>5341</v>
      </c>
      <c r="B3315" t="s">
        <v>1831</v>
      </c>
      <c r="C3315" t="s">
        <v>1991</v>
      </c>
      <c r="D3315" t="s">
        <v>2031</v>
      </c>
      <c r="E3315" t="s">
        <v>1971</v>
      </c>
      <c r="F3315" t="s">
        <v>57</v>
      </c>
      <c r="G3315" t="str">
        <f>INDEX(Risk_Matrix!$B$2:$D$4,MATCH(E3315,Risk_Matrix!$A$2:$A$4,0),MATCH(F3315,Risk_Matrix!$B$1:$D$1,0))</f>
        <v>Low</v>
      </c>
      <c r="H3315" s="1">
        <v>46100</v>
      </c>
      <c r="I3315" t="s">
        <v>2025</v>
      </c>
      <c r="J3315" t="s">
        <v>2035</v>
      </c>
      <c r="K3315" t="s">
        <v>2010</v>
      </c>
      <c r="L3315">
        <f>IF(G3315="High",3,IF(G3315="Medium",2,1))</f>
        <v>1</v>
      </c>
    </row>
    <row r="3316" spans="1:12">
      <c r="A3316" t="s">
        <v>5342</v>
      </c>
      <c r="B3316" t="s">
        <v>1831</v>
      </c>
      <c r="C3316" t="s">
        <v>1995</v>
      </c>
      <c r="D3316" t="s">
        <v>2018</v>
      </c>
      <c r="E3316" t="s">
        <v>57</v>
      </c>
      <c r="F3316" t="s">
        <v>47</v>
      </c>
      <c r="G3316" t="str">
        <f>INDEX(Risk_Matrix!$B$2:$D$4,MATCH(E3316,Risk_Matrix!$A$2:$A$4,0),MATCH(F3316,Risk_Matrix!$B$1:$D$1,0))</f>
        <v>Medium</v>
      </c>
      <c r="H3316" s="1">
        <v>46187</v>
      </c>
      <c r="I3316" t="s">
        <v>1987</v>
      </c>
      <c r="J3316" t="s">
        <v>1988</v>
      </c>
      <c r="K3316" t="s">
        <v>2036</v>
      </c>
      <c r="L3316">
        <f>IF(G3316="High",3,IF(G3316="Medium",2,1))</f>
        <v>2</v>
      </c>
    </row>
    <row r="3317" spans="1:12">
      <c r="A3317" t="s">
        <v>5343</v>
      </c>
      <c r="B3317" t="s">
        <v>1831</v>
      </c>
      <c r="C3317" t="s">
        <v>2000</v>
      </c>
      <c r="D3317" t="s">
        <v>2001</v>
      </c>
      <c r="E3317" t="s">
        <v>1971</v>
      </c>
      <c r="F3317" t="s">
        <v>47</v>
      </c>
      <c r="G3317" t="str">
        <f>INDEX(Risk_Matrix!$B$2:$D$4,MATCH(E3317,Risk_Matrix!$A$2:$A$4,0),MATCH(F3317,Risk_Matrix!$B$1:$D$1,0))</f>
        <v>High</v>
      </c>
      <c r="H3317" s="1">
        <v>46141</v>
      </c>
      <c r="I3317" t="s">
        <v>2025</v>
      </c>
      <c r="J3317" t="s">
        <v>2026</v>
      </c>
      <c r="K3317" t="s">
        <v>1993</v>
      </c>
      <c r="L3317">
        <f>IF(G3317="High",3,IF(G3317="Medium",2,1))</f>
        <v>3</v>
      </c>
    </row>
    <row r="3318" spans="1:12">
      <c r="A3318" t="s">
        <v>5344</v>
      </c>
      <c r="B3318" t="s">
        <v>1831</v>
      </c>
      <c r="C3318" t="s">
        <v>2005</v>
      </c>
      <c r="D3318" t="s">
        <v>2022</v>
      </c>
      <c r="E3318" t="s">
        <v>47</v>
      </c>
      <c r="F3318" t="s">
        <v>57</v>
      </c>
      <c r="G3318" t="str">
        <f>INDEX(Risk_Matrix!$B$2:$D$4,MATCH(E3318,Risk_Matrix!$A$2:$A$4,0),MATCH(F3318,Risk_Matrix!$B$1:$D$1,0))</f>
        <v>Medium</v>
      </c>
      <c r="H3318" s="1">
        <v>46123</v>
      </c>
      <c r="I3318" t="s">
        <v>1987</v>
      </c>
      <c r="J3318" t="s">
        <v>1997</v>
      </c>
      <c r="K3318" t="s">
        <v>1993</v>
      </c>
      <c r="L3318">
        <f>IF(G3318="High",3,IF(G3318="Medium",2,1))</f>
        <v>2</v>
      </c>
    </row>
    <row r="3319" spans="1:12">
      <c r="A3319" t="s">
        <v>5345</v>
      </c>
      <c r="B3319" t="s">
        <v>1831</v>
      </c>
      <c r="C3319" t="s">
        <v>2008</v>
      </c>
      <c r="D3319" t="s">
        <v>2024</v>
      </c>
      <c r="E3319" t="s">
        <v>47</v>
      </c>
      <c r="F3319" t="s">
        <v>1971</v>
      </c>
      <c r="G3319" t="str">
        <f>INDEX(Risk_Matrix!$B$2:$D$4,MATCH(E3319,Risk_Matrix!$A$2:$A$4,0),MATCH(F3319,Risk_Matrix!$B$1:$D$1,0))</f>
        <v>High</v>
      </c>
      <c r="H3319" s="1">
        <v>46202</v>
      </c>
      <c r="I3319" t="s">
        <v>2015</v>
      </c>
      <c r="J3319" t="s">
        <v>2032</v>
      </c>
      <c r="K3319" t="s">
        <v>2010</v>
      </c>
      <c r="L3319">
        <f>IF(G3319="High",3,IF(G3319="Medium",2,1))</f>
        <v>3</v>
      </c>
    </row>
    <row r="3320" spans="1:12">
      <c r="A3320" t="s">
        <v>5346</v>
      </c>
      <c r="B3320" t="s">
        <v>1833</v>
      </c>
      <c r="C3320" t="s">
        <v>1985</v>
      </c>
      <c r="D3320" t="s">
        <v>2012</v>
      </c>
      <c r="E3320" t="s">
        <v>1971</v>
      </c>
      <c r="F3320" t="s">
        <v>47</v>
      </c>
      <c r="G3320" t="str">
        <f>INDEX(Risk_Matrix!$B$2:$D$4,MATCH(E3320,Risk_Matrix!$A$2:$A$4,0),MATCH(F3320,Risk_Matrix!$B$1:$D$1,0))</f>
        <v>High</v>
      </c>
      <c r="H3320" s="1">
        <v>46224</v>
      </c>
      <c r="I3320" t="s">
        <v>2015</v>
      </c>
      <c r="J3320" t="s">
        <v>2016</v>
      </c>
      <c r="K3320" t="s">
        <v>1989</v>
      </c>
      <c r="L3320">
        <f>IF(G3320="High",3,IF(G3320="Medium",2,1))</f>
        <v>3</v>
      </c>
    </row>
    <row r="3321" spans="1:12">
      <c r="A3321" t="s">
        <v>5347</v>
      </c>
      <c r="B3321" t="s">
        <v>1833</v>
      </c>
      <c r="C3321" t="s">
        <v>1991</v>
      </c>
      <c r="D3321" t="s">
        <v>2031</v>
      </c>
      <c r="E3321" t="s">
        <v>57</v>
      </c>
      <c r="F3321" t="s">
        <v>47</v>
      </c>
      <c r="G3321" t="str">
        <f>INDEX(Risk_Matrix!$B$2:$D$4,MATCH(E3321,Risk_Matrix!$A$2:$A$4,0),MATCH(F3321,Risk_Matrix!$B$1:$D$1,0))</f>
        <v>Medium</v>
      </c>
      <c r="H3321" s="1">
        <v>46175</v>
      </c>
      <c r="I3321" t="s">
        <v>2025</v>
      </c>
      <c r="J3321" t="s">
        <v>2026</v>
      </c>
      <c r="K3321" t="s">
        <v>1993</v>
      </c>
      <c r="L3321">
        <f>IF(G3321="High",3,IF(G3321="Medium",2,1))</f>
        <v>2</v>
      </c>
    </row>
    <row r="3322" spans="1:12">
      <c r="A3322" t="s">
        <v>5348</v>
      </c>
      <c r="B3322" t="s">
        <v>1833</v>
      </c>
      <c r="C3322" t="s">
        <v>1995</v>
      </c>
      <c r="D3322" t="s">
        <v>1996</v>
      </c>
      <c r="E3322" t="s">
        <v>1971</v>
      </c>
      <c r="F3322" t="s">
        <v>57</v>
      </c>
      <c r="G3322" t="str">
        <f>INDEX(Risk_Matrix!$B$2:$D$4,MATCH(E3322,Risk_Matrix!$A$2:$A$4,0),MATCH(F3322,Risk_Matrix!$B$1:$D$1,0))</f>
        <v>Low</v>
      </c>
      <c r="H3322" s="1">
        <v>46083</v>
      </c>
      <c r="I3322" t="s">
        <v>2002</v>
      </c>
      <c r="J3322" t="s">
        <v>2029</v>
      </c>
      <c r="K3322" t="s">
        <v>1998</v>
      </c>
      <c r="L3322">
        <f>IF(G3322="High",3,IF(G3322="Medium",2,1))</f>
        <v>1</v>
      </c>
    </row>
    <row r="3323" spans="1:12">
      <c r="A3323" t="s">
        <v>5349</v>
      </c>
      <c r="B3323" t="s">
        <v>1833</v>
      </c>
      <c r="C3323" t="s">
        <v>2000</v>
      </c>
      <c r="D3323" t="s">
        <v>2020</v>
      </c>
      <c r="E3323" t="s">
        <v>47</v>
      </c>
      <c r="F3323" t="s">
        <v>57</v>
      </c>
      <c r="G3323" t="str">
        <f>INDEX(Risk_Matrix!$B$2:$D$4,MATCH(E3323,Risk_Matrix!$A$2:$A$4,0),MATCH(F3323,Risk_Matrix!$B$1:$D$1,0))</f>
        <v>Medium</v>
      </c>
      <c r="H3323" s="1">
        <v>46055</v>
      </c>
      <c r="I3323" t="s">
        <v>2025</v>
      </c>
      <c r="J3323" t="s">
        <v>2026</v>
      </c>
      <c r="K3323" t="s">
        <v>1993</v>
      </c>
      <c r="L3323">
        <f>IF(G3323="High",3,IF(G3323="Medium",2,1))</f>
        <v>2</v>
      </c>
    </row>
    <row r="3324" spans="1:12">
      <c r="A3324" t="s">
        <v>5350</v>
      </c>
      <c r="B3324" t="s">
        <v>1833</v>
      </c>
      <c r="C3324" t="s">
        <v>2005</v>
      </c>
      <c r="D3324" t="s">
        <v>2039</v>
      </c>
      <c r="E3324" t="s">
        <v>1971</v>
      </c>
      <c r="F3324" t="s">
        <v>1971</v>
      </c>
      <c r="G3324" t="str">
        <f>INDEX(Risk_Matrix!$B$2:$D$4,MATCH(E3324,Risk_Matrix!$A$2:$A$4,0),MATCH(F3324,Risk_Matrix!$B$1:$D$1,0))</f>
        <v>Medium</v>
      </c>
      <c r="H3324" s="1">
        <v>46085</v>
      </c>
      <c r="I3324" t="s">
        <v>2025</v>
      </c>
      <c r="J3324" t="s">
        <v>2026</v>
      </c>
      <c r="K3324" t="s">
        <v>1993</v>
      </c>
      <c r="L3324">
        <f>IF(G3324="High",3,IF(G3324="Medium",2,1))</f>
        <v>2</v>
      </c>
    </row>
    <row r="3325" spans="1:12">
      <c r="A3325" t="s">
        <v>5351</v>
      </c>
      <c r="B3325" t="s">
        <v>1833</v>
      </c>
      <c r="C3325" t="s">
        <v>2008</v>
      </c>
      <c r="D3325" t="s">
        <v>2054</v>
      </c>
      <c r="E3325" t="s">
        <v>1971</v>
      </c>
      <c r="F3325" t="s">
        <v>47</v>
      </c>
      <c r="G3325" t="str">
        <f>INDEX(Risk_Matrix!$B$2:$D$4,MATCH(E3325,Risk_Matrix!$A$2:$A$4,0),MATCH(F3325,Risk_Matrix!$B$1:$D$1,0))</f>
        <v>High</v>
      </c>
      <c r="H3325" s="1">
        <v>46194</v>
      </c>
      <c r="I3325" t="s">
        <v>2025</v>
      </c>
      <c r="J3325" t="s">
        <v>2026</v>
      </c>
      <c r="K3325" t="s">
        <v>2010</v>
      </c>
      <c r="L3325">
        <f>IF(G3325="High",3,IF(G3325="Medium",2,1))</f>
        <v>3</v>
      </c>
    </row>
    <row r="3326" spans="1:12">
      <c r="A3326" t="s">
        <v>5352</v>
      </c>
      <c r="B3326" t="s">
        <v>1835</v>
      </c>
      <c r="C3326" t="s">
        <v>1985</v>
      </c>
      <c r="D3326" t="s">
        <v>2062</v>
      </c>
      <c r="E3326" t="s">
        <v>57</v>
      </c>
      <c r="F3326" t="s">
        <v>57</v>
      </c>
      <c r="G3326" t="str">
        <f>INDEX(Risk_Matrix!$B$2:$D$4,MATCH(E3326,Risk_Matrix!$A$2:$A$4,0),MATCH(F3326,Risk_Matrix!$B$1:$D$1,0))</f>
        <v>Low</v>
      </c>
      <c r="H3326" s="1">
        <v>46121</v>
      </c>
      <c r="I3326" t="s">
        <v>1987</v>
      </c>
      <c r="J3326" t="s">
        <v>1997</v>
      </c>
      <c r="K3326" t="s">
        <v>1989</v>
      </c>
      <c r="L3326">
        <f>IF(G3326="High",3,IF(G3326="Medium",2,1))</f>
        <v>1</v>
      </c>
    </row>
    <row r="3327" spans="1:12">
      <c r="A3327" t="s">
        <v>5353</v>
      </c>
      <c r="B3327" t="s">
        <v>1835</v>
      </c>
      <c r="C3327" t="s">
        <v>1991</v>
      </c>
      <c r="D3327" t="s">
        <v>1992</v>
      </c>
      <c r="E3327" t="s">
        <v>57</v>
      </c>
      <c r="F3327" t="s">
        <v>57</v>
      </c>
      <c r="G3327" t="str">
        <f>INDEX(Risk_Matrix!$B$2:$D$4,MATCH(E3327,Risk_Matrix!$A$2:$A$4,0),MATCH(F3327,Risk_Matrix!$B$1:$D$1,0))</f>
        <v>Low</v>
      </c>
      <c r="H3327" s="1">
        <v>46218</v>
      </c>
      <c r="I3327" t="s">
        <v>2015</v>
      </c>
      <c r="J3327" t="s">
        <v>2032</v>
      </c>
      <c r="K3327" t="s">
        <v>1993</v>
      </c>
      <c r="L3327">
        <f>IF(G3327="High",3,IF(G3327="Medium",2,1))</f>
        <v>1</v>
      </c>
    </row>
    <row r="3328" spans="1:12">
      <c r="A3328" t="s">
        <v>5354</v>
      </c>
      <c r="B3328" t="s">
        <v>1835</v>
      </c>
      <c r="C3328" t="s">
        <v>1995</v>
      </c>
      <c r="D3328" t="s">
        <v>2018</v>
      </c>
      <c r="E3328" t="s">
        <v>1971</v>
      </c>
      <c r="F3328" t="s">
        <v>57</v>
      </c>
      <c r="G3328" t="str">
        <f>INDEX(Risk_Matrix!$B$2:$D$4,MATCH(E3328,Risk_Matrix!$A$2:$A$4,0),MATCH(F3328,Risk_Matrix!$B$1:$D$1,0))</f>
        <v>Low</v>
      </c>
      <c r="H3328" s="1">
        <v>46189</v>
      </c>
      <c r="I3328" t="s">
        <v>2002</v>
      </c>
      <c r="J3328" t="s">
        <v>2003</v>
      </c>
      <c r="K3328" t="s">
        <v>1998</v>
      </c>
      <c r="L3328">
        <f>IF(G3328="High",3,IF(G3328="Medium",2,1))</f>
        <v>1</v>
      </c>
    </row>
    <row r="3329" spans="1:12">
      <c r="A3329" t="s">
        <v>5355</v>
      </c>
      <c r="B3329" t="s">
        <v>1835</v>
      </c>
      <c r="C3329" t="s">
        <v>2000</v>
      </c>
      <c r="D3329" t="s">
        <v>2045</v>
      </c>
      <c r="E3329" t="s">
        <v>1971</v>
      </c>
      <c r="F3329" t="s">
        <v>57</v>
      </c>
      <c r="G3329" t="str">
        <f>INDEX(Risk_Matrix!$B$2:$D$4,MATCH(E3329,Risk_Matrix!$A$2:$A$4,0),MATCH(F3329,Risk_Matrix!$B$1:$D$1,0))</f>
        <v>Low</v>
      </c>
      <c r="H3329" s="1">
        <v>46224</v>
      </c>
      <c r="I3329" t="s">
        <v>2015</v>
      </c>
      <c r="J3329" t="s">
        <v>2032</v>
      </c>
      <c r="K3329" t="s">
        <v>1989</v>
      </c>
      <c r="L3329">
        <f>IF(G3329="High",3,IF(G3329="Medium",2,1))</f>
        <v>1</v>
      </c>
    </row>
    <row r="3330" spans="1:12">
      <c r="A3330" t="s">
        <v>5356</v>
      </c>
      <c r="B3330" t="s">
        <v>1835</v>
      </c>
      <c r="C3330" t="s">
        <v>2005</v>
      </c>
      <c r="D3330" t="s">
        <v>2006</v>
      </c>
      <c r="E3330" t="s">
        <v>1971</v>
      </c>
      <c r="F3330" t="s">
        <v>1971</v>
      </c>
      <c r="G3330" t="str">
        <f>INDEX(Risk_Matrix!$B$2:$D$4,MATCH(E3330,Risk_Matrix!$A$2:$A$4,0),MATCH(F3330,Risk_Matrix!$B$1:$D$1,0))</f>
        <v>Medium</v>
      </c>
      <c r="H3330" s="1">
        <v>46123</v>
      </c>
      <c r="I3330" t="s">
        <v>2025</v>
      </c>
      <c r="J3330" t="s">
        <v>2026</v>
      </c>
      <c r="K3330" t="s">
        <v>1993</v>
      </c>
      <c r="L3330">
        <f>IF(G3330="High",3,IF(G3330="Medium",2,1))</f>
        <v>2</v>
      </c>
    </row>
    <row r="3331" spans="1:12">
      <c r="A3331" t="s">
        <v>5357</v>
      </c>
      <c r="B3331" t="s">
        <v>1835</v>
      </c>
      <c r="C3331" t="s">
        <v>2008</v>
      </c>
      <c r="D3331" t="s">
        <v>2024</v>
      </c>
      <c r="E3331" t="s">
        <v>57</v>
      </c>
      <c r="F3331" t="s">
        <v>57</v>
      </c>
      <c r="G3331" t="str">
        <f>INDEX(Risk_Matrix!$B$2:$D$4,MATCH(E3331,Risk_Matrix!$A$2:$A$4,0),MATCH(F3331,Risk_Matrix!$B$1:$D$1,0))</f>
        <v>Low</v>
      </c>
      <c r="H3331" s="1">
        <v>46211</v>
      </c>
      <c r="I3331" t="s">
        <v>1987</v>
      </c>
      <c r="J3331" t="s">
        <v>1997</v>
      </c>
      <c r="K3331" t="s">
        <v>2010</v>
      </c>
      <c r="L3331">
        <f>IF(G3331="High",3,IF(G3331="Medium",2,1))</f>
        <v>1</v>
      </c>
    </row>
    <row r="3332" spans="1:12">
      <c r="A3332" t="s">
        <v>5358</v>
      </c>
      <c r="B3332" t="s">
        <v>1838</v>
      </c>
      <c r="C3332" t="s">
        <v>1985</v>
      </c>
      <c r="D3332" t="s">
        <v>2012</v>
      </c>
      <c r="E3332" t="s">
        <v>47</v>
      </c>
      <c r="F3332" t="s">
        <v>1971</v>
      </c>
      <c r="G3332" t="str">
        <f>INDEX(Risk_Matrix!$B$2:$D$4,MATCH(E3332,Risk_Matrix!$A$2:$A$4,0),MATCH(F3332,Risk_Matrix!$B$1:$D$1,0))</f>
        <v>High</v>
      </c>
      <c r="H3332" s="1">
        <v>46178</v>
      </c>
      <c r="I3332" t="s">
        <v>2015</v>
      </c>
      <c r="J3332" t="s">
        <v>2016</v>
      </c>
      <c r="K3332" t="s">
        <v>1989</v>
      </c>
      <c r="L3332">
        <f>IF(G3332="High",3,IF(G3332="Medium",2,1))</f>
        <v>3</v>
      </c>
    </row>
    <row r="3333" spans="1:12">
      <c r="A3333" t="s">
        <v>5359</v>
      </c>
      <c r="B3333" t="s">
        <v>1838</v>
      </c>
      <c r="C3333" t="s">
        <v>1991</v>
      </c>
      <c r="D3333" t="s">
        <v>2064</v>
      </c>
      <c r="E3333" t="s">
        <v>57</v>
      </c>
      <c r="F3333" t="s">
        <v>57</v>
      </c>
      <c r="G3333" t="str">
        <f>INDEX(Risk_Matrix!$B$2:$D$4,MATCH(E3333,Risk_Matrix!$A$2:$A$4,0),MATCH(F3333,Risk_Matrix!$B$1:$D$1,0))</f>
        <v>Low</v>
      </c>
      <c r="H3333" s="1">
        <v>46168</v>
      </c>
      <c r="I3333" t="s">
        <v>2015</v>
      </c>
      <c r="J3333" t="s">
        <v>2032</v>
      </c>
      <c r="K3333" t="s">
        <v>2010</v>
      </c>
      <c r="L3333">
        <f>IF(G3333="High",3,IF(G3333="Medium",2,1))</f>
        <v>1</v>
      </c>
    </row>
    <row r="3334" spans="1:12">
      <c r="A3334" t="s">
        <v>5360</v>
      </c>
      <c r="B3334" t="s">
        <v>1838</v>
      </c>
      <c r="C3334" t="s">
        <v>1995</v>
      </c>
      <c r="D3334" t="s">
        <v>2150</v>
      </c>
      <c r="E3334" t="s">
        <v>57</v>
      </c>
      <c r="F3334" t="s">
        <v>1971</v>
      </c>
      <c r="G3334" t="str">
        <f>INDEX(Risk_Matrix!$B$2:$D$4,MATCH(E3334,Risk_Matrix!$A$2:$A$4,0),MATCH(F3334,Risk_Matrix!$B$1:$D$1,0))</f>
        <v>Low</v>
      </c>
      <c r="H3334" s="1">
        <v>46122</v>
      </c>
      <c r="I3334" t="s">
        <v>1987</v>
      </c>
      <c r="J3334" t="s">
        <v>1988</v>
      </c>
      <c r="K3334" t="s">
        <v>1998</v>
      </c>
      <c r="L3334">
        <f>IF(G3334="High",3,IF(G3334="Medium",2,1))</f>
        <v>1</v>
      </c>
    </row>
    <row r="3335" spans="1:12">
      <c r="A3335" t="s">
        <v>5361</v>
      </c>
      <c r="B3335" t="s">
        <v>1838</v>
      </c>
      <c r="C3335" t="s">
        <v>2000</v>
      </c>
      <c r="D3335" t="s">
        <v>2001</v>
      </c>
      <c r="E3335" t="s">
        <v>57</v>
      </c>
      <c r="F3335" t="s">
        <v>57</v>
      </c>
      <c r="G3335" t="str">
        <f>INDEX(Risk_Matrix!$B$2:$D$4,MATCH(E3335,Risk_Matrix!$A$2:$A$4,0),MATCH(F3335,Risk_Matrix!$B$1:$D$1,0))</f>
        <v>Low</v>
      </c>
      <c r="H3335" s="1">
        <v>46173</v>
      </c>
      <c r="I3335" t="s">
        <v>1987</v>
      </c>
      <c r="J3335" t="s">
        <v>1988</v>
      </c>
      <c r="K3335" t="s">
        <v>1993</v>
      </c>
      <c r="L3335">
        <f>IF(G3335="High",3,IF(G3335="Medium",2,1))</f>
        <v>1</v>
      </c>
    </row>
    <row r="3336" spans="1:12">
      <c r="A3336" t="s">
        <v>5362</v>
      </c>
      <c r="B3336" t="s">
        <v>1838</v>
      </c>
      <c r="C3336" t="s">
        <v>2005</v>
      </c>
      <c r="D3336" t="s">
        <v>2022</v>
      </c>
      <c r="E3336" t="s">
        <v>47</v>
      </c>
      <c r="F3336" t="s">
        <v>1971</v>
      </c>
      <c r="G3336" t="str">
        <f>INDEX(Risk_Matrix!$B$2:$D$4,MATCH(E3336,Risk_Matrix!$A$2:$A$4,0),MATCH(F3336,Risk_Matrix!$B$1:$D$1,0))</f>
        <v>High</v>
      </c>
      <c r="H3336" s="1">
        <v>46153</v>
      </c>
      <c r="I3336" t="s">
        <v>1987</v>
      </c>
      <c r="J3336" t="s">
        <v>1997</v>
      </c>
      <c r="K3336" t="s">
        <v>1993</v>
      </c>
      <c r="L3336">
        <f>IF(G3336="High",3,IF(G3336="Medium",2,1))</f>
        <v>3</v>
      </c>
    </row>
    <row r="3337" spans="1:12">
      <c r="A3337" t="s">
        <v>5363</v>
      </c>
      <c r="B3337" t="s">
        <v>1838</v>
      </c>
      <c r="C3337" t="s">
        <v>2008</v>
      </c>
      <c r="D3337" t="s">
        <v>2024</v>
      </c>
      <c r="E3337" t="s">
        <v>57</v>
      </c>
      <c r="F3337" t="s">
        <v>57</v>
      </c>
      <c r="G3337" t="str">
        <f>INDEX(Risk_Matrix!$B$2:$D$4,MATCH(E3337,Risk_Matrix!$A$2:$A$4,0),MATCH(F3337,Risk_Matrix!$B$1:$D$1,0))</f>
        <v>Low</v>
      </c>
      <c r="H3337" s="1">
        <v>46081</v>
      </c>
      <c r="I3337" t="s">
        <v>2002</v>
      </c>
      <c r="J3337" t="s">
        <v>2029</v>
      </c>
      <c r="K3337" t="s">
        <v>2010</v>
      </c>
      <c r="L3337">
        <f>IF(G3337="High",3,IF(G3337="Medium",2,1))</f>
        <v>1</v>
      </c>
    </row>
    <row r="3338" spans="1:12">
      <c r="A3338" t="s">
        <v>5364</v>
      </c>
      <c r="B3338" t="s">
        <v>1841</v>
      </c>
      <c r="C3338" t="s">
        <v>1985</v>
      </c>
      <c r="D3338" t="s">
        <v>1986</v>
      </c>
      <c r="E3338" t="s">
        <v>57</v>
      </c>
      <c r="F3338" t="s">
        <v>1971</v>
      </c>
      <c r="G3338" t="str">
        <f>INDEX(Risk_Matrix!$B$2:$D$4,MATCH(E3338,Risk_Matrix!$A$2:$A$4,0),MATCH(F3338,Risk_Matrix!$B$1:$D$1,0))</f>
        <v>Low</v>
      </c>
      <c r="H3338" s="1">
        <v>46154</v>
      </c>
      <c r="I3338" t="s">
        <v>2015</v>
      </c>
      <c r="J3338" t="s">
        <v>2016</v>
      </c>
      <c r="K3338" t="s">
        <v>1998</v>
      </c>
      <c r="L3338">
        <f>IF(G3338="High",3,IF(G3338="Medium",2,1))</f>
        <v>1</v>
      </c>
    </row>
    <row r="3339" spans="1:12">
      <c r="A3339" t="s">
        <v>5365</v>
      </c>
      <c r="B3339" t="s">
        <v>1841</v>
      </c>
      <c r="C3339" t="s">
        <v>1991</v>
      </c>
      <c r="D3339" t="s">
        <v>1992</v>
      </c>
      <c r="E3339" t="s">
        <v>47</v>
      </c>
      <c r="F3339" t="s">
        <v>57</v>
      </c>
      <c r="G3339" t="str">
        <f>INDEX(Risk_Matrix!$B$2:$D$4,MATCH(E3339,Risk_Matrix!$A$2:$A$4,0),MATCH(F3339,Risk_Matrix!$B$1:$D$1,0))</f>
        <v>Medium</v>
      </c>
      <c r="H3339" s="1">
        <v>46067</v>
      </c>
      <c r="I3339" t="s">
        <v>2025</v>
      </c>
      <c r="J3339" t="s">
        <v>2026</v>
      </c>
      <c r="K3339" t="s">
        <v>1993</v>
      </c>
      <c r="L3339">
        <f>IF(G3339="High",3,IF(G3339="Medium",2,1))</f>
        <v>2</v>
      </c>
    </row>
    <row r="3340" spans="1:12">
      <c r="A3340" t="s">
        <v>5366</v>
      </c>
      <c r="B3340" t="s">
        <v>1841</v>
      </c>
      <c r="C3340" t="s">
        <v>1995</v>
      </c>
      <c r="D3340" t="s">
        <v>1996</v>
      </c>
      <c r="E3340" t="s">
        <v>57</v>
      </c>
      <c r="F3340" t="s">
        <v>57</v>
      </c>
      <c r="G3340" t="str">
        <f>INDEX(Risk_Matrix!$B$2:$D$4,MATCH(E3340,Risk_Matrix!$A$2:$A$4,0),MATCH(F3340,Risk_Matrix!$B$1:$D$1,0))</f>
        <v>Low</v>
      </c>
      <c r="H3340" s="1">
        <v>46230</v>
      </c>
      <c r="I3340" t="s">
        <v>2015</v>
      </c>
      <c r="J3340" t="s">
        <v>2032</v>
      </c>
      <c r="K3340" t="s">
        <v>2036</v>
      </c>
      <c r="L3340">
        <f>IF(G3340="High",3,IF(G3340="Medium",2,1))</f>
        <v>1</v>
      </c>
    </row>
    <row r="3341" spans="1:12">
      <c r="A3341" t="s">
        <v>5367</v>
      </c>
      <c r="B3341" t="s">
        <v>1841</v>
      </c>
      <c r="C3341" t="s">
        <v>2000</v>
      </c>
      <c r="D3341" t="s">
        <v>2045</v>
      </c>
      <c r="E3341" t="s">
        <v>57</v>
      </c>
      <c r="F3341" t="s">
        <v>1971</v>
      </c>
      <c r="G3341" t="str">
        <f>INDEX(Risk_Matrix!$B$2:$D$4,MATCH(E3341,Risk_Matrix!$A$2:$A$4,0),MATCH(F3341,Risk_Matrix!$B$1:$D$1,0))</f>
        <v>Low</v>
      </c>
      <c r="H3341" s="1">
        <v>46189</v>
      </c>
      <c r="I3341" t="s">
        <v>2002</v>
      </c>
      <c r="J3341" t="s">
        <v>2003</v>
      </c>
      <c r="K3341" t="s">
        <v>1989</v>
      </c>
      <c r="L3341">
        <f>IF(G3341="High",3,IF(G3341="Medium",2,1))</f>
        <v>1</v>
      </c>
    </row>
    <row r="3342" spans="1:12">
      <c r="A3342" t="s">
        <v>5368</v>
      </c>
      <c r="B3342" t="s">
        <v>1841</v>
      </c>
      <c r="C3342" t="s">
        <v>2005</v>
      </c>
      <c r="D3342" t="s">
        <v>2022</v>
      </c>
      <c r="E3342" t="s">
        <v>1971</v>
      </c>
      <c r="F3342" t="s">
        <v>1971</v>
      </c>
      <c r="G3342" t="str">
        <f>INDEX(Risk_Matrix!$B$2:$D$4,MATCH(E3342,Risk_Matrix!$A$2:$A$4,0),MATCH(F3342,Risk_Matrix!$B$1:$D$1,0))</f>
        <v>Medium</v>
      </c>
      <c r="H3342" s="1">
        <v>46184</v>
      </c>
      <c r="I3342" t="s">
        <v>1987</v>
      </c>
      <c r="J3342" t="s">
        <v>1988</v>
      </c>
      <c r="K3342" t="s">
        <v>1993</v>
      </c>
      <c r="L3342">
        <f>IF(G3342="High",3,IF(G3342="Medium",2,1))</f>
        <v>2</v>
      </c>
    </row>
    <row r="3343" spans="1:12">
      <c r="A3343" t="s">
        <v>5369</v>
      </c>
      <c r="B3343" t="s">
        <v>1841</v>
      </c>
      <c r="C3343" t="s">
        <v>2008</v>
      </c>
      <c r="D3343" t="s">
        <v>2054</v>
      </c>
      <c r="E3343" t="s">
        <v>57</v>
      </c>
      <c r="F3343" t="s">
        <v>1971</v>
      </c>
      <c r="G3343" t="str">
        <f>INDEX(Risk_Matrix!$B$2:$D$4,MATCH(E3343,Risk_Matrix!$A$2:$A$4,0),MATCH(F3343,Risk_Matrix!$B$1:$D$1,0))</f>
        <v>Low</v>
      </c>
      <c r="H3343" s="1">
        <v>46103</v>
      </c>
      <c r="I3343" t="s">
        <v>1987</v>
      </c>
      <c r="J3343" t="s">
        <v>1997</v>
      </c>
      <c r="K3343" t="s">
        <v>1998</v>
      </c>
      <c r="L3343">
        <f>IF(G3343="High",3,IF(G3343="Medium",2,1))</f>
        <v>1</v>
      </c>
    </row>
    <row r="3344" spans="1:12">
      <c r="A3344" t="s">
        <v>5370</v>
      </c>
      <c r="B3344" t="s">
        <v>1843</v>
      </c>
      <c r="C3344" t="s">
        <v>1985</v>
      </c>
      <c r="D3344" t="s">
        <v>1986</v>
      </c>
      <c r="E3344" t="s">
        <v>1971</v>
      </c>
      <c r="F3344" t="s">
        <v>1971</v>
      </c>
      <c r="G3344" t="str">
        <f>INDEX(Risk_Matrix!$B$2:$D$4,MATCH(E3344,Risk_Matrix!$A$2:$A$4,0),MATCH(F3344,Risk_Matrix!$B$1:$D$1,0))</f>
        <v>Medium</v>
      </c>
      <c r="H3344" s="1">
        <v>46142</v>
      </c>
      <c r="I3344" t="s">
        <v>2025</v>
      </c>
      <c r="J3344" t="s">
        <v>2035</v>
      </c>
      <c r="K3344" t="s">
        <v>1998</v>
      </c>
      <c r="L3344">
        <f>IF(G3344="High",3,IF(G3344="Medium",2,1))</f>
        <v>2</v>
      </c>
    </row>
    <row r="3345" spans="1:12">
      <c r="A3345" t="s">
        <v>5371</v>
      </c>
      <c r="B3345" t="s">
        <v>1843</v>
      </c>
      <c r="C3345" t="s">
        <v>1991</v>
      </c>
      <c r="D3345" t="s">
        <v>2064</v>
      </c>
      <c r="E3345" t="s">
        <v>57</v>
      </c>
      <c r="F3345" t="s">
        <v>57</v>
      </c>
      <c r="G3345" t="str">
        <f>INDEX(Risk_Matrix!$B$2:$D$4,MATCH(E3345,Risk_Matrix!$A$2:$A$4,0),MATCH(F3345,Risk_Matrix!$B$1:$D$1,0))</f>
        <v>Low</v>
      </c>
      <c r="H3345" s="1">
        <v>46129</v>
      </c>
      <c r="I3345" t="s">
        <v>1987</v>
      </c>
      <c r="J3345" t="s">
        <v>1988</v>
      </c>
      <c r="K3345" t="s">
        <v>2010</v>
      </c>
      <c r="L3345">
        <f>IF(G3345="High",3,IF(G3345="Medium",2,1))</f>
        <v>1</v>
      </c>
    </row>
    <row r="3346" spans="1:12">
      <c r="A3346" t="s">
        <v>5372</v>
      </c>
      <c r="B3346" t="s">
        <v>1843</v>
      </c>
      <c r="C3346" t="s">
        <v>1995</v>
      </c>
      <c r="D3346" t="s">
        <v>2150</v>
      </c>
      <c r="E3346" t="s">
        <v>1971</v>
      </c>
      <c r="F3346" t="s">
        <v>57</v>
      </c>
      <c r="G3346" t="str">
        <f>INDEX(Risk_Matrix!$B$2:$D$4,MATCH(E3346,Risk_Matrix!$A$2:$A$4,0),MATCH(F3346,Risk_Matrix!$B$1:$D$1,0))</f>
        <v>Low</v>
      </c>
      <c r="H3346" s="1">
        <v>46179</v>
      </c>
      <c r="I3346" t="s">
        <v>2002</v>
      </c>
      <c r="J3346" t="s">
        <v>2029</v>
      </c>
      <c r="K3346" t="s">
        <v>2036</v>
      </c>
      <c r="L3346">
        <f>IF(G3346="High",3,IF(G3346="Medium",2,1))</f>
        <v>1</v>
      </c>
    </row>
    <row r="3347" spans="1:12">
      <c r="A3347" t="s">
        <v>5373</v>
      </c>
      <c r="B3347" t="s">
        <v>1843</v>
      </c>
      <c r="C3347" t="s">
        <v>2000</v>
      </c>
      <c r="D3347" t="s">
        <v>2020</v>
      </c>
      <c r="E3347" t="s">
        <v>1971</v>
      </c>
      <c r="F3347" t="s">
        <v>57</v>
      </c>
      <c r="G3347" t="str">
        <f>INDEX(Risk_Matrix!$B$2:$D$4,MATCH(E3347,Risk_Matrix!$A$2:$A$4,0),MATCH(F3347,Risk_Matrix!$B$1:$D$1,0))</f>
        <v>Low</v>
      </c>
      <c r="H3347" s="1">
        <v>46231</v>
      </c>
      <c r="I3347" t="s">
        <v>2025</v>
      </c>
      <c r="J3347" t="s">
        <v>2035</v>
      </c>
      <c r="K3347" t="s">
        <v>1989</v>
      </c>
      <c r="L3347">
        <f>IF(G3347="High",3,IF(G3347="Medium",2,1))</f>
        <v>1</v>
      </c>
    </row>
    <row r="3348" spans="1:12">
      <c r="A3348" t="s">
        <v>5374</v>
      </c>
      <c r="B3348" t="s">
        <v>1843</v>
      </c>
      <c r="C3348" t="s">
        <v>2005</v>
      </c>
      <c r="D3348" t="s">
        <v>2039</v>
      </c>
      <c r="E3348" t="s">
        <v>57</v>
      </c>
      <c r="F3348" t="s">
        <v>57</v>
      </c>
      <c r="G3348" t="str">
        <f>INDEX(Risk_Matrix!$B$2:$D$4,MATCH(E3348,Risk_Matrix!$A$2:$A$4,0),MATCH(F3348,Risk_Matrix!$B$1:$D$1,0))</f>
        <v>Low</v>
      </c>
      <c r="H3348" s="1">
        <v>46229</v>
      </c>
      <c r="I3348" t="s">
        <v>2025</v>
      </c>
      <c r="J3348" t="s">
        <v>2026</v>
      </c>
      <c r="K3348" t="s">
        <v>1993</v>
      </c>
      <c r="L3348">
        <f>IF(G3348="High",3,IF(G3348="Medium",2,1))</f>
        <v>1</v>
      </c>
    </row>
    <row r="3349" spans="1:12">
      <c r="A3349" t="s">
        <v>5375</v>
      </c>
      <c r="B3349" t="s">
        <v>1843</v>
      </c>
      <c r="C3349" t="s">
        <v>2008</v>
      </c>
      <c r="D3349" t="s">
        <v>2054</v>
      </c>
      <c r="E3349" t="s">
        <v>1971</v>
      </c>
      <c r="F3349" t="s">
        <v>57</v>
      </c>
      <c r="G3349" t="str">
        <f>INDEX(Risk_Matrix!$B$2:$D$4,MATCH(E3349,Risk_Matrix!$A$2:$A$4,0),MATCH(F3349,Risk_Matrix!$B$1:$D$1,0))</f>
        <v>Low</v>
      </c>
      <c r="H3349" s="1">
        <v>46172</v>
      </c>
      <c r="I3349" t="s">
        <v>2025</v>
      </c>
      <c r="J3349" t="s">
        <v>2026</v>
      </c>
      <c r="K3349" t="s">
        <v>1998</v>
      </c>
      <c r="L3349">
        <f>IF(G3349="High",3,IF(G3349="Medium",2,1))</f>
        <v>1</v>
      </c>
    </row>
    <row r="3350" spans="1:12">
      <c r="A3350" t="s">
        <v>5376</v>
      </c>
      <c r="B3350" t="s">
        <v>1846</v>
      </c>
      <c r="C3350" t="s">
        <v>1985</v>
      </c>
      <c r="D3350" t="s">
        <v>2062</v>
      </c>
      <c r="E3350" t="s">
        <v>1971</v>
      </c>
      <c r="F3350" t="s">
        <v>57</v>
      </c>
      <c r="G3350" t="str">
        <f>INDEX(Risk_Matrix!$B$2:$D$4,MATCH(E3350,Risk_Matrix!$A$2:$A$4,0),MATCH(F3350,Risk_Matrix!$B$1:$D$1,0))</f>
        <v>Low</v>
      </c>
      <c r="H3350" s="1">
        <v>46178</v>
      </c>
      <c r="I3350" t="s">
        <v>1987</v>
      </c>
      <c r="J3350" t="s">
        <v>1988</v>
      </c>
      <c r="K3350" t="s">
        <v>1998</v>
      </c>
      <c r="L3350">
        <f>IF(G3350="High",3,IF(G3350="Medium",2,1))</f>
        <v>1</v>
      </c>
    </row>
    <row r="3351" spans="1:12">
      <c r="A3351" t="s">
        <v>5377</v>
      </c>
      <c r="B3351" t="s">
        <v>1846</v>
      </c>
      <c r="C3351" t="s">
        <v>1991</v>
      </c>
      <c r="D3351" t="s">
        <v>2031</v>
      </c>
      <c r="E3351" t="s">
        <v>1971</v>
      </c>
      <c r="F3351" t="s">
        <v>1971</v>
      </c>
      <c r="G3351" t="str">
        <f>INDEX(Risk_Matrix!$B$2:$D$4,MATCH(E3351,Risk_Matrix!$A$2:$A$4,0),MATCH(F3351,Risk_Matrix!$B$1:$D$1,0))</f>
        <v>Medium</v>
      </c>
      <c r="H3351" s="1">
        <v>46165</v>
      </c>
      <c r="I3351" t="s">
        <v>2015</v>
      </c>
      <c r="J3351" t="s">
        <v>2032</v>
      </c>
      <c r="K3351" t="s">
        <v>2010</v>
      </c>
      <c r="L3351">
        <f>IF(G3351="High",3,IF(G3351="Medium",2,1))</f>
        <v>2</v>
      </c>
    </row>
    <row r="3352" spans="1:12">
      <c r="A3352" t="s">
        <v>5378</v>
      </c>
      <c r="B3352" t="s">
        <v>1846</v>
      </c>
      <c r="C3352" t="s">
        <v>1995</v>
      </c>
      <c r="D3352" t="s">
        <v>2034</v>
      </c>
      <c r="E3352" t="s">
        <v>57</v>
      </c>
      <c r="F3352" t="s">
        <v>47</v>
      </c>
      <c r="G3352" t="str">
        <f>INDEX(Risk_Matrix!$B$2:$D$4,MATCH(E3352,Risk_Matrix!$A$2:$A$4,0),MATCH(F3352,Risk_Matrix!$B$1:$D$1,0))</f>
        <v>Medium</v>
      </c>
      <c r="H3352" s="1">
        <v>46169</v>
      </c>
      <c r="I3352" t="s">
        <v>2002</v>
      </c>
      <c r="J3352" t="s">
        <v>2003</v>
      </c>
      <c r="K3352" t="s">
        <v>2036</v>
      </c>
      <c r="L3352">
        <f>IF(G3352="High",3,IF(G3352="Medium",2,1))</f>
        <v>2</v>
      </c>
    </row>
    <row r="3353" spans="1:12">
      <c r="A3353" t="s">
        <v>5379</v>
      </c>
      <c r="B3353" t="s">
        <v>1846</v>
      </c>
      <c r="C3353" t="s">
        <v>2000</v>
      </c>
      <c r="D3353" t="s">
        <v>2045</v>
      </c>
      <c r="E3353" t="s">
        <v>47</v>
      </c>
      <c r="F3353" t="s">
        <v>1971</v>
      </c>
      <c r="G3353" t="str">
        <f>INDEX(Risk_Matrix!$B$2:$D$4,MATCH(E3353,Risk_Matrix!$A$2:$A$4,0),MATCH(F3353,Risk_Matrix!$B$1:$D$1,0))</f>
        <v>High</v>
      </c>
      <c r="H3353" s="1">
        <v>46200</v>
      </c>
      <c r="I3353" t="s">
        <v>2015</v>
      </c>
      <c r="J3353" t="s">
        <v>2016</v>
      </c>
      <c r="K3353" t="s">
        <v>1993</v>
      </c>
      <c r="L3353">
        <f>IF(G3353="High",3,IF(G3353="Medium",2,1))</f>
        <v>3</v>
      </c>
    </row>
    <row r="3354" spans="1:12">
      <c r="A3354" t="s">
        <v>5380</v>
      </c>
      <c r="B3354" t="s">
        <v>1846</v>
      </c>
      <c r="C3354" t="s">
        <v>2005</v>
      </c>
      <c r="D3354" t="s">
        <v>2006</v>
      </c>
      <c r="E3354" t="s">
        <v>1971</v>
      </c>
      <c r="F3354" t="s">
        <v>1971</v>
      </c>
      <c r="G3354" t="str">
        <f>INDEX(Risk_Matrix!$B$2:$D$4,MATCH(E3354,Risk_Matrix!$A$2:$A$4,0),MATCH(F3354,Risk_Matrix!$B$1:$D$1,0))</f>
        <v>Medium</v>
      </c>
      <c r="H3354" s="1">
        <v>46182</v>
      </c>
      <c r="I3354" t="s">
        <v>2015</v>
      </c>
      <c r="J3354" t="s">
        <v>2032</v>
      </c>
      <c r="K3354" t="s">
        <v>1993</v>
      </c>
      <c r="L3354">
        <f>IF(G3354="High",3,IF(G3354="Medium",2,1))</f>
        <v>2</v>
      </c>
    </row>
    <row r="3355" spans="1:12">
      <c r="A3355" t="s">
        <v>5381</v>
      </c>
      <c r="B3355" t="s">
        <v>1846</v>
      </c>
      <c r="C3355" t="s">
        <v>2008</v>
      </c>
      <c r="D3355" t="s">
        <v>2054</v>
      </c>
      <c r="E3355" t="s">
        <v>57</v>
      </c>
      <c r="F3355" t="s">
        <v>57</v>
      </c>
      <c r="G3355" t="str">
        <f>INDEX(Risk_Matrix!$B$2:$D$4,MATCH(E3355,Risk_Matrix!$A$2:$A$4,0),MATCH(F3355,Risk_Matrix!$B$1:$D$1,0))</f>
        <v>Low</v>
      </c>
      <c r="H3355" s="1">
        <v>46090</v>
      </c>
      <c r="I3355" t="s">
        <v>2002</v>
      </c>
      <c r="J3355" t="s">
        <v>2029</v>
      </c>
      <c r="K3355" t="s">
        <v>2010</v>
      </c>
      <c r="L3355">
        <f>IF(G3355="High",3,IF(G3355="Medium",2,1))</f>
        <v>1</v>
      </c>
    </row>
    <row r="3356" spans="1:12">
      <c r="A3356" t="s">
        <v>5382</v>
      </c>
      <c r="B3356" t="s">
        <v>1849</v>
      </c>
      <c r="C3356" t="s">
        <v>1985</v>
      </c>
      <c r="D3356" t="s">
        <v>2062</v>
      </c>
      <c r="E3356" t="s">
        <v>47</v>
      </c>
      <c r="F3356" t="s">
        <v>57</v>
      </c>
      <c r="G3356" t="str">
        <f>INDEX(Risk_Matrix!$B$2:$D$4,MATCH(E3356,Risk_Matrix!$A$2:$A$4,0),MATCH(F3356,Risk_Matrix!$B$1:$D$1,0))</f>
        <v>Medium</v>
      </c>
      <c r="H3356" s="1">
        <v>46236</v>
      </c>
      <c r="I3356" t="s">
        <v>2015</v>
      </c>
      <c r="J3356" t="s">
        <v>2032</v>
      </c>
      <c r="K3356" t="s">
        <v>1989</v>
      </c>
      <c r="L3356">
        <f>IF(G3356="High",3,IF(G3356="Medium",2,1))</f>
        <v>2</v>
      </c>
    </row>
    <row r="3357" spans="1:12">
      <c r="A3357" t="s">
        <v>5383</v>
      </c>
      <c r="B3357" t="s">
        <v>1849</v>
      </c>
      <c r="C3357" t="s">
        <v>1991</v>
      </c>
      <c r="D3357" t="s">
        <v>2014</v>
      </c>
      <c r="E3357" t="s">
        <v>1971</v>
      </c>
      <c r="F3357" t="s">
        <v>57</v>
      </c>
      <c r="G3357" t="str">
        <f>INDEX(Risk_Matrix!$B$2:$D$4,MATCH(E3357,Risk_Matrix!$A$2:$A$4,0),MATCH(F3357,Risk_Matrix!$B$1:$D$1,0))</f>
        <v>Low</v>
      </c>
      <c r="H3357" s="1">
        <v>46214</v>
      </c>
      <c r="I3357" t="s">
        <v>2015</v>
      </c>
      <c r="J3357" t="s">
        <v>2032</v>
      </c>
      <c r="K3357" t="s">
        <v>2010</v>
      </c>
      <c r="L3357">
        <f>IF(G3357="High",3,IF(G3357="Medium",2,1))</f>
        <v>1</v>
      </c>
    </row>
    <row r="3358" spans="1:12">
      <c r="A3358" t="s">
        <v>5384</v>
      </c>
      <c r="B3358" t="s">
        <v>1849</v>
      </c>
      <c r="C3358" t="s">
        <v>1995</v>
      </c>
      <c r="D3358" t="s">
        <v>1996</v>
      </c>
      <c r="E3358" t="s">
        <v>47</v>
      </c>
      <c r="F3358" t="s">
        <v>1971</v>
      </c>
      <c r="G3358" t="str">
        <f>INDEX(Risk_Matrix!$B$2:$D$4,MATCH(E3358,Risk_Matrix!$A$2:$A$4,0),MATCH(F3358,Risk_Matrix!$B$1:$D$1,0))</f>
        <v>High</v>
      </c>
      <c r="H3358" s="1">
        <v>46192</v>
      </c>
      <c r="I3358" t="s">
        <v>2015</v>
      </c>
      <c r="J3358" t="s">
        <v>2016</v>
      </c>
      <c r="K3358" t="s">
        <v>2036</v>
      </c>
      <c r="L3358">
        <f>IF(G3358="High",3,IF(G3358="Medium",2,1))</f>
        <v>3</v>
      </c>
    </row>
    <row r="3359" spans="1:12">
      <c r="A3359" t="s">
        <v>5385</v>
      </c>
      <c r="B3359" t="s">
        <v>1849</v>
      </c>
      <c r="C3359" t="s">
        <v>2000</v>
      </c>
      <c r="D3359" t="s">
        <v>2045</v>
      </c>
      <c r="E3359" t="s">
        <v>57</v>
      </c>
      <c r="F3359" t="s">
        <v>57</v>
      </c>
      <c r="G3359" t="str">
        <f>INDEX(Risk_Matrix!$B$2:$D$4,MATCH(E3359,Risk_Matrix!$A$2:$A$4,0),MATCH(F3359,Risk_Matrix!$B$1:$D$1,0))</f>
        <v>Low</v>
      </c>
      <c r="H3359" s="1">
        <v>46232</v>
      </c>
      <c r="I3359" t="s">
        <v>2025</v>
      </c>
      <c r="J3359" t="s">
        <v>2026</v>
      </c>
      <c r="K3359" t="s">
        <v>1989</v>
      </c>
      <c r="L3359">
        <f>IF(G3359="High",3,IF(G3359="Medium",2,1))</f>
        <v>1</v>
      </c>
    </row>
    <row r="3360" spans="1:12">
      <c r="A3360" t="s">
        <v>5386</v>
      </c>
      <c r="B3360" t="s">
        <v>1849</v>
      </c>
      <c r="C3360" t="s">
        <v>2005</v>
      </c>
      <c r="D3360" t="s">
        <v>2039</v>
      </c>
      <c r="E3360" t="s">
        <v>57</v>
      </c>
      <c r="F3360" t="s">
        <v>1971</v>
      </c>
      <c r="G3360" t="str">
        <f>INDEX(Risk_Matrix!$B$2:$D$4,MATCH(E3360,Risk_Matrix!$A$2:$A$4,0),MATCH(F3360,Risk_Matrix!$B$1:$D$1,0))</f>
        <v>Low</v>
      </c>
      <c r="H3360" s="1">
        <v>46150</v>
      </c>
      <c r="I3360" t="s">
        <v>2015</v>
      </c>
      <c r="J3360" t="s">
        <v>2016</v>
      </c>
      <c r="K3360" t="s">
        <v>1993</v>
      </c>
      <c r="L3360">
        <f>IF(G3360="High",3,IF(G3360="Medium",2,1))</f>
        <v>1</v>
      </c>
    </row>
    <row r="3361" spans="1:12">
      <c r="A3361" t="s">
        <v>5387</v>
      </c>
      <c r="B3361" t="s">
        <v>1849</v>
      </c>
      <c r="C3361" t="s">
        <v>2008</v>
      </c>
      <c r="D3361" t="s">
        <v>2024</v>
      </c>
      <c r="E3361" t="s">
        <v>47</v>
      </c>
      <c r="F3361" t="s">
        <v>1971</v>
      </c>
      <c r="G3361" t="str">
        <f>INDEX(Risk_Matrix!$B$2:$D$4,MATCH(E3361,Risk_Matrix!$A$2:$A$4,0),MATCH(F3361,Risk_Matrix!$B$1:$D$1,0))</f>
        <v>High</v>
      </c>
      <c r="H3361" s="1">
        <v>46209</v>
      </c>
      <c r="I3361" t="s">
        <v>2015</v>
      </c>
      <c r="J3361" t="s">
        <v>2032</v>
      </c>
      <c r="K3361" t="s">
        <v>2010</v>
      </c>
      <c r="L3361">
        <f>IF(G3361="High",3,IF(G3361="Medium",2,1))</f>
        <v>3</v>
      </c>
    </row>
    <row r="3362" spans="1:12">
      <c r="A3362" t="s">
        <v>5388</v>
      </c>
      <c r="B3362" t="s">
        <v>1851</v>
      </c>
      <c r="C3362" t="s">
        <v>1985</v>
      </c>
      <c r="D3362" t="s">
        <v>2012</v>
      </c>
      <c r="E3362" t="s">
        <v>1971</v>
      </c>
      <c r="F3362" t="s">
        <v>47</v>
      </c>
      <c r="G3362" t="str">
        <f>INDEX(Risk_Matrix!$B$2:$D$4,MATCH(E3362,Risk_Matrix!$A$2:$A$4,0),MATCH(F3362,Risk_Matrix!$B$1:$D$1,0))</f>
        <v>High</v>
      </c>
      <c r="H3362" s="1">
        <v>46231</v>
      </c>
      <c r="I3362" t="s">
        <v>2015</v>
      </c>
      <c r="J3362" t="s">
        <v>2016</v>
      </c>
      <c r="K3362" t="s">
        <v>1989</v>
      </c>
      <c r="L3362">
        <f>IF(G3362="High",3,IF(G3362="Medium",2,1))</f>
        <v>3</v>
      </c>
    </row>
    <row r="3363" spans="1:12">
      <c r="A3363" t="s">
        <v>5389</v>
      </c>
      <c r="B3363" t="s">
        <v>1851</v>
      </c>
      <c r="C3363" t="s">
        <v>1991</v>
      </c>
      <c r="D3363" t="s">
        <v>2031</v>
      </c>
      <c r="E3363" t="s">
        <v>57</v>
      </c>
      <c r="F3363" t="s">
        <v>47</v>
      </c>
      <c r="G3363" t="str">
        <f>INDEX(Risk_Matrix!$B$2:$D$4,MATCH(E3363,Risk_Matrix!$A$2:$A$4,0),MATCH(F3363,Risk_Matrix!$B$1:$D$1,0))</f>
        <v>Medium</v>
      </c>
      <c r="H3363" s="1">
        <v>46178</v>
      </c>
      <c r="I3363" t="s">
        <v>2015</v>
      </c>
      <c r="J3363" t="s">
        <v>2032</v>
      </c>
      <c r="K3363" t="s">
        <v>2010</v>
      </c>
      <c r="L3363">
        <f>IF(G3363="High",3,IF(G3363="Medium",2,1))</f>
        <v>2</v>
      </c>
    </row>
    <row r="3364" spans="1:12">
      <c r="A3364" t="s">
        <v>5390</v>
      </c>
      <c r="B3364" t="s">
        <v>1851</v>
      </c>
      <c r="C3364" t="s">
        <v>1995</v>
      </c>
      <c r="D3364" t="s">
        <v>1996</v>
      </c>
      <c r="E3364" t="s">
        <v>57</v>
      </c>
      <c r="F3364" t="s">
        <v>47</v>
      </c>
      <c r="G3364" t="str">
        <f>INDEX(Risk_Matrix!$B$2:$D$4,MATCH(E3364,Risk_Matrix!$A$2:$A$4,0),MATCH(F3364,Risk_Matrix!$B$1:$D$1,0))</f>
        <v>Medium</v>
      </c>
      <c r="H3364" s="1">
        <v>46228</v>
      </c>
      <c r="I3364" t="s">
        <v>1987</v>
      </c>
      <c r="J3364" t="s">
        <v>1988</v>
      </c>
      <c r="K3364" t="s">
        <v>1998</v>
      </c>
      <c r="L3364">
        <f>IF(G3364="High",3,IF(G3364="Medium",2,1))</f>
        <v>2</v>
      </c>
    </row>
    <row r="3365" spans="1:12">
      <c r="A3365" t="s">
        <v>5391</v>
      </c>
      <c r="B3365" t="s">
        <v>1851</v>
      </c>
      <c r="C3365" t="s">
        <v>2000</v>
      </c>
      <c r="D3365" t="s">
        <v>2001</v>
      </c>
      <c r="E3365" t="s">
        <v>47</v>
      </c>
      <c r="F3365" t="s">
        <v>47</v>
      </c>
      <c r="G3365" t="str">
        <f>INDEX(Risk_Matrix!$B$2:$D$4,MATCH(E3365,Risk_Matrix!$A$2:$A$4,0),MATCH(F3365,Risk_Matrix!$B$1:$D$1,0))</f>
        <v>High</v>
      </c>
      <c r="H3365" s="1">
        <v>46186</v>
      </c>
      <c r="I3365" t="s">
        <v>2015</v>
      </c>
      <c r="J3365" t="s">
        <v>2016</v>
      </c>
      <c r="K3365" t="s">
        <v>1989</v>
      </c>
      <c r="L3365">
        <f>IF(G3365="High",3,IF(G3365="Medium",2,1))</f>
        <v>3</v>
      </c>
    </row>
    <row r="3366" spans="1:12">
      <c r="A3366" t="s">
        <v>5392</v>
      </c>
      <c r="B3366" t="s">
        <v>1851</v>
      </c>
      <c r="C3366" t="s">
        <v>2005</v>
      </c>
      <c r="D3366" t="s">
        <v>2039</v>
      </c>
      <c r="E3366" t="s">
        <v>1971</v>
      </c>
      <c r="F3366" t="s">
        <v>57</v>
      </c>
      <c r="G3366" t="str">
        <f>INDEX(Risk_Matrix!$B$2:$D$4,MATCH(E3366,Risk_Matrix!$A$2:$A$4,0),MATCH(F3366,Risk_Matrix!$B$1:$D$1,0))</f>
        <v>Low</v>
      </c>
      <c r="H3366" s="1">
        <v>46146</v>
      </c>
      <c r="I3366" t="s">
        <v>2002</v>
      </c>
      <c r="J3366" t="s">
        <v>2003</v>
      </c>
      <c r="K3366" t="s">
        <v>1993</v>
      </c>
      <c r="L3366">
        <f>IF(G3366="High",3,IF(G3366="Medium",2,1))</f>
        <v>1</v>
      </c>
    </row>
    <row r="3367" spans="1:12">
      <c r="A3367" t="s">
        <v>5393</v>
      </c>
      <c r="B3367" t="s">
        <v>1851</v>
      </c>
      <c r="C3367" t="s">
        <v>2008</v>
      </c>
      <c r="D3367" t="s">
        <v>2009</v>
      </c>
      <c r="E3367" t="s">
        <v>57</v>
      </c>
      <c r="F3367" t="s">
        <v>57</v>
      </c>
      <c r="G3367" t="str">
        <f>INDEX(Risk_Matrix!$B$2:$D$4,MATCH(E3367,Risk_Matrix!$A$2:$A$4,0),MATCH(F3367,Risk_Matrix!$B$1:$D$1,0))</f>
        <v>Low</v>
      </c>
      <c r="H3367" s="1">
        <v>46079</v>
      </c>
      <c r="I3367" t="s">
        <v>1987</v>
      </c>
      <c r="J3367" t="s">
        <v>1997</v>
      </c>
      <c r="K3367" t="s">
        <v>2010</v>
      </c>
      <c r="L3367">
        <f>IF(G3367="High",3,IF(G3367="Medium",2,1))</f>
        <v>1</v>
      </c>
    </row>
    <row r="3368" spans="1:12">
      <c r="A3368" t="s">
        <v>5394</v>
      </c>
      <c r="B3368" t="s">
        <v>1853</v>
      </c>
      <c r="C3368" t="s">
        <v>1985</v>
      </c>
      <c r="D3368" t="s">
        <v>1986</v>
      </c>
      <c r="E3368" t="s">
        <v>57</v>
      </c>
      <c r="F3368" t="s">
        <v>57</v>
      </c>
      <c r="G3368" t="str">
        <f>INDEX(Risk_Matrix!$B$2:$D$4,MATCH(E3368,Risk_Matrix!$A$2:$A$4,0),MATCH(F3368,Risk_Matrix!$B$1:$D$1,0))</f>
        <v>Low</v>
      </c>
      <c r="H3368" s="1">
        <v>46214</v>
      </c>
      <c r="I3368" t="s">
        <v>2002</v>
      </c>
      <c r="J3368" t="s">
        <v>2029</v>
      </c>
      <c r="K3368" t="s">
        <v>1998</v>
      </c>
      <c r="L3368">
        <f>IF(G3368="High",3,IF(G3368="Medium",2,1))</f>
        <v>1</v>
      </c>
    </row>
    <row r="3369" spans="1:12">
      <c r="A3369" t="s">
        <v>5395</v>
      </c>
      <c r="B3369" t="s">
        <v>1853</v>
      </c>
      <c r="C3369" t="s">
        <v>1991</v>
      </c>
      <c r="D3369" t="s">
        <v>1992</v>
      </c>
      <c r="E3369" t="s">
        <v>1971</v>
      </c>
      <c r="F3369" t="s">
        <v>47</v>
      </c>
      <c r="G3369" t="str">
        <f>INDEX(Risk_Matrix!$B$2:$D$4,MATCH(E3369,Risk_Matrix!$A$2:$A$4,0),MATCH(F3369,Risk_Matrix!$B$1:$D$1,0))</f>
        <v>High</v>
      </c>
      <c r="H3369" s="1">
        <v>46195</v>
      </c>
      <c r="I3369" t="s">
        <v>2015</v>
      </c>
      <c r="J3369" t="s">
        <v>2016</v>
      </c>
      <c r="K3369" t="s">
        <v>1993</v>
      </c>
      <c r="L3369">
        <f>IF(G3369="High",3,IF(G3369="Medium",2,1))</f>
        <v>3</v>
      </c>
    </row>
    <row r="3370" spans="1:12">
      <c r="A3370" t="s">
        <v>5396</v>
      </c>
      <c r="B3370" t="s">
        <v>1853</v>
      </c>
      <c r="C3370" t="s">
        <v>1995</v>
      </c>
      <c r="D3370" t="s">
        <v>2034</v>
      </c>
      <c r="E3370" t="s">
        <v>57</v>
      </c>
      <c r="F3370" t="s">
        <v>57</v>
      </c>
      <c r="G3370" t="str">
        <f>INDEX(Risk_Matrix!$B$2:$D$4,MATCH(E3370,Risk_Matrix!$A$2:$A$4,0),MATCH(F3370,Risk_Matrix!$B$1:$D$1,0))</f>
        <v>Low</v>
      </c>
      <c r="H3370" s="1">
        <v>46090</v>
      </c>
      <c r="I3370" t="s">
        <v>2025</v>
      </c>
      <c r="J3370" t="s">
        <v>2026</v>
      </c>
      <c r="K3370" t="s">
        <v>1998</v>
      </c>
      <c r="L3370">
        <f>IF(G3370="High",3,IF(G3370="Medium",2,1))</f>
        <v>1</v>
      </c>
    </row>
    <row r="3371" spans="1:12">
      <c r="A3371" t="s">
        <v>5397</v>
      </c>
      <c r="B3371" t="s">
        <v>1853</v>
      </c>
      <c r="C3371" t="s">
        <v>2000</v>
      </c>
      <c r="D3371" t="s">
        <v>2045</v>
      </c>
      <c r="E3371" t="s">
        <v>57</v>
      </c>
      <c r="F3371" t="s">
        <v>57</v>
      </c>
      <c r="G3371" t="str">
        <f>INDEX(Risk_Matrix!$B$2:$D$4,MATCH(E3371,Risk_Matrix!$A$2:$A$4,0),MATCH(F3371,Risk_Matrix!$B$1:$D$1,0))</f>
        <v>Low</v>
      </c>
      <c r="H3371" s="1">
        <v>46166</v>
      </c>
      <c r="I3371" t="s">
        <v>2002</v>
      </c>
      <c r="J3371" t="s">
        <v>2003</v>
      </c>
      <c r="K3371" t="s">
        <v>1989</v>
      </c>
      <c r="L3371">
        <f>IF(G3371="High",3,IF(G3371="Medium",2,1))</f>
        <v>1</v>
      </c>
    </row>
    <row r="3372" spans="1:12">
      <c r="A3372" t="s">
        <v>5398</v>
      </c>
      <c r="B3372" t="s">
        <v>1853</v>
      </c>
      <c r="C3372" t="s">
        <v>2005</v>
      </c>
      <c r="D3372" t="s">
        <v>2006</v>
      </c>
      <c r="E3372" t="s">
        <v>1971</v>
      </c>
      <c r="F3372" t="s">
        <v>47</v>
      </c>
      <c r="G3372" t="str">
        <f>INDEX(Risk_Matrix!$B$2:$D$4,MATCH(E3372,Risk_Matrix!$A$2:$A$4,0),MATCH(F3372,Risk_Matrix!$B$1:$D$1,0))</f>
        <v>High</v>
      </c>
      <c r="H3372" s="1">
        <v>46167</v>
      </c>
      <c r="I3372" t="s">
        <v>1987</v>
      </c>
      <c r="J3372" t="s">
        <v>1997</v>
      </c>
      <c r="K3372" t="s">
        <v>2036</v>
      </c>
      <c r="L3372">
        <f>IF(G3372="High",3,IF(G3372="Medium",2,1))</f>
        <v>3</v>
      </c>
    </row>
    <row r="3373" spans="1:12">
      <c r="A3373" t="s">
        <v>5399</v>
      </c>
      <c r="B3373" t="s">
        <v>1853</v>
      </c>
      <c r="C3373" t="s">
        <v>2008</v>
      </c>
      <c r="D3373" t="s">
        <v>2054</v>
      </c>
      <c r="E3373" t="s">
        <v>57</v>
      </c>
      <c r="F3373" t="s">
        <v>1971</v>
      </c>
      <c r="G3373" t="str">
        <f>INDEX(Risk_Matrix!$B$2:$D$4,MATCH(E3373,Risk_Matrix!$A$2:$A$4,0),MATCH(F3373,Risk_Matrix!$B$1:$D$1,0))</f>
        <v>Low</v>
      </c>
      <c r="H3373" s="1">
        <v>46055</v>
      </c>
      <c r="I3373" t="s">
        <v>1987</v>
      </c>
      <c r="J3373" t="s">
        <v>1988</v>
      </c>
      <c r="K3373" t="s">
        <v>2010</v>
      </c>
      <c r="L3373">
        <f>IF(G3373="High",3,IF(G3373="Medium",2,1))</f>
        <v>1</v>
      </c>
    </row>
    <row r="3374" spans="1:12">
      <c r="A3374" t="s">
        <v>5400</v>
      </c>
      <c r="B3374" t="s">
        <v>1855</v>
      </c>
      <c r="C3374" t="s">
        <v>1985</v>
      </c>
      <c r="D3374" t="s">
        <v>2028</v>
      </c>
      <c r="E3374" t="s">
        <v>47</v>
      </c>
      <c r="F3374" t="s">
        <v>57</v>
      </c>
      <c r="G3374" t="str">
        <f>INDEX(Risk_Matrix!$B$2:$D$4,MATCH(E3374,Risk_Matrix!$A$2:$A$4,0),MATCH(F3374,Risk_Matrix!$B$1:$D$1,0))</f>
        <v>Medium</v>
      </c>
      <c r="H3374" s="1">
        <v>46163</v>
      </c>
      <c r="I3374" t="s">
        <v>2025</v>
      </c>
      <c r="J3374" t="s">
        <v>2026</v>
      </c>
      <c r="K3374" t="s">
        <v>1989</v>
      </c>
      <c r="L3374">
        <f>IF(G3374="High",3,IF(G3374="Medium",2,1))</f>
        <v>2</v>
      </c>
    </row>
    <row r="3375" spans="1:12">
      <c r="A3375" t="s">
        <v>5401</v>
      </c>
      <c r="B3375" t="s">
        <v>1855</v>
      </c>
      <c r="C3375" t="s">
        <v>1991</v>
      </c>
      <c r="D3375" t="s">
        <v>2064</v>
      </c>
      <c r="E3375" t="s">
        <v>1971</v>
      </c>
      <c r="F3375" t="s">
        <v>57</v>
      </c>
      <c r="G3375" t="str">
        <f>INDEX(Risk_Matrix!$B$2:$D$4,MATCH(E3375,Risk_Matrix!$A$2:$A$4,0),MATCH(F3375,Risk_Matrix!$B$1:$D$1,0))</f>
        <v>Low</v>
      </c>
      <c r="H3375" s="1">
        <v>46217</v>
      </c>
      <c r="I3375" t="s">
        <v>2025</v>
      </c>
      <c r="J3375" t="s">
        <v>2026</v>
      </c>
      <c r="K3375" t="s">
        <v>1993</v>
      </c>
      <c r="L3375">
        <f>IF(G3375="High",3,IF(G3375="Medium",2,1))</f>
        <v>1</v>
      </c>
    </row>
    <row r="3376" spans="1:12">
      <c r="A3376" t="s">
        <v>5402</v>
      </c>
      <c r="B3376" t="s">
        <v>1855</v>
      </c>
      <c r="C3376" t="s">
        <v>1995</v>
      </c>
      <c r="D3376" t="s">
        <v>2034</v>
      </c>
      <c r="E3376" t="s">
        <v>57</v>
      </c>
      <c r="F3376" t="s">
        <v>1971</v>
      </c>
      <c r="G3376" t="str">
        <f>INDEX(Risk_Matrix!$B$2:$D$4,MATCH(E3376,Risk_Matrix!$A$2:$A$4,0),MATCH(F3376,Risk_Matrix!$B$1:$D$1,0))</f>
        <v>Low</v>
      </c>
      <c r="H3376" s="1">
        <v>46080</v>
      </c>
      <c r="I3376" t="s">
        <v>1987</v>
      </c>
      <c r="J3376" t="s">
        <v>1997</v>
      </c>
      <c r="K3376" t="s">
        <v>2036</v>
      </c>
      <c r="L3376">
        <f>IF(G3376="High",3,IF(G3376="Medium",2,1))</f>
        <v>1</v>
      </c>
    </row>
    <row r="3377" spans="1:12">
      <c r="A3377" t="s">
        <v>5403</v>
      </c>
      <c r="B3377" t="s">
        <v>1855</v>
      </c>
      <c r="C3377" t="s">
        <v>2000</v>
      </c>
      <c r="D3377" t="s">
        <v>2020</v>
      </c>
      <c r="E3377" t="s">
        <v>1971</v>
      </c>
      <c r="F3377" t="s">
        <v>57</v>
      </c>
      <c r="G3377" t="str">
        <f>INDEX(Risk_Matrix!$B$2:$D$4,MATCH(E3377,Risk_Matrix!$A$2:$A$4,0),MATCH(F3377,Risk_Matrix!$B$1:$D$1,0))</f>
        <v>Low</v>
      </c>
      <c r="H3377" s="1">
        <v>46177</v>
      </c>
      <c r="I3377" t="s">
        <v>2002</v>
      </c>
      <c r="J3377" t="s">
        <v>2003</v>
      </c>
      <c r="K3377" t="s">
        <v>1989</v>
      </c>
      <c r="L3377">
        <f>IF(G3377="High",3,IF(G3377="Medium",2,1))</f>
        <v>1</v>
      </c>
    </row>
    <row r="3378" spans="1:12">
      <c r="A3378" t="s">
        <v>5404</v>
      </c>
      <c r="B3378" t="s">
        <v>1855</v>
      </c>
      <c r="C3378" t="s">
        <v>2005</v>
      </c>
      <c r="D3378" t="s">
        <v>2039</v>
      </c>
      <c r="E3378" t="s">
        <v>1971</v>
      </c>
      <c r="F3378" t="s">
        <v>1971</v>
      </c>
      <c r="G3378" t="str">
        <f>INDEX(Risk_Matrix!$B$2:$D$4,MATCH(E3378,Risk_Matrix!$A$2:$A$4,0),MATCH(F3378,Risk_Matrix!$B$1:$D$1,0))</f>
        <v>Medium</v>
      </c>
      <c r="H3378" s="1">
        <v>46062</v>
      </c>
      <c r="I3378" t="s">
        <v>2025</v>
      </c>
      <c r="J3378" t="s">
        <v>2026</v>
      </c>
      <c r="K3378" t="s">
        <v>1993</v>
      </c>
      <c r="L3378">
        <f>IF(G3378="High",3,IF(G3378="Medium",2,1))</f>
        <v>2</v>
      </c>
    </row>
    <row r="3379" spans="1:12">
      <c r="A3379" t="s">
        <v>5405</v>
      </c>
      <c r="B3379" t="s">
        <v>1855</v>
      </c>
      <c r="C3379" t="s">
        <v>2008</v>
      </c>
      <c r="D3379" t="s">
        <v>2054</v>
      </c>
      <c r="E3379" t="s">
        <v>57</v>
      </c>
      <c r="F3379" t="s">
        <v>57</v>
      </c>
      <c r="G3379" t="str">
        <f>INDEX(Risk_Matrix!$B$2:$D$4,MATCH(E3379,Risk_Matrix!$A$2:$A$4,0),MATCH(F3379,Risk_Matrix!$B$1:$D$1,0))</f>
        <v>Low</v>
      </c>
      <c r="H3379" s="1">
        <v>46191</v>
      </c>
      <c r="I3379" t="s">
        <v>2015</v>
      </c>
      <c r="J3379" t="s">
        <v>2016</v>
      </c>
      <c r="K3379" t="s">
        <v>2010</v>
      </c>
      <c r="L3379">
        <f>IF(G3379="High",3,IF(G3379="Medium",2,1))</f>
        <v>1</v>
      </c>
    </row>
    <row r="3380" spans="1:12">
      <c r="A3380" t="s">
        <v>5406</v>
      </c>
      <c r="B3380" t="s">
        <v>1857</v>
      </c>
      <c r="C3380" t="s">
        <v>1985</v>
      </c>
      <c r="D3380" t="s">
        <v>2012</v>
      </c>
      <c r="E3380" t="s">
        <v>1971</v>
      </c>
      <c r="F3380" t="s">
        <v>47</v>
      </c>
      <c r="G3380" t="str">
        <f>INDEX(Risk_Matrix!$B$2:$D$4,MATCH(E3380,Risk_Matrix!$A$2:$A$4,0),MATCH(F3380,Risk_Matrix!$B$1:$D$1,0))</f>
        <v>High</v>
      </c>
      <c r="H3380" s="1">
        <v>46191</v>
      </c>
      <c r="I3380" t="s">
        <v>2015</v>
      </c>
      <c r="J3380" t="s">
        <v>2016</v>
      </c>
      <c r="K3380" t="s">
        <v>1998</v>
      </c>
      <c r="L3380">
        <f>IF(G3380="High",3,IF(G3380="Medium",2,1))</f>
        <v>3</v>
      </c>
    </row>
    <row r="3381" spans="1:12">
      <c r="A3381" t="s">
        <v>5407</v>
      </c>
      <c r="B3381" t="s">
        <v>1857</v>
      </c>
      <c r="C3381" t="s">
        <v>1991</v>
      </c>
      <c r="D3381" t="s">
        <v>1992</v>
      </c>
      <c r="E3381" t="s">
        <v>57</v>
      </c>
      <c r="F3381" t="s">
        <v>1971</v>
      </c>
      <c r="G3381" t="str">
        <f>INDEX(Risk_Matrix!$B$2:$D$4,MATCH(E3381,Risk_Matrix!$A$2:$A$4,0),MATCH(F3381,Risk_Matrix!$B$1:$D$1,0))</f>
        <v>Low</v>
      </c>
      <c r="H3381" s="1">
        <v>46190</v>
      </c>
      <c r="I3381" t="s">
        <v>2025</v>
      </c>
      <c r="J3381" t="s">
        <v>2026</v>
      </c>
      <c r="K3381" t="s">
        <v>2010</v>
      </c>
      <c r="L3381">
        <f>IF(G3381="High",3,IF(G3381="Medium",2,1))</f>
        <v>1</v>
      </c>
    </row>
    <row r="3382" spans="1:12">
      <c r="A3382" t="s">
        <v>5408</v>
      </c>
      <c r="B3382" t="s">
        <v>1857</v>
      </c>
      <c r="C3382" t="s">
        <v>1995</v>
      </c>
      <c r="D3382" t="s">
        <v>1996</v>
      </c>
      <c r="E3382" t="s">
        <v>1971</v>
      </c>
      <c r="F3382" t="s">
        <v>57</v>
      </c>
      <c r="G3382" t="str">
        <f>INDEX(Risk_Matrix!$B$2:$D$4,MATCH(E3382,Risk_Matrix!$A$2:$A$4,0),MATCH(F3382,Risk_Matrix!$B$1:$D$1,0))</f>
        <v>Low</v>
      </c>
      <c r="H3382" s="1">
        <v>46234</v>
      </c>
      <c r="I3382" t="s">
        <v>2002</v>
      </c>
      <c r="J3382" t="s">
        <v>2029</v>
      </c>
      <c r="K3382" t="s">
        <v>2036</v>
      </c>
      <c r="L3382">
        <f>IF(G3382="High",3,IF(G3382="Medium",2,1))</f>
        <v>1</v>
      </c>
    </row>
    <row r="3383" spans="1:12">
      <c r="A3383" t="s">
        <v>5409</v>
      </c>
      <c r="B3383" t="s">
        <v>1857</v>
      </c>
      <c r="C3383" t="s">
        <v>2000</v>
      </c>
      <c r="D3383" t="s">
        <v>2001</v>
      </c>
      <c r="E3383" t="s">
        <v>57</v>
      </c>
      <c r="F3383" t="s">
        <v>57</v>
      </c>
      <c r="G3383" t="str">
        <f>INDEX(Risk_Matrix!$B$2:$D$4,MATCH(E3383,Risk_Matrix!$A$2:$A$4,0),MATCH(F3383,Risk_Matrix!$B$1:$D$1,0))</f>
        <v>Low</v>
      </c>
      <c r="H3383" s="1">
        <v>46107</v>
      </c>
      <c r="I3383" t="s">
        <v>2025</v>
      </c>
      <c r="J3383" t="s">
        <v>2035</v>
      </c>
      <c r="K3383" t="s">
        <v>1993</v>
      </c>
      <c r="L3383">
        <f>IF(G3383="High",3,IF(G3383="Medium",2,1))</f>
        <v>1</v>
      </c>
    </row>
    <row r="3384" spans="1:12">
      <c r="A3384" t="s">
        <v>5410</v>
      </c>
      <c r="B3384" t="s">
        <v>1857</v>
      </c>
      <c r="C3384" t="s">
        <v>2005</v>
      </c>
      <c r="D3384" t="s">
        <v>2006</v>
      </c>
      <c r="E3384" t="s">
        <v>57</v>
      </c>
      <c r="F3384" t="s">
        <v>1971</v>
      </c>
      <c r="G3384" t="str">
        <f>INDEX(Risk_Matrix!$B$2:$D$4,MATCH(E3384,Risk_Matrix!$A$2:$A$4,0),MATCH(F3384,Risk_Matrix!$B$1:$D$1,0))</f>
        <v>Low</v>
      </c>
      <c r="H3384" s="1">
        <v>46222</v>
      </c>
      <c r="I3384" t="s">
        <v>2002</v>
      </c>
      <c r="J3384" t="s">
        <v>2003</v>
      </c>
      <c r="K3384" t="s">
        <v>1993</v>
      </c>
      <c r="L3384">
        <f>IF(G3384="High",3,IF(G3384="Medium",2,1))</f>
        <v>1</v>
      </c>
    </row>
    <row r="3385" spans="1:12">
      <c r="A3385" t="s">
        <v>5411</v>
      </c>
      <c r="B3385" t="s">
        <v>1857</v>
      </c>
      <c r="C3385" t="s">
        <v>2008</v>
      </c>
      <c r="D3385" t="s">
        <v>2054</v>
      </c>
      <c r="E3385" t="s">
        <v>57</v>
      </c>
      <c r="F3385" t="s">
        <v>47</v>
      </c>
      <c r="G3385" t="str">
        <f>INDEX(Risk_Matrix!$B$2:$D$4,MATCH(E3385,Risk_Matrix!$A$2:$A$4,0),MATCH(F3385,Risk_Matrix!$B$1:$D$1,0))</f>
        <v>Medium</v>
      </c>
      <c r="H3385" s="1">
        <v>46208</v>
      </c>
      <c r="I3385" t="s">
        <v>2015</v>
      </c>
      <c r="J3385" t="s">
        <v>2016</v>
      </c>
      <c r="K3385" t="s">
        <v>2010</v>
      </c>
      <c r="L3385">
        <f>IF(G3385="High",3,IF(G3385="Medium",2,1))</f>
        <v>2</v>
      </c>
    </row>
    <row r="3386" spans="1:12">
      <c r="A3386" t="s">
        <v>5412</v>
      </c>
      <c r="B3386" t="s">
        <v>1859</v>
      </c>
      <c r="C3386" t="s">
        <v>1985</v>
      </c>
      <c r="D3386" t="s">
        <v>2028</v>
      </c>
      <c r="E3386" t="s">
        <v>57</v>
      </c>
      <c r="F3386" t="s">
        <v>47</v>
      </c>
      <c r="G3386" t="str">
        <f>INDEX(Risk_Matrix!$B$2:$D$4,MATCH(E3386,Risk_Matrix!$A$2:$A$4,0),MATCH(F3386,Risk_Matrix!$B$1:$D$1,0))</f>
        <v>Medium</v>
      </c>
      <c r="H3386" s="1">
        <v>46179</v>
      </c>
      <c r="I3386" t="s">
        <v>2025</v>
      </c>
      <c r="J3386" t="s">
        <v>2035</v>
      </c>
      <c r="K3386" t="s">
        <v>1989</v>
      </c>
      <c r="L3386">
        <f>IF(G3386="High",3,IF(G3386="Medium",2,1))</f>
        <v>2</v>
      </c>
    </row>
    <row r="3387" spans="1:12">
      <c r="A3387" t="s">
        <v>5413</v>
      </c>
      <c r="B3387" t="s">
        <v>1859</v>
      </c>
      <c r="C3387" t="s">
        <v>1991</v>
      </c>
      <c r="D3387" t="s">
        <v>2031</v>
      </c>
      <c r="E3387" t="s">
        <v>47</v>
      </c>
      <c r="F3387" t="s">
        <v>57</v>
      </c>
      <c r="G3387" t="str">
        <f>INDEX(Risk_Matrix!$B$2:$D$4,MATCH(E3387,Risk_Matrix!$A$2:$A$4,0),MATCH(F3387,Risk_Matrix!$B$1:$D$1,0))</f>
        <v>Medium</v>
      </c>
      <c r="H3387" s="1">
        <v>46183</v>
      </c>
      <c r="I3387" t="s">
        <v>2015</v>
      </c>
      <c r="J3387" t="s">
        <v>2032</v>
      </c>
      <c r="K3387" t="s">
        <v>1993</v>
      </c>
      <c r="L3387">
        <f>IF(G3387="High",3,IF(G3387="Medium",2,1))</f>
        <v>2</v>
      </c>
    </row>
    <row r="3388" spans="1:12">
      <c r="A3388" t="s">
        <v>5414</v>
      </c>
      <c r="B3388" t="s">
        <v>1859</v>
      </c>
      <c r="C3388" t="s">
        <v>1995</v>
      </c>
      <c r="D3388" t="s">
        <v>2150</v>
      </c>
      <c r="E3388" t="s">
        <v>1971</v>
      </c>
      <c r="F3388" t="s">
        <v>1971</v>
      </c>
      <c r="G3388" t="str">
        <f>INDEX(Risk_Matrix!$B$2:$D$4,MATCH(E3388,Risk_Matrix!$A$2:$A$4,0),MATCH(F3388,Risk_Matrix!$B$1:$D$1,0))</f>
        <v>Medium</v>
      </c>
      <c r="H3388" s="1">
        <v>46221</v>
      </c>
      <c r="I3388" t="s">
        <v>2015</v>
      </c>
      <c r="J3388" t="s">
        <v>2016</v>
      </c>
      <c r="K3388" t="s">
        <v>2036</v>
      </c>
      <c r="L3388">
        <f>IF(G3388="High",3,IF(G3388="Medium",2,1))</f>
        <v>2</v>
      </c>
    </row>
    <row r="3389" spans="1:12">
      <c r="A3389" t="s">
        <v>5415</v>
      </c>
      <c r="B3389" t="s">
        <v>1859</v>
      </c>
      <c r="C3389" t="s">
        <v>2000</v>
      </c>
      <c r="D3389" t="s">
        <v>2045</v>
      </c>
      <c r="E3389" t="s">
        <v>47</v>
      </c>
      <c r="F3389" t="s">
        <v>57</v>
      </c>
      <c r="G3389" t="str">
        <f>INDEX(Risk_Matrix!$B$2:$D$4,MATCH(E3389,Risk_Matrix!$A$2:$A$4,0),MATCH(F3389,Risk_Matrix!$B$1:$D$1,0))</f>
        <v>Medium</v>
      </c>
      <c r="H3389" s="1">
        <v>46119</v>
      </c>
      <c r="I3389" t="s">
        <v>1987</v>
      </c>
      <c r="J3389" t="s">
        <v>1988</v>
      </c>
      <c r="K3389" t="s">
        <v>1989</v>
      </c>
      <c r="L3389">
        <f>IF(G3389="High",3,IF(G3389="Medium",2,1))</f>
        <v>2</v>
      </c>
    </row>
    <row r="3390" spans="1:12">
      <c r="A3390" t="s">
        <v>5416</v>
      </c>
      <c r="B3390" t="s">
        <v>1859</v>
      </c>
      <c r="C3390" t="s">
        <v>2005</v>
      </c>
      <c r="D3390" t="s">
        <v>2039</v>
      </c>
      <c r="E3390" t="s">
        <v>57</v>
      </c>
      <c r="F3390" t="s">
        <v>47</v>
      </c>
      <c r="G3390" t="str">
        <f>INDEX(Risk_Matrix!$B$2:$D$4,MATCH(E3390,Risk_Matrix!$A$2:$A$4,0),MATCH(F3390,Risk_Matrix!$B$1:$D$1,0))</f>
        <v>Medium</v>
      </c>
      <c r="H3390" s="1">
        <v>46174</v>
      </c>
      <c r="I3390" t="s">
        <v>1987</v>
      </c>
      <c r="J3390" t="s">
        <v>1988</v>
      </c>
      <c r="K3390" t="s">
        <v>1993</v>
      </c>
      <c r="L3390">
        <f>IF(G3390="High",3,IF(G3390="Medium",2,1))</f>
        <v>2</v>
      </c>
    </row>
    <row r="3391" spans="1:12">
      <c r="A3391" t="s">
        <v>5417</v>
      </c>
      <c r="B3391" t="s">
        <v>1859</v>
      </c>
      <c r="C3391" t="s">
        <v>2008</v>
      </c>
      <c r="D3391" t="s">
        <v>2024</v>
      </c>
      <c r="E3391" t="s">
        <v>1971</v>
      </c>
      <c r="F3391" t="s">
        <v>57</v>
      </c>
      <c r="G3391" t="str">
        <f>INDEX(Risk_Matrix!$B$2:$D$4,MATCH(E3391,Risk_Matrix!$A$2:$A$4,0),MATCH(F3391,Risk_Matrix!$B$1:$D$1,0))</f>
        <v>Low</v>
      </c>
      <c r="H3391" s="1">
        <v>46189</v>
      </c>
      <c r="I3391" t="s">
        <v>1987</v>
      </c>
      <c r="J3391" t="s">
        <v>1997</v>
      </c>
      <c r="K3391" t="s">
        <v>2010</v>
      </c>
      <c r="L3391">
        <f>IF(G3391="High",3,IF(G3391="Medium",2,1))</f>
        <v>1</v>
      </c>
    </row>
    <row r="3392" spans="1:12">
      <c r="A3392" t="s">
        <v>5418</v>
      </c>
      <c r="B3392" t="s">
        <v>1861</v>
      </c>
      <c r="C3392" t="s">
        <v>1985</v>
      </c>
      <c r="D3392" t="s">
        <v>2062</v>
      </c>
      <c r="E3392" t="s">
        <v>57</v>
      </c>
      <c r="F3392" t="s">
        <v>47</v>
      </c>
      <c r="G3392" t="str">
        <f>INDEX(Risk_Matrix!$B$2:$D$4,MATCH(E3392,Risk_Matrix!$A$2:$A$4,0),MATCH(F3392,Risk_Matrix!$B$1:$D$1,0))</f>
        <v>Medium</v>
      </c>
      <c r="H3392" s="1">
        <v>46164</v>
      </c>
      <c r="I3392" t="s">
        <v>2015</v>
      </c>
      <c r="J3392" t="s">
        <v>2016</v>
      </c>
      <c r="K3392" t="s">
        <v>1989</v>
      </c>
      <c r="L3392">
        <f>IF(G3392="High",3,IF(G3392="Medium",2,1))</f>
        <v>2</v>
      </c>
    </row>
    <row r="3393" spans="1:12">
      <c r="A3393" t="s">
        <v>5419</v>
      </c>
      <c r="B3393" t="s">
        <v>1861</v>
      </c>
      <c r="C3393" t="s">
        <v>1991</v>
      </c>
      <c r="D3393" t="s">
        <v>2064</v>
      </c>
      <c r="E3393" t="s">
        <v>47</v>
      </c>
      <c r="F3393" t="s">
        <v>57</v>
      </c>
      <c r="G3393" t="str">
        <f>INDEX(Risk_Matrix!$B$2:$D$4,MATCH(E3393,Risk_Matrix!$A$2:$A$4,0),MATCH(F3393,Risk_Matrix!$B$1:$D$1,0))</f>
        <v>Medium</v>
      </c>
      <c r="H3393" s="1">
        <v>46151</v>
      </c>
      <c r="I3393" t="s">
        <v>2015</v>
      </c>
      <c r="J3393" t="s">
        <v>2032</v>
      </c>
      <c r="K3393" t="s">
        <v>1993</v>
      </c>
      <c r="L3393">
        <f>IF(G3393="High",3,IF(G3393="Medium",2,1))</f>
        <v>2</v>
      </c>
    </row>
    <row r="3394" spans="1:12">
      <c r="A3394" t="s">
        <v>5420</v>
      </c>
      <c r="B3394" t="s">
        <v>1861</v>
      </c>
      <c r="C3394" t="s">
        <v>1995</v>
      </c>
      <c r="D3394" t="s">
        <v>2150</v>
      </c>
      <c r="E3394" t="s">
        <v>47</v>
      </c>
      <c r="F3394" t="s">
        <v>1971</v>
      </c>
      <c r="G3394" t="str">
        <f>INDEX(Risk_Matrix!$B$2:$D$4,MATCH(E3394,Risk_Matrix!$A$2:$A$4,0),MATCH(F3394,Risk_Matrix!$B$1:$D$1,0))</f>
        <v>High</v>
      </c>
      <c r="H3394" s="1">
        <v>46203</v>
      </c>
      <c r="I3394" t="s">
        <v>2015</v>
      </c>
      <c r="J3394" t="s">
        <v>2032</v>
      </c>
      <c r="K3394" t="s">
        <v>1998</v>
      </c>
      <c r="L3394">
        <f>IF(G3394="High",3,IF(G3394="Medium",2,1))</f>
        <v>3</v>
      </c>
    </row>
    <row r="3395" spans="1:12">
      <c r="A3395" t="s">
        <v>5421</v>
      </c>
      <c r="B3395" t="s">
        <v>1861</v>
      </c>
      <c r="C3395" t="s">
        <v>2000</v>
      </c>
      <c r="D3395" t="s">
        <v>2001</v>
      </c>
      <c r="E3395" t="s">
        <v>57</v>
      </c>
      <c r="F3395" t="s">
        <v>57</v>
      </c>
      <c r="G3395" t="str">
        <f>INDEX(Risk_Matrix!$B$2:$D$4,MATCH(E3395,Risk_Matrix!$A$2:$A$4,0),MATCH(F3395,Risk_Matrix!$B$1:$D$1,0))</f>
        <v>Low</v>
      </c>
      <c r="H3395" s="1">
        <v>46115</v>
      </c>
      <c r="I3395" t="s">
        <v>2002</v>
      </c>
      <c r="J3395" t="s">
        <v>2003</v>
      </c>
      <c r="K3395" t="s">
        <v>1993</v>
      </c>
      <c r="L3395">
        <f>IF(G3395="High",3,IF(G3395="Medium",2,1))</f>
        <v>1</v>
      </c>
    </row>
    <row r="3396" spans="1:12">
      <c r="A3396" t="s">
        <v>5422</v>
      </c>
      <c r="B3396" t="s">
        <v>1861</v>
      </c>
      <c r="C3396" t="s">
        <v>2005</v>
      </c>
      <c r="D3396" t="s">
        <v>2039</v>
      </c>
      <c r="E3396" t="s">
        <v>47</v>
      </c>
      <c r="F3396" t="s">
        <v>47</v>
      </c>
      <c r="G3396" t="str">
        <f>INDEX(Risk_Matrix!$B$2:$D$4,MATCH(E3396,Risk_Matrix!$A$2:$A$4,0),MATCH(F3396,Risk_Matrix!$B$1:$D$1,0))</f>
        <v>High</v>
      </c>
      <c r="H3396" s="1">
        <v>46132</v>
      </c>
      <c r="I3396" t="s">
        <v>1987</v>
      </c>
      <c r="J3396" t="s">
        <v>1988</v>
      </c>
      <c r="K3396" t="s">
        <v>2036</v>
      </c>
      <c r="L3396">
        <f>IF(G3396="High",3,IF(G3396="Medium",2,1))</f>
        <v>3</v>
      </c>
    </row>
    <row r="3397" spans="1:12">
      <c r="A3397" t="s">
        <v>5423</v>
      </c>
      <c r="B3397" t="s">
        <v>1861</v>
      </c>
      <c r="C3397" t="s">
        <v>2008</v>
      </c>
      <c r="D3397" t="s">
        <v>2024</v>
      </c>
      <c r="E3397" t="s">
        <v>57</v>
      </c>
      <c r="F3397" t="s">
        <v>47</v>
      </c>
      <c r="G3397" t="str">
        <f>INDEX(Risk_Matrix!$B$2:$D$4,MATCH(E3397,Risk_Matrix!$A$2:$A$4,0),MATCH(F3397,Risk_Matrix!$B$1:$D$1,0))</f>
        <v>Medium</v>
      </c>
      <c r="H3397" s="1">
        <v>46201</v>
      </c>
      <c r="I3397" t="s">
        <v>2015</v>
      </c>
      <c r="J3397" t="s">
        <v>2016</v>
      </c>
      <c r="K3397" t="s">
        <v>2010</v>
      </c>
      <c r="L3397">
        <f>IF(G3397="High",3,IF(G3397="Medium",2,1))</f>
        <v>2</v>
      </c>
    </row>
    <row r="3398" spans="1:12">
      <c r="A3398" t="s">
        <v>5424</v>
      </c>
      <c r="B3398" t="s">
        <v>1863</v>
      </c>
      <c r="C3398" t="s">
        <v>1985</v>
      </c>
      <c r="D3398" t="s">
        <v>2012</v>
      </c>
      <c r="E3398" t="s">
        <v>57</v>
      </c>
      <c r="F3398" t="s">
        <v>1971</v>
      </c>
      <c r="G3398" t="str">
        <f>INDEX(Risk_Matrix!$B$2:$D$4,MATCH(E3398,Risk_Matrix!$A$2:$A$4,0),MATCH(F3398,Risk_Matrix!$B$1:$D$1,0))</f>
        <v>Low</v>
      </c>
      <c r="H3398" s="1">
        <v>46147</v>
      </c>
      <c r="I3398" t="s">
        <v>2002</v>
      </c>
      <c r="J3398" t="s">
        <v>2029</v>
      </c>
      <c r="K3398" t="s">
        <v>1998</v>
      </c>
      <c r="L3398">
        <f>IF(G3398="High",3,IF(G3398="Medium",2,1))</f>
        <v>1</v>
      </c>
    </row>
    <row r="3399" spans="1:12">
      <c r="A3399" t="s">
        <v>5425</v>
      </c>
      <c r="B3399" t="s">
        <v>1863</v>
      </c>
      <c r="C3399" t="s">
        <v>1991</v>
      </c>
      <c r="D3399" t="s">
        <v>1992</v>
      </c>
      <c r="E3399" t="s">
        <v>1971</v>
      </c>
      <c r="F3399" t="s">
        <v>47</v>
      </c>
      <c r="G3399" t="str">
        <f>INDEX(Risk_Matrix!$B$2:$D$4,MATCH(E3399,Risk_Matrix!$A$2:$A$4,0),MATCH(F3399,Risk_Matrix!$B$1:$D$1,0))</f>
        <v>High</v>
      </c>
      <c r="H3399" s="1">
        <v>46194</v>
      </c>
      <c r="I3399" t="s">
        <v>2015</v>
      </c>
      <c r="J3399" t="s">
        <v>2016</v>
      </c>
      <c r="K3399" t="s">
        <v>1993</v>
      </c>
      <c r="L3399">
        <f>IF(G3399="High",3,IF(G3399="Medium",2,1))</f>
        <v>3</v>
      </c>
    </row>
    <row r="3400" spans="1:12">
      <c r="A3400" t="s">
        <v>5426</v>
      </c>
      <c r="B3400" t="s">
        <v>1863</v>
      </c>
      <c r="C3400" t="s">
        <v>1995</v>
      </c>
      <c r="D3400" t="s">
        <v>1996</v>
      </c>
      <c r="E3400" t="s">
        <v>47</v>
      </c>
      <c r="F3400" t="s">
        <v>1971</v>
      </c>
      <c r="G3400" t="str">
        <f>INDEX(Risk_Matrix!$B$2:$D$4,MATCH(E3400,Risk_Matrix!$A$2:$A$4,0),MATCH(F3400,Risk_Matrix!$B$1:$D$1,0))</f>
        <v>High</v>
      </c>
      <c r="H3400" s="1">
        <v>46141</v>
      </c>
      <c r="I3400" t="s">
        <v>2025</v>
      </c>
      <c r="J3400" t="s">
        <v>2035</v>
      </c>
      <c r="K3400" t="s">
        <v>2036</v>
      </c>
      <c r="L3400">
        <f>IF(G3400="High",3,IF(G3400="Medium",2,1))</f>
        <v>3</v>
      </c>
    </row>
    <row r="3401" spans="1:12">
      <c r="A3401" t="s">
        <v>5427</v>
      </c>
      <c r="B3401" t="s">
        <v>1863</v>
      </c>
      <c r="C3401" t="s">
        <v>2000</v>
      </c>
      <c r="D3401" t="s">
        <v>2045</v>
      </c>
      <c r="E3401" t="s">
        <v>57</v>
      </c>
      <c r="F3401" t="s">
        <v>57</v>
      </c>
      <c r="G3401" t="str">
        <f>INDEX(Risk_Matrix!$B$2:$D$4,MATCH(E3401,Risk_Matrix!$A$2:$A$4,0),MATCH(F3401,Risk_Matrix!$B$1:$D$1,0))</f>
        <v>Low</v>
      </c>
      <c r="H3401" s="1">
        <v>46171</v>
      </c>
      <c r="I3401" t="s">
        <v>2015</v>
      </c>
      <c r="J3401" t="s">
        <v>2016</v>
      </c>
      <c r="K3401" t="s">
        <v>1993</v>
      </c>
      <c r="L3401">
        <f>IF(G3401="High",3,IF(G3401="Medium",2,1))</f>
        <v>1</v>
      </c>
    </row>
    <row r="3402" spans="1:12">
      <c r="A3402" t="s">
        <v>5428</v>
      </c>
      <c r="B3402" t="s">
        <v>1863</v>
      </c>
      <c r="C3402" t="s">
        <v>2005</v>
      </c>
      <c r="D3402" t="s">
        <v>2039</v>
      </c>
      <c r="E3402" t="s">
        <v>47</v>
      </c>
      <c r="F3402" t="s">
        <v>1971</v>
      </c>
      <c r="G3402" t="str">
        <f>INDEX(Risk_Matrix!$B$2:$D$4,MATCH(E3402,Risk_Matrix!$A$2:$A$4,0),MATCH(F3402,Risk_Matrix!$B$1:$D$1,0))</f>
        <v>High</v>
      </c>
      <c r="H3402" s="1">
        <v>46125</v>
      </c>
      <c r="I3402" t="s">
        <v>1987</v>
      </c>
      <c r="J3402" t="s">
        <v>1997</v>
      </c>
      <c r="K3402" t="s">
        <v>1993</v>
      </c>
      <c r="L3402">
        <f>IF(G3402="High",3,IF(G3402="Medium",2,1))</f>
        <v>3</v>
      </c>
    </row>
    <row r="3403" spans="1:12">
      <c r="A3403" t="s">
        <v>5429</v>
      </c>
      <c r="B3403" t="s">
        <v>1863</v>
      </c>
      <c r="C3403" t="s">
        <v>2008</v>
      </c>
      <c r="D3403" t="s">
        <v>2024</v>
      </c>
      <c r="E3403" t="s">
        <v>57</v>
      </c>
      <c r="F3403" t="s">
        <v>47</v>
      </c>
      <c r="G3403" t="str">
        <f>INDEX(Risk_Matrix!$B$2:$D$4,MATCH(E3403,Risk_Matrix!$A$2:$A$4,0),MATCH(F3403,Risk_Matrix!$B$1:$D$1,0))</f>
        <v>Medium</v>
      </c>
      <c r="H3403" s="1">
        <v>46152</v>
      </c>
      <c r="I3403" t="s">
        <v>2015</v>
      </c>
      <c r="J3403" t="s">
        <v>2016</v>
      </c>
      <c r="K3403" t="s">
        <v>2010</v>
      </c>
      <c r="L3403">
        <f>IF(G3403="High",3,IF(G3403="Medium",2,1))</f>
        <v>2</v>
      </c>
    </row>
    <row r="3404" spans="1:12">
      <c r="A3404" t="s">
        <v>5430</v>
      </c>
      <c r="B3404" t="s">
        <v>1864</v>
      </c>
      <c r="C3404" t="s">
        <v>1985</v>
      </c>
      <c r="D3404" t="s">
        <v>1986</v>
      </c>
      <c r="E3404" t="s">
        <v>47</v>
      </c>
      <c r="F3404" t="s">
        <v>1971</v>
      </c>
      <c r="G3404" t="str">
        <f>INDEX(Risk_Matrix!$B$2:$D$4,MATCH(E3404,Risk_Matrix!$A$2:$A$4,0),MATCH(F3404,Risk_Matrix!$B$1:$D$1,0))</f>
        <v>High</v>
      </c>
      <c r="H3404" s="1">
        <v>46216</v>
      </c>
      <c r="I3404" t="s">
        <v>2015</v>
      </c>
      <c r="J3404" t="s">
        <v>2016</v>
      </c>
      <c r="K3404" t="s">
        <v>1998</v>
      </c>
      <c r="L3404">
        <f>IF(G3404="High",3,IF(G3404="Medium",2,1))</f>
        <v>3</v>
      </c>
    </row>
    <row r="3405" spans="1:12">
      <c r="A3405" t="s">
        <v>5431</v>
      </c>
      <c r="B3405" t="s">
        <v>1864</v>
      </c>
      <c r="C3405" t="s">
        <v>1991</v>
      </c>
      <c r="D3405" t="s">
        <v>2014</v>
      </c>
      <c r="E3405" t="s">
        <v>57</v>
      </c>
      <c r="F3405" t="s">
        <v>57</v>
      </c>
      <c r="G3405" t="str">
        <f>INDEX(Risk_Matrix!$B$2:$D$4,MATCH(E3405,Risk_Matrix!$A$2:$A$4,0),MATCH(F3405,Risk_Matrix!$B$1:$D$1,0))</f>
        <v>Low</v>
      </c>
      <c r="H3405" s="1">
        <v>46171</v>
      </c>
      <c r="I3405" t="s">
        <v>2002</v>
      </c>
      <c r="J3405" t="s">
        <v>2029</v>
      </c>
      <c r="K3405" t="s">
        <v>1993</v>
      </c>
      <c r="L3405">
        <f>IF(G3405="High",3,IF(G3405="Medium",2,1))</f>
        <v>1</v>
      </c>
    </row>
    <row r="3406" spans="1:12">
      <c r="A3406" t="s">
        <v>5432</v>
      </c>
      <c r="B3406" t="s">
        <v>1864</v>
      </c>
      <c r="C3406" t="s">
        <v>1995</v>
      </c>
      <c r="D3406" t="s">
        <v>2034</v>
      </c>
      <c r="E3406" t="s">
        <v>1971</v>
      </c>
      <c r="F3406" t="s">
        <v>57</v>
      </c>
      <c r="G3406" t="str">
        <f>INDEX(Risk_Matrix!$B$2:$D$4,MATCH(E3406,Risk_Matrix!$A$2:$A$4,0),MATCH(F3406,Risk_Matrix!$B$1:$D$1,0))</f>
        <v>Low</v>
      </c>
      <c r="H3406" s="1">
        <v>46203</v>
      </c>
      <c r="I3406" t="s">
        <v>2002</v>
      </c>
      <c r="J3406" t="s">
        <v>2029</v>
      </c>
      <c r="K3406" t="s">
        <v>1998</v>
      </c>
      <c r="L3406">
        <f>IF(G3406="High",3,IF(G3406="Medium",2,1))</f>
        <v>1</v>
      </c>
    </row>
    <row r="3407" spans="1:12">
      <c r="A3407" t="s">
        <v>5433</v>
      </c>
      <c r="B3407" t="s">
        <v>1864</v>
      </c>
      <c r="C3407" t="s">
        <v>2000</v>
      </c>
      <c r="D3407" t="s">
        <v>2045</v>
      </c>
      <c r="E3407" t="s">
        <v>1971</v>
      </c>
      <c r="F3407" t="s">
        <v>57</v>
      </c>
      <c r="G3407" t="str">
        <f>INDEX(Risk_Matrix!$B$2:$D$4,MATCH(E3407,Risk_Matrix!$A$2:$A$4,0),MATCH(F3407,Risk_Matrix!$B$1:$D$1,0))</f>
        <v>Low</v>
      </c>
      <c r="H3407" s="1">
        <v>46235</v>
      </c>
      <c r="I3407" t="s">
        <v>2015</v>
      </c>
      <c r="J3407" t="s">
        <v>2016</v>
      </c>
      <c r="K3407" t="s">
        <v>1993</v>
      </c>
      <c r="L3407">
        <f>IF(G3407="High",3,IF(G3407="Medium",2,1))</f>
        <v>1</v>
      </c>
    </row>
    <row r="3408" spans="1:12">
      <c r="A3408" t="s">
        <v>5434</v>
      </c>
      <c r="B3408" t="s">
        <v>1864</v>
      </c>
      <c r="C3408" t="s">
        <v>2005</v>
      </c>
      <c r="D3408" t="s">
        <v>2039</v>
      </c>
      <c r="E3408" t="s">
        <v>1971</v>
      </c>
      <c r="F3408" t="s">
        <v>57</v>
      </c>
      <c r="G3408" t="str">
        <f>INDEX(Risk_Matrix!$B$2:$D$4,MATCH(E3408,Risk_Matrix!$A$2:$A$4,0),MATCH(F3408,Risk_Matrix!$B$1:$D$1,0))</f>
        <v>Low</v>
      </c>
      <c r="H3408" s="1">
        <v>46132</v>
      </c>
      <c r="I3408" t="s">
        <v>2002</v>
      </c>
      <c r="J3408" t="s">
        <v>2029</v>
      </c>
      <c r="K3408" t="s">
        <v>2036</v>
      </c>
      <c r="L3408">
        <f>IF(G3408="High",3,IF(G3408="Medium",2,1))</f>
        <v>1</v>
      </c>
    </row>
    <row r="3409" spans="1:12">
      <c r="A3409" t="s">
        <v>5435</v>
      </c>
      <c r="B3409" t="s">
        <v>1864</v>
      </c>
      <c r="C3409" t="s">
        <v>2008</v>
      </c>
      <c r="D3409" t="s">
        <v>2009</v>
      </c>
      <c r="E3409" t="s">
        <v>57</v>
      </c>
      <c r="F3409" t="s">
        <v>47</v>
      </c>
      <c r="G3409" t="str">
        <f>INDEX(Risk_Matrix!$B$2:$D$4,MATCH(E3409,Risk_Matrix!$A$2:$A$4,0),MATCH(F3409,Risk_Matrix!$B$1:$D$1,0))</f>
        <v>Medium</v>
      </c>
      <c r="H3409" s="1">
        <v>46162</v>
      </c>
      <c r="I3409" t="s">
        <v>2015</v>
      </c>
      <c r="J3409" t="s">
        <v>2032</v>
      </c>
      <c r="K3409" t="s">
        <v>2010</v>
      </c>
      <c r="L3409">
        <f>IF(G3409="High",3,IF(G3409="Medium",2,1))</f>
        <v>2</v>
      </c>
    </row>
    <row r="3410" spans="1:12">
      <c r="A3410" t="s">
        <v>5436</v>
      </c>
      <c r="B3410" t="s">
        <v>1865</v>
      </c>
      <c r="C3410" t="s">
        <v>1985</v>
      </c>
      <c r="D3410" t="s">
        <v>1986</v>
      </c>
      <c r="E3410" t="s">
        <v>57</v>
      </c>
      <c r="F3410" t="s">
        <v>57</v>
      </c>
      <c r="G3410" t="str">
        <f>INDEX(Risk_Matrix!$B$2:$D$4,MATCH(E3410,Risk_Matrix!$A$2:$A$4,0),MATCH(F3410,Risk_Matrix!$B$1:$D$1,0))</f>
        <v>Low</v>
      </c>
      <c r="H3410" s="1">
        <v>46094</v>
      </c>
      <c r="I3410" t="s">
        <v>1987</v>
      </c>
      <c r="J3410" t="s">
        <v>1997</v>
      </c>
      <c r="K3410" t="s">
        <v>1989</v>
      </c>
      <c r="L3410">
        <f>IF(G3410="High",3,IF(G3410="Medium",2,1))</f>
        <v>1</v>
      </c>
    </row>
    <row r="3411" spans="1:12">
      <c r="A3411" t="s">
        <v>5437</v>
      </c>
      <c r="B3411" t="s">
        <v>1865</v>
      </c>
      <c r="C3411" t="s">
        <v>1991</v>
      </c>
      <c r="D3411" t="s">
        <v>2014</v>
      </c>
      <c r="E3411" t="s">
        <v>1971</v>
      </c>
      <c r="F3411" t="s">
        <v>57</v>
      </c>
      <c r="G3411" t="str">
        <f>INDEX(Risk_Matrix!$B$2:$D$4,MATCH(E3411,Risk_Matrix!$A$2:$A$4,0),MATCH(F3411,Risk_Matrix!$B$1:$D$1,0))</f>
        <v>Low</v>
      </c>
      <c r="H3411" s="1">
        <v>46089</v>
      </c>
      <c r="I3411" t="s">
        <v>2025</v>
      </c>
      <c r="J3411" t="s">
        <v>2035</v>
      </c>
      <c r="K3411" t="s">
        <v>2010</v>
      </c>
      <c r="L3411">
        <f>IF(G3411="High",3,IF(G3411="Medium",2,1))</f>
        <v>1</v>
      </c>
    </row>
    <row r="3412" spans="1:12">
      <c r="A3412" t="s">
        <v>5438</v>
      </c>
      <c r="B3412" t="s">
        <v>1865</v>
      </c>
      <c r="C3412" t="s">
        <v>1995</v>
      </c>
      <c r="D3412" t="s">
        <v>2150</v>
      </c>
      <c r="E3412" t="s">
        <v>1971</v>
      </c>
      <c r="F3412" t="s">
        <v>1971</v>
      </c>
      <c r="G3412" t="str">
        <f>INDEX(Risk_Matrix!$B$2:$D$4,MATCH(E3412,Risk_Matrix!$A$2:$A$4,0),MATCH(F3412,Risk_Matrix!$B$1:$D$1,0))</f>
        <v>Medium</v>
      </c>
      <c r="H3412" s="1">
        <v>46194</v>
      </c>
      <c r="I3412" t="s">
        <v>2015</v>
      </c>
      <c r="J3412" t="s">
        <v>2016</v>
      </c>
      <c r="K3412" t="s">
        <v>2036</v>
      </c>
      <c r="L3412">
        <f>IF(G3412="High",3,IF(G3412="Medium",2,1))</f>
        <v>2</v>
      </c>
    </row>
    <row r="3413" spans="1:12">
      <c r="A3413" t="s">
        <v>5439</v>
      </c>
      <c r="B3413" t="s">
        <v>1865</v>
      </c>
      <c r="C3413" t="s">
        <v>2000</v>
      </c>
      <c r="D3413" t="s">
        <v>2001</v>
      </c>
      <c r="E3413" t="s">
        <v>57</v>
      </c>
      <c r="F3413" t="s">
        <v>57</v>
      </c>
      <c r="G3413" t="str">
        <f>INDEX(Risk_Matrix!$B$2:$D$4,MATCH(E3413,Risk_Matrix!$A$2:$A$4,0),MATCH(F3413,Risk_Matrix!$B$1:$D$1,0))</f>
        <v>Low</v>
      </c>
      <c r="H3413" s="1">
        <v>46178</v>
      </c>
      <c r="I3413" t="s">
        <v>2002</v>
      </c>
      <c r="J3413" t="s">
        <v>2003</v>
      </c>
      <c r="K3413" t="s">
        <v>1993</v>
      </c>
      <c r="L3413">
        <f>IF(G3413="High",3,IF(G3413="Medium",2,1))</f>
        <v>1</v>
      </c>
    </row>
    <row r="3414" spans="1:12">
      <c r="A3414" t="s">
        <v>5440</v>
      </c>
      <c r="B3414" t="s">
        <v>1865</v>
      </c>
      <c r="C3414" t="s">
        <v>2005</v>
      </c>
      <c r="D3414" t="s">
        <v>2022</v>
      </c>
      <c r="E3414" t="s">
        <v>1971</v>
      </c>
      <c r="F3414" t="s">
        <v>57</v>
      </c>
      <c r="G3414" t="str">
        <f>INDEX(Risk_Matrix!$B$2:$D$4,MATCH(E3414,Risk_Matrix!$A$2:$A$4,0),MATCH(F3414,Risk_Matrix!$B$1:$D$1,0))</f>
        <v>Low</v>
      </c>
      <c r="H3414" s="1">
        <v>46189</v>
      </c>
      <c r="I3414" t="s">
        <v>1987</v>
      </c>
      <c r="J3414" t="s">
        <v>1997</v>
      </c>
      <c r="K3414" t="s">
        <v>1993</v>
      </c>
      <c r="L3414">
        <f>IF(G3414="High",3,IF(G3414="Medium",2,1))</f>
        <v>1</v>
      </c>
    </row>
    <row r="3415" spans="1:12">
      <c r="A3415" t="s">
        <v>5441</v>
      </c>
      <c r="B3415" t="s">
        <v>1865</v>
      </c>
      <c r="C3415" t="s">
        <v>2008</v>
      </c>
      <c r="D3415" t="s">
        <v>2054</v>
      </c>
      <c r="E3415" t="s">
        <v>57</v>
      </c>
      <c r="F3415" t="s">
        <v>1971</v>
      </c>
      <c r="G3415" t="str">
        <f>INDEX(Risk_Matrix!$B$2:$D$4,MATCH(E3415,Risk_Matrix!$A$2:$A$4,0),MATCH(F3415,Risk_Matrix!$B$1:$D$1,0))</f>
        <v>Low</v>
      </c>
      <c r="H3415" s="1">
        <v>46231</v>
      </c>
      <c r="I3415" t="s">
        <v>2015</v>
      </c>
      <c r="J3415" t="s">
        <v>2016</v>
      </c>
      <c r="K3415" t="s">
        <v>2010</v>
      </c>
      <c r="L3415">
        <f>IF(G3415="High",3,IF(G3415="Medium",2,1))</f>
        <v>1</v>
      </c>
    </row>
    <row r="3416" spans="1:12">
      <c r="A3416" t="s">
        <v>5442</v>
      </c>
      <c r="B3416" t="s">
        <v>1867</v>
      </c>
      <c r="C3416" t="s">
        <v>1985</v>
      </c>
      <c r="D3416" t="s">
        <v>1986</v>
      </c>
      <c r="E3416" t="s">
        <v>57</v>
      </c>
      <c r="F3416" t="s">
        <v>57</v>
      </c>
      <c r="G3416" t="str">
        <f>INDEX(Risk_Matrix!$B$2:$D$4,MATCH(E3416,Risk_Matrix!$A$2:$A$4,0),MATCH(F3416,Risk_Matrix!$B$1:$D$1,0))</f>
        <v>Low</v>
      </c>
      <c r="H3416" s="1">
        <v>46102</v>
      </c>
      <c r="I3416" t="s">
        <v>1987</v>
      </c>
      <c r="J3416" t="s">
        <v>1988</v>
      </c>
      <c r="K3416" t="s">
        <v>1989</v>
      </c>
      <c r="L3416">
        <f>IF(G3416="High",3,IF(G3416="Medium",2,1))</f>
        <v>1</v>
      </c>
    </row>
    <row r="3417" spans="1:12">
      <c r="A3417" t="s">
        <v>5443</v>
      </c>
      <c r="B3417" t="s">
        <v>1867</v>
      </c>
      <c r="C3417" t="s">
        <v>1991</v>
      </c>
      <c r="D3417" t="s">
        <v>2014</v>
      </c>
      <c r="E3417" t="s">
        <v>57</v>
      </c>
      <c r="F3417" t="s">
        <v>57</v>
      </c>
      <c r="G3417" t="str">
        <f>INDEX(Risk_Matrix!$B$2:$D$4,MATCH(E3417,Risk_Matrix!$A$2:$A$4,0),MATCH(F3417,Risk_Matrix!$B$1:$D$1,0))</f>
        <v>Low</v>
      </c>
      <c r="H3417" s="1">
        <v>46172</v>
      </c>
      <c r="I3417" t="s">
        <v>2015</v>
      </c>
      <c r="J3417" t="s">
        <v>2016</v>
      </c>
      <c r="K3417" t="s">
        <v>1993</v>
      </c>
      <c r="L3417">
        <f>IF(G3417="High",3,IF(G3417="Medium",2,1))</f>
        <v>1</v>
      </c>
    </row>
    <row r="3418" spans="1:12">
      <c r="A3418" t="s">
        <v>5444</v>
      </c>
      <c r="B3418" t="s">
        <v>1867</v>
      </c>
      <c r="C3418" t="s">
        <v>1995</v>
      </c>
      <c r="D3418" t="s">
        <v>2034</v>
      </c>
      <c r="E3418" t="s">
        <v>1971</v>
      </c>
      <c r="F3418" t="s">
        <v>57</v>
      </c>
      <c r="G3418" t="str">
        <f>INDEX(Risk_Matrix!$B$2:$D$4,MATCH(E3418,Risk_Matrix!$A$2:$A$4,0),MATCH(F3418,Risk_Matrix!$B$1:$D$1,0))</f>
        <v>Low</v>
      </c>
      <c r="H3418" s="1">
        <v>46182</v>
      </c>
      <c r="I3418" t="s">
        <v>1987</v>
      </c>
      <c r="J3418" t="s">
        <v>1988</v>
      </c>
      <c r="K3418" t="s">
        <v>1998</v>
      </c>
      <c r="L3418">
        <f>IF(G3418="High",3,IF(G3418="Medium",2,1))</f>
        <v>1</v>
      </c>
    </row>
    <row r="3419" spans="1:12">
      <c r="A3419" t="s">
        <v>5445</v>
      </c>
      <c r="B3419" t="s">
        <v>1867</v>
      </c>
      <c r="C3419" t="s">
        <v>2000</v>
      </c>
      <c r="D3419" t="s">
        <v>2020</v>
      </c>
      <c r="E3419" t="s">
        <v>1971</v>
      </c>
      <c r="F3419" t="s">
        <v>47</v>
      </c>
      <c r="G3419" t="str">
        <f>INDEX(Risk_Matrix!$B$2:$D$4,MATCH(E3419,Risk_Matrix!$A$2:$A$4,0),MATCH(F3419,Risk_Matrix!$B$1:$D$1,0))</f>
        <v>High</v>
      </c>
      <c r="H3419" s="1">
        <v>46087</v>
      </c>
      <c r="I3419" t="s">
        <v>2025</v>
      </c>
      <c r="J3419" t="s">
        <v>2035</v>
      </c>
      <c r="K3419" t="s">
        <v>1993</v>
      </c>
      <c r="L3419">
        <f>IF(G3419="High",3,IF(G3419="Medium",2,1))</f>
        <v>3</v>
      </c>
    </row>
    <row r="3420" spans="1:12">
      <c r="A3420" t="s">
        <v>5446</v>
      </c>
      <c r="B3420" t="s">
        <v>1867</v>
      </c>
      <c r="C3420" t="s">
        <v>2005</v>
      </c>
      <c r="D3420" t="s">
        <v>2022</v>
      </c>
      <c r="E3420" t="s">
        <v>1971</v>
      </c>
      <c r="F3420" t="s">
        <v>57</v>
      </c>
      <c r="G3420" t="str">
        <f>INDEX(Risk_Matrix!$B$2:$D$4,MATCH(E3420,Risk_Matrix!$A$2:$A$4,0),MATCH(F3420,Risk_Matrix!$B$1:$D$1,0))</f>
        <v>Low</v>
      </c>
      <c r="H3420" s="1">
        <v>46233</v>
      </c>
      <c r="I3420" t="s">
        <v>1987</v>
      </c>
      <c r="J3420" t="s">
        <v>1988</v>
      </c>
      <c r="K3420" t="s">
        <v>2036</v>
      </c>
      <c r="L3420">
        <f>IF(G3420="High",3,IF(G3420="Medium",2,1))</f>
        <v>1</v>
      </c>
    </row>
    <row r="3421" spans="1:12">
      <c r="A3421" t="s">
        <v>5447</v>
      </c>
      <c r="B3421" t="s">
        <v>1867</v>
      </c>
      <c r="C3421" t="s">
        <v>2008</v>
      </c>
      <c r="D3421" t="s">
        <v>2024</v>
      </c>
      <c r="E3421" t="s">
        <v>57</v>
      </c>
      <c r="F3421" t="s">
        <v>57</v>
      </c>
      <c r="G3421" t="str">
        <f>INDEX(Risk_Matrix!$B$2:$D$4,MATCH(E3421,Risk_Matrix!$A$2:$A$4,0),MATCH(F3421,Risk_Matrix!$B$1:$D$1,0))</f>
        <v>Low</v>
      </c>
      <c r="H3421" s="1">
        <v>46147</v>
      </c>
      <c r="I3421" t="s">
        <v>1987</v>
      </c>
      <c r="J3421" t="s">
        <v>1988</v>
      </c>
      <c r="K3421" t="s">
        <v>2010</v>
      </c>
      <c r="L3421">
        <f>IF(G3421="High",3,IF(G3421="Medium",2,1))</f>
        <v>1</v>
      </c>
    </row>
    <row r="3422" spans="1:12">
      <c r="A3422" t="s">
        <v>5448</v>
      </c>
      <c r="B3422" t="s">
        <v>1869</v>
      </c>
      <c r="C3422" t="s">
        <v>1985</v>
      </c>
      <c r="D3422" t="s">
        <v>1986</v>
      </c>
      <c r="E3422" t="s">
        <v>1971</v>
      </c>
      <c r="F3422" t="s">
        <v>47</v>
      </c>
      <c r="G3422" t="str">
        <f>INDEX(Risk_Matrix!$B$2:$D$4,MATCH(E3422,Risk_Matrix!$A$2:$A$4,0),MATCH(F3422,Risk_Matrix!$B$1:$D$1,0))</f>
        <v>High</v>
      </c>
      <c r="H3422" s="1">
        <v>46232</v>
      </c>
      <c r="I3422" t="s">
        <v>2025</v>
      </c>
      <c r="J3422" t="s">
        <v>2035</v>
      </c>
      <c r="K3422" t="s">
        <v>1989</v>
      </c>
      <c r="L3422">
        <f>IF(G3422="High",3,IF(G3422="Medium",2,1))</f>
        <v>3</v>
      </c>
    </row>
    <row r="3423" spans="1:12">
      <c r="A3423" t="s">
        <v>5449</v>
      </c>
      <c r="B3423" t="s">
        <v>1869</v>
      </c>
      <c r="C3423" t="s">
        <v>1991</v>
      </c>
      <c r="D3423" t="s">
        <v>1992</v>
      </c>
      <c r="E3423" t="s">
        <v>1971</v>
      </c>
      <c r="F3423" t="s">
        <v>47</v>
      </c>
      <c r="G3423" t="str">
        <f>INDEX(Risk_Matrix!$B$2:$D$4,MATCH(E3423,Risk_Matrix!$A$2:$A$4,0),MATCH(F3423,Risk_Matrix!$B$1:$D$1,0))</f>
        <v>High</v>
      </c>
      <c r="H3423" s="1">
        <v>46193</v>
      </c>
      <c r="I3423" t="s">
        <v>2015</v>
      </c>
      <c r="J3423" t="s">
        <v>2032</v>
      </c>
      <c r="K3423" t="s">
        <v>2010</v>
      </c>
      <c r="L3423">
        <f>IF(G3423="High",3,IF(G3423="Medium",2,1))</f>
        <v>3</v>
      </c>
    </row>
    <row r="3424" spans="1:12">
      <c r="A3424" t="s">
        <v>5450</v>
      </c>
      <c r="B3424" t="s">
        <v>1869</v>
      </c>
      <c r="C3424" t="s">
        <v>1995</v>
      </c>
      <c r="D3424" t="s">
        <v>2018</v>
      </c>
      <c r="E3424" t="s">
        <v>57</v>
      </c>
      <c r="F3424" t="s">
        <v>1971</v>
      </c>
      <c r="G3424" t="str">
        <f>INDEX(Risk_Matrix!$B$2:$D$4,MATCH(E3424,Risk_Matrix!$A$2:$A$4,0),MATCH(F3424,Risk_Matrix!$B$1:$D$1,0))</f>
        <v>Low</v>
      </c>
      <c r="H3424" s="1">
        <v>46177</v>
      </c>
      <c r="I3424" t="s">
        <v>2025</v>
      </c>
      <c r="J3424" t="s">
        <v>2026</v>
      </c>
      <c r="K3424" t="s">
        <v>2036</v>
      </c>
      <c r="L3424">
        <f>IF(G3424="High",3,IF(G3424="Medium",2,1))</f>
        <v>1</v>
      </c>
    </row>
    <row r="3425" spans="1:12">
      <c r="A3425" t="s">
        <v>5451</v>
      </c>
      <c r="B3425" t="s">
        <v>1869</v>
      </c>
      <c r="C3425" t="s">
        <v>2000</v>
      </c>
      <c r="D3425" t="s">
        <v>2001</v>
      </c>
      <c r="E3425" t="s">
        <v>1971</v>
      </c>
      <c r="F3425" t="s">
        <v>1971</v>
      </c>
      <c r="G3425" t="str">
        <f>INDEX(Risk_Matrix!$B$2:$D$4,MATCH(E3425,Risk_Matrix!$A$2:$A$4,0),MATCH(F3425,Risk_Matrix!$B$1:$D$1,0))</f>
        <v>Medium</v>
      </c>
      <c r="H3425" s="1">
        <v>46107</v>
      </c>
      <c r="I3425" t="s">
        <v>2025</v>
      </c>
      <c r="J3425" t="s">
        <v>2035</v>
      </c>
      <c r="K3425" t="s">
        <v>1993</v>
      </c>
      <c r="L3425">
        <f>IF(G3425="High",3,IF(G3425="Medium",2,1))</f>
        <v>2</v>
      </c>
    </row>
    <row r="3426" spans="1:12">
      <c r="A3426" t="s">
        <v>5452</v>
      </c>
      <c r="B3426" t="s">
        <v>1869</v>
      </c>
      <c r="C3426" t="s">
        <v>2005</v>
      </c>
      <c r="D3426" t="s">
        <v>2006</v>
      </c>
      <c r="E3426" t="s">
        <v>57</v>
      </c>
      <c r="F3426" t="s">
        <v>57</v>
      </c>
      <c r="G3426" t="str">
        <f>INDEX(Risk_Matrix!$B$2:$D$4,MATCH(E3426,Risk_Matrix!$A$2:$A$4,0),MATCH(F3426,Risk_Matrix!$B$1:$D$1,0))</f>
        <v>Low</v>
      </c>
      <c r="H3426" s="1">
        <v>46232</v>
      </c>
      <c r="I3426" t="s">
        <v>1987</v>
      </c>
      <c r="J3426" t="s">
        <v>1997</v>
      </c>
      <c r="K3426" t="s">
        <v>1993</v>
      </c>
      <c r="L3426">
        <f>IF(G3426="High",3,IF(G3426="Medium",2,1))</f>
        <v>1</v>
      </c>
    </row>
    <row r="3427" spans="1:12">
      <c r="A3427" t="s">
        <v>5453</v>
      </c>
      <c r="B3427" t="s">
        <v>1869</v>
      </c>
      <c r="C3427" t="s">
        <v>2008</v>
      </c>
      <c r="D3427" t="s">
        <v>2024</v>
      </c>
      <c r="E3427" t="s">
        <v>1971</v>
      </c>
      <c r="F3427" t="s">
        <v>1971</v>
      </c>
      <c r="G3427" t="str">
        <f>INDEX(Risk_Matrix!$B$2:$D$4,MATCH(E3427,Risk_Matrix!$A$2:$A$4,0),MATCH(F3427,Risk_Matrix!$B$1:$D$1,0))</f>
        <v>Medium</v>
      </c>
      <c r="H3427" s="1">
        <v>46159</v>
      </c>
      <c r="I3427" t="s">
        <v>2025</v>
      </c>
      <c r="J3427" t="s">
        <v>2035</v>
      </c>
      <c r="K3427" t="s">
        <v>2010</v>
      </c>
      <c r="L3427">
        <f>IF(G3427="High",3,IF(G3427="Medium",2,1))</f>
        <v>2</v>
      </c>
    </row>
    <row r="3428" spans="1:12">
      <c r="A3428" t="s">
        <v>5454</v>
      </c>
      <c r="B3428" t="s">
        <v>1871</v>
      </c>
      <c r="C3428" t="s">
        <v>1985</v>
      </c>
      <c r="D3428" t="s">
        <v>1986</v>
      </c>
      <c r="E3428" t="s">
        <v>1971</v>
      </c>
      <c r="F3428" t="s">
        <v>57</v>
      </c>
      <c r="G3428" t="str">
        <f>INDEX(Risk_Matrix!$B$2:$D$4,MATCH(E3428,Risk_Matrix!$A$2:$A$4,0),MATCH(F3428,Risk_Matrix!$B$1:$D$1,0))</f>
        <v>Low</v>
      </c>
      <c r="H3428" s="1">
        <v>46152</v>
      </c>
      <c r="I3428" t="s">
        <v>1987</v>
      </c>
      <c r="J3428" t="s">
        <v>1988</v>
      </c>
      <c r="K3428" t="s">
        <v>1998</v>
      </c>
      <c r="L3428">
        <f>IF(G3428="High",3,IF(G3428="Medium",2,1))</f>
        <v>1</v>
      </c>
    </row>
    <row r="3429" spans="1:12">
      <c r="A3429" t="s">
        <v>5455</v>
      </c>
      <c r="B3429" t="s">
        <v>1871</v>
      </c>
      <c r="C3429" t="s">
        <v>1991</v>
      </c>
      <c r="D3429" t="s">
        <v>2031</v>
      </c>
      <c r="E3429" t="s">
        <v>57</v>
      </c>
      <c r="F3429" t="s">
        <v>1971</v>
      </c>
      <c r="G3429" t="str">
        <f>INDEX(Risk_Matrix!$B$2:$D$4,MATCH(E3429,Risk_Matrix!$A$2:$A$4,0),MATCH(F3429,Risk_Matrix!$B$1:$D$1,0))</f>
        <v>Low</v>
      </c>
      <c r="H3429" s="1">
        <v>46174</v>
      </c>
      <c r="I3429" t="s">
        <v>2015</v>
      </c>
      <c r="J3429" t="s">
        <v>2032</v>
      </c>
      <c r="K3429" t="s">
        <v>1993</v>
      </c>
      <c r="L3429">
        <f>IF(G3429="High",3,IF(G3429="Medium",2,1))</f>
        <v>1</v>
      </c>
    </row>
    <row r="3430" spans="1:12">
      <c r="A3430" t="s">
        <v>5456</v>
      </c>
      <c r="B3430" t="s">
        <v>1871</v>
      </c>
      <c r="C3430" t="s">
        <v>1995</v>
      </c>
      <c r="D3430" t="s">
        <v>2034</v>
      </c>
      <c r="E3430" t="s">
        <v>47</v>
      </c>
      <c r="F3430" t="s">
        <v>57</v>
      </c>
      <c r="G3430" t="str">
        <f>INDEX(Risk_Matrix!$B$2:$D$4,MATCH(E3430,Risk_Matrix!$A$2:$A$4,0),MATCH(F3430,Risk_Matrix!$B$1:$D$1,0))</f>
        <v>Medium</v>
      </c>
      <c r="H3430" s="1">
        <v>46197</v>
      </c>
      <c r="I3430" t="s">
        <v>2025</v>
      </c>
      <c r="J3430" t="s">
        <v>2026</v>
      </c>
      <c r="K3430" t="s">
        <v>1998</v>
      </c>
      <c r="L3430">
        <f>IF(G3430="High",3,IF(G3430="Medium",2,1))</f>
        <v>2</v>
      </c>
    </row>
    <row r="3431" spans="1:12">
      <c r="A3431" t="s">
        <v>5457</v>
      </c>
      <c r="B3431" t="s">
        <v>1871</v>
      </c>
      <c r="C3431" t="s">
        <v>2000</v>
      </c>
      <c r="D3431" t="s">
        <v>2001</v>
      </c>
      <c r="E3431" t="s">
        <v>57</v>
      </c>
      <c r="F3431" t="s">
        <v>47</v>
      </c>
      <c r="G3431" t="str">
        <f>INDEX(Risk_Matrix!$B$2:$D$4,MATCH(E3431,Risk_Matrix!$A$2:$A$4,0),MATCH(F3431,Risk_Matrix!$B$1:$D$1,0))</f>
        <v>Medium</v>
      </c>
      <c r="H3431" s="1">
        <v>46105</v>
      </c>
      <c r="I3431" t="s">
        <v>2025</v>
      </c>
      <c r="J3431" t="s">
        <v>2035</v>
      </c>
      <c r="K3431" t="s">
        <v>1989</v>
      </c>
      <c r="L3431">
        <f>IF(G3431="High",3,IF(G3431="Medium",2,1))</f>
        <v>2</v>
      </c>
    </row>
    <row r="3432" spans="1:12">
      <c r="A3432" t="s">
        <v>5458</v>
      </c>
      <c r="B3432" t="s">
        <v>1871</v>
      </c>
      <c r="C3432" t="s">
        <v>2005</v>
      </c>
      <c r="D3432" t="s">
        <v>2006</v>
      </c>
      <c r="E3432" t="s">
        <v>57</v>
      </c>
      <c r="F3432" t="s">
        <v>1971</v>
      </c>
      <c r="G3432" t="str">
        <f>INDEX(Risk_Matrix!$B$2:$D$4,MATCH(E3432,Risk_Matrix!$A$2:$A$4,0),MATCH(F3432,Risk_Matrix!$B$1:$D$1,0))</f>
        <v>Low</v>
      </c>
      <c r="H3432" s="1">
        <v>46097</v>
      </c>
      <c r="I3432" t="s">
        <v>2025</v>
      </c>
      <c r="J3432" t="s">
        <v>2026</v>
      </c>
      <c r="K3432" t="s">
        <v>1993</v>
      </c>
      <c r="L3432">
        <f>IF(G3432="High",3,IF(G3432="Medium",2,1))</f>
        <v>1</v>
      </c>
    </row>
    <row r="3433" spans="1:12">
      <c r="A3433" t="s">
        <v>5459</v>
      </c>
      <c r="B3433" t="s">
        <v>1871</v>
      </c>
      <c r="C3433" t="s">
        <v>2008</v>
      </c>
      <c r="D3433" t="s">
        <v>2009</v>
      </c>
      <c r="E3433" t="s">
        <v>1971</v>
      </c>
      <c r="F3433" t="s">
        <v>47</v>
      </c>
      <c r="G3433" t="str">
        <f>INDEX(Risk_Matrix!$B$2:$D$4,MATCH(E3433,Risk_Matrix!$A$2:$A$4,0),MATCH(F3433,Risk_Matrix!$B$1:$D$1,0))</f>
        <v>High</v>
      </c>
      <c r="H3433" s="1">
        <v>46088</v>
      </c>
      <c r="I3433" t="s">
        <v>2025</v>
      </c>
      <c r="J3433" t="s">
        <v>2035</v>
      </c>
      <c r="K3433" t="s">
        <v>2010</v>
      </c>
      <c r="L3433">
        <f>IF(G3433="High",3,IF(G3433="Medium",2,1))</f>
        <v>3</v>
      </c>
    </row>
    <row r="3434" spans="1:12">
      <c r="A3434" t="s">
        <v>5460</v>
      </c>
      <c r="B3434" t="s">
        <v>1874</v>
      </c>
      <c r="C3434" t="s">
        <v>1985</v>
      </c>
      <c r="D3434" t="s">
        <v>2012</v>
      </c>
      <c r="E3434" t="s">
        <v>47</v>
      </c>
      <c r="F3434" t="s">
        <v>1971</v>
      </c>
      <c r="G3434" t="str">
        <f>INDEX(Risk_Matrix!$B$2:$D$4,MATCH(E3434,Risk_Matrix!$A$2:$A$4,0),MATCH(F3434,Risk_Matrix!$B$1:$D$1,0))</f>
        <v>High</v>
      </c>
      <c r="H3434" s="1">
        <v>46135</v>
      </c>
      <c r="I3434" t="s">
        <v>2025</v>
      </c>
      <c r="J3434" t="s">
        <v>2035</v>
      </c>
      <c r="K3434" t="s">
        <v>1989</v>
      </c>
      <c r="L3434">
        <f>IF(G3434="High",3,IF(G3434="Medium",2,1))</f>
        <v>3</v>
      </c>
    </row>
    <row r="3435" spans="1:12">
      <c r="A3435" t="s">
        <v>5461</v>
      </c>
      <c r="B3435" t="s">
        <v>1874</v>
      </c>
      <c r="C3435" t="s">
        <v>1991</v>
      </c>
      <c r="D3435" t="s">
        <v>2014</v>
      </c>
      <c r="E3435" t="s">
        <v>57</v>
      </c>
      <c r="F3435" t="s">
        <v>57</v>
      </c>
      <c r="G3435" t="str">
        <f>INDEX(Risk_Matrix!$B$2:$D$4,MATCH(E3435,Risk_Matrix!$A$2:$A$4,0),MATCH(F3435,Risk_Matrix!$B$1:$D$1,0))</f>
        <v>Low</v>
      </c>
      <c r="H3435" s="1">
        <v>46175</v>
      </c>
      <c r="I3435" t="s">
        <v>1987</v>
      </c>
      <c r="J3435" t="s">
        <v>1997</v>
      </c>
      <c r="K3435" t="s">
        <v>1993</v>
      </c>
      <c r="L3435">
        <f>IF(G3435="High",3,IF(G3435="Medium",2,1))</f>
        <v>1</v>
      </c>
    </row>
    <row r="3436" spans="1:12">
      <c r="A3436" t="s">
        <v>5462</v>
      </c>
      <c r="B3436" t="s">
        <v>1874</v>
      </c>
      <c r="C3436" t="s">
        <v>1995</v>
      </c>
      <c r="D3436" t="s">
        <v>2034</v>
      </c>
      <c r="E3436" t="s">
        <v>1971</v>
      </c>
      <c r="F3436" t="s">
        <v>47</v>
      </c>
      <c r="G3436" t="str">
        <f>INDEX(Risk_Matrix!$B$2:$D$4,MATCH(E3436,Risk_Matrix!$A$2:$A$4,0),MATCH(F3436,Risk_Matrix!$B$1:$D$1,0))</f>
        <v>High</v>
      </c>
      <c r="H3436" s="1">
        <v>46191</v>
      </c>
      <c r="I3436" t="s">
        <v>2015</v>
      </c>
      <c r="J3436" t="s">
        <v>2032</v>
      </c>
      <c r="K3436" t="s">
        <v>1998</v>
      </c>
      <c r="L3436">
        <f>IF(G3436="High",3,IF(G3436="Medium",2,1))</f>
        <v>3</v>
      </c>
    </row>
    <row r="3437" spans="1:12">
      <c r="A3437" t="s">
        <v>5463</v>
      </c>
      <c r="B3437" t="s">
        <v>1874</v>
      </c>
      <c r="C3437" t="s">
        <v>2000</v>
      </c>
      <c r="D3437" t="s">
        <v>2001</v>
      </c>
      <c r="E3437" t="s">
        <v>57</v>
      </c>
      <c r="F3437" t="s">
        <v>47</v>
      </c>
      <c r="G3437" t="str">
        <f>INDEX(Risk_Matrix!$B$2:$D$4,MATCH(E3437,Risk_Matrix!$A$2:$A$4,0),MATCH(F3437,Risk_Matrix!$B$1:$D$1,0))</f>
        <v>Medium</v>
      </c>
      <c r="H3437" s="1">
        <v>46112</v>
      </c>
      <c r="I3437" t="s">
        <v>1987</v>
      </c>
      <c r="J3437" t="s">
        <v>1988</v>
      </c>
      <c r="K3437" t="s">
        <v>1989</v>
      </c>
      <c r="L3437">
        <f>IF(G3437="High",3,IF(G3437="Medium",2,1))</f>
        <v>2</v>
      </c>
    </row>
    <row r="3438" spans="1:12">
      <c r="A3438" t="s">
        <v>5464</v>
      </c>
      <c r="B3438" t="s">
        <v>1874</v>
      </c>
      <c r="C3438" t="s">
        <v>2005</v>
      </c>
      <c r="D3438" t="s">
        <v>2022</v>
      </c>
      <c r="E3438" t="s">
        <v>47</v>
      </c>
      <c r="F3438" t="s">
        <v>47</v>
      </c>
      <c r="G3438" t="str">
        <f>INDEX(Risk_Matrix!$B$2:$D$4,MATCH(E3438,Risk_Matrix!$A$2:$A$4,0),MATCH(F3438,Risk_Matrix!$B$1:$D$1,0))</f>
        <v>High</v>
      </c>
      <c r="H3438" s="1">
        <v>46153</v>
      </c>
      <c r="I3438" t="s">
        <v>2025</v>
      </c>
      <c r="J3438" t="s">
        <v>2035</v>
      </c>
      <c r="K3438" t="s">
        <v>1993</v>
      </c>
      <c r="L3438">
        <f>IF(G3438="High",3,IF(G3438="Medium",2,1))</f>
        <v>3</v>
      </c>
    </row>
    <row r="3439" spans="1:12">
      <c r="A3439" t="s">
        <v>5465</v>
      </c>
      <c r="B3439" t="s">
        <v>1874</v>
      </c>
      <c r="C3439" t="s">
        <v>2008</v>
      </c>
      <c r="D3439" t="s">
        <v>2054</v>
      </c>
      <c r="E3439" t="s">
        <v>57</v>
      </c>
      <c r="F3439" t="s">
        <v>47</v>
      </c>
      <c r="G3439" t="str">
        <f>INDEX(Risk_Matrix!$B$2:$D$4,MATCH(E3439,Risk_Matrix!$A$2:$A$4,0),MATCH(F3439,Risk_Matrix!$B$1:$D$1,0))</f>
        <v>Medium</v>
      </c>
      <c r="H3439" s="1">
        <v>46147</v>
      </c>
      <c r="I3439" t="s">
        <v>1987</v>
      </c>
      <c r="J3439" t="s">
        <v>1997</v>
      </c>
      <c r="K3439" t="s">
        <v>2010</v>
      </c>
      <c r="L3439">
        <f>IF(G3439="High",3,IF(G3439="Medium",2,1))</f>
        <v>2</v>
      </c>
    </row>
    <row r="3440" spans="1:12">
      <c r="A3440" t="s">
        <v>5466</v>
      </c>
      <c r="B3440" t="s">
        <v>1877</v>
      </c>
      <c r="C3440" t="s">
        <v>1985</v>
      </c>
      <c r="D3440" t="s">
        <v>1986</v>
      </c>
      <c r="E3440" t="s">
        <v>47</v>
      </c>
      <c r="F3440" t="s">
        <v>57</v>
      </c>
      <c r="G3440" t="str">
        <f>INDEX(Risk_Matrix!$B$2:$D$4,MATCH(E3440,Risk_Matrix!$A$2:$A$4,0),MATCH(F3440,Risk_Matrix!$B$1:$D$1,0))</f>
        <v>Medium</v>
      </c>
      <c r="H3440" s="1">
        <v>46167</v>
      </c>
      <c r="I3440" t="s">
        <v>2015</v>
      </c>
      <c r="J3440" t="s">
        <v>2032</v>
      </c>
      <c r="K3440" t="s">
        <v>1998</v>
      </c>
      <c r="L3440">
        <f>IF(G3440="High",3,IF(G3440="Medium",2,1))</f>
        <v>2</v>
      </c>
    </row>
    <row r="3441" spans="1:12">
      <c r="A3441" t="s">
        <v>5467</v>
      </c>
      <c r="B3441" t="s">
        <v>1877</v>
      </c>
      <c r="C3441" t="s">
        <v>1991</v>
      </c>
      <c r="D3441" t="s">
        <v>2014</v>
      </c>
      <c r="E3441" t="s">
        <v>1971</v>
      </c>
      <c r="F3441" t="s">
        <v>57</v>
      </c>
      <c r="G3441" t="str">
        <f>INDEX(Risk_Matrix!$B$2:$D$4,MATCH(E3441,Risk_Matrix!$A$2:$A$4,0),MATCH(F3441,Risk_Matrix!$B$1:$D$1,0))</f>
        <v>Low</v>
      </c>
      <c r="H3441" s="1">
        <v>46129</v>
      </c>
      <c r="I3441" t="s">
        <v>1987</v>
      </c>
      <c r="J3441" t="s">
        <v>1997</v>
      </c>
      <c r="K3441" t="s">
        <v>1993</v>
      </c>
      <c r="L3441">
        <f>IF(G3441="High",3,IF(G3441="Medium",2,1))</f>
        <v>1</v>
      </c>
    </row>
    <row r="3442" spans="1:12">
      <c r="A3442" t="s">
        <v>5468</v>
      </c>
      <c r="B3442" t="s">
        <v>1877</v>
      </c>
      <c r="C3442" t="s">
        <v>1995</v>
      </c>
      <c r="D3442" t="s">
        <v>2150</v>
      </c>
      <c r="E3442" t="s">
        <v>1971</v>
      </c>
      <c r="F3442" t="s">
        <v>1971</v>
      </c>
      <c r="G3442" t="str">
        <f>INDEX(Risk_Matrix!$B$2:$D$4,MATCH(E3442,Risk_Matrix!$A$2:$A$4,0),MATCH(F3442,Risk_Matrix!$B$1:$D$1,0))</f>
        <v>Medium</v>
      </c>
      <c r="H3442" s="1">
        <v>46189</v>
      </c>
      <c r="I3442" t="s">
        <v>2002</v>
      </c>
      <c r="J3442" t="s">
        <v>2003</v>
      </c>
      <c r="K3442" t="s">
        <v>1998</v>
      </c>
      <c r="L3442">
        <f>IF(G3442="High",3,IF(G3442="Medium",2,1))</f>
        <v>2</v>
      </c>
    </row>
    <row r="3443" spans="1:12">
      <c r="A3443" t="s">
        <v>5469</v>
      </c>
      <c r="B3443" t="s">
        <v>1877</v>
      </c>
      <c r="C3443" t="s">
        <v>2000</v>
      </c>
      <c r="D3443" t="s">
        <v>2020</v>
      </c>
      <c r="E3443" t="s">
        <v>47</v>
      </c>
      <c r="F3443" t="s">
        <v>47</v>
      </c>
      <c r="G3443" t="str">
        <f>INDEX(Risk_Matrix!$B$2:$D$4,MATCH(E3443,Risk_Matrix!$A$2:$A$4,0),MATCH(F3443,Risk_Matrix!$B$1:$D$1,0))</f>
        <v>High</v>
      </c>
      <c r="H3443" s="1">
        <v>46140</v>
      </c>
      <c r="I3443" t="s">
        <v>1987</v>
      </c>
      <c r="J3443" t="s">
        <v>1988</v>
      </c>
      <c r="K3443" t="s">
        <v>1989</v>
      </c>
      <c r="L3443">
        <f>IF(G3443="High",3,IF(G3443="Medium",2,1))</f>
        <v>3</v>
      </c>
    </row>
    <row r="3444" spans="1:12">
      <c r="A3444" t="s">
        <v>5470</v>
      </c>
      <c r="B3444" t="s">
        <v>1877</v>
      </c>
      <c r="C3444" t="s">
        <v>2005</v>
      </c>
      <c r="D3444" t="s">
        <v>2022</v>
      </c>
      <c r="E3444" t="s">
        <v>1971</v>
      </c>
      <c r="F3444" t="s">
        <v>57</v>
      </c>
      <c r="G3444" t="str">
        <f>INDEX(Risk_Matrix!$B$2:$D$4,MATCH(E3444,Risk_Matrix!$A$2:$A$4,0),MATCH(F3444,Risk_Matrix!$B$1:$D$1,0))</f>
        <v>Low</v>
      </c>
      <c r="H3444" s="1">
        <v>46170</v>
      </c>
      <c r="I3444" t="s">
        <v>2002</v>
      </c>
      <c r="J3444" t="s">
        <v>2003</v>
      </c>
      <c r="K3444" t="s">
        <v>1993</v>
      </c>
      <c r="L3444">
        <f>IF(G3444="High",3,IF(G3444="Medium",2,1))</f>
        <v>1</v>
      </c>
    </row>
    <row r="3445" spans="1:12">
      <c r="A3445" t="s">
        <v>5471</v>
      </c>
      <c r="B3445" t="s">
        <v>1877</v>
      </c>
      <c r="C3445" t="s">
        <v>2008</v>
      </c>
      <c r="D3445" t="s">
        <v>2009</v>
      </c>
      <c r="E3445" t="s">
        <v>57</v>
      </c>
      <c r="F3445" t="s">
        <v>57</v>
      </c>
      <c r="G3445" t="str">
        <f>INDEX(Risk_Matrix!$B$2:$D$4,MATCH(E3445,Risk_Matrix!$A$2:$A$4,0),MATCH(F3445,Risk_Matrix!$B$1:$D$1,0))</f>
        <v>Low</v>
      </c>
      <c r="H3445" s="1">
        <v>46061</v>
      </c>
      <c r="I3445" t="s">
        <v>1987</v>
      </c>
      <c r="J3445" t="s">
        <v>1997</v>
      </c>
      <c r="K3445" t="s">
        <v>1998</v>
      </c>
      <c r="L3445">
        <f>IF(G3445="High",3,IF(G3445="Medium",2,1))</f>
        <v>1</v>
      </c>
    </row>
    <row r="3446" spans="1:12">
      <c r="A3446" t="s">
        <v>5472</v>
      </c>
      <c r="B3446" t="s">
        <v>1879</v>
      </c>
      <c r="C3446" t="s">
        <v>1985</v>
      </c>
      <c r="D3446" t="s">
        <v>1986</v>
      </c>
      <c r="E3446" t="s">
        <v>47</v>
      </c>
      <c r="F3446" t="s">
        <v>57</v>
      </c>
      <c r="G3446" t="str">
        <f>INDEX(Risk_Matrix!$B$2:$D$4,MATCH(E3446,Risk_Matrix!$A$2:$A$4,0),MATCH(F3446,Risk_Matrix!$B$1:$D$1,0))</f>
        <v>Medium</v>
      </c>
      <c r="H3446" s="1">
        <v>46200</v>
      </c>
      <c r="I3446" t="s">
        <v>1987</v>
      </c>
      <c r="J3446" t="s">
        <v>1988</v>
      </c>
      <c r="K3446" t="s">
        <v>1989</v>
      </c>
      <c r="L3446">
        <f>IF(G3446="High",3,IF(G3446="Medium",2,1))</f>
        <v>2</v>
      </c>
    </row>
    <row r="3447" spans="1:12">
      <c r="A3447" t="s">
        <v>5473</v>
      </c>
      <c r="B3447" t="s">
        <v>1879</v>
      </c>
      <c r="C3447" t="s">
        <v>1991</v>
      </c>
      <c r="D3447" t="s">
        <v>2031</v>
      </c>
      <c r="E3447" t="s">
        <v>1971</v>
      </c>
      <c r="F3447" t="s">
        <v>57</v>
      </c>
      <c r="G3447" t="str">
        <f>INDEX(Risk_Matrix!$B$2:$D$4,MATCH(E3447,Risk_Matrix!$A$2:$A$4,0),MATCH(F3447,Risk_Matrix!$B$1:$D$1,0))</f>
        <v>Low</v>
      </c>
      <c r="H3447" s="1">
        <v>46192</v>
      </c>
      <c r="I3447" t="s">
        <v>2025</v>
      </c>
      <c r="J3447" t="s">
        <v>2026</v>
      </c>
      <c r="K3447" t="s">
        <v>1993</v>
      </c>
      <c r="L3447">
        <f>IF(G3447="High",3,IF(G3447="Medium",2,1))</f>
        <v>1</v>
      </c>
    </row>
    <row r="3448" spans="1:12">
      <c r="A3448" t="s">
        <v>5474</v>
      </c>
      <c r="B3448" t="s">
        <v>1879</v>
      </c>
      <c r="C3448" t="s">
        <v>1995</v>
      </c>
      <c r="D3448" t="s">
        <v>2034</v>
      </c>
      <c r="E3448" t="s">
        <v>47</v>
      </c>
      <c r="F3448" t="s">
        <v>47</v>
      </c>
      <c r="G3448" t="str">
        <f>INDEX(Risk_Matrix!$B$2:$D$4,MATCH(E3448,Risk_Matrix!$A$2:$A$4,0),MATCH(F3448,Risk_Matrix!$B$1:$D$1,0))</f>
        <v>High</v>
      </c>
      <c r="H3448" s="1">
        <v>46193</v>
      </c>
      <c r="I3448" t="s">
        <v>2015</v>
      </c>
      <c r="J3448" t="s">
        <v>2032</v>
      </c>
      <c r="K3448" t="s">
        <v>2036</v>
      </c>
      <c r="L3448">
        <f>IF(G3448="High",3,IF(G3448="Medium",2,1))</f>
        <v>3</v>
      </c>
    </row>
    <row r="3449" spans="1:12">
      <c r="A3449" t="s">
        <v>5475</v>
      </c>
      <c r="B3449" t="s">
        <v>1879</v>
      </c>
      <c r="C3449" t="s">
        <v>2000</v>
      </c>
      <c r="D3449" t="s">
        <v>2001</v>
      </c>
      <c r="E3449" t="s">
        <v>57</v>
      </c>
      <c r="F3449" t="s">
        <v>47</v>
      </c>
      <c r="G3449" t="str">
        <f>INDEX(Risk_Matrix!$B$2:$D$4,MATCH(E3449,Risk_Matrix!$A$2:$A$4,0),MATCH(F3449,Risk_Matrix!$B$1:$D$1,0))</f>
        <v>Medium</v>
      </c>
      <c r="H3449" s="1">
        <v>46070</v>
      </c>
      <c r="I3449" t="s">
        <v>2025</v>
      </c>
      <c r="J3449" t="s">
        <v>2035</v>
      </c>
      <c r="K3449" t="s">
        <v>1989</v>
      </c>
      <c r="L3449">
        <f>IF(G3449="High",3,IF(G3449="Medium",2,1))</f>
        <v>2</v>
      </c>
    </row>
    <row r="3450" spans="1:12">
      <c r="A3450" t="s">
        <v>5476</v>
      </c>
      <c r="B3450" t="s">
        <v>1879</v>
      </c>
      <c r="C3450" t="s">
        <v>2005</v>
      </c>
      <c r="D3450" t="s">
        <v>2039</v>
      </c>
      <c r="E3450" t="s">
        <v>57</v>
      </c>
      <c r="F3450" t="s">
        <v>47</v>
      </c>
      <c r="G3450" t="str">
        <f>INDEX(Risk_Matrix!$B$2:$D$4,MATCH(E3450,Risk_Matrix!$A$2:$A$4,0),MATCH(F3450,Risk_Matrix!$B$1:$D$1,0))</f>
        <v>Medium</v>
      </c>
      <c r="H3450" s="1">
        <v>46066</v>
      </c>
      <c r="I3450" t="s">
        <v>2025</v>
      </c>
      <c r="J3450" t="s">
        <v>2035</v>
      </c>
      <c r="K3450" t="s">
        <v>1993</v>
      </c>
      <c r="L3450">
        <f>IF(G3450="High",3,IF(G3450="Medium",2,1))</f>
        <v>2</v>
      </c>
    </row>
    <row r="3451" spans="1:12">
      <c r="A3451" t="s">
        <v>5477</v>
      </c>
      <c r="B3451" t="s">
        <v>1879</v>
      </c>
      <c r="C3451" t="s">
        <v>2008</v>
      </c>
      <c r="D3451" t="s">
        <v>2054</v>
      </c>
      <c r="E3451" t="s">
        <v>57</v>
      </c>
      <c r="F3451" t="s">
        <v>57</v>
      </c>
      <c r="G3451" t="str">
        <f>INDEX(Risk_Matrix!$B$2:$D$4,MATCH(E3451,Risk_Matrix!$A$2:$A$4,0),MATCH(F3451,Risk_Matrix!$B$1:$D$1,0))</f>
        <v>Low</v>
      </c>
      <c r="H3451" s="1">
        <v>46201</v>
      </c>
      <c r="I3451" t="s">
        <v>1987</v>
      </c>
      <c r="J3451" t="s">
        <v>1988</v>
      </c>
      <c r="K3451" t="s">
        <v>2010</v>
      </c>
      <c r="L3451">
        <f>IF(G3451="High",3,IF(G3451="Medium",2,1))</f>
        <v>1</v>
      </c>
    </row>
    <row r="3452" spans="1:12">
      <c r="A3452" t="s">
        <v>5478</v>
      </c>
      <c r="B3452" t="s">
        <v>1881</v>
      </c>
      <c r="C3452" t="s">
        <v>1985</v>
      </c>
      <c r="D3452" t="s">
        <v>1986</v>
      </c>
      <c r="E3452" t="s">
        <v>57</v>
      </c>
      <c r="F3452" t="s">
        <v>1971</v>
      </c>
      <c r="G3452" t="str">
        <f>INDEX(Risk_Matrix!$B$2:$D$4,MATCH(E3452,Risk_Matrix!$A$2:$A$4,0),MATCH(F3452,Risk_Matrix!$B$1:$D$1,0))</f>
        <v>Low</v>
      </c>
      <c r="H3452" s="1">
        <v>46160</v>
      </c>
      <c r="I3452" t="s">
        <v>2002</v>
      </c>
      <c r="J3452" t="s">
        <v>2029</v>
      </c>
      <c r="K3452" t="s">
        <v>1989</v>
      </c>
      <c r="L3452">
        <f>IF(G3452="High",3,IF(G3452="Medium",2,1))</f>
        <v>1</v>
      </c>
    </row>
    <row r="3453" spans="1:12">
      <c r="A3453" t="s">
        <v>5479</v>
      </c>
      <c r="B3453" t="s">
        <v>1881</v>
      </c>
      <c r="C3453" t="s">
        <v>1991</v>
      </c>
      <c r="D3453" t="s">
        <v>2014</v>
      </c>
      <c r="E3453" t="s">
        <v>47</v>
      </c>
      <c r="F3453" t="s">
        <v>47</v>
      </c>
      <c r="G3453" t="str">
        <f>INDEX(Risk_Matrix!$B$2:$D$4,MATCH(E3453,Risk_Matrix!$A$2:$A$4,0),MATCH(F3453,Risk_Matrix!$B$1:$D$1,0))</f>
        <v>High</v>
      </c>
      <c r="H3453" s="1">
        <v>46068</v>
      </c>
      <c r="I3453" t="s">
        <v>2002</v>
      </c>
      <c r="J3453" t="s">
        <v>2029</v>
      </c>
      <c r="K3453" t="s">
        <v>1993</v>
      </c>
      <c r="L3453">
        <f>IF(G3453="High",3,IF(G3453="Medium",2,1))</f>
        <v>3</v>
      </c>
    </row>
    <row r="3454" spans="1:12">
      <c r="A3454" t="s">
        <v>5480</v>
      </c>
      <c r="B3454" t="s">
        <v>1881</v>
      </c>
      <c r="C3454" t="s">
        <v>1995</v>
      </c>
      <c r="D3454" t="s">
        <v>2150</v>
      </c>
      <c r="E3454" t="s">
        <v>47</v>
      </c>
      <c r="F3454" t="s">
        <v>57</v>
      </c>
      <c r="G3454" t="str">
        <f>INDEX(Risk_Matrix!$B$2:$D$4,MATCH(E3454,Risk_Matrix!$A$2:$A$4,0),MATCH(F3454,Risk_Matrix!$B$1:$D$1,0))</f>
        <v>Medium</v>
      </c>
      <c r="H3454" s="1">
        <v>46195</v>
      </c>
      <c r="I3454" t="s">
        <v>2002</v>
      </c>
      <c r="J3454" t="s">
        <v>2003</v>
      </c>
      <c r="K3454" t="s">
        <v>1998</v>
      </c>
      <c r="L3454">
        <f>IF(G3454="High",3,IF(G3454="Medium",2,1))</f>
        <v>2</v>
      </c>
    </row>
    <row r="3455" spans="1:12">
      <c r="A3455" t="s">
        <v>5481</v>
      </c>
      <c r="B3455" t="s">
        <v>1881</v>
      </c>
      <c r="C3455" t="s">
        <v>2000</v>
      </c>
      <c r="D3455" t="s">
        <v>2045</v>
      </c>
      <c r="E3455" t="s">
        <v>1971</v>
      </c>
      <c r="F3455" t="s">
        <v>57</v>
      </c>
      <c r="G3455" t="str">
        <f>INDEX(Risk_Matrix!$B$2:$D$4,MATCH(E3455,Risk_Matrix!$A$2:$A$4,0),MATCH(F3455,Risk_Matrix!$B$1:$D$1,0))</f>
        <v>Low</v>
      </c>
      <c r="H3455" s="1">
        <v>46229</v>
      </c>
      <c r="I3455" t="s">
        <v>2015</v>
      </c>
      <c r="J3455" t="s">
        <v>2016</v>
      </c>
      <c r="K3455" t="s">
        <v>1993</v>
      </c>
      <c r="L3455">
        <f>IF(G3455="High",3,IF(G3455="Medium",2,1))</f>
        <v>1</v>
      </c>
    </row>
    <row r="3456" spans="1:12">
      <c r="A3456" t="s">
        <v>5482</v>
      </c>
      <c r="B3456" t="s">
        <v>1881</v>
      </c>
      <c r="C3456" t="s">
        <v>2005</v>
      </c>
      <c r="D3456" t="s">
        <v>2022</v>
      </c>
      <c r="E3456" t="s">
        <v>57</v>
      </c>
      <c r="F3456" t="s">
        <v>1971</v>
      </c>
      <c r="G3456" t="str">
        <f>INDEX(Risk_Matrix!$B$2:$D$4,MATCH(E3456,Risk_Matrix!$A$2:$A$4,0),MATCH(F3456,Risk_Matrix!$B$1:$D$1,0))</f>
        <v>Low</v>
      </c>
      <c r="H3456" s="1">
        <v>46164</v>
      </c>
      <c r="I3456" t="s">
        <v>2015</v>
      </c>
      <c r="J3456" t="s">
        <v>2016</v>
      </c>
      <c r="K3456" t="s">
        <v>1993</v>
      </c>
      <c r="L3456">
        <f>IF(G3456="High",3,IF(G3456="Medium",2,1))</f>
        <v>1</v>
      </c>
    </row>
    <row r="3457" spans="1:12">
      <c r="A3457" t="s">
        <v>5483</v>
      </c>
      <c r="B3457" t="s">
        <v>1881</v>
      </c>
      <c r="C3457" t="s">
        <v>2008</v>
      </c>
      <c r="D3457" t="s">
        <v>2054</v>
      </c>
      <c r="E3457" t="s">
        <v>1971</v>
      </c>
      <c r="F3457" t="s">
        <v>57</v>
      </c>
      <c r="G3457" t="str">
        <f>INDEX(Risk_Matrix!$B$2:$D$4,MATCH(E3457,Risk_Matrix!$A$2:$A$4,0),MATCH(F3457,Risk_Matrix!$B$1:$D$1,0))</f>
        <v>Low</v>
      </c>
      <c r="H3457" s="1">
        <v>46198</v>
      </c>
      <c r="I3457" t="s">
        <v>2015</v>
      </c>
      <c r="J3457" t="s">
        <v>2032</v>
      </c>
      <c r="K3457" t="s">
        <v>2010</v>
      </c>
      <c r="L3457">
        <f>IF(G3457="High",3,IF(G3457="Medium",2,1))</f>
        <v>1</v>
      </c>
    </row>
    <row r="3458" spans="1:12">
      <c r="A3458" t="s">
        <v>5484</v>
      </c>
      <c r="B3458" t="s">
        <v>1884</v>
      </c>
      <c r="C3458" t="s">
        <v>1985</v>
      </c>
      <c r="D3458" t="s">
        <v>2012</v>
      </c>
      <c r="E3458" t="s">
        <v>57</v>
      </c>
      <c r="F3458" t="s">
        <v>57</v>
      </c>
      <c r="G3458" t="str">
        <f>INDEX(Risk_Matrix!$B$2:$D$4,MATCH(E3458,Risk_Matrix!$A$2:$A$4,0),MATCH(F3458,Risk_Matrix!$B$1:$D$1,0))</f>
        <v>Low</v>
      </c>
      <c r="H3458" s="1">
        <v>46229</v>
      </c>
      <c r="I3458" t="s">
        <v>2015</v>
      </c>
      <c r="J3458" t="s">
        <v>2016</v>
      </c>
      <c r="K3458" t="s">
        <v>1989</v>
      </c>
      <c r="L3458">
        <f>IF(G3458="High",3,IF(G3458="Medium",2,1))</f>
        <v>1</v>
      </c>
    </row>
    <row r="3459" spans="1:12">
      <c r="A3459" t="s">
        <v>5485</v>
      </c>
      <c r="B3459" t="s">
        <v>1884</v>
      </c>
      <c r="C3459" t="s">
        <v>1991</v>
      </c>
      <c r="D3459" t="s">
        <v>1992</v>
      </c>
      <c r="E3459" t="s">
        <v>57</v>
      </c>
      <c r="F3459" t="s">
        <v>57</v>
      </c>
      <c r="G3459" t="str">
        <f>INDEX(Risk_Matrix!$B$2:$D$4,MATCH(E3459,Risk_Matrix!$A$2:$A$4,0),MATCH(F3459,Risk_Matrix!$B$1:$D$1,0))</f>
        <v>Low</v>
      </c>
      <c r="H3459" s="1">
        <v>46192</v>
      </c>
      <c r="I3459" t="s">
        <v>2002</v>
      </c>
      <c r="J3459" t="s">
        <v>2029</v>
      </c>
      <c r="K3459" t="s">
        <v>1993</v>
      </c>
      <c r="L3459">
        <f>IF(G3459="High",3,IF(G3459="Medium",2,1))</f>
        <v>1</v>
      </c>
    </row>
    <row r="3460" spans="1:12">
      <c r="A3460" t="s">
        <v>5486</v>
      </c>
      <c r="B3460" t="s">
        <v>1884</v>
      </c>
      <c r="C3460" t="s">
        <v>1995</v>
      </c>
      <c r="D3460" t="s">
        <v>1996</v>
      </c>
      <c r="E3460" t="s">
        <v>1971</v>
      </c>
      <c r="F3460" t="s">
        <v>47</v>
      </c>
      <c r="G3460" t="str">
        <f>INDEX(Risk_Matrix!$B$2:$D$4,MATCH(E3460,Risk_Matrix!$A$2:$A$4,0),MATCH(F3460,Risk_Matrix!$B$1:$D$1,0))</f>
        <v>High</v>
      </c>
      <c r="H3460" s="1">
        <v>46170</v>
      </c>
      <c r="I3460" t="s">
        <v>2025</v>
      </c>
      <c r="J3460" t="s">
        <v>2026</v>
      </c>
      <c r="K3460" t="s">
        <v>1998</v>
      </c>
      <c r="L3460">
        <f>IF(G3460="High",3,IF(G3460="Medium",2,1))</f>
        <v>3</v>
      </c>
    </row>
    <row r="3461" spans="1:12">
      <c r="A3461" t="s">
        <v>5487</v>
      </c>
      <c r="B3461" t="s">
        <v>1884</v>
      </c>
      <c r="C3461" t="s">
        <v>2000</v>
      </c>
      <c r="D3461" t="s">
        <v>2020</v>
      </c>
      <c r="E3461" t="s">
        <v>57</v>
      </c>
      <c r="F3461" t="s">
        <v>57</v>
      </c>
      <c r="G3461" t="str">
        <f>INDEX(Risk_Matrix!$B$2:$D$4,MATCH(E3461,Risk_Matrix!$A$2:$A$4,0),MATCH(F3461,Risk_Matrix!$B$1:$D$1,0))</f>
        <v>Low</v>
      </c>
      <c r="H3461" s="1">
        <v>46121</v>
      </c>
      <c r="I3461" t="s">
        <v>2002</v>
      </c>
      <c r="J3461" t="s">
        <v>2029</v>
      </c>
      <c r="K3461" t="s">
        <v>1993</v>
      </c>
      <c r="L3461">
        <f>IF(G3461="High",3,IF(G3461="Medium",2,1))</f>
        <v>1</v>
      </c>
    </row>
    <row r="3462" spans="1:12">
      <c r="A3462" t="s">
        <v>5488</v>
      </c>
      <c r="B3462" t="s">
        <v>1884</v>
      </c>
      <c r="C3462" t="s">
        <v>2005</v>
      </c>
      <c r="D3462" t="s">
        <v>2006</v>
      </c>
      <c r="E3462" t="s">
        <v>57</v>
      </c>
      <c r="F3462" t="s">
        <v>47</v>
      </c>
      <c r="G3462" t="str">
        <f>INDEX(Risk_Matrix!$B$2:$D$4,MATCH(E3462,Risk_Matrix!$A$2:$A$4,0),MATCH(F3462,Risk_Matrix!$B$1:$D$1,0))</f>
        <v>Medium</v>
      </c>
      <c r="H3462" s="1">
        <v>46107</v>
      </c>
      <c r="I3462" t="s">
        <v>2025</v>
      </c>
      <c r="J3462" t="s">
        <v>2035</v>
      </c>
      <c r="K3462" t="s">
        <v>1993</v>
      </c>
      <c r="L3462">
        <f>IF(G3462="High",3,IF(G3462="Medium",2,1))</f>
        <v>2</v>
      </c>
    </row>
    <row r="3463" spans="1:12">
      <c r="A3463" t="s">
        <v>5489</v>
      </c>
      <c r="B3463" t="s">
        <v>1884</v>
      </c>
      <c r="C3463" t="s">
        <v>2008</v>
      </c>
      <c r="D3463" t="s">
        <v>2009</v>
      </c>
      <c r="E3463" t="s">
        <v>57</v>
      </c>
      <c r="F3463" t="s">
        <v>1971</v>
      </c>
      <c r="G3463" t="str">
        <f>INDEX(Risk_Matrix!$B$2:$D$4,MATCH(E3463,Risk_Matrix!$A$2:$A$4,0),MATCH(F3463,Risk_Matrix!$B$1:$D$1,0))</f>
        <v>Low</v>
      </c>
      <c r="H3463" s="1">
        <v>46061</v>
      </c>
      <c r="I3463" t="s">
        <v>2025</v>
      </c>
      <c r="J3463" t="s">
        <v>2026</v>
      </c>
      <c r="K3463" t="s">
        <v>2010</v>
      </c>
      <c r="L3463">
        <f>IF(G3463="High",3,IF(G3463="Medium",2,1))</f>
        <v>1</v>
      </c>
    </row>
    <row r="3464" spans="1:12">
      <c r="A3464" t="s">
        <v>5490</v>
      </c>
      <c r="B3464" t="s">
        <v>1886</v>
      </c>
      <c r="C3464" t="s">
        <v>1985</v>
      </c>
      <c r="D3464" t="s">
        <v>2028</v>
      </c>
      <c r="E3464" t="s">
        <v>1971</v>
      </c>
      <c r="F3464" t="s">
        <v>1971</v>
      </c>
      <c r="G3464" t="str">
        <f>INDEX(Risk_Matrix!$B$2:$D$4,MATCH(E3464,Risk_Matrix!$A$2:$A$4,0),MATCH(F3464,Risk_Matrix!$B$1:$D$1,0))</f>
        <v>Medium</v>
      </c>
      <c r="H3464" s="1">
        <v>46120</v>
      </c>
      <c r="I3464" t="s">
        <v>1987</v>
      </c>
      <c r="J3464" t="s">
        <v>1997</v>
      </c>
      <c r="K3464" t="s">
        <v>1989</v>
      </c>
      <c r="L3464">
        <f>IF(G3464="High",3,IF(G3464="Medium",2,1))</f>
        <v>2</v>
      </c>
    </row>
    <row r="3465" spans="1:12">
      <c r="A3465" t="s">
        <v>5491</v>
      </c>
      <c r="B3465" t="s">
        <v>1886</v>
      </c>
      <c r="C3465" t="s">
        <v>1991</v>
      </c>
      <c r="D3465" t="s">
        <v>2031</v>
      </c>
      <c r="E3465" t="s">
        <v>1971</v>
      </c>
      <c r="F3465" t="s">
        <v>1971</v>
      </c>
      <c r="G3465" t="str">
        <f>INDEX(Risk_Matrix!$B$2:$D$4,MATCH(E3465,Risk_Matrix!$A$2:$A$4,0),MATCH(F3465,Risk_Matrix!$B$1:$D$1,0))</f>
        <v>Medium</v>
      </c>
      <c r="H3465" s="1">
        <v>46058</v>
      </c>
      <c r="I3465" t="s">
        <v>1987</v>
      </c>
      <c r="J3465" t="s">
        <v>1988</v>
      </c>
      <c r="K3465" t="s">
        <v>1993</v>
      </c>
      <c r="L3465">
        <f>IF(G3465="High",3,IF(G3465="Medium",2,1))</f>
        <v>2</v>
      </c>
    </row>
    <row r="3466" spans="1:12">
      <c r="A3466" t="s">
        <v>5492</v>
      </c>
      <c r="B3466" t="s">
        <v>1886</v>
      </c>
      <c r="C3466" t="s">
        <v>1995</v>
      </c>
      <c r="D3466" t="s">
        <v>1996</v>
      </c>
      <c r="E3466" t="s">
        <v>47</v>
      </c>
      <c r="F3466" t="s">
        <v>1971</v>
      </c>
      <c r="G3466" t="str">
        <f>INDEX(Risk_Matrix!$B$2:$D$4,MATCH(E3466,Risk_Matrix!$A$2:$A$4,0),MATCH(F3466,Risk_Matrix!$B$1:$D$1,0))</f>
        <v>High</v>
      </c>
      <c r="H3466" s="1">
        <v>46159</v>
      </c>
      <c r="I3466" t="s">
        <v>2015</v>
      </c>
      <c r="J3466" t="s">
        <v>2016</v>
      </c>
      <c r="K3466" t="s">
        <v>2036</v>
      </c>
      <c r="L3466">
        <f>IF(G3466="High",3,IF(G3466="Medium",2,1))</f>
        <v>3</v>
      </c>
    </row>
    <row r="3467" spans="1:12">
      <c r="A3467" t="s">
        <v>5493</v>
      </c>
      <c r="B3467" t="s">
        <v>1886</v>
      </c>
      <c r="C3467" t="s">
        <v>2000</v>
      </c>
      <c r="D3467" t="s">
        <v>2020</v>
      </c>
      <c r="E3467" t="s">
        <v>57</v>
      </c>
      <c r="F3467" t="s">
        <v>47</v>
      </c>
      <c r="G3467" t="str">
        <f>INDEX(Risk_Matrix!$B$2:$D$4,MATCH(E3467,Risk_Matrix!$A$2:$A$4,0),MATCH(F3467,Risk_Matrix!$B$1:$D$1,0))</f>
        <v>Medium</v>
      </c>
      <c r="H3467" s="1">
        <v>46180</v>
      </c>
      <c r="I3467" t="s">
        <v>2025</v>
      </c>
      <c r="J3467" t="s">
        <v>2035</v>
      </c>
      <c r="K3467" t="s">
        <v>1989</v>
      </c>
      <c r="L3467">
        <f>IF(G3467="High",3,IF(G3467="Medium",2,1))</f>
        <v>2</v>
      </c>
    </row>
    <row r="3468" spans="1:12">
      <c r="A3468" t="s">
        <v>5494</v>
      </c>
      <c r="B3468" t="s">
        <v>1886</v>
      </c>
      <c r="C3468" t="s">
        <v>2005</v>
      </c>
      <c r="D3468" t="s">
        <v>2006</v>
      </c>
      <c r="E3468" t="s">
        <v>1971</v>
      </c>
      <c r="F3468" t="s">
        <v>47</v>
      </c>
      <c r="G3468" t="str">
        <f>INDEX(Risk_Matrix!$B$2:$D$4,MATCH(E3468,Risk_Matrix!$A$2:$A$4,0),MATCH(F3468,Risk_Matrix!$B$1:$D$1,0))</f>
        <v>High</v>
      </c>
      <c r="H3468" s="1">
        <v>46159</v>
      </c>
      <c r="I3468" t="s">
        <v>2015</v>
      </c>
      <c r="J3468" t="s">
        <v>2016</v>
      </c>
      <c r="K3468" t="s">
        <v>1993</v>
      </c>
      <c r="L3468">
        <f>IF(G3468="High",3,IF(G3468="Medium",2,1))</f>
        <v>3</v>
      </c>
    </row>
    <row r="3469" spans="1:12">
      <c r="A3469" t="s">
        <v>5495</v>
      </c>
      <c r="B3469" t="s">
        <v>1886</v>
      </c>
      <c r="C3469" t="s">
        <v>2008</v>
      </c>
      <c r="D3469" t="s">
        <v>2024</v>
      </c>
      <c r="E3469" t="s">
        <v>57</v>
      </c>
      <c r="F3469" t="s">
        <v>47</v>
      </c>
      <c r="G3469" t="str">
        <f>INDEX(Risk_Matrix!$B$2:$D$4,MATCH(E3469,Risk_Matrix!$A$2:$A$4,0),MATCH(F3469,Risk_Matrix!$B$1:$D$1,0))</f>
        <v>Medium</v>
      </c>
      <c r="H3469" s="1">
        <v>46155</v>
      </c>
      <c r="I3469" t="s">
        <v>2015</v>
      </c>
      <c r="J3469" t="s">
        <v>2016</v>
      </c>
      <c r="K3469" t="s">
        <v>2010</v>
      </c>
      <c r="L3469">
        <f>IF(G3469="High",3,IF(G3469="Medium",2,1))</f>
        <v>2</v>
      </c>
    </row>
    <row r="3470" spans="1:12">
      <c r="A3470" t="s">
        <v>5496</v>
      </c>
      <c r="B3470" t="s">
        <v>1888</v>
      </c>
      <c r="C3470" t="s">
        <v>1985</v>
      </c>
      <c r="D3470" t="s">
        <v>1986</v>
      </c>
      <c r="E3470" t="s">
        <v>1971</v>
      </c>
      <c r="F3470" t="s">
        <v>47</v>
      </c>
      <c r="G3470" t="str">
        <f>INDEX(Risk_Matrix!$B$2:$D$4,MATCH(E3470,Risk_Matrix!$A$2:$A$4,0),MATCH(F3470,Risk_Matrix!$B$1:$D$1,0))</f>
        <v>High</v>
      </c>
      <c r="H3470" s="1">
        <v>46095</v>
      </c>
      <c r="I3470" t="s">
        <v>2025</v>
      </c>
      <c r="J3470" t="s">
        <v>2035</v>
      </c>
      <c r="K3470" t="s">
        <v>1998</v>
      </c>
      <c r="L3470">
        <f>IF(G3470="High",3,IF(G3470="Medium",2,1))</f>
        <v>3</v>
      </c>
    </row>
    <row r="3471" spans="1:12">
      <c r="A3471" t="s">
        <v>5497</v>
      </c>
      <c r="B3471" t="s">
        <v>1888</v>
      </c>
      <c r="C3471" t="s">
        <v>1991</v>
      </c>
      <c r="D3471" t="s">
        <v>2031</v>
      </c>
      <c r="E3471" t="s">
        <v>57</v>
      </c>
      <c r="F3471" t="s">
        <v>47</v>
      </c>
      <c r="G3471" t="str">
        <f>INDEX(Risk_Matrix!$B$2:$D$4,MATCH(E3471,Risk_Matrix!$A$2:$A$4,0),MATCH(F3471,Risk_Matrix!$B$1:$D$1,0))</f>
        <v>Medium</v>
      </c>
      <c r="H3471" s="1">
        <v>46085</v>
      </c>
      <c r="I3471" t="s">
        <v>2025</v>
      </c>
      <c r="J3471" t="s">
        <v>2035</v>
      </c>
      <c r="K3471" t="s">
        <v>1993</v>
      </c>
      <c r="L3471">
        <f>IF(G3471="High",3,IF(G3471="Medium",2,1))</f>
        <v>2</v>
      </c>
    </row>
    <row r="3472" spans="1:12">
      <c r="A3472" t="s">
        <v>5498</v>
      </c>
      <c r="B3472" t="s">
        <v>1888</v>
      </c>
      <c r="C3472" t="s">
        <v>1995</v>
      </c>
      <c r="D3472" t="s">
        <v>2018</v>
      </c>
      <c r="E3472" t="s">
        <v>1971</v>
      </c>
      <c r="F3472" t="s">
        <v>57</v>
      </c>
      <c r="G3472" t="str">
        <f>INDEX(Risk_Matrix!$B$2:$D$4,MATCH(E3472,Risk_Matrix!$A$2:$A$4,0),MATCH(F3472,Risk_Matrix!$B$1:$D$1,0))</f>
        <v>Low</v>
      </c>
      <c r="H3472" s="1">
        <v>46116</v>
      </c>
      <c r="I3472" t="s">
        <v>1987</v>
      </c>
      <c r="J3472" t="s">
        <v>1988</v>
      </c>
      <c r="K3472" t="s">
        <v>1998</v>
      </c>
      <c r="L3472">
        <f>IF(G3472="High",3,IF(G3472="Medium",2,1))</f>
        <v>1</v>
      </c>
    </row>
    <row r="3473" spans="1:12">
      <c r="A3473" t="s">
        <v>5499</v>
      </c>
      <c r="B3473" t="s">
        <v>1888</v>
      </c>
      <c r="C3473" t="s">
        <v>2000</v>
      </c>
      <c r="D3473" t="s">
        <v>2020</v>
      </c>
      <c r="E3473" t="s">
        <v>1971</v>
      </c>
      <c r="F3473" t="s">
        <v>57</v>
      </c>
      <c r="G3473" t="str">
        <f>INDEX(Risk_Matrix!$B$2:$D$4,MATCH(E3473,Risk_Matrix!$A$2:$A$4,0),MATCH(F3473,Risk_Matrix!$B$1:$D$1,0))</f>
        <v>Low</v>
      </c>
      <c r="H3473" s="1">
        <v>46211</v>
      </c>
      <c r="I3473" t="s">
        <v>2025</v>
      </c>
      <c r="J3473" t="s">
        <v>2035</v>
      </c>
      <c r="K3473" t="s">
        <v>1989</v>
      </c>
      <c r="L3473">
        <f>IF(G3473="High",3,IF(G3473="Medium",2,1))</f>
        <v>1</v>
      </c>
    </row>
    <row r="3474" spans="1:12">
      <c r="A3474" t="s">
        <v>5500</v>
      </c>
      <c r="B3474" t="s">
        <v>1888</v>
      </c>
      <c r="C3474" t="s">
        <v>2005</v>
      </c>
      <c r="D3474" t="s">
        <v>2039</v>
      </c>
      <c r="E3474" t="s">
        <v>1971</v>
      </c>
      <c r="F3474" t="s">
        <v>57</v>
      </c>
      <c r="G3474" t="str">
        <f>INDEX(Risk_Matrix!$B$2:$D$4,MATCH(E3474,Risk_Matrix!$A$2:$A$4,0),MATCH(F3474,Risk_Matrix!$B$1:$D$1,0))</f>
        <v>Low</v>
      </c>
      <c r="H3474" s="1">
        <v>46096</v>
      </c>
      <c r="I3474" t="s">
        <v>1987</v>
      </c>
      <c r="J3474" t="s">
        <v>1997</v>
      </c>
      <c r="K3474" t="s">
        <v>1993</v>
      </c>
      <c r="L3474">
        <f>IF(G3474="High",3,IF(G3474="Medium",2,1))</f>
        <v>1</v>
      </c>
    </row>
    <row r="3475" spans="1:12">
      <c r="A3475" t="s">
        <v>5501</v>
      </c>
      <c r="B3475" t="s">
        <v>1888</v>
      </c>
      <c r="C3475" t="s">
        <v>2008</v>
      </c>
      <c r="D3475" t="s">
        <v>2054</v>
      </c>
      <c r="E3475" t="s">
        <v>57</v>
      </c>
      <c r="F3475" t="s">
        <v>57</v>
      </c>
      <c r="G3475" t="str">
        <f>INDEX(Risk_Matrix!$B$2:$D$4,MATCH(E3475,Risk_Matrix!$A$2:$A$4,0),MATCH(F3475,Risk_Matrix!$B$1:$D$1,0))</f>
        <v>Low</v>
      </c>
      <c r="H3475" s="1">
        <v>46166</v>
      </c>
      <c r="I3475" t="s">
        <v>2015</v>
      </c>
      <c r="J3475" t="s">
        <v>2016</v>
      </c>
      <c r="K3475" t="s">
        <v>2010</v>
      </c>
      <c r="L3475">
        <f>IF(G3475="High",3,IF(G3475="Medium",2,1))</f>
        <v>1</v>
      </c>
    </row>
    <row r="3476" spans="1:12">
      <c r="A3476" t="s">
        <v>5502</v>
      </c>
      <c r="B3476" t="s">
        <v>1890</v>
      </c>
      <c r="C3476" t="s">
        <v>1985</v>
      </c>
      <c r="D3476" t="s">
        <v>2012</v>
      </c>
      <c r="E3476" t="s">
        <v>57</v>
      </c>
      <c r="F3476" t="s">
        <v>47</v>
      </c>
      <c r="G3476" t="str">
        <f>INDEX(Risk_Matrix!$B$2:$D$4,MATCH(E3476,Risk_Matrix!$A$2:$A$4,0),MATCH(F3476,Risk_Matrix!$B$1:$D$1,0))</f>
        <v>Medium</v>
      </c>
      <c r="H3476" s="1">
        <v>46182</v>
      </c>
      <c r="I3476" t="s">
        <v>1987</v>
      </c>
      <c r="J3476" t="s">
        <v>1997</v>
      </c>
      <c r="K3476" t="s">
        <v>1998</v>
      </c>
      <c r="L3476">
        <f>IF(G3476="High",3,IF(G3476="Medium",2,1))</f>
        <v>2</v>
      </c>
    </row>
    <row r="3477" spans="1:12">
      <c r="A3477" t="s">
        <v>5503</v>
      </c>
      <c r="B3477" t="s">
        <v>1890</v>
      </c>
      <c r="C3477" t="s">
        <v>1991</v>
      </c>
      <c r="D3477" t="s">
        <v>2031</v>
      </c>
      <c r="E3477" t="s">
        <v>1971</v>
      </c>
      <c r="F3477" t="s">
        <v>47</v>
      </c>
      <c r="G3477" t="str">
        <f>INDEX(Risk_Matrix!$B$2:$D$4,MATCH(E3477,Risk_Matrix!$A$2:$A$4,0),MATCH(F3477,Risk_Matrix!$B$1:$D$1,0))</f>
        <v>High</v>
      </c>
      <c r="H3477" s="1">
        <v>46112</v>
      </c>
      <c r="I3477" t="s">
        <v>2025</v>
      </c>
      <c r="J3477" t="s">
        <v>2026</v>
      </c>
      <c r="K3477" t="s">
        <v>1993</v>
      </c>
      <c r="L3477">
        <f>IF(G3477="High",3,IF(G3477="Medium",2,1))</f>
        <v>3</v>
      </c>
    </row>
    <row r="3478" spans="1:12">
      <c r="A3478" t="s">
        <v>5504</v>
      </c>
      <c r="B3478" t="s">
        <v>1890</v>
      </c>
      <c r="C3478" t="s">
        <v>1995</v>
      </c>
      <c r="D3478" t="s">
        <v>2018</v>
      </c>
      <c r="E3478" t="s">
        <v>57</v>
      </c>
      <c r="F3478" t="s">
        <v>47</v>
      </c>
      <c r="G3478" t="str">
        <f>INDEX(Risk_Matrix!$B$2:$D$4,MATCH(E3478,Risk_Matrix!$A$2:$A$4,0),MATCH(F3478,Risk_Matrix!$B$1:$D$1,0))</f>
        <v>Medium</v>
      </c>
      <c r="H3478" s="1">
        <v>46122</v>
      </c>
      <c r="I3478" t="s">
        <v>2002</v>
      </c>
      <c r="J3478" t="s">
        <v>2029</v>
      </c>
      <c r="K3478" t="s">
        <v>1998</v>
      </c>
      <c r="L3478">
        <f>IF(G3478="High",3,IF(G3478="Medium",2,1))</f>
        <v>2</v>
      </c>
    </row>
    <row r="3479" spans="1:12">
      <c r="A3479" t="s">
        <v>5505</v>
      </c>
      <c r="B3479" t="s">
        <v>1890</v>
      </c>
      <c r="C3479" t="s">
        <v>2000</v>
      </c>
      <c r="D3479" t="s">
        <v>2001</v>
      </c>
      <c r="E3479" t="s">
        <v>47</v>
      </c>
      <c r="F3479" t="s">
        <v>1971</v>
      </c>
      <c r="G3479" t="str">
        <f>INDEX(Risk_Matrix!$B$2:$D$4,MATCH(E3479,Risk_Matrix!$A$2:$A$4,0),MATCH(F3479,Risk_Matrix!$B$1:$D$1,0))</f>
        <v>High</v>
      </c>
      <c r="H3479" s="1">
        <v>46212</v>
      </c>
      <c r="I3479" t="s">
        <v>2015</v>
      </c>
      <c r="J3479" t="s">
        <v>2032</v>
      </c>
      <c r="K3479" t="s">
        <v>1989</v>
      </c>
      <c r="L3479">
        <f>IF(G3479="High",3,IF(G3479="Medium",2,1))</f>
        <v>3</v>
      </c>
    </row>
    <row r="3480" spans="1:12">
      <c r="A3480" t="s">
        <v>5506</v>
      </c>
      <c r="B3480" t="s">
        <v>1890</v>
      </c>
      <c r="C3480" t="s">
        <v>2005</v>
      </c>
      <c r="D3480" t="s">
        <v>2039</v>
      </c>
      <c r="E3480" t="s">
        <v>1971</v>
      </c>
      <c r="F3480" t="s">
        <v>47</v>
      </c>
      <c r="G3480" t="str">
        <f>INDEX(Risk_Matrix!$B$2:$D$4,MATCH(E3480,Risk_Matrix!$A$2:$A$4,0),MATCH(F3480,Risk_Matrix!$B$1:$D$1,0))</f>
        <v>High</v>
      </c>
      <c r="H3480" s="1">
        <v>46233</v>
      </c>
      <c r="I3480" t="s">
        <v>2015</v>
      </c>
      <c r="J3480" t="s">
        <v>2016</v>
      </c>
      <c r="K3480" t="s">
        <v>1993</v>
      </c>
      <c r="L3480">
        <f>IF(G3480="High",3,IF(G3480="Medium",2,1))</f>
        <v>3</v>
      </c>
    </row>
    <row r="3481" spans="1:12">
      <c r="A3481" t="s">
        <v>5507</v>
      </c>
      <c r="B3481" t="s">
        <v>1890</v>
      </c>
      <c r="C3481" t="s">
        <v>2008</v>
      </c>
      <c r="D3481" t="s">
        <v>2009</v>
      </c>
      <c r="E3481" t="s">
        <v>57</v>
      </c>
      <c r="F3481" t="s">
        <v>1971</v>
      </c>
      <c r="G3481" t="str">
        <f>INDEX(Risk_Matrix!$B$2:$D$4,MATCH(E3481,Risk_Matrix!$A$2:$A$4,0),MATCH(F3481,Risk_Matrix!$B$1:$D$1,0))</f>
        <v>Low</v>
      </c>
      <c r="H3481" s="1">
        <v>46131</v>
      </c>
      <c r="I3481" t="s">
        <v>1987</v>
      </c>
      <c r="J3481" t="s">
        <v>1997</v>
      </c>
      <c r="K3481" t="s">
        <v>2010</v>
      </c>
      <c r="L3481">
        <f>IF(G3481="High",3,IF(G3481="Medium",2,1))</f>
        <v>1</v>
      </c>
    </row>
    <row r="3482" spans="1:12">
      <c r="A3482" t="s">
        <v>5508</v>
      </c>
      <c r="B3482" t="s">
        <v>1892</v>
      </c>
      <c r="C3482" t="s">
        <v>1985</v>
      </c>
      <c r="D3482" t="s">
        <v>2012</v>
      </c>
      <c r="E3482" t="s">
        <v>1971</v>
      </c>
      <c r="F3482" t="s">
        <v>47</v>
      </c>
      <c r="G3482" t="str">
        <f>INDEX(Risk_Matrix!$B$2:$D$4,MATCH(E3482,Risk_Matrix!$A$2:$A$4,0),MATCH(F3482,Risk_Matrix!$B$1:$D$1,0))</f>
        <v>High</v>
      </c>
      <c r="H3482" s="1">
        <v>46235</v>
      </c>
      <c r="I3482" t="s">
        <v>2015</v>
      </c>
      <c r="J3482" t="s">
        <v>2016</v>
      </c>
      <c r="K3482" t="s">
        <v>1998</v>
      </c>
      <c r="L3482">
        <f>IF(G3482="High",3,IF(G3482="Medium",2,1))</f>
        <v>3</v>
      </c>
    </row>
    <row r="3483" spans="1:12">
      <c r="A3483" t="s">
        <v>5509</v>
      </c>
      <c r="B3483" t="s">
        <v>1892</v>
      </c>
      <c r="C3483" t="s">
        <v>1991</v>
      </c>
      <c r="D3483" t="s">
        <v>1992</v>
      </c>
      <c r="E3483" t="s">
        <v>47</v>
      </c>
      <c r="F3483" t="s">
        <v>1971</v>
      </c>
      <c r="G3483" t="str">
        <f>INDEX(Risk_Matrix!$B$2:$D$4,MATCH(E3483,Risk_Matrix!$A$2:$A$4,0),MATCH(F3483,Risk_Matrix!$B$1:$D$1,0))</f>
        <v>High</v>
      </c>
      <c r="H3483" s="1">
        <v>46188</v>
      </c>
      <c r="I3483" t="s">
        <v>2015</v>
      </c>
      <c r="J3483" t="s">
        <v>2016</v>
      </c>
      <c r="K3483" t="s">
        <v>1993</v>
      </c>
      <c r="L3483">
        <f>IF(G3483="High",3,IF(G3483="Medium",2,1))</f>
        <v>3</v>
      </c>
    </row>
    <row r="3484" spans="1:12">
      <c r="A3484" t="s">
        <v>5510</v>
      </c>
      <c r="B3484" t="s">
        <v>1892</v>
      </c>
      <c r="C3484" t="s">
        <v>1995</v>
      </c>
      <c r="D3484" t="s">
        <v>2034</v>
      </c>
      <c r="E3484" t="s">
        <v>1971</v>
      </c>
      <c r="F3484" t="s">
        <v>1971</v>
      </c>
      <c r="G3484" t="str">
        <f>INDEX(Risk_Matrix!$B$2:$D$4,MATCH(E3484,Risk_Matrix!$A$2:$A$4,0),MATCH(F3484,Risk_Matrix!$B$1:$D$1,0))</f>
        <v>Medium</v>
      </c>
      <c r="H3484" s="1">
        <v>46158</v>
      </c>
      <c r="I3484" t="s">
        <v>2015</v>
      </c>
      <c r="J3484" t="s">
        <v>2016</v>
      </c>
      <c r="K3484" t="s">
        <v>2036</v>
      </c>
      <c r="L3484">
        <f>IF(G3484="High",3,IF(G3484="Medium",2,1))</f>
        <v>2</v>
      </c>
    </row>
    <row r="3485" spans="1:12">
      <c r="A3485" t="s">
        <v>5511</v>
      </c>
      <c r="B3485" t="s">
        <v>1892</v>
      </c>
      <c r="C3485" t="s">
        <v>2000</v>
      </c>
      <c r="D3485" t="s">
        <v>2001</v>
      </c>
      <c r="E3485" t="s">
        <v>57</v>
      </c>
      <c r="F3485" t="s">
        <v>57</v>
      </c>
      <c r="G3485" t="str">
        <f>INDEX(Risk_Matrix!$B$2:$D$4,MATCH(E3485,Risk_Matrix!$A$2:$A$4,0),MATCH(F3485,Risk_Matrix!$B$1:$D$1,0))</f>
        <v>Low</v>
      </c>
      <c r="H3485" s="1">
        <v>46189</v>
      </c>
      <c r="I3485" t="s">
        <v>1987</v>
      </c>
      <c r="J3485" t="s">
        <v>1997</v>
      </c>
      <c r="K3485" t="s">
        <v>1989</v>
      </c>
      <c r="L3485">
        <f>IF(G3485="High",3,IF(G3485="Medium",2,1))</f>
        <v>1</v>
      </c>
    </row>
    <row r="3486" spans="1:12">
      <c r="A3486" t="s">
        <v>5512</v>
      </c>
      <c r="B3486" t="s">
        <v>1892</v>
      </c>
      <c r="C3486" t="s">
        <v>2005</v>
      </c>
      <c r="D3486" t="s">
        <v>2039</v>
      </c>
      <c r="E3486" t="s">
        <v>1971</v>
      </c>
      <c r="F3486" t="s">
        <v>1971</v>
      </c>
      <c r="G3486" t="str">
        <f>INDEX(Risk_Matrix!$B$2:$D$4,MATCH(E3486,Risk_Matrix!$A$2:$A$4,0),MATCH(F3486,Risk_Matrix!$B$1:$D$1,0))</f>
        <v>Medium</v>
      </c>
      <c r="H3486" s="1">
        <v>46206</v>
      </c>
      <c r="I3486" t="s">
        <v>2025</v>
      </c>
      <c r="J3486" t="s">
        <v>2026</v>
      </c>
      <c r="K3486" t="s">
        <v>1993</v>
      </c>
      <c r="L3486">
        <f>IF(G3486="High",3,IF(G3486="Medium",2,1))</f>
        <v>2</v>
      </c>
    </row>
    <row r="3487" spans="1:12">
      <c r="A3487" t="s">
        <v>5513</v>
      </c>
      <c r="B3487" t="s">
        <v>1892</v>
      </c>
      <c r="C3487" t="s">
        <v>2008</v>
      </c>
      <c r="D3487" t="s">
        <v>2009</v>
      </c>
      <c r="E3487" t="s">
        <v>47</v>
      </c>
      <c r="F3487" t="s">
        <v>1971</v>
      </c>
      <c r="G3487" t="str">
        <f>INDEX(Risk_Matrix!$B$2:$D$4,MATCH(E3487,Risk_Matrix!$A$2:$A$4,0),MATCH(F3487,Risk_Matrix!$B$1:$D$1,0))</f>
        <v>High</v>
      </c>
      <c r="H3487" s="1">
        <v>46171</v>
      </c>
      <c r="I3487" t="s">
        <v>2015</v>
      </c>
      <c r="J3487" t="s">
        <v>2016</v>
      </c>
      <c r="K3487" t="s">
        <v>2010</v>
      </c>
      <c r="L3487">
        <f>IF(G3487="High",3,IF(G3487="Medium",2,1))</f>
        <v>3</v>
      </c>
    </row>
    <row r="3488" spans="1:12">
      <c r="A3488" t="s">
        <v>5514</v>
      </c>
      <c r="B3488" t="s">
        <v>1895</v>
      </c>
      <c r="C3488" t="s">
        <v>1985</v>
      </c>
      <c r="D3488" t="s">
        <v>2062</v>
      </c>
      <c r="E3488" t="s">
        <v>1971</v>
      </c>
      <c r="F3488" t="s">
        <v>1971</v>
      </c>
      <c r="G3488" t="str">
        <f>INDEX(Risk_Matrix!$B$2:$D$4,MATCH(E3488,Risk_Matrix!$A$2:$A$4,0),MATCH(F3488,Risk_Matrix!$B$1:$D$1,0))</f>
        <v>Medium</v>
      </c>
      <c r="H3488" s="1">
        <v>46064</v>
      </c>
      <c r="I3488" t="s">
        <v>2025</v>
      </c>
      <c r="J3488" t="s">
        <v>2035</v>
      </c>
      <c r="K3488" t="s">
        <v>1989</v>
      </c>
      <c r="L3488">
        <f>IF(G3488="High",3,IF(G3488="Medium",2,1))</f>
        <v>2</v>
      </c>
    </row>
    <row r="3489" spans="1:12">
      <c r="A3489" t="s">
        <v>5515</v>
      </c>
      <c r="B3489" t="s">
        <v>1895</v>
      </c>
      <c r="C3489" t="s">
        <v>1991</v>
      </c>
      <c r="D3489" t="s">
        <v>2064</v>
      </c>
      <c r="E3489" t="s">
        <v>1971</v>
      </c>
      <c r="F3489" t="s">
        <v>47</v>
      </c>
      <c r="G3489" t="str">
        <f>INDEX(Risk_Matrix!$B$2:$D$4,MATCH(E3489,Risk_Matrix!$A$2:$A$4,0),MATCH(F3489,Risk_Matrix!$B$1:$D$1,0))</f>
        <v>High</v>
      </c>
      <c r="H3489" s="1">
        <v>46098</v>
      </c>
      <c r="I3489" t="s">
        <v>2025</v>
      </c>
      <c r="J3489" t="s">
        <v>2035</v>
      </c>
      <c r="K3489" t="s">
        <v>1993</v>
      </c>
      <c r="L3489">
        <f>IF(G3489="High",3,IF(G3489="Medium",2,1))</f>
        <v>3</v>
      </c>
    </row>
    <row r="3490" spans="1:12">
      <c r="A3490" t="s">
        <v>5516</v>
      </c>
      <c r="B3490" t="s">
        <v>1895</v>
      </c>
      <c r="C3490" t="s">
        <v>1995</v>
      </c>
      <c r="D3490" t="s">
        <v>2034</v>
      </c>
      <c r="E3490" t="s">
        <v>57</v>
      </c>
      <c r="F3490" t="s">
        <v>57</v>
      </c>
      <c r="G3490" t="str">
        <f>INDEX(Risk_Matrix!$B$2:$D$4,MATCH(E3490,Risk_Matrix!$A$2:$A$4,0),MATCH(F3490,Risk_Matrix!$B$1:$D$1,0))</f>
        <v>Low</v>
      </c>
      <c r="H3490" s="1">
        <v>46066</v>
      </c>
      <c r="I3490" t="s">
        <v>1987</v>
      </c>
      <c r="J3490" t="s">
        <v>1997</v>
      </c>
      <c r="K3490" t="s">
        <v>1998</v>
      </c>
      <c r="L3490">
        <f>IF(G3490="High",3,IF(G3490="Medium",2,1))</f>
        <v>1</v>
      </c>
    </row>
    <row r="3491" spans="1:12">
      <c r="A3491" t="s">
        <v>5517</v>
      </c>
      <c r="B3491" t="s">
        <v>1895</v>
      </c>
      <c r="C3491" t="s">
        <v>2000</v>
      </c>
      <c r="D3491" t="s">
        <v>2001</v>
      </c>
      <c r="E3491" t="s">
        <v>57</v>
      </c>
      <c r="F3491" t="s">
        <v>57</v>
      </c>
      <c r="G3491" t="str">
        <f>INDEX(Risk_Matrix!$B$2:$D$4,MATCH(E3491,Risk_Matrix!$A$2:$A$4,0),MATCH(F3491,Risk_Matrix!$B$1:$D$1,0))</f>
        <v>Low</v>
      </c>
      <c r="H3491" s="1">
        <v>46228</v>
      </c>
      <c r="I3491" t="s">
        <v>2015</v>
      </c>
      <c r="J3491" t="s">
        <v>2032</v>
      </c>
      <c r="K3491" t="s">
        <v>1993</v>
      </c>
      <c r="L3491">
        <f>IF(G3491="High",3,IF(G3491="Medium",2,1))</f>
        <v>1</v>
      </c>
    </row>
    <row r="3492" spans="1:12">
      <c r="A3492" t="s">
        <v>5518</v>
      </c>
      <c r="B3492" t="s">
        <v>1895</v>
      </c>
      <c r="C3492" t="s">
        <v>2005</v>
      </c>
      <c r="D3492" t="s">
        <v>2039</v>
      </c>
      <c r="E3492" t="s">
        <v>57</v>
      </c>
      <c r="F3492" t="s">
        <v>57</v>
      </c>
      <c r="G3492" t="str">
        <f>INDEX(Risk_Matrix!$B$2:$D$4,MATCH(E3492,Risk_Matrix!$A$2:$A$4,0),MATCH(F3492,Risk_Matrix!$B$1:$D$1,0))</f>
        <v>Low</v>
      </c>
      <c r="H3492" s="1">
        <v>46204</v>
      </c>
      <c r="I3492" t="s">
        <v>1987</v>
      </c>
      <c r="J3492" t="s">
        <v>1997</v>
      </c>
      <c r="K3492" t="s">
        <v>1993</v>
      </c>
      <c r="L3492">
        <f>IF(G3492="High",3,IF(G3492="Medium",2,1))</f>
        <v>1</v>
      </c>
    </row>
    <row r="3493" spans="1:12">
      <c r="A3493" t="s">
        <v>5519</v>
      </c>
      <c r="B3493" t="s">
        <v>1895</v>
      </c>
      <c r="C3493" t="s">
        <v>2008</v>
      </c>
      <c r="D3493" t="s">
        <v>2009</v>
      </c>
      <c r="E3493" t="s">
        <v>1971</v>
      </c>
      <c r="F3493" t="s">
        <v>47</v>
      </c>
      <c r="G3493" t="str">
        <f>INDEX(Risk_Matrix!$B$2:$D$4,MATCH(E3493,Risk_Matrix!$A$2:$A$4,0),MATCH(F3493,Risk_Matrix!$B$1:$D$1,0))</f>
        <v>High</v>
      </c>
      <c r="H3493" s="1">
        <v>46111</v>
      </c>
      <c r="I3493" t="s">
        <v>2025</v>
      </c>
      <c r="J3493" t="s">
        <v>2026</v>
      </c>
      <c r="K3493" t="s">
        <v>2010</v>
      </c>
      <c r="L3493">
        <f>IF(G3493="High",3,IF(G3493="Medium",2,1))</f>
        <v>3</v>
      </c>
    </row>
    <row r="3494" spans="1:12">
      <c r="A3494" t="s">
        <v>5520</v>
      </c>
      <c r="B3494" t="s">
        <v>1898</v>
      </c>
      <c r="C3494" t="s">
        <v>1985</v>
      </c>
      <c r="D3494" t="s">
        <v>2012</v>
      </c>
      <c r="E3494" t="s">
        <v>57</v>
      </c>
      <c r="F3494" t="s">
        <v>47</v>
      </c>
      <c r="G3494" t="str">
        <f>INDEX(Risk_Matrix!$B$2:$D$4,MATCH(E3494,Risk_Matrix!$A$2:$A$4,0),MATCH(F3494,Risk_Matrix!$B$1:$D$1,0))</f>
        <v>Medium</v>
      </c>
      <c r="H3494" s="1">
        <v>46175</v>
      </c>
      <c r="I3494" t="s">
        <v>2002</v>
      </c>
      <c r="J3494" t="s">
        <v>2029</v>
      </c>
      <c r="K3494" t="s">
        <v>1998</v>
      </c>
      <c r="L3494">
        <f>IF(G3494="High",3,IF(G3494="Medium",2,1))</f>
        <v>2</v>
      </c>
    </row>
    <row r="3495" spans="1:12">
      <c r="A3495" t="s">
        <v>5521</v>
      </c>
      <c r="B3495" t="s">
        <v>1898</v>
      </c>
      <c r="C3495" t="s">
        <v>1991</v>
      </c>
      <c r="D3495" t="s">
        <v>2031</v>
      </c>
      <c r="E3495" t="s">
        <v>1971</v>
      </c>
      <c r="F3495" t="s">
        <v>47</v>
      </c>
      <c r="G3495" t="str">
        <f>INDEX(Risk_Matrix!$B$2:$D$4,MATCH(E3495,Risk_Matrix!$A$2:$A$4,0),MATCH(F3495,Risk_Matrix!$B$1:$D$1,0))</f>
        <v>High</v>
      </c>
      <c r="H3495" s="1">
        <v>46140</v>
      </c>
      <c r="I3495" t="s">
        <v>2025</v>
      </c>
      <c r="J3495" t="s">
        <v>2035</v>
      </c>
      <c r="K3495" t="s">
        <v>2010</v>
      </c>
      <c r="L3495">
        <f>IF(G3495="High",3,IF(G3495="Medium",2,1))</f>
        <v>3</v>
      </c>
    </row>
    <row r="3496" spans="1:12">
      <c r="A3496" t="s">
        <v>5522</v>
      </c>
      <c r="B3496" t="s">
        <v>1898</v>
      </c>
      <c r="C3496" t="s">
        <v>1995</v>
      </c>
      <c r="D3496" t="s">
        <v>1996</v>
      </c>
      <c r="E3496" t="s">
        <v>57</v>
      </c>
      <c r="F3496" t="s">
        <v>57</v>
      </c>
      <c r="G3496" t="str">
        <f>INDEX(Risk_Matrix!$B$2:$D$4,MATCH(E3496,Risk_Matrix!$A$2:$A$4,0),MATCH(F3496,Risk_Matrix!$B$1:$D$1,0))</f>
        <v>Low</v>
      </c>
      <c r="H3496" s="1">
        <v>46205</v>
      </c>
      <c r="I3496" t="s">
        <v>2015</v>
      </c>
      <c r="J3496" t="s">
        <v>2032</v>
      </c>
      <c r="K3496" t="s">
        <v>1998</v>
      </c>
      <c r="L3496">
        <f>IF(G3496="High",3,IF(G3496="Medium",2,1))</f>
        <v>1</v>
      </c>
    </row>
    <row r="3497" spans="1:12">
      <c r="A3497" t="s">
        <v>5523</v>
      </c>
      <c r="B3497" t="s">
        <v>1898</v>
      </c>
      <c r="C3497" t="s">
        <v>2000</v>
      </c>
      <c r="D3497" t="s">
        <v>2001</v>
      </c>
      <c r="E3497" t="s">
        <v>47</v>
      </c>
      <c r="F3497" t="s">
        <v>47</v>
      </c>
      <c r="G3497" t="str">
        <f>INDEX(Risk_Matrix!$B$2:$D$4,MATCH(E3497,Risk_Matrix!$A$2:$A$4,0),MATCH(F3497,Risk_Matrix!$B$1:$D$1,0))</f>
        <v>High</v>
      </c>
      <c r="H3497" s="1">
        <v>46150</v>
      </c>
      <c r="I3497" t="s">
        <v>2025</v>
      </c>
      <c r="J3497" t="s">
        <v>2026</v>
      </c>
      <c r="K3497" t="s">
        <v>1993</v>
      </c>
      <c r="L3497">
        <f>IF(G3497="High",3,IF(G3497="Medium",2,1))</f>
        <v>3</v>
      </c>
    </row>
    <row r="3498" spans="1:12">
      <c r="A3498" t="s">
        <v>5524</v>
      </c>
      <c r="B3498" t="s">
        <v>1898</v>
      </c>
      <c r="C3498" t="s">
        <v>2005</v>
      </c>
      <c r="D3498" t="s">
        <v>2022</v>
      </c>
      <c r="E3498" t="s">
        <v>47</v>
      </c>
      <c r="F3498" t="s">
        <v>47</v>
      </c>
      <c r="G3498" t="str">
        <f>INDEX(Risk_Matrix!$B$2:$D$4,MATCH(E3498,Risk_Matrix!$A$2:$A$4,0),MATCH(F3498,Risk_Matrix!$B$1:$D$1,0))</f>
        <v>High</v>
      </c>
      <c r="H3498" s="1">
        <v>46204</v>
      </c>
      <c r="I3498" t="s">
        <v>2015</v>
      </c>
      <c r="J3498" t="s">
        <v>2016</v>
      </c>
      <c r="K3498" t="s">
        <v>1993</v>
      </c>
      <c r="L3498">
        <f>IF(G3498="High",3,IF(G3498="Medium",2,1))</f>
        <v>3</v>
      </c>
    </row>
    <row r="3499" spans="1:12">
      <c r="A3499" t="s">
        <v>5525</v>
      </c>
      <c r="B3499" t="s">
        <v>1898</v>
      </c>
      <c r="C3499" t="s">
        <v>2008</v>
      </c>
      <c r="D3499" t="s">
        <v>2024</v>
      </c>
      <c r="E3499" t="s">
        <v>47</v>
      </c>
      <c r="F3499" t="s">
        <v>57</v>
      </c>
      <c r="G3499" t="str">
        <f>INDEX(Risk_Matrix!$B$2:$D$4,MATCH(E3499,Risk_Matrix!$A$2:$A$4,0),MATCH(F3499,Risk_Matrix!$B$1:$D$1,0))</f>
        <v>Medium</v>
      </c>
      <c r="H3499" s="1">
        <v>46208</v>
      </c>
      <c r="I3499" t="s">
        <v>2025</v>
      </c>
      <c r="J3499" t="s">
        <v>2035</v>
      </c>
      <c r="K3499" t="s">
        <v>2010</v>
      </c>
      <c r="L3499">
        <f>IF(G3499="High",3,IF(G3499="Medium",2,1))</f>
        <v>2</v>
      </c>
    </row>
    <row r="3500" spans="1:12">
      <c r="A3500" t="s">
        <v>5526</v>
      </c>
      <c r="B3500" t="s">
        <v>1901</v>
      </c>
      <c r="C3500" t="s">
        <v>1985</v>
      </c>
      <c r="D3500" t="s">
        <v>1986</v>
      </c>
      <c r="E3500" t="s">
        <v>57</v>
      </c>
      <c r="F3500" t="s">
        <v>47</v>
      </c>
      <c r="G3500" t="str">
        <f>INDEX(Risk_Matrix!$B$2:$D$4,MATCH(E3500,Risk_Matrix!$A$2:$A$4,0),MATCH(F3500,Risk_Matrix!$B$1:$D$1,0))</f>
        <v>Medium</v>
      </c>
      <c r="H3500" s="1">
        <v>46178</v>
      </c>
      <c r="I3500" t="s">
        <v>1987</v>
      </c>
      <c r="J3500" t="s">
        <v>1988</v>
      </c>
      <c r="K3500" t="s">
        <v>1989</v>
      </c>
      <c r="L3500">
        <f>IF(G3500="High",3,IF(G3500="Medium",2,1))</f>
        <v>2</v>
      </c>
    </row>
    <row r="3501" spans="1:12">
      <c r="A3501" t="s">
        <v>5527</v>
      </c>
      <c r="B3501" t="s">
        <v>1901</v>
      </c>
      <c r="C3501" t="s">
        <v>1991</v>
      </c>
      <c r="D3501" t="s">
        <v>1992</v>
      </c>
      <c r="E3501" t="s">
        <v>1971</v>
      </c>
      <c r="F3501" t="s">
        <v>57</v>
      </c>
      <c r="G3501" t="str">
        <f>INDEX(Risk_Matrix!$B$2:$D$4,MATCH(E3501,Risk_Matrix!$A$2:$A$4,0),MATCH(F3501,Risk_Matrix!$B$1:$D$1,0))</f>
        <v>Low</v>
      </c>
      <c r="H3501" s="1">
        <v>46151</v>
      </c>
      <c r="I3501" t="s">
        <v>2015</v>
      </c>
      <c r="J3501" t="s">
        <v>2016</v>
      </c>
      <c r="K3501" t="s">
        <v>1993</v>
      </c>
      <c r="L3501">
        <f>IF(G3501="High",3,IF(G3501="Medium",2,1))</f>
        <v>1</v>
      </c>
    </row>
    <row r="3502" spans="1:12">
      <c r="A3502" t="s">
        <v>5528</v>
      </c>
      <c r="B3502" t="s">
        <v>1901</v>
      </c>
      <c r="C3502" t="s">
        <v>1995</v>
      </c>
      <c r="D3502" t="s">
        <v>2018</v>
      </c>
      <c r="E3502" t="s">
        <v>57</v>
      </c>
      <c r="F3502" t="s">
        <v>57</v>
      </c>
      <c r="G3502" t="str">
        <f>INDEX(Risk_Matrix!$B$2:$D$4,MATCH(E3502,Risk_Matrix!$A$2:$A$4,0),MATCH(F3502,Risk_Matrix!$B$1:$D$1,0))</f>
        <v>Low</v>
      </c>
      <c r="H3502" s="1">
        <v>46199</v>
      </c>
      <c r="I3502" t="s">
        <v>2025</v>
      </c>
      <c r="J3502" t="s">
        <v>2035</v>
      </c>
      <c r="K3502" t="s">
        <v>1998</v>
      </c>
      <c r="L3502">
        <f>IF(G3502="High",3,IF(G3502="Medium",2,1))</f>
        <v>1</v>
      </c>
    </row>
    <row r="3503" spans="1:12">
      <c r="A3503" t="s">
        <v>5529</v>
      </c>
      <c r="B3503" t="s">
        <v>1901</v>
      </c>
      <c r="C3503" t="s">
        <v>2000</v>
      </c>
      <c r="D3503" t="s">
        <v>2020</v>
      </c>
      <c r="E3503" t="s">
        <v>1971</v>
      </c>
      <c r="F3503" t="s">
        <v>1971</v>
      </c>
      <c r="G3503" t="str">
        <f>INDEX(Risk_Matrix!$B$2:$D$4,MATCH(E3503,Risk_Matrix!$A$2:$A$4,0),MATCH(F3503,Risk_Matrix!$B$1:$D$1,0))</f>
        <v>Medium</v>
      </c>
      <c r="H3503" s="1">
        <v>46211</v>
      </c>
      <c r="I3503" t="s">
        <v>1987</v>
      </c>
      <c r="J3503" t="s">
        <v>1997</v>
      </c>
      <c r="K3503" t="s">
        <v>1993</v>
      </c>
      <c r="L3503">
        <f>IF(G3503="High",3,IF(G3503="Medium",2,1))</f>
        <v>2</v>
      </c>
    </row>
    <row r="3504" spans="1:12">
      <c r="A3504" t="s">
        <v>5530</v>
      </c>
      <c r="B3504" t="s">
        <v>1901</v>
      </c>
      <c r="C3504" t="s">
        <v>2005</v>
      </c>
      <c r="D3504" t="s">
        <v>2006</v>
      </c>
      <c r="E3504" t="s">
        <v>1971</v>
      </c>
      <c r="F3504" t="s">
        <v>47</v>
      </c>
      <c r="G3504" t="str">
        <f>INDEX(Risk_Matrix!$B$2:$D$4,MATCH(E3504,Risk_Matrix!$A$2:$A$4,0),MATCH(F3504,Risk_Matrix!$B$1:$D$1,0))</f>
        <v>High</v>
      </c>
      <c r="H3504" s="1">
        <v>46163</v>
      </c>
      <c r="I3504" t="s">
        <v>2015</v>
      </c>
      <c r="J3504" t="s">
        <v>2032</v>
      </c>
      <c r="K3504" t="s">
        <v>2036</v>
      </c>
      <c r="L3504">
        <f>IF(G3504="High",3,IF(G3504="Medium",2,1))</f>
        <v>3</v>
      </c>
    </row>
    <row r="3505" spans="1:12">
      <c r="A3505" t="s">
        <v>5531</v>
      </c>
      <c r="B3505" t="s">
        <v>1901</v>
      </c>
      <c r="C3505" t="s">
        <v>2008</v>
      </c>
      <c r="D3505" t="s">
        <v>2024</v>
      </c>
      <c r="E3505" t="s">
        <v>1971</v>
      </c>
      <c r="F3505" t="s">
        <v>57</v>
      </c>
      <c r="G3505" t="str">
        <f>INDEX(Risk_Matrix!$B$2:$D$4,MATCH(E3505,Risk_Matrix!$A$2:$A$4,0),MATCH(F3505,Risk_Matrix!$B$1:$D$1,0))</f>
        <v>Low</v>
      </c>
      <c r="H3505" s="1">
        <v>46163</v>
      </c>
      <c r="I3505" t="s">
        <v>2015</v>
      </c>
      <c r="J3505" t="s">
        <v>2032</v>
      </c>
      <c r="K3505" t="s">
        <v>2010</v>
      </c>
      <c r="L3505">
        <f>IF(G3505="High",3,IF(G3505="Medium",2,1))</f>
        <v>1</v>
      </c>
    </row>
    <row r="3506" spans="1:12">
      <c r="A3506" t="s">
        <v>5532</v>
      </c>
      <c r="B3506" t="s">
        <v>1903</v>
      </c>
      <c r="C3506" t="s">
        <v>1985</v>
      </c>
      <c r="D3506" t="s">
        <v>2028</v>
      </c>
      <c r="E3506" t="s">
        <v>1971</v>
      </c>
      <c r="F3506" t="s">
        <v>47</v>
      </c>
      <c r="G3506" t="str">
        <f>INDEX(Risk_Matrix!$B$2:$D$4,MATCH(E3506,Risk_Matrix!$A$2:$A$4,0),MATCH(F3506,Risk_Matrix!$B$1:$D$1,0))</f>
        <v>High</v>
      </c>
      <c r="H3506" s="1">
        <v>46231</v>
      </c>
      <c r="I3506" t="s">
        <v>2015</v>
      </c>
      <c r="J3506" t="s">
        <v>2016</v>
      </c>
      <c r="K3506" t="s">
        <v>1989</v>
      </c>
      <c r="L3506">
        <f>IF(G3506="High",3,IF(G3506="Medium",2,1))</f>
        <v>3</v>
      </c>
    </row>
    <row r="3507" spans="1:12">
      <c r="A3507" t="s">
        <v>5533</v>
      </c>
      <c r="B3507" t="s">
        <v>1903</v>
      </c>
      <c r="C3507" t="s">
        <v>1991</v>
      </c>
      <c r="D3507" t="s">
        <v>2031</v>
      </c>
      <c r="E3507" t="s">
        <v>57</v>
      </c>
      <c r="F3507" t="s">
        <v>47</v>
      </c>
      <c r="G3507" t="str">
        <f>INDEX(Risk_Matrix!$B$2:$D$4,MATCH(E3507,Risk_Matrix!$A$2:$A$4,0),MATCH(F3507,Risk_Matrix!$B$1:$D$1,0))</f>
        <v>Medium</v>
      </c>
      <c r="H3507" s="1">
        <v>46181</v>
      </c>
      <c r="I3507" t="s">
        <v>2015</v>
      </c>
      <c r="J3507" t="s">
        <v>2016</v>
      </c>
      <c r="K3507" t="s">
        <v>2010</v>
      </c>
      <c r="L3507">
        <f>IF(G3507="High",3,IF(G3507="Medium",2,1))</f>
        <v>2</v>
      </c>
    </row>
    <row r="3508" spans="1:12">
      <c r="A3508" t="s">
        <v>5534</v>
      </c>
      <c r="B3508" t="s">
        <v>1903</v>
      </c>
      <c r="C3508" t="s">
        <v>1995</v>
      </c>
      <c r="D3508" t="s">
        <v>1996</v>
      </c>
      <c r="E3508" t="s">
        <v>1971</v>
      </c>
      <c r="F3508" t="s">
        <v>1971</v>
      </c>
      <c r="G3508" t="str">
        <f>INDEX(Risk_Matrix!$B$2:$D$4,MATCH(E3508,Risk_Matrix!$A$2:$A$4,0),MATCH(F3508,Risk_Matrix!$B$1:$D$1,0))</f>
        <v>Medium</v>
      </c>
      <c r="H3508" s="1">
        <v>46220</v>
      </c>
      <c r="I3508" t="s">
        <v>2015</v>
      </c>
      <c r="J3508" t="s">
        <v>2016</v>
      </c>
      <c r="K3508" t="s">
        <v>2036</v>
      </c>
      <c r="L3508">
        <f>IF(G3508="High",3,IF(G3508="Medium",2,1))</f>
        <v>2</v>
      </c>
    </row>
    <row r="3509" spans="1:12">
      <c r="A3509" t="s">
        <v>5535</v>
      </c>
      <c r="B3509" t="s">
        <v>1903</v>
      </c>
      <c r="C3509" t="s">
        <v>2000</v>
      </c>
      <c r="D3509" t="s">
        <v>2020</v>
      </c>
      <c r="E3509" t="s">
        <v>1971</v>
      </c>
      <c r="F3509" t="s">
        <v>57</v>
      </c>
      <c r="G3509" t="str">
        <f>INDEX(Risk_Matrix!$B$2:$D$4,MATCH(E3509,Risk_Matrix!$A$2:$A$4,0),MATCH(F3509,Risk_Matrix!$B$1:$D$1,0))</f>
        <v>Low</v>
      </c>
      <c r="H3509" s="1">
        <v>46173</v>
      </c>
      <c r="I3509" t="s">
        <v>2025</v>
      </c>
      <c r="J3509" t="s">
        <v>2035</v>
      </c>
      <c r="K3509" t="s">
        <v>1993</v>
      </c>
      <c r="L3509">
        <f>IF(G3509="High",3,IF(G3509="Medium",2,1))</f>
        <v>1</v>
      </c>
    </row>
    <row r="3510" spans="1:12">
      <c r="A3510" t="s">
        <v>5536</v>
      </c>
      <c r="B3510" t="s">
        <v>1903</v>
      </c>
      <c r="C3510" t="s">
        <v>2005</v>
      </c>
      <c r="D3510" t="s">
        <v>2039</v>
      </c>
      <c r="E3510" t="s">
        <v>57</v>
      </c>
      <c r="F3510" t="s">
        <v>1971</v>
      </c>
      <c r="G3510" t="str">
        <f>INDEX(Risk_Matrix!$B$2:$D$4,MATCH(E3510,Risk_Matrix!$A$2:$A$4,0),MATCH(F3510,Risk_Matrix!$B$1:$D$1,0))</f>
        <v>Low</v>
      </c>
      <c r="H3510" s="1">
        <v>46224</v>
      </c>
      <c r="I3510" t="s">
        <v>2025</v>
      </c>
      <c r="J3510" t="s">
        <v>2035</v>
      </c>
      <c r="K3510" t="s">
        <v>1993</v>
      </c>
      <c r="L3510">
        <f>IF(G3510="High",3,IF(G3510="Medium",2,1))</f>
        <v>1</v>
      </c>
    </row>
    <row r="3511" spans="1:12">
      <c r="A3511" t="s">
        <v>5537</v>
      </c>
      <c r="B3511" t="s">
        <v>1903</v>
      </c>
      <c r="C3511" t="s">
        <v>2008</v>
      </c>
      <c r="D3511" t="s">
        <v>2009</v>
      </c>
      <c r="E3511" t="s">
        <v>57</v>
      </c>
      <c r="F3511" t="s">
        <v>57</v>
      </c>
      <c r="G3511" t="str">
        <f>INDEX(Risk_Matrix!$B$2:$D$4,MATCH(E3511,Risk_Matrix!$A$2:$A$4,0),MATCH(F3511,Risk_Matrix!$B$1:$D$1,0))</f>
        <v>Low</v>
      </c>
      <c r="H3511" s="1">
        <v>46233</v>
      </c>
      <c r="I3511" t="s">
        <v>1987</v>
      </c>
      <c r="J3511" t="s">
        <v>1997</v>
      </c>
      <c r="K3511" t="s">
        <v>1998</v>
      </c>
      <c r="L3511">
        <f>IF(G3511="High",3,IF(G3511="Medium",2,1))</f>
        <v>1</v>
      </c>
    </row>
    <row r="3512" spans="1:12">
      <c r="A3512" t="s">
        <v>5538</v>
      </c>
      <c r="B3512" t="s">
        <v>1905</v>
      </c>
      <c r="C3512" t="s">
        <v>1985</v>
      </c>
      <c r="D3512" t="s">
        <v>1986</v>
      </c>
      <c r="E3512" t="s">
        <v>47</v>
      </c>
      <c r="F3512" t="s">
        <v>1971</v>
      </c>
      <c r="G3512" t="str">
        <f>INDEX(Risk_Matrix!$B$2:$D$4,MATCH(E3512,Risk_Matrix!$A$2:$A$4,0),MATCH(F3512,Risk_Matrix!$B$1:$D$1,0))</f>
        <v>High</v>
      </c>
      <c r="H3512" s="1">
        <v>46222</v>
      </c>
      <c r="I3512" t="s">
        <v>2025</v>
      </c>
      <c r="J3512" t="s">
        <v>2035</v>
      </c>
      <c r="K3512" t="s">
        <v>1989</v>
      </c>
      <c r="L3512">
        <f>IF(G3512="High",3,IF(G3512="Medium",2,1))</f>
        <v>3</v>
      </c>
    </row>
    <row r="3513" spans="1:12">
      <c r="A3513" t="s">
        <v>5539</v>
      </c>
      <c r="B3513" t="s">
        <v>1905</v>
      </c>
      <c r="C3513" t="s">
        <v>1991</v>
      </c>
      <c r="D3513" t="s">
        <v>1992</v>
      </c>
      <c r="E3513" t="s">
        <v>1971</v>
      </c>
      <c r="F3513" t="s">
        <v>1971</v>
      </c>
      <c r="G3513" t="str">
        <f>INDEX(Risk_Matrix!$B$2:$D$4,MATCH(E3513,Risk_Matrix!$A$2:$A$4,0),MATCH(F3513,Risk_Matrix!$B$1:$D$1,0))</f>
        <v>Medium</v>
      </c>
      <c r="H3513" s="1">
        <v>46062</v>
      </c>
      <c r="I3513" t="s">
        <v>1987</v>
      </c>
      <c r="J3513" t="s">
        <v>1988</v>
      </c>
      <c r="K3513" t="s">
        <v>1993</v>
      </c>
      <c r="L3513">
        <f>IF(G3513="High",3,IF(G3513="Medium",2,1))</f>
        <v>2</v>
      </c>
    </row>
    <row r="3514" spans="1:12">
      <c r="A3514" t="s">
        <v>5540</v>
      </c>
      <c r="B3514" t="s">
        <v>1905</v>
      </c>
      <c r="C3514" t="s">
        <v>1995</v>
      </c>
      <c r="D3514" t="s">
        <v>1996</v>
      </c>
      <c r="E3514" t="s">
        <v>57</v>
      </c>
      <c r="F3514" t="s">
        <v>57</v>
      </c>
      <c r="G3514" t="str">
        <f>INDEX(Risk_Matrix!$B$2:$D$4,MATCH(E3514,Risk_Matrix!$A$2:$A$4,0),MATCH(F3514,Risk_Matrix!$B$1:$D$1,0))</f>
        <v>Low</v>
      </c>
      <c r="H3514" s="1">
        <v>46141</v>
      </c>
      <c r="I3514" t="s">
        <v>2025</v>
      </c>
      <c r="J3514" t="s">
        <v>2035</v>
      </c>
      <c r="K3514" t="s">
        <v>2036</v>
      </c>
      <c r="L3514">
        <f>IF(G3514="High",3,IF(G3514="Medium",2,1))</f>
        <v>1</v>
      </c>
    </row>
    <row r="3515" spans="1:12">
      <c r="A3515" t="s">
        <v>5541</v>
      </c>
      <c r="B3515" t="s">
        <v>1905</v>
      </c>
      <c r="C3515" t="s">
        <v>2000</v>
      </c>
      <c r="D3515" t="s">
        <v>2045</v>
      </c>
      <c r="E3515" t="s">
        <v>47</v>
      </c>
      <c r="F3515" t="s">
        <v>1971</v>
      </c>
      <c r="G3515" t="str">
        <f>INDEX(Risk_Matrix!$B$2:$D$4,MATCH(E3515,Risk_Matrix!$A$2:$A$4,0),MATCH(F3515,Risk_Matrix!$B$1:$D$1,0))</f>
        <v>High</v>
      </c>
      <c r="H3515" s="1">
        <v>46208</v>
      </c>
      <c r="I3515" t="s">
        <v>2015</v>
      </c>
      <c r="J3515" t="s">
        <v>2032</v>
      </c>
      <c r="K3515" t="s">
        <v>1993</v>
      </c>
      <c r="L3515">
        <f>IF(G3515="High",3,IF(G3515="Medium",2,1))</f>
        <v>3</v>
      </c>
    </row>
    <row r="3516" spans="1:12">
      <c r="A3516" t="s">
        <v>5542</v>
      </c>
      <c r="B3516" t="s">
        <v>1905</v>
      </c>
      <c r="C3516" t="s">
        <v>2005</v>
      </c>
      <c r="D3516" t="s">
        <v>2022</v>
      </c>
      <c r="E3516" t="s">
        <v>47</v>
      </c>
      <c r="F3516" t="s">
        <v>47</v>
      </c>
      <c r="G3516" t="str">
        <f>INDEX(Risk_Matrix!$B$2:$D$4,MATCH(E3516,Risk_Matrix!$A$2:$A$4,0),MATCH(F3516,Risk_Matrix!$B$1:$D$1,0))</f>
        <v>High</v>
      </c>
      <c r="H3516" s="1">
        <v>46181</v>
      </c>
      <c r="I3516" t="s">
        <v>2015</v>
      </c>
      <c r="J3516" t="s">
        <v>2032</v>
      </c>
      <c r="K3516" t="s">
        <v>1993</v>
      </c>
      <c r="L3516">
        <f>IF(G3516="High",3,IF(G3516="Medium",2,1))</f>
        <v>3</v>
      </c>
    </row>
    <row r="3517" spans="1:12">
      <c r="A3517" t="s">
        <v>5543</v>
      </c>
      <c r="B3517" t="s">
        <v>1905</v>
      </c>
      <c r="C3517" t="s">
        <v>2008</v>
      </c>
      <c r="D3517" t="s">
        <v>2024</v>
      </c>
      <c r="E3517" t="s">
        <v>47</v>
      </c>
      <c r="F3517" t="s">
        <v>57</v>
      </c>
      <c r="G3517" t="str">
        <f>INDEX(Risk_Matrix!$B$2:$D$4,MATCH(E3517,Risk_Matrix!$A$2:$A$4,0),MATCH(F3517,Risk_Matrix!$B$1:$D$1,0))</f>
        <v>Medium</v>
      </c>
      <c r="H3517" s="1">
        <v>46083</v>
      </c>
      <c r="I3517" t="s">
        <v>2025</v>
      </c>
      <c r="J3517" t="s">
        <v>2026</v>
      </c>
      <c r="K3517" t="s">
        <v>2010</v>
      </c>
      <c r="L3517">
        <f>IF(G3517="High",3,IF(G3517="Medium",2,1))</f>
        <v>2</v>
      </c>
    </row>
    <row r="3518" spans="1:12">
      <c r="A3518" t="s">
        <v>5544</v>
      </c>
      <c r="B3518" t="s">
        <v>1906</v>
      </c>
      <c r="C3518" t="s">
        <v>1985</v>
      </c>
      <c r="D3518" t="s">
        <v>2028</v>
      </c>
      <c r="E3518" t="s">
        <v>57</v>
      </c>
      <c r="F3518" t="s">
        <v>57</v>
      </c>
      <c r="G3518" t="str">
        <f>INDEX(Risk_Matrix!$B$2:$D$4,MATCH(E3518,Risk_Matrix!$A$2:$A$4,0),MATCH(F3518,Risk_Matrix!$B$1:$D$1,0))</f>
        <v>Low</v>
      </c>
      <c r="H3518" s="1">
        <v>46223</v>
      </c>
      <c r="I3518" t="s">
        <v>1987</v>
      </c>
      <c r="J3518" t="s">
        <v>1997</v>
      </c>
      <c r="K3518" t="s">
        <v>1998</v>
      </c>
      <c r="L3518">
        <f>IF(G3518="High",3,IF(G3518="Medium",2,1))</f>
        <v>1</v>
      </c>
    </row>
    <row r="3519" spans="1:12">
      <c r="A3519" t="s">
        <v>5545</v>
      </c>
      <c r="B3519" t="s">
        <v>1906</v>
      </c>
      <c r="C3519" t="s">
        <v>1991</v>
      </c>
      <c r="D3519" t="s">
        <v>2014</v>
      </c>
      <c r="E3519" t="s">
        <v>57</v>
      </c>
      <c r="F3519" t="s">
        <v>1971</v>
      </c>
      <c r="G3519" t="str">
        <f>INDEX(Risk_Matrix!$B$2:$D$4,MATCH(E3519,Risk_Matrix!$A$2:$A$4,0),MATCH(F3519,Risk_Matrix!$B$1:$D$1,0))</f>
        <v>Low</v>
      </c>
      <c r="H3519" s="1">
        <v>46180</v>
      </c>
      <c r="I3519" t="s">
        <v>2002</v>
      </c>
      <c r="J3519" t="s">
        <v>2029</v>
      </c>
      <c r="K3519" t="s">
        <v>2010</v>
      </c>
      <c r="L3519">
        <f>IF(G3519="High",3,IF(G3519="Medium",2,1))</f>
        <v>1</v>
      </c>
    </row>
    <row r="3520" spans="1:12">
      <c r="A3520" t="s">
        <v>5546</v>
      </c>
      <c r="B3520" t="s">
        <v>1906</v>
      </c>
      <c r="C3520" t="s">
        <v>1995</v>
      </c>
      <c r="D3520" t="s">
        <v>2150</v>
      </c>
      <c r="E3520" t="s">
        <v>1971</v>
      </c>
      <c r="F3520" t="s">
        <v>57</v>
      </c>
      <c r="G3520" t="str">
        <f>INDEX(Risk_Matrix!$B$2:$D$4,MATCH(E3520,Risk_Matrix!$A$2:$A$4,0),MATCH(F3520,Risk_Matrix!$B$1:$D$1,0))</f>
        <v>Low</v>
      </c>
      <c r="H3520" s="1">
        <v>46146</v>
      </c>
      <c r="I3520" t="s">
        <v>2002</v>
      </c>
      <c r="J3520" t="s">
        <v>2003</v>
      </c>
      <c r="K3520" t="s">
        <v>1998</v>
      </c>
      <c r="L3520">
        <f>IF(G3520="High",3,IF(G3520="Medium",2,1))</f>
        <v>1</v>
      </c>
    </row>
    <row r="3521" spans="1:12">
      <c r="A3521" t="s">
        <v>5547</v>
      </c>
      <c r="B3521" t="s">
        <v>1906</v>
      </c>
      <c r="C3521" t="s">
        <v>2000</v>
      </c>
      <c r="D3521" t="s">
        <v>2001</v>
      </c>
      <c r="E3521" t="s">
        <v>1971</v>
      </c>
      <c r="F3521" t="s">
        <v>57</v>
      </c>
      <c r="G3521" t="str">
        <f>INDEX(Risk_Matrix!$B$2:$D$4,MATCH(E3521,Risk_Matrix!$A$2:$A$4,0),MATCH(F3521,Risk_Matrix!$B$1:$D$1,0))</f>
        <v>Low</v>
      </c>
      <c r="H3521" s="1">
        <v>46080</v>
      </c>
      <c r="I3521" t="s">
        <v>1987</v>
      </c>
      <c r="J3521" t="s">
        <v>1988</v>
      </c>
      <c r="K3521" t="s">
        <v>1993</v>
      </c>
      <c r="L3521">
        <f>IF(G3521="High",3,IF(G3521="Medium",2,1))</f>
        <v>1</v>
      </c>
    </row>
    <row r="3522" spans="1:12">
      <c r="A3522" t="s">
        <v>5548</v>
      </c>
      <c r="B3522" t="s">
        <v>1906</v>
      </c>
      <c r="C3522" t="s">
        <v>2005</v>
      </c>
      <c r="D3522" t="s">
        <v>2006</v>
      </c>
      <c r="E3522" t="s">
        <v>57</v>
      </c>
      <c r="F3522" t="s">
        <v>47</v>
      </c>
      <c r="G3522" t="str">
        <f>INDEX(Risk_Matrix!$B$2:$D$4,MATCH(E3522,Risk_Matrix!$A$2:$A$4,0),MATCH(F3522,Risk_Matrix!$B$1:$D$1,0))</f>
        <v>Medium</v>
      </c>
      <c r="H3522" s="1">
        <v>46188</v>
      </c>
      <c r="I3522" t="s">
        <v>1987</v>
      </c>
      <c r="J3522" t="s">
        <v>1988</v>
      </c>
      <c r="K3522" t="s">
        <v>1993</v>
      </c>
      <c r="L3522">
        <f>IF(G3522="High",3,IF(G3522="Medium",2,1))</f>
        <v>2</v>
      </c>
    </row>
    <row r="3523" spans="1:12">
      <c r="A3523" t="s">
        <v>5549</v>
      </c>
      <c r="B3523" t="s">
        <v>1906</v>
      </c>
      <c r="C3523" t="s">
        <v>2008</v>
      </c>
      <c r="D3523" t="s">
        <v>2024</v>
      </c>
      <c r="E3523" t="s">
        <v>57</v>
      </c>
      <c r="F3523" t="s">
        <v>47</v>
      </c>
      <c r="G3523" t="str">
        <f>INDEX(Risk_Matrix!$B$2:$D$4,MATCH(E3523,Risk_Matrix!$A$2:$A$4,0),MATCH(F3523,Risk_Matrix!$B$1:$D$1,0))</f>
        <v>Medium</v>
      </c>
      <c r="H3523" s="1">
        <v>46121</v>
      </c>
      <c r="I3523" t="s">
        <v>2025</v>
      </c>
      <c r="J3523" t="s">
        <v>2026</v>
      </c>
      <c r="K3523" t="s">
        <v>2010</v>
      </c>
      <c r="L3523">
        <f>IF(G3523="High",3,IF(G3523="Medium",2,1))</f>
        <v>2</v>
      </c>
    </row>
    <row r="3524" spans="1:12">
      <c r="A3524" t="s">
        <v>5550</v>
      </c>
      <c r="B3524" t="s">
        <v>1908</v>
      </c>
      <c r="C3524" t="s">
        <v>1985</v>
      </c>
      <c r="D3524" t="s">
        <v>2012</v>
      </c>
      <c r="E3524" t="s">
        <v>47</v>
      </c>
      <c r="F3524" t="s">
        <v>47</v>
      </c>
      <c r="G3524" t="str">
        <f>INDEX(Risk_Matrix!$B$2:$D$4,MATCH(E3524,Risk_Matrix!$A$2:$A$4,0),MATCH(F3524,Risk_Matrix!$B$1:$D$1,0))</f>
        <v>High</v>
      </c>
      <c r="H3524" s="1">
        <v>46190</v>
      </c>
      <c r="I3524" t="s">
        <v>2015</v>
      </c>
      <c r="J3524" t="s">
        <v>2016</v>
      </c>
      <c r="K3524" t="s">
        <v>1989</v>
      </c>
      <c r="L3524">
        <f>IF(G3524="High",3,IF(G3524="Medium",2,1))</f>
        <v>3</v>
      </c>
    </row>
    <row r="3525" spans="1:12">
      <c r="A3525" t="s">
        <v>5551</v>
      </c>
      <c r="B3525" t="s">
        <v>1908</v>
      </c>
      <c r="C3525" t="s">
        <v>1991</v>
      </c>
      <c r="D3525" t="s">
        <v>2064</v>
      </c>
      <c r="E3525" t="s">
        <v>1971</v>
      </c>
      <c r="F3525" t="s">
        <v>1971</v>
      </c>
      <c r="G3525" t="str">
        <f>INDEX(Risk_Matrix!$B$2:$D$4,MATCH(E3525,Risk_Matrix!$A$2:$A$4,0),MATCH(F3525,Risk_Matrix!$B$1:$D$1,0))</f>
        <v>Medium</v>
      </c>
      <c r="H3525" s="1">
        <v>46226</v>
      </c>
      <c r="I3525" t="s">
        <v>2015</v>
      </c>
      <c r="J3525" t="s">
        <v>2016</v>
      </c>
      <c r="K3525" t="s">
        <v>1993</v>
      </c>
      <c r="L3525">
        <f>IF(G3525="High",3,IF(G3525="Medium",2,1))</f>
        <v>2</v>
      </c>
    </row>
    <row r="3526" spans="1:12">
      <c r="A3526" t="s">
        <v>5552</v>
      </c>
      <c r="B3526" t="s">
        <v>1908</v>
      </c>
      <c r="C3526" t="s">
        <v>1995</v>
      </c>
      <c r="D3526" t="s">
        <v>2150</v>
      </c>
      <c r="E3526" t="s">
        <v>1971</v>
      </c>
      <c r="F3526" t="s">
        <v>57</v>
      </c>
      <c r="G3526" t="str">
        <f>INDEX(Risk_Matrix!$B$2:$D$4,MATCH(E3526,Risk_Matrix!$A$2:$A$4,0),MATCH(F3526,Risk_Matrix!$B$1:$D$1,0))</f>
        <v>Low</v>
      </c>
      <c r="H3526" s="1">
        <v>46093</v>
      </c>
      <c r="I3526" t="s">
        <v>1987</v>
      </c>
      <c r="J3526" t="s">
        <v>1988</v>
      </c>
      <c r="K3526" t="s">
        <v>1998</v>
      </c>
      <c r="L3526">
        <f>IF(G3526="High",3,IF(G3526="Medium",2,1))</f>
        <v>1</v>
      </c>
    </row>
    <row r="3527" spans="1:12">
      <c r="A3527" t="s">
        <v>5553</v>
      </c>
      <c r="B3527" t="s">
        <v>1908</v>
      </c>
      <c r="C3527" t="s">
        <v>2000</v>
      </c>
      <c r="D3527" t="s">
        <v>2045</v>
      </c>
      <c r="E3527" t="s">
        <v>57</v>
      </c>
      <c r="F3527" t="s">
        <v>1971</v>
      </c>
      <c r="G3527" t="str">
        <f>INDEX(Risk_Matrix!$B$2:$D$4,MATCH(E3527,Risk_Matrix!$A$2:$A$4,0),MATCH(F3527,Risk_Matrix!$B$1:$D$1,0))</f>
        <v>Low</v>
      </c>
      <c r="H3527" s="1">
        <v>46187</v>
      </c>
      <c r="I3527" t="s">
        <v>1987</v>
      </c>
      <c r="J3527" t="s">
        <v>1997</v>
      </c>
      <c r="K3527" t="s">
        <v>1993</v>
      </c>
      <c r="L3527">
        <f>IF(G3527="High",3,IF(G3527="Medium",2,1))</f>
        <v>1</v>
      </c>
    </row>
    <row r="3528" spans="1:12">
      <c r="A3528" t="s">
        <v>5554</v>
      </c>
      <c r="B3528" t="s">
        <v>1908</v>
      </c>
      <c r="C3528" t="s">
        <v>2005</v>
      </c>
      <c r="D3528" t="s">
        <v>2022</v>
      </c>
      <c r="E3528" t="s">
        <v>47</v>
      </c>
      <c r="F3528" t="s">
        <v>47</v>
      </c>
      <c r="G3528" t="str">
        <f>INDEX(Risk_Matrix!$B$2:$D$4,MATCH(E3528,Risk_Matrix!$A$2:$A$4,0),MATCH(F3528,Risk_Matrix!$B$1:$D$1,0))</f>
        <v>High</v>
      </c>
      <c r="H3528" s="1">
        <v>46175</v>
      </c>
      <c r="I3528" t="s">
        <v>2015</v>
      </c>
      <c r="J3528" t="s">
        <v>2016</v>
      </c>
      <c r="K3528" t="s">
        <v>1993</v>
      </c>
      <c r="L3528">
        <f>IF(G3528="High",3,IF(G3528="Medium",2,1))</f>
        <v>3</v>
      </c>
    </row>
    <row r="3529" spans="1:12">
      <c r="A3529" t="s">
        <v>5555</v>
      </c>
      <c r="B3529" t="s">
        <v>1908</v>
      </c>
      <c r="C3529" t="s">
        <v>2008</v>
      </c>
      <c r="D3529" t="s">
        <v>2024</v>
      </c>
      <c r="E3529" t="s">
        <v>57</v>
      </c>
      <c r="F3529" t="s">
        <v>57</v>
      </c>
      <c r="G3529" t="str">
        <f>INDEX(Risk_Matrix!$B$2:$D$4,MATCH(E3529,Risk_Matrix!$A$2:$A$4,0),MATCH(F3529,Risk_Matrix!$B$1:$D$1,0))</f>
        <v>Low</v>
      </c>
      <c r="H3529" s="1">
        <v>46058</v>
      </c>
      <c r="I3529" t="s">
        <v>2025</v>
      </c>
      <c r="J3529" t="s">
        <v>2035</v>
      </c>
      <c r="K3529" t="s">
        <v>2010</v>
      </c>
      <c r="L3529">
        <f>IF(G3529="High",3,IF(G3529="Medium",2,1))</f>
        <v>1</v>
      </c>
    </row>
    <row r="3530" spans="1:12">
      <c r="A3530" t="s">
        <v>5556</v>
      </c>
      <c r="B3530" t="s">
        <v>1910</v>
      </c>
      <c r="C3530" t="s">
        <v>1985</v>
      </c>
      <c r="D3530" t="s">
        <v>2028</v>
      </c>
      <c r="E3530" t="s">
        <v>1971</v>
      </c>
      <c r="F3530" t="s">
        <v>1971</v>
      </c>
      <c r="G3530" t="str">
        <f>INDEX(Risk_Matrix!$B$2:$D$4,MATCH(E3530,Risk_Matrix!$A$2:$A$4,0),MATCH(F3530,Risk_Matrix!$B$1:$D$1,0))</f>
        <v>Medium</v>
      </c>
      <c r="H3530" s="1">
        <v>46192</v>
      </c>
      <c r="I3530" t="s">
        <v>2025</v>
      </c>
      <c r="J3530" t="s">
        <v>2026</v>
      </c>
      <c r="K3530" t="s">
        <v>1998</v>
      </c>
      <c r="L3530">
        <f>IF(G3530="High",3,IF(G3530="Medium",2,1))</f>
        <v>2</v>
      </c>
    </row>
    <row r="3531" spans="1:12">
      <c r="A3531" t="s">
        <v>5557</v>
      </c>
      <c r="B3531" t="s">
        <v>1910</v>
      </c>
      <c r="C3531" t="s">
        <v>1991</v>
      </c>
      <c r="D3531" t="s">
        <v>2064</v>
      </c>
      <c r="E3531" t="s">
        <v>1971</v>
      </c>
      <c r="F3531" t="s">
        <v>1971</v>
      </c>
      <c r="G3531" t="str">
        <f>INDEX(Risk_Matrix!$B$2:$D$4,MATCH(E3531,Risk_Matrix!$A$2:$A$4,0),MATCH(F3531,Risk_Matrix!$B$1:$D$1,0))</f>
        <v>Medium</v>
      </c>
      <c r="H3531" s="1">
        <v>46197</v>
      </c>
      <c r="I3531" t="s">
        <v>2002</v>
      </c>
      <c r="J3531" t="s">
        <v>2003</v>
      </c>
      <c r="K3531" t="s">
        <v>1993</v>
      </c>
      <c r="L3531">
        <f>IF(G3531="High",3,IF(G3531="Medium",2,1))</f>
        <v>2</v>
      </c>
    </row>
    <row r="3532" spans="1:12">
      <c r="A3532" t="s">
        <v>5558</v>
      </c>
      <c r="B3532" t="s">
        <v>1910</v>
      </c>
      <c r="C3532" t="s">
        <v>1995</v>
      </c>
      <c r="D3532" t="s">
        <v>2018</v>
      </c>
      <c r="E3532" t="s">
        <v>57</v>
      </c>
      <c r="F3532" t="s">
        <v>57</v>
      </c>
      <c r="G3532" t="str">
        <f>INDEX(Risk_Matrix!$B$2:$D$4,MATCH(E3532,Risk_Matrix!$A$2:$A$4,0),MATCH(F3532,Risk_Matrix!$B$1:$D$1,0))</f>
        <v>Low</v>
      </c>
      <c r="H3532" s="1">
        <v>46085</v>
      </c>
      <c r="I3532" t="s">
        <v>1987</v>
      </c>
      <c r="J3532" t="s">
        <v>1997</v>
      </c>
      <c r="K3532" t="s">
        <v>1998</v>
      </c>
      <c r="L3532">
        <f>IF(G3532="High",3,IF(G3532="Medium",2,1))</f>
        <v>1</v>
      </c>
    </row>
    <row r="3533" spans="1:12">
      <c r="A3533" t="s">
        <v>5559</v>
      </c>
      <c r="B3533" t="s">
        <v>1910</v>
      </c>
      <c r="C3533" t="s">
        <v>2000</v>
      </c>
      <c r="D3533" t="s">
        <v>2001</v>
      </c>
      <c r="E3533" t="s">
        <v>1971</v>
      </c>
      <c r="F3533" t="s">
        <v>57</v>
      </c>
      <c r="G3533" t="str">
        <f>INDEX(Risk_Matrix!$B$2:$D$4,MATCH(E3533,Risk_Matrix!$A$2:$A$4,0),MATCH(F3533,Risk_Matrix!$B$1:$D$1,0))</f>
        <v>Low</v>
      </c>
      <c r="H3533" s="1">
        <v>46210</v>
      </c>
      <c r="I3533" t="s">
        <v>2025</v>
      </c>
      <c r="J3533" t="s">
        <v>2026</v>
      </c>
      <c r="K3533" t="s">
        <v>1989</v>
      </c>
      <c r="L3533">
        <f>IF(G3533="High",3,IF(G3533="Medium",2,1))</f>
        <v>1</v>
      </c>
    </row>
    <row r="3534" spans="1:12">
      <c r="A3534" t="s">
        <v>5560</v>
      </c>
      <c r="B3534" t="s">
        <v>1910</v>
      </c>
      <c r="C3534" t="s">
        <v>2005</v>
      </c>
      <c r="D3534" t="s">
        <v>2022</v>
      </c>
      <c r="E3534" t="s">
        <v>47</v>
      </c>
      <c r="F3534" t="s">
        <v>57</v>
      </c>
      <c r="G3534" t="str">
        <f>INDEX(Risk_Matrix!$B$2:$D$4,MATCH(E3534,Risk_Matrix!$A$2:$A$4,0),MATCH(F3534,Risk_Matrix!$B$1:$D$1,0))</f>
        <v>Medium</v>
      </c>
      <c r="H3534" s="1">
        <v>46070</v>
      </c>
      <c r="I3534" t="s">
        <v>2025</v>
      </c>
      <c r="J3534" t="s">
        <v>2026</v>
      </c>
      <c r="K3534" t="s">
        <v>2036</v>
      </c>
      <c r="L3534">
        <f>IF(G3534="High",3,IF(G3534="Medium",2,1))</f>
        <v>2</v>
      </c>
    </row>
    <row r="3535" spans="1:12">
      <c r="A3535" t="s">
        <v>5561</v>
      </c>
      <c r="B3535" t="s">
        <v>1910</v>
      </c>
      <c r="C3535" t="s">
        <v>2008</v>
      </c>
      <c r="D3535" t="s">
        <v>2009</v>
      </c>
      <c r="E3535" t="s">
        <v>47</v>
      </c>
      <c r="F3535" t="s">
        <v>47</v>
      </c>
      <c r="G3535" t="str">
        <f>INDEX(Risk_Matrix!$B$2:$D$4,MATCH(E3535,Risk_Matrix!$A$2:$A$4,0),MATCH(F3535,Risk_Matrix!$B$1:$D$1,0))</f>
        <v>High</v>
      </c>
      <c r="H3535" s="1">
        <v>46186</v>
      </c>
      <c r="I3535" t="s">
        <v>1987</v>
      </c>
      <c r="J3535" t="s">
        <v>1988</v>
      </c>
      <c r="K3535" t="s">
        <v>2010</v>
      </c>
      <c r="L3535">
        <f>IF(G3535="High",3,IF(G3535="Medium",2,1))</f>
        <v>3</v>
      </c>
    </row>
    <row r="3536" spans="1:12">
      <c r="A3536" t="s">
        <v>5562</v>
      </c>
      <c r="B3536" t="s">
        <v>1912</v>
      </c>
      <c r="C3536" t="s">
        <v>1985</v>
      </c>
      <c r="D3536" t="s">
        <v>2028</v>
      </c>
      <c r="E3536" t="s">
        <v>57</v>
      </c>
      <c r="F3536" t="s">
        <v>57</v>
      </c>
      <c r="G3536" t="str">
        <f>INDEX(Risk_Matrix!$B$2:$D$4,MATCH(E3536,Risk_Matrix!$A$2:$A$4,0),MATCH(F3536,Risk_Matrix!$B$1:$D$1,0))</f>
        <v>Low</v>
      </c>
      <c r="H3536" s="1">
        <v>46146</v>
      </c>
      <c r="I3536" t="s">
        <v>1987</v>
      </c>
      <c r="J3536" t="s">
        <v>1997</v>
      </c>
      <c r="K3536" t="s">
        <v>1989</v>
      </c>
      <c r="L3536">
        <f>IF(G3536="High",3,IF(G3536="Medium",2,1))</f>
        <v>1</v>
      </c>
    </row>
    <row r="3537" spans="1:12">
      <c r="A3537" t="s">
        <v>5563</v>
      </c>
      <c r="B3537" t="s">
        <v>1912</v>
      </c>
      <c r="C3537" t="s">
        <v>1991</v>
      </c>
      <c r="D3537" t="s">
        <v>2064</v>
      </c>
      <c r="E3537" t="s">
        <v>1971</v>
      </c>
      <c r="F3537" t="s">
        <v>57</v>
      </c>
      <c r="G3537" t="str">
        <f>INDEX(Risk_Matrix!$B$2:$D$4,MATCH(E3537,Risk_Matrix!$A$2:$A$4,0),MATCH(F3537,Risk_Matrix!$B$1:$D$1,0))</f>
        <v>Low</v>
      </c>
      <c r="H3537" s="1">
        <v>46136</v>
      </c>
      <c r="I3537" t="s">
        <v>2002</v>
      </c>
      <c r="J3537" t="s">
        <v>2003</v>
      </c>
      <c r="K3537" t="s">
        <v>1993</v>
      </c>
      <c r="L3537">
        <f>IF(G3537="High",3,IF(G3537="Medium",2,1))</f>
        <v>1</v>
      </c>
    </row>
    <row r="3538" spans="1:12">
      <c r="A3538" t="s">
        <v>5564</v>
      </c>
      <c r="B3538" t="s">
        <v>1912</v>
      </c>
      <c r="C3538" t="s">
        <v>1995</v>
      </c>
      <c r="D3538" t="s">
        <v>2018</v>
      </c>
      <c r="E3538" t="s">
        <v>57</v>
      </c>
      <c r="F3538" t="s">
        <v>1971</v>
      </c>
      <c r="G3538" t="str">
        <f>INDEX(Risk_Matrix!$B$2:$D$4,MATCH(E3538,Risk_Matrix!$A$2:$A$4,0),MATCH(F3538,Risk_Matrix!$B$1:$D$1,0))</f>
        <v>Low</v>
      </c>
      <c r="H3538" s="1">
        <v>46204</v>
      </c>
      <c r="I3538" t="s">
        <v>2025</v>
      </c>
      <c r="J3538" t="s">
        <v>2035</v>
      </c>
      <c r="K3538" t="s">
        <v>2036</v>
      </c>
      <c r="L3538">
        <f>IF(G3538="High",3,IF(G3538="Medium",2,1))</f>
        <v>1</v>
      </c>
    </row>
    <row r="3539" spans="1:12">
      <c r="A3539" t="s">
        <v>5565</v>
      </c>
      <c r="B3539" t="s">
        <v>1912</v>
      </c>
      <c r="C3539" t="s">
        <v>2000</v>
      </c>
      <c r="D3539" t="s">
        <v>2001</v>
      </c>
      <c r="E3539" t="s">
        <v>57</v>
      </c>
      <c r="F3539" t="s">
        <v>57</v>
      </c>
      <c r="G3539" t="str">
        <f>INDEX(Risk_Matrix!$B$2:$D$4,MATCH(E3539,Risk_Matrix!$A$2:$A$4,0),MATCH(F3539,Risk_Matrix!$B$1:$D$1,0))</f>
        <v>Low</v>
      </c>
      <c r="H3539" s="1">
        <v>46082</v>
      </c>
      <c r="I3539" t="s">
        <v>2025</v>
      </c>
      <c r="J3539" t="s">
        <v>2035</v>
      </c>
      <c r="K3539" t="s">
        <v>1989</v>
      </c>
      <c r="L3539">
        <f>IF(G3539="High",3,IF(G3539="Medium",2,1))</f>
        <v>1</v>
      </c>
    </row>
    <row r="3540" spans="1:12">
      <c r="A3540" t="s">
        <v>5566</v>
      </c>
      <c r="B3540" t="s">
        <v>1912</v>
      </c>
      <c r="C3540" t="s">
        <v>2005</v>
      </c>
      <c r="D3540" t="s">
        <v>2039</v>
      </c>
      <c r="E3540" t="s">
        <v>47</v>
      </c>
      <c r="F3540" t="s">
        <v>47</v>
      </c>
      <c r="G3540" t="str">
        <f>INDEX(Risk_Matrix!$B$2:$D$4,MATCH(E3540,Risk_Matrix!$A$2:$A$4,0),MATCH(F3540,Risk_Matrix!$B$1:$D$1,0))</f>
        <v>High</v>
      </c>
      <c r="H3540" s="1">
        <v>46150</v>
      </c>
      <c r="I3540" t="s">
        <v>2015</v>
      </c>
      <c r="J3540" t="s">
        <v>2032</v>
      </c>
      <c r="K3540" t="s">
        <v>1993</v>
      </c>
      <c r="L3540">
        <f>IF(G3540="High",3,IF(G3540="Medium",2,1))</f>
        <v>3</v>
      </c>
    </row>
    <row r="3541" spans="1:12">
      <c r="A3541" t="s">
        <v>5567</v>
      </c>
      <c r="B3541" t="s">
        <v>1912</v>
      </c>
      <c r="C3541" t="s">
        <v>2008</v>
      </c>
      <c r="D3541" t="s">
        <v>2024</v>
      </c>
      <c r="E3541" t="s">
        <v>57</v>
      </c>
      <c r="F3541" t="s">
        <v>57</v>
      </c>
      <c r="G3541" t="str">
        <f>INDEX(Risk_Matrix!$B$2:$D$4,MATCH(E3541,Risk_Matrix!$A$2:$A$4,0),MATCH(F3541,Risk_Matrix!$B$1:$D$1,0))</f>
        <v>Low</v>
      </c>
      <c r="H3541" s="1">
        <v>46222</v>
      </c>
      <c r="I3541" t="s">
        <v>2015</v>
      </c>
      <c r="J3541" t="s">
        <v>2016</v>
      </c>
      <c r="K3541" t="s">
        <v>2010</v>
      </c>
      <c r="L3541">
        <f>IF(G3541="High",3,IF(G3541="Medium",2,1))</f>
        <v>1</v>
      </c>
    </row>
    <row r="3542" spans="1:12">
      <c r="A3542" t="s">
        <v>5568</v>
      </c>
      <c r="B3542" t="s">
        <v>1915</v>
      </c>
      <c r="C3542" t="s">
        <v>1985</v>
      </c>
      <c r="D3542" t="s">
        <v>1986</v>
      </c>
      <c r="E3542" t="s">
        <v>1971</v>
      </c>
      <c r="F3542" t="s">
        <v>57</v>
      </c>
      <c r="G3542" t="str">
        <f>INDEX(Risk_Matrix!$B$2:$D$4,MATCH(E3542,Risk_Matrix!$A$2:$A$4,0),MATCH(F3542,Risk_Matrix!$B$1:$D$1,0))</f>
        <v>Low</v>
      </c>
      <c r="H3542" s="1">
        <v>46085</v>
      </c>
      <c r="I3542" t="s">
        <v>2025</v>
      </c>
      <c r="J3542" t="s">
        <v>2026</v>
      </c>
      <c r="K3542" t="s">
        <v>1989</v>
      </c>
      <c r="L3542">
        <f>IF(G3542="High",3,IF(G3542="Medium",2,1))</f>
        <v>1</v>
      </c>
    </row>
    <row r="3543" spans="1:12">
      <c r="A3543" t="s">
        <v>5569</v>
      </c>
      <c r="B3543" t="s">
        <v>1915</v>
      </c>
      <c r="C3543" t="s">
        <v>1991</v>
      </c>
      <c r="D3543" t="s">
        <v>2031</v>
      </c>
      <c r="E3543" t="s">
        <v>57</v>
      </c>
      <c r="F3543" t="s">
        <v>57</v>
      </c>
      <c r="G3543" t="str">
        <f>INDEX(Risk_Matrix!$B$2:$D$4,MATCH(E3543,Risk_Matrix!$A$2:$A$4,0),MATCH(F3543,Risk_Matrix!$B$1:$D$1,0))</f>
        <v>Low</v>
      </c>
      <c r="H3543" s="1">
        <v>46156</v>
      </c>
      <c r="I3543" t="s">
        <v>2015</v>
      </c>
      <c r="J3543" t="s">
        <v>2016</v>
      </c>
      <c r="K3543" t="s">
        <v>2010</v>
      </c>
      <c r="L3543">
        <f>IF(G3543="High",3,IF(G3543="Medium",2,1))</f>
        <v>1</v>
      </c>
    </row>
    <row r="3544" spans="1:12">
      <c r="A3544" t="s">
        <v>5570</v>
      </c>
      <c r="B3544" t="s">
        <v>1915</v>
      </c>
      <c r="C3544" t="s">
        <v>1995</v>
      </c>
      <c r="D3544" t="s">
        <v>2018</v>
      </c>
      <c r="E3544" t="s">
        <v>1971</v>
      </c>
      <c r="F3544" t="s">
        <v>57</v>
      </c>
      <c r="G3544" t="str">
        <f>INDEX(Risk_Matrix!$B$2:$D$4,MATCH(E3544,Risk_Matrix!$A$2:$A$4,0),MATCH(F3544,Risk_Matrix!$B$1:$D$1,0))</f>
        <v>Low</v>
      </c>
      <c r="H3544" s="1">
        <v>46217</v>
      </c>
      <c r="I3544" t="s">
        <v>2002</v>
      </c>
      <c r="J3544" t="s">
        <v>2003</v>
      </c>
      <c r="K3544" t="s">
        <v>2036</v>
      </c>
      <c r="L3544">
        <f>IF(G3544="High",3,IF(G3544="Medium",2,1))</f>
        <v>1</v>
      </c>
    </row>
    <row r="3545" spans="1:12">
      <c r="A3545" t="s">
        <v>5571</v>
      </c>
      <c r="B3545" t="s">
        <v>1915</v>
      </c>
      <c r="C3545" t="s">
        <v>2000</v>
      </c>
      <c r="D3545" t="s">
        <v>2045</v>
      </c>
      <c r="E3545" t="s">
        <v>57</v>
      </c>
      <c r="F3545" t="s">
        <v>57</v>
      </c>
      <c r="G3545" t="str">
        <f>INDEX(Risk_Matrix!$B$2:$D$4,MATCH(E3545,Risk_Matrix!$A$2:$A$4,0),MATCH(F3545,Risk_Matrix!$B$1:$D$1,0))</f>
        <v>Low</v>
      </c>
      <c r="H3545" s="1">
        <v>46119</v>
      </c>
      <c r="I3545" t="s">
        <v>2025</v>
      </c>
      <c r="J3545" t="s">
        <v>2026</v>
      </c>
      <c r="K3545" t="s">
        <v>1993</v>
      </c>
      <c r="L3545">
        <f>IF(G3545="High",3,IF(G3545="Medium",2,1))</f>
        <v>1</v>
      </c>
    </row>
    <row r="3546" spans="1:12">
      <c r="A3546" t="s">
        <v>5572</v>
      </c>
      <c r="B3546" t="s">
        <v>1915</v>
      </c>
      <c r="C3546" t="s">
        <v>2005</v>
      </c>
      <c r="D3546" t="s">
        <v>2039</v>
      </c>
      <c r="E3546" t="s">
        <v>47</v>
      </c>
      <c r="F3546" t="s">
        <v>1971</v>
      </c>
      <c r="G3546" t="str">
        <f>INDEX(Risk_Matrix!$B$2:$D$4,MATCH(E3546,Risk_Matrix!$A$2:$A$4,0),MATCH(F3546,Risk_Matrix!$B$1:$D$1,0))</f>
        <v>High</v>
      </c>
      <c r="H3546" s="1">
        <v>46218</v>
      </c>
      <c r="I3546" t="s">
        <v>2015</v>
      </c>
      <c r="J3546" t="s">
        <v>2032</v>
      </c>
      <c r="K3546" t="s">
        <v>1993</v>
      </c>
      <c r="L3546">
        <f>IF(G3546="High",3,IF(G3546="Medium",2,1))</f>
        <v>3</v>
      </c>
    </row>
    <row r="3547" spans="1:12">
      <c r="A3547" t="s">
        <v>5573</v>
      </c>
      <c r="B3547" t="s">
        <v>1915</v>
      </c>
      <c r="C3547" t="s">
        <v>2008</v>
      </c>
      <c r="D3547" t="s">
        <v>2009</v>
      </c>
      <c r="E3547" t="s">
        <v>57</v>
      </c>
      <c r="F3547" t="s">
        <v>1971</v>
      </c>
      <c r="G3547" t="str">
        <f>INDEX(Risk_Matrix!$B$2:$D$4,MATCH(E3547,Risk_Matrix!$A$2:$A$4,0),MATCH(F3547,Risk_Matrix!$B$1:$D$1,0))</f>
        <v>Low</v>
      </c>
      <c r="H3547" s="1">
        <v>46149</v>
      </c>
      <c r="I3547" t="s">
        <v>2025</v>
      </c>
      <c r="J3547" t="s">
        <v>2026</v>
      </c>
      <c r="K3547" t="s">
        <v>2010</v>
      </c>
      <c r="L3547">
        <f>IF(G3547="High",3,IF(G3547="Medium",2,1))</f>
        <v>1</v>
      </c>
    </row>
    <row r="3548" spans="1:12">
      <c r="A3548" t="s">
        <v>5574</v>
      </c>
      <c r="B3548" t="s">
        <v>1917</v>
      </c>
      <c r="C3548" t="s">
        <v>1985</v>
      </c>
      <c r="D3548" t="s">
        <v>2062</v>
      </c>
      <c r="E3548" t="s">
        <v>47</v>
      </c>
      <c r="F3548" t="s">
        <v>1971</v>
      </c>
      <c r="G3548" t="str">
        <f>INDEX(Risk_Matrix!$B$2:$D$4,MATCH(E3548,Risk_Matrix!$A$2:$A$4,0),MATCH(F3548,Risk_Matrix!$B$1:$D$1,0))</f>
        <v>High</v>
      </c>
      <c r="H3548" s="1">
        <v>46069</v>
      </c>
      <c r="I3548" t="s">
        <v>2025</v>
      </c>
      <c r="J3548" t="s">
        <v>2026</v>
      </c>
      <c r="K3548" t="s">
        <v>1989</v>
      </c>
      <c r="L3548">
        <f>IF(G3548="High",3,IF(G3548="Medium",2,1))</f>
        <v>3</v>
      </c>
    </row>
    <row r="3549" spans="1:12">
      <c r="A3549" t="s">
        <v>5575</v>
      </c>
      <c r="B3549" t="s">
        <v>1917</v>
      </c>
      <c r="C3549" t="s">
        <v>1991</v>
      </c>
      <c r="D3549" t="s">
        <v>2064</v>
      </c>
      <c r="E3549" t="s">
        <v>1971</v>
      </c>
      <c r="F3549" t="s">
        <v>1971</v>
      </c>
      <c r="G3549" t="str">
        <f>INDEX(Risk_Matrix!$B$2:$D$4,MATCH(E3549,Risk_Matrix!$A$2:$A$4,0),MATCH(F3549,Risk_Matrix!$B$1:$D$1,0))</f>
        <v>Medium</v>
      </c>
      <c r="H3549" s="1">
        <v>46087</v>
      </c>
      <c r="I3549" t="s">
        <v>2025</v>
      </c>
      <c r="J3549" t="s">
        <v>2035</v>
      </c>
      <c r="K3549" t="s">
        <v>1993</v>
      </c>
      <c r="L3549">
        <f>IF(G3549="High",3,IF(G3549="Medium",2,1))</f>
        <v>2</v>
      </c>
    </row>
    <row r="3550" spans="1:12">
      <c r="A3550" t="s">
        <v>5576</v>
      </c>
      <c r="B3550" t="s">
        <v>1917</v>
      </c>
      <c r="C3550" t="s">
        <v>1995</v>
      </c>
      <c r="D3550" t="s">
        <v>2034</v>
      </c>
      <c r="E3550" t="s">
        <v>57</v>
      </c>
      <c r="F3550" t="s">
        <v>57</v>
      </c>
      <c r="G3550" t="str">
        <f>INDEX(Risk_Matrix!$B$2:$D$4,MATCH(E3550,Risk_Matrix!$A$2:$A$4,0),MATCH(F3550,Risk_Matrix!$B$1:$D$1,0))</f>
        <v>Low</v>
      </c>
      <c r="H3550" s="1">
        <v>46201</v>
      </c>
      <c r="I3550" t="s">
        <v>2015</v>
      </c>
      <c r="J3550" t="s">
        <v>2016</v>
      </c>
      <c r="K3550" t="s">
        <v>2036</v>
      </c>
      <c r="L3550">
        <f>IF(G3550="High",3,IF(G3550="Medium",2,1))</f>
        <v>1</v>
      </c>
    </row>
    <row r="3551" spans="1:12">
      <c r="A3551" t="s">
        <v>5577</v>
      </c>
      <c r="B3551" t="s">
        <v>1917</v>
      </c>
      <c r="C3551" t="s">
        <v>2000</v>
      </c>
      <c r="D3551" t="s">
        <v>2001</v>
      </c>
      <c r="E3551" t="s">
        <v>1971</v>
      </c>
      <c r="F3551" t="s">
        <v>1971</v>
      </c>
      <c r="G3551" t="str">
        <f>INDEX(Risk_Matrix!$B$2:$D$4,MATCH(E3551,Risk_Matrix!$A$2:$A$4,0),MATCH(F3551,Risk_Matrix!$B$1:$D$1,0))</f>
        <v>Medium</v>
      </c>
      <c r="H3551" s="1">
        <v>46114</v>
      </c>
      <c r="I3551" t="s">
        <v>2025</v>
      </c>
      <c r="J3551" t="s">
        <v>2035</v>
      </c>
      <c r="K3551" t="s">
        <v>1989</v>
      </c>
      <c r="L3551">
        <f>IF(G3551="High",3,IF(G3551="Medium",2,1))</f>
        <v>2</v>
      </c>
    </row>
    <row r="3552" spans="1:12">
      <c r="A3552" t="s">
        <v>5578</v>
      </c>
      <c r="B3552" t="s">
        <v>1917</v>
      </c>
      <c r="C3552" t="s">
        <v>2005</v>
      </c>
      <c r="D3552" t="s">
        <v>2022</v>
      </c>
      <c r="E3552" t="s">
        <v>1971</v>
      </c>
      <c r="F3552" t="s">
        <v>47</v>
      </c>
      <c r="G3552" t="str">
        <f>INDEX(Risk_Matrix!$B$2:$D$4,MATCH(E3552,Risk_Matrix!$A$2:$A$4,0),MATCH(F3552,Risk_Matrix!$B$1:$D$1,0))</f>
        <v>High</v>
      </c>
      <c r="H3552" s="1">
        <v>46181</v>
      </c>
      <c r="I3552" t="s">
        <v>2015</v>
      </c>
      <c r="J3552" t="s">
        <v>2016</v>
      </c>
      <c r="K3552" t="s">
        <v>1993</v>
      </c>
      <c r="L3552">
        <f>IF(G3552="High",3,IF(G3552="Medium",2,1))</f>
        <v>3</v>
      </c>
    </row>
    <row r="3553" spans="1:12">
      <c r="A3553" t="s">
        <v>5579</v>
      </c>
      <c r="B3553" t="s">
        <v>1917</v>
      </c>
      <c r="C3553" t="s">
        <v>2008</v>
      </c>
      <c r="D3553" t="s">
        <v>2054</v>
      </c>
      <c r="E3553" t="s">
        <v>1971</v>
      </c>
      <c r="F3553" t="s">
        <v>57</v>
      </c>
      <c r="G3553" t="str">
        <f>INDEX(Risk_Matrix!$B$2:$D$4,MATCH(E3553,Risk_Matrix!$A$2:$A$4,0),MATCH(F3553,Risk_Matrix!$B$1:$D$1,0))</f>
        <v>Low</v>
      </c>
      <c r="H3553" s="1">
        <v>46220</v>
      </c>
      <c r="I3553" t="s">
        <v>1987</v>
      </c>
      <c r="J3553" t="s">
        <v>1997</v>
      </c>
      <c r="K3553" t="s">
        <v>2010</v>
      </c>
      <c r="L3553">
        <f>IF(G3553="High",3,IF(G3553="Medium",2,1))</f>
        <v>1</v>
      </c>
    </row>
    <row r="3554" spans="1:12">
      <c r="A3554" t="s">
        <v>5580</v>
      </c>
      <c r="B3554" t="s">
        <v>1920</v>
      </c>
      <c r="C3554" t="s">
        <v>1985</v>
      </c>
      <c r="D3554" t="s">
        <v>2062</v>
      </c>
      <c r="E3554" t="s">
        <v>57</v>
      </c>
      <c r="F3554" t="s">
        <v>1971</v>
      </c>
      <c r="G3554" t="str">
        <f>INDEX(Risk_Matrix!$B$2:$D$4,MATCH(E3554,Risk_Matrix!$A$2:$A$4,0),MATCH(F3554,Risk_Matrix!$B$1:$D$1,0))</f>
        <v>Low</v>
      </c>
      <c r="H3554" s="1">
        <v>46229</v>
      </c>
      <c r="I3554" t="s">
        <v>2025</v>
      </c>
      <c r="J3554" t="s">
        <v>2035</v>
      </c>
      <c r="K3554" t="s">
        <v>1998</v>
      </c>
      <c r="L3554">
        <f>IF(G3554="High",3,IF(G3554="Medium",2,1))</f>
        <v>1</v>
      </c>
    </row>
    <row r="3555" spans="1:12">
      <c r="A3555" t="s">
        <v>5581</v>
      </c>
      <c r="B3555" t="s">
        <v>1920</v>
      </c>
      <c r="C3555" t="s">
        <v>1991</v>
      </c>
      <c r="D3555" t="s">
        <v>2064</v>
      </c>
      <c r="E3555" t="s">
        <v>57</v>
      </c>
      <c r="F3555" t="s">
        <v>57</v>
      </c>
      <c r="G3555" t="str">
        <f>INDEX(Risk_Matrix!$B$2:$D$4,MATCH(E3555,Risk_Matrix!$A$2:$A$4,0),MATCH(F3555,Risk_Matrix!$B$1:$D$1,0))</f>
        <v>Low</v>
      </c>
      <c r="H3555" s="1">
        <v>46119</v>
      </c>
      <c r="I3555" t="s">
        <v>1987</v>
      </c>
      <c r="J3555" t="s">
        <v>1997</v>
      </c>
      <c r="K3555" t="s">
        <v>2010</v>
      </c>
      <c r="L3555">
        <f>IF(G3555="High",3,IF(G3555="Medium",2,1))</f>
        <v>1</v>
      </c>
    </row>
    <row r="3556" spans="1:12">
      <c r="A3556" t="s">
        <v>5582</v>
      </c>
      <c r="B3556" t="s">
        <v>1920</v>
      </c>
      <c r="C3556" t="s">
        <v>1995</v>
      </c>
      <c r="D3556" t="s">
        <v>1996</v>
      </c>
      <c r="E3556" t="s">
        <v>57</v>
      </c>
      <c r="F3556" t="s">
        <v>1971</v>
      </c>
      <c r="G3556" t="str">
        <f>INDEX(Risk_Matrix!$B$2:$D$4,MATCH(E3556,Risk_Matrix!$A$2:$A$4,0),MATCH(F3556,Risk_Matrix!$B$1:$D$1,0))</f>
        <v>Low</v>
      </c>
      <c r="H3556" s="1">
        <v>46201</v>
      </c>
      <c r="I3556" t="s">
        <v>2015</v>
      </c>
      <c r="J3556" t="s">
        <v>2016</v>
      </c>
      <c r="K3556" t="s">
        <v>1998</v>
      </c>
      <c r="L3556">
        <f>IF(G3556="High",3,IF(G3556="Medium",2,1))</f>
        <v>1</v>
      </c>
    </row>
    <row r="3557" spans="1:12">
      <c r="A3557" t="s">
        <v>5583</v>
      </c>
      <c r="B3557" t="s">
        <v>1920</v>
      </c>
      <c r="C3557" t="s">
        <v>2000</v>
      </c>
      <c r="D3557" t="s">
        <v>2020</v>
      </c>
      <c r="E3557" t="s">
        <v>57</v>
      </c>
      <c r="F3557" t="s">
        <v>1971</v>
      </c>
      <c r="G3557" t="str">
        <f>INDEX(Risk_Matrix!$B$2:$D$4,MATCH(E3557,Risk_Matrix!$A$2:$A$4,0),MATCH(F3557,Risk_Matrix!$B$1:$D$1,0))</f>
        <v>Low</v>
      </c>
      <c r="H3557" s="1">
        <v>46181</v>
      </c>
      <c r="I3557" t="s">
        <v>2015</v>
      </c>
      <c r="J3557" t="s">
        <v>2032</v>
      </c>
      <c r="K3557" t="s">
        <v>1993</v>
      </c>
      <c r="L3557">
        <f>IF(G3557="High",3,IF(G3557="Medium",2,1))</f>
        <v>1</v>
      </c>
    </row>
    <row r="3558" spans="1:12">
      <c r="A3558" t="s">
        <v>5584</v>
      </c>
      <c r="B3558" t="s">
        <v>1920</v>
      </c>
      <c r="C3558" t="s">
        <v>2005</v>
      </c>
      <c r="D3558" t="s">
        <v>2006</v>
      </c>
      <c r="E3558" t="s">
        <v>1971</v>
      </c>
      <c r="F3558" t="s">
        <v>1971</v>
      </c>
      <c r="G3558" t="str">
        <f>INDEX(Risk_Matrix!$B$2:$D$4,MATCH(E3558,Risk_Matrix!$A$2:$A$4,0),MATCH(F3558,Risk_Matrix!$B$1:$D$1,0))</f>
        <v>Medium</v>
      </c>
      <c r="H3558" s="1">
        <v>46105</v>
      </c>
      <c r="I3558" t="s">
        <v>2025</v>
      </c>
      <c r="J3558" t="s">
        <v>2026</v>
      </c>
      <c r="K3558" t="s">
        <v>1993</v>
      </c>
      <c r="L3558">
        <f>IF(G3558="High",3,IF(G3558="Medium",2,1))</f>
        <v>2</v>
      </c>
    </row>
    <row r="3559" spans="1:12">
      <c r="A3559" t="s">
        <v>5585</v>
      </c>
      <c r="B3559" t="s">
        <v>1920</v>
      </c>
      <c r="C3559" t="s">
        <v>2008</v>
      </c>
      <c r="D3559" t="s">
        <v>2024</v>
      </c>
      <c r="E3559" t="s">
        <v>57</v>
      </c>
      <c r="F3559" t="s">
        <v>1971</v>
      </c>
      <c r="G3559" t="str">
        <f>INDEX(Risk_Matrix!$B$2:$D$4,MATCH(E3559,Risk_Matrix!$A$2:$A$4,0),MATCH(F3559,Risk_Matrix!$B$1:$D$1,0))</f>
        <v>Low</v>
      </c>
      <c r="H3559" s="1">
        <v>46230</v>
      </c>
      <c r="I3559" t="s">
        <v>2002</v>
      </c>
      <c r="J3559" t="s">
        <v>2029</v>
      </c>
      <c r="K3559" t="s">
        <v>2010</v>
      </c>
      <c r="L3559">
        <f>IF(G3559="High",3,IF(G3559="Medium",2,1))</f>
        <v>1</v>
      </c>
    </row>
    <row r="3560" spans="1:12">
      <c r="A3560" t="s">
        <v>5586</v>
      </c>
      <c r="B3560" t="s">
        <v>1923</v>
      </c>
      <c r="C3560" t="s">
        <v>1985</v>
      </c>
      <c r="D3560" t="s">
        <v>2062</v>
      </c>
      <c r="E3560" t="s">
        <v>57</v>
      </c>
      <c r="F3560" t="s">
        <v>47</v>
      </c>
      <c r="G3560" t="str">
        <f>INDEX(Risk_Matrix!$B$2:$D$4,MATCH(E3560,Risk_Matrix!$A$2:$A$4,0),MATCH(F3560,Risk_Matrix!$B$1:$D$1,0))</f>
        <v>Medium</v>
      </c>
      <c r="H3560" s="1">
        <v>46218</v>
      </c>
      <c r="I3560" t="s">
        <v>1987</v>
      </c>
      <c r="J3560" t="s">
        <v>1997</v>
      </c>
      <c r="K3560" t="s">
        <v>1989</v>
      </c>
      <c r="L3560">
        <f>IF(G3560="High",3,IF(G3560="Medium",2,1))</f>
        <v>2</v>
      </c>
    </row>
    <row r="3561" spans="1:12">
      <c r="A3561" t="s">
        <v>5587</v>
      </c>
      <c r="B3561" t="s">
        <v>1923</v>
      </c>
      <c r="C3561" t="s">
        <v>1991</v>
      </c>
      <c r="D3561" t="s">
        <v>2064</v>
      </c>
      <c r="E3561" t="s">
        <v>57</v>
      </c>
      <c r="F3561" t="s">
        <v>1971</v>
      </c>
      <c r="G3561" t="str">
        <f>INDEX(Risk_Matrix!$B$2:$D$4,MATCH(E3561,Risk_Matrix!$A$2:$A$4,0),MATCH(F3561,Risk_Matrix!$B$1:$D$1,0))</f>
        <v>Low</v>
      </c>
      <c r="H3561" s="1">
        <v>46169</v>
      </c>
      <c r="I3561" t="s">
        <v>1987</v>
      </c>
      <c r="J3561" t="s">
        <v>1997</v>
      </c>
      <c r="K3561" t="s">
        <v>2010</v>
      </c>
      <c r="L3561">
        <f>IF(G3561="High",3,IF(G3561="Medium",2,1))</f>
        <v>1</v>
      </c>
    </row>
    <row r="3562" spans="1:12">
      <c r="A3562" t="s">
        <v>5588</v>
      </c>
      <c r="B3562" t="s">
        <v>1923</v>
      </c>
      <c r="C3562" t="s">
        <v>1995</v>
      </c>
      <c r="D3562" t="s">
        <v>2018</v>
      </c>
      <c r="E3562" t="s">
        <v>47</v>
      </c>
      <c r="F3562" t="s">
        <v>1971</v>
      </c>
      <c r="G3562" t="str">
        <f>INDEX(Risk_Matrix!$B$2:$D$4,MATCH(E3562,Risk_Matrix!$A$2:$A$4,0),MATCH(F3562,Risk_Matrix!$B$1:$D$1,0))</f>
        <v>High</v>
      </c>
      <c r="H3562" s="1">
        <v>46150</v>
      </c>
      <c r="I3562" t="s">
        <v>1987</v>
      </c>
      <c r="J3562" t="s">
        <v>1997</v>
      </c>
      <c r="K3562" t="s">
        <v>2036</v>
      </c>
      <c r="L3562">
        <f>IF(G3562="High",3,IF(G3562="Medium",2,1))</f>
        <v>3</v>
      </c>
    </row>
    <row r="3563" spans="1:12">
      <c r="A3563" t="s">
        <v>5589</v>
      </c>
      <c r="B3563" t="s">
        <v>1923</v>
      </c>
      <c r="C3563" t="s">
        <v>2000</v>
      </c>
      <c r="D3563" t="s">
        <v>2001</v>
      </c>
      <c r="E3563" t="s">
        <v>1971</v>
      </c>
      <c r="F3563" t="s">
        <v>57</v>
      </c>
      <c r="G3563" t="str">
        <f>INDEX(Risk_Matrix!$B$2:$D$4,MATCH(E3563,Risk_Matrix!$A$2:$A$4,0),MATCH(F3563,Risk_Matrix!$B$1:$D$1,0))</f>
        <v>Low</v>
      </c>
      <c r="H3563" s="1">
        <v>46180</v>
      </c>
      <c r="I3563" t="s">
        <v>2025</v>
      </c>
      <c r="J3563" t="s">
        <v>2026</v>
      </c>
      <c r="K3563" t="s">
        <v>1989</v>
      </c>
      <c r="L3563">
        <f>IF(G3563="High",3,IF(G3563="Medium",2,1))</f>
        <v>1</v>
      </c>
    </row>
    <row r="3564" spans="1:12">
      <c r="A3564" t="s">
        <v>5590</v>
      </c>
      <c r="B3564" t="s">
        <v>1923</v>
      </c>
      <c r="C3564" t="s">
        <v>2005</v>
      </c>
      <c r="D3564" t="s">
        <v>2006</v>
      </c>
      <c r="E3564" t="s">
        <v>47</v>
      </c>
      <c r="F3564" t="s">
        <v>1971</v>
      </c>
      <c r="G3564" t="str">
        <f>INDEX(Risk_Matrix!$B$2:$D$4,MATCH(E3564,Risk_Matrix!$A$2:$A$4,0),MATCH(F3564,Risk_Matrix!$B$1:$D$1,0))</f>
        <v>High</v>
      </c>
      <c r="H3564" s="1">
        <v>46228</v>
      </c>
      <c r="I3564" t="s">
        <v>2015</v>
      </c>
      <c r="J3564" t="s">
        <v>2032</v>
      </c>
      <c r="K3564" t="s">
        <v>1993</v>
      </c>
      <c r="L3564">
        <f>IF(G3564="High",3,IF(G3564="Medium",2,1))</f>
        <v>3</v>
      </c>
    </row>
    <row r="3565" spans="1:12">
      <c r="A3565" t="s">
        <v>5591</v>
      </c>
      <c r="B3565" t="s">
        <v>1923</v>
      </c>
      <c r="C3565" t="s">
        <v>2008</v>
      </c>
      <c r="D3565" t="s">
        <v>2054</v>
      </c>
      <c r="E3565" t="s">
        <v>57</v>
      </c>
      <c r="F3565" t="s">
        <v>1971</v>
      </c>
      <c r="G3565" t="str">
        <f>INDEX(Risk_Matrix!$B$2:$D$4,MATCH(E3565,Risk_Matrix!$A$2:$A$4,0),MATCH(F3565,Risk_Matrix!$B$1:$D$1,0))</f>
        <v>Low</v>
      </c>
      <c r="H3565" s="1">
        <v>46163</v>
      </c>
      <c r="I3565" t="s">
        <v>2002</v>
      </c>
      <c r="J3565" t="s">
        <v>2003</v>
      </c>
      <c r="K3565" t="s">
        <v>2010</v>
      </c>
      <c r="L3565">
        <f>IF(G3565="High",3,IF(G3565="Medium",2,1))</f>
        <v>1</v>
      </c>
    </row>
    <row r="3566" spans="1:12">
      <c r="A3566" t="s">
        <v>5592</v>
      </c>
      <c r="B3566" t="s">
        <v>1925</v>
      </c>
      <c r="C3566" t="s">
        <v>1985</v>
      </c>
      <c r="D3566" t="s">
        <v>1986</v>
      </c>
      <c r="E3566" t="s">
        <v>57</v>
      </c>
      <c r="F3566" t="s">
        <v>1971</v>
      </c>
      <c r="G3566" t="str">
        <f>INDEX(Risk_Matrix!$B$2:$D$4,MATCH(E3566,Risk_Matrix!$A$2:$A$4,0),MATCH(F3566,Risk_Matrix!$B$1:$D$1,0))</f>
        <v>Low</v>
      </c>
      <c r="H3566" s="1">
        <v>46192</v>
      </c>
      <c r="I3566" t="s">
        <v>1987</v>
      </c>
      <c r="J3566" t="s">
        <v>1988</v>
      </c>
      <c r="K3566" t="s">
        <v>1989</v>
      </c>
      <c r="L3566">
        <f>IF(G3566="High",3,IF(G3566="Medium",2,1))</f>
        <v>1</v>
      </c>
    </row>
    <row r="3567" spans="1:12">
      <c r="A3567" t="s">
        <v>5593</v>
      </c>
      <c r="B3567" t="s">
        <v>1925</v>
      </c>
      <c r="C3567" t="s">
        <v>1991</v>
      </c>
      <c r="D3567" t="s">
        <v>2014</v>
      </c>
      <c r="E3567" t="s">
        <v>1971</v>
      </c>
      <c r="F3567" t="s">
        <v>57</v>
      </c>
      <c r="G3567" t="str">
        <f>INDEX(Risk_Matrix!$B$2:$D$4,MATCH(E3567,Risk_Matrix!$A$2:$A$4,0),MATCH(F3567,Risk_Matrix!$B$1:$D$1,0))</f>
        <v>Low</v>
      </c>
      <c r="H3567" s="1">
        <v>46159</v>
      </c>
      <c r="I3567" t="s">
        <v>1987</v>
      </c>
      <c r="J3567" t="s">
        <v>1997</v>
      </c>
      <c r="K3567" t="s">
        <v>1993</v>
      </c>
      <c r="L3567">
        <f>IF(G3567="High",3,IF(G3567="Medium",2,1))</f>
        <v>1</v>
      </c>
    </row>
    <row r="3568" spans="1:12">
      <c r="A3568" t="s">
        <v>5594</v>
      </c>
      <c r="B3568" t="s">
        <v>1925</v>
      </c>
      <c r="C3568" t="s">
        <v>1995</v>
      </c>
      <c r="D3568" t="s">
        <v>2018</v>
      </c>
      <c r="E3568" t="s">
        <v>57</v>
      </c>
      <c r="F3568" t="s">
        <v>57</v>
      </c>
      <c r="G3568" t="str">
        <f>INDEX(Risk_Matrix!$B$2:$D$4,MATCH(E3568,Risk_Matrix!$A$2:$A$4,0),MATCH(F3568,Risk_Matrix!$B$1:$D$1,0))</f>
        <v>Low</v>
      </c>
      <c r="H3568" s="1">
        <v>46085</v>
      </c>
      <c r="I3568" t="s">
        <v>2025</v>
      </c>
      <c r="J3568" t="s">
        <v>2026</v>
      </c>
      <c r="K3568" t="s">
        <v>2036</v>
      </c>
      <c r="L3568">
        <f>IF(G3568="High",3,IF(G3568="Medium",2,1))</f>
        <v>1</v>
      </c>
    </row>
    <row r="3569" spans="1:12">
      <c r="A3569" t="s">
        <v>5595</v>
      </c>
      <c r="B3569" t="s">
        <v>1925</v>
      </c>
      <c r="C3569" t="s">
        <v>2000</v>
      </c>
      <c r="D3569" t="s">
        <v>2001</v>
      </c>
      <c r="E3569" t="s">
        <v>57</v>
      </c>
      <c r="F3569" t="s">
        <v>1971</v>
      </c>
      <c r="G3569" t="str">
        <f>INDEX(Risk_Matrix!$B$2:$D$4,MATCH(E3569,Risk_Matrix!$A$2:$A$4,0),MATCH(F3569,Risk_Matrix!$B$1:$D$1,0))</f>
        <v>Low</v>
      </c>
      <c r="H3569" s="1">
        <v>46142</v>
      </c>
      <c r="I3569" t="s">
        <v>2002</v>
      </c>
      <c r="J3569" t="s">
        <v>2003</v>
      </c>
      <c r="K3569" t="s">
        <v>1993</v>
      </c>
      <c r="L3569">
        <f>IF(G3569="High",3,IF(G3569="Medium",2,1))</f>
        <v>1</v>
      </c>
    </row>
    <row r="3570" spans="1:12">
      <c r="A3570" t="s">
        <v>5596</v>
      </c>
      <c r="B3570" t="s">
        <v>1925</v>
      </c>
      <c r="C3570" t="s">
        <v>2005</v>
      </c>
      <c r="D3570" t="s">
        <v>2022</v>
      </c>
      <c r="E3570" t="s">
        <v>1971</v>
      </c>
      <c r="F3570" t="s">
        <v>1971</v>
      </c>
      <c r="G3570" t="str">
        <f>INDEX(Risk_Matrix!$B$2:$D$4,MATCH(E3570,Risk_Matrix!$A$2:$A$4,0),MATCH(F3570,Risk_Matrix!$B$1:$D$1,0))</f>
        <v>Medium</v>
      </c>
      <c r="H3570" s="1">
        <v>46216</v>
      </c>
      <c r="I3570" t="s">
        <v>2025</v>
      </c>
      <c r="J3570" t="s">
        <v>2035</v>
      </c>
      <c r="K3570" t="s">
        <v>1993</v>
      </c>
      <c r="L3570">
        <f>IF(G3570="High",3,IF(G3570="Medium",2,1))</f>
        <v>2</v>
      </c>
    </row>
    <row r="3571" spans="1:12">
      <c r="A3571" t="s">
        <v>5597</v>
      </c>
      <c r="B3571" t="s">
        <v>1925</v>
      </c>
      <c r="C3571" t="s">
        <v>2008</v>
      </c>
      <c r="D3571" t="s">
        <v>2024</v>
      </c>
      <c r="E3571" t="s">
        <v>57</v>
      </c>
      <c r="F3571" t="s">
        <v>57</v>
      </c>
      <c r="G3571" t="str">
        <f>INDEX(Risk_Matrix!$B$2:$D$4,MATCH(E3571,Risk_Matrix!$A$2:$A$4,0),MATCH(F3571,Risk_Matrix!$B$1:$D$1,0))</f>
        <v>Low</v>
      </c>
      <c r="H3571" s="1">
        <v>46220</v>
      </c>
      <c r="I3571" t="s">
        <v>1987</v>
      </c>
      <c r="J3571" t="s">
        <v>1988</v>
      </c>
      <c r="K3571" t="s">
        <v>2010</v>
      </c>
      <c r="L3571">
        <f>IF(G3571="High",3,IF(G3571="Medium",2,1))</f>
        <v>1</v>
      </c>
    </row>
    <row r="3572" spans="1:12">
      <c r="A3572" t="s">
        <v>5598</v>
      </c>
      <c r="B3572" t="s">
        <v>1928</v>
      </c>
      <c r="C3572" t="s">
        <v>1985</v>
      </c>
      <c r="D3572" t="s">
        <v>1986</v>
      </c>
      <c r="E3572" t="s">
        <v>1971</v>
      </c>
      <c r="F3572" t="s">
        <v>1971</v>
      </c>
      <c r="G3572" t="str">
        <f>INDEX(Risk_Matrix!$B$2:$D$4,MATCH(E3572,Risk_Matrix!$A$2:$A$4,0),MATCH(F3572,Risk_Matrix!$B$1:$D$1,0))</f>
        <v>Medium</v>
      </c>
      <c r="H3572" s="1">
        <v>46067</v>
      </c>
      <c r="I3572" t="s">
        <v>1987</v>
      </c>
      <c r="J3572" t="s">
        <v>1997</v>
      </c>
      <c r="K3572" t="s">
        <v>1989</v>
      </c>
      <c r="L3572">
        <f>IF(G3572="High",3,IF(G3572="Medium",2,1))</f>
        <v>2</v>
      </c>
    </row>
    <row r="3573" spans="1:12">
      <c r="A3573" t="s">
        <v>5599</v>
      </c>
      <c r="B3573" t="s">
        <v>1928</v>
      </c>
      <c r="C3573" t="s">
        <v>1991</v>
      </c>
      <c r="D3573" t="s">
        <v>2031</v>
      </c>
      <c r="E3573" t="s">
        <v>57</v>
      </c>
      <c r="F3573" t="s">
        <v>57</v>
      </c>
      <c r="G3573" t="str">
        <f>INDEX(Risk_Matrix!$B$2:$D$4,MATCH(E3573,Risk_Matrix!$A$2:$A$4,0),MATCH(F3573,Risk_Matrix!$B$1:$D$1,0))</f>
        <v>Low</v>
      </c>
      <c r="H3573" s="1">
        <v>46126</v>
      </c>
      <c r="I3573" t="s">
        <v>2002</v>
      </c>
      <c r="J3573" t="s">
        <v>2029</v>
      </c>
      <c r="K3573" t="s">
        <v>2010</v>
      </c>
      <c r="L3573">
        <f>IF(G3573="High",3,IF(G3573="Medium",2,1))</f>
        <v>1</v>
      </c>
    </row>
    <row r="3574" spans="1:12">
      <c r="A3574" t="s">
        <v>5600</v>
      </c>
      <c r="B3574" t="s">
        <v>1928</v>
      </c>
      <c r="C3574" t="s">
        <v>1995</v>
      </c>
      <c r="D3574" t="s">
        <v>2018</v>
      </c>
      <c r="E3574" t="s">
        <v>57</v>
      </c>
      <c r="F3574" t="s">
        <v>57</v>
      </c>
      <c r="G3574" t="str">
        <f>INDEX(Risk_Matrix!$B$2:$D$4,MATCH(E3574,Risk_Matrix!$A$2:$A$4,0),MATCH(F3574,Risk_Matrix!$B$1:$D$1,0))</f>
        <v>Low</v>
      </c>
      <c r="H3574" s="1">
        <v>46091</v>
      </c>
      <c r="I3574" t="s">
        <v>2025</v>
      </c>
      <c r="J3574" t="s">
        <v>2026</v>
      </c>
      <c r="K3574" t="s">
        <v>1998</v>
      </c>
      <c r="L3574">
        <f>IF(G3574="High",3,IF(G3574="Medium",2,1))</f>
        <v>1</v>
      </c>
    </row>
    <row r="3575" spans="1:12">
      <c r="A3575" t="s">
        <v>5601</v>
      </c>
      <c r="B3575" t="s">
        <v>1928</v>
      </c>
      <c r="C3575" t="s">
        <v>2000</v>
      </c>
      <c r="D3575" t="s">
        <v>2020</v>
      </c>
      <c r="E3575" t="s">
        <v>1971</v>
      </c>
      <c r="F3575" t="s">
        <v>47</v>
      </c>
      <c r="G3575" t="str">
        <f>INDEX(Risk_Matrix!$B$2:$D$4,MATCH(E3575,Risk_Matrix!$A$2:$A$4,0),MATCH(F3575,Risk_Matrix!$B$1:$D$1,0))</f>
        <v>High</v>
      </c>
      <c r="H3575" s="1">
        <v>46099</v>
      </c>
      <c r="I3575" t="s">
        <v>2025</v>
      </c>
      <c r="J3575" t="s">
        <v>2026</v>
      </c>
      <c r="K3575" t="s">
        <v>1993</v>
      </c>
      <c r="L3575">
        <f>IF(G3575="High",3,IF(G3575="Medium",2,1))</f>
        <v>3</v>
      </c>
    </row>
    <row r="3576" spans="1:12">
      <c r="A3576" t="s">
        <v>5602</v>
      </c>
      <c r="B3576" t="s">
        <v>1928</v>
      </c>
      <c r="C3576" t="s">
        <v>2005</v>
      </c>
      <c r="D3576" t="s">
        <v>2039</v>
      </c>
      <c r="E3576" t="s">
        <v>47</v>
      </c>
      <c r="F3576" t="s">
        <v>57</v>
      </c>
      <c r="G3576" t="str">
        <f>INDEX(Risk_Matrix!$B$2:$D$4,MATCH(E3576,Risk_Matrix!$A$2:$A$4,0),MATCH(F3576,Risk_Matrix!$B$1:$D$1,0))</f>
        <v>Medium</v>
      </c>
      <c r="H3576" s="1">
        <v>46228</v>
      </c>
      <c r="I3576" t="s">
        <v>2015</v>
      </c>
      <c r="J3576" t="s">
        <v>2016</v>
      </c>
      <c r="K3576" t="s">
        <v>1993</v>
      </c>
      <c r="L3576">
        <f>IF(G3576="High",3,IF(G3576="Medium",2,1))</f>
        <v>2</v>
      </c>
    </row>
    <row r="3577" spans="1:12">
      <c r="A3577" t="s">
        <v>5603</v>
      </c>
      <c r="B3577" t="s">
        <v>1928</v>
      </c>
      <c r="C3577" t="s">
        <v>2008</v>
      </c>
      <c r="D3577" t="s">
        <v>2024</v>
      </c>
      <c r="E3577" t="s">
        <v>1971</v>
      </c>
      <c r="F3577" t="s">
        <v>1971</v>
      </c>
      <c r="G3577" t="str">
        <f>INDEX(Risk_Matrix!$B$2:$D$4,MATCH(E3577,Risk_Matrix!$A$2:$A$4,0),MATCH(F3577,Risk_Matrix!$B$1:$D$1,0))</f>
        <v>Medium</v>
      </c>
      <c r="H3577" s="1">
        <v>46064</v>
      </c>
      <c r="I3577" t="s">
        <v>2025</v>
      </c>
      <c r="J3577" t="s">
        <v>2026</v>
      </c>
      <c r="K3577" t="s">
        <v>2010</v>
      </c>
      <c r="L3577">
        <f>IF(G3577="High",3,IF(G3577="Medium",2,1))</f>
        <v>2</v>
      </c>
    </row>
    <row r="3578" spans="1:12">
      <c r="A3578" t="s">
        <v>5604</v>
      </c>
      <c r="B3578" t="s">
        <v>1930</v>
      </c>
      <c r="C3578" t="s">
        <v>1985</v>
      </c>
      <c r="D3578" t="s">
        <v>2012</v>
      </c>
      <c r="E3578" t="s">
        <v>57</v>
      </c>
      <c r="F3578" t="s">
        <v>1971</v>
      </c>
      <c r="G3578" t="str">
        <f>INDEX(Risk_Matrix!$B$2:$D$4,MATCH(E3578,Risk_Matrix!$A$2:$A$4,0),MATCH(F3578,Risk_Matrix!$B$1:$D$1,0))</f>
        <v>Low</v>
      </c>
      <c r="H3578" s="1">
        <v>46186</v>
      </c>
      <c r="I3578" t="s">
        <v>2015</v>
      </c>
      <c r="J3578" t="s">
        <v>2032</v>
      </c>
      <c r="K3578" t="s">
        <v>1998</v>
      </c>
      <c r="L3578">
        <f>IF(G3578="High",3,IF(G3578="Medium",2,1))</f>
        <v>1</v>
      </c>
    </row>
    <row r="3579" spans="1:12">
      <c r="A3579" t="s">
        <v>5605</v>
      </c>
      <c r="B3579" t="s">
        <v>1930</v>
      </c>
      <c r="C3579" t="s">
        <v>1991</v>
      </c>
      <c r="D3579" t="s">
        <v>1992</v>
      </c>
      <c r="E3579" t="s">
        <v>1971</v>
      </c>
      <c r="F3579" t="s">
        <v>1971</v>
      </c>
      <c r="G3579" t="str">
        <f>INDEX(Risk_Matrix!$B$2:$D$4,MATCH(E3579,Risk_Matrix!$A$2:$A$4,0),MATCH(F3579,Risk_Matrix!$B$1:$D$1,0))</f>
        <v>Medium</v>
      </c>
      <c r="H3579" s="1">
        <v>46161</v>
      </c>
      <c r="I3579" t="s">
        <v>2002</v>
      </c>
      <c r="J3579" t="s">
        <v>2003</v>
      </c>
      <c r="K3579" t="s">
        <v>1993</v>
      </c>
      <c r="L3579">
        <f>IF(G3579="High",3,IF(G3579="Medium",2,1))</f>
        <v>2</v>
      </c>
    </row>
    <row r="3580" spans="1:12">
      <c r="A3580" t="s">
        <v>5606</v>
      </c>
      <c r="B3580" t="s">
        <v>1930</v>
      </c>
      <c r="C3580" t="s">
        <v>1995</v>
      </c>
      <c r="D3580" t="s">
        <v>1996</v>
      </c>
      <c r="E3580" t="s">
        <v>1971</v>
      </c>
      <c r="F3580" t="s">
        <v>57</v>
      </c>
      <c r="G3580" t="str">
        <f>INDEX(Risk_Matrix!$B$2:$D$4,MATCH(E3580,Risk_Matrix!$A$2:$A$4,0),MATCH(F3580,Risk_Matrix!$B$1:$D$1,0))</f>
        <v>Low</v>
      </c>
      <c r="H3580" s="1">
        <v>46181</v>
      </c>
      <c r="I3580" t="s">
        <v>1987</v>
      </c>
      <c r="J3580" t="s">
        <v>1988</v>
      </c>
      <c r="K3580" t="s">
        <v>1998</v>
      </c>
      <c r="L3580">
        <f>IF(G3580="High",3,IF(G3580="Medium",2,1))</f>
        <v>1</v>
      </c>
    </row>
    <row r="3581" spans="1:12">
      <c r="A3581" t="s">
        <v>5607</v>
      </c>
      <c r="B3581" t="s">
        <v>1930</v>
      </c>
      <c r="C3581" t="s">
        <v>2000</v>
      </c>
      <c r="D3581" t="s">
        <v>2001</v>
      </c>
      <c r="E3581" t="s">
        <v>57</v>
      </c>
      <c r="F3581" t="s">
        <v>57</v>
      </c>
      <c r="G3581" t="str">
        <f>INDEX(Risk_Matrix!$B$2:$D$4,MATCH(E3581,Risk_Matrix!$A$2:$A$4,0),MATCH(F3581,Risk_Matrix!$B$1:$D$1,0))</f>
        <v>Low</v>
      </c>
      <c r="H3581" s="1">
        <v>46139</v>
      </c>
      <c r="I3581" t="s">
        <v>2025</v>
      </c>
      <c r="J3581" t="s">
        <v>2026</v>
      </c>
      <c r="K3581" t="s">
        <v>1989</v>
      </c>
      <c r="L3581">
        <f>IF(G3581="High",3,IF(G3581="Medium",2,1))</f>
        <v>1</v>
      </c>
    </row>
    <row r="3582" spans="1:12">
      <c r="A3582" t="s">
        <v>5608</v>
      </c>
      <c r="B3582" t="s">
        <v>1930</v>
      </c>
      <c r="C3582" t="s">
        <v>2005</v>
      </c>
      <c r="D3582" t="s">
        <v>2006</v>
      </c>
      <c r="E3582" t="s">
        <v>47</v>
      </c>
      <c r="F3582" t="s">
        <v>47</v>
      </c>
      <c r="G3582" t="str">
        <f>INDEX(Risk_Matrix!$B$2:$D$4,MATCH(E3582,Risk_Matrix!$A$2:$A$4,0),MATCH(F3582,Risk_Matrix!$B$1:$D$1,0))</f>
        <v>High</v>
      </c>
      <c r="H3582" s="1">
        <v>46207</v>
      </c>
      <c r="I3582" t="s">
        <v>2015</v>
      </c>
      <c r="J3582" t="s">
        <v>2032</v>
      </c>
      <c r="K3582" t="s">
        <v>1993</v>
      </c>
      <c r="L3582">
        <f>IF(G3582="High",3,IF(G3582="Medium",2,1))</f>
        <v>3</v>
      </c>
    </row>
    <row r="3583" spans="1:12">
      <c r="A3583" t="s">
        <v>5609</v>
      </c>
      <c r="B3583" t="s">
        <v>1930</v>
      </c>
      <c r="C3583" t="s">
        <v>2008</v>
      </c>
      <c r="D3583" t="s">
        <v>2009</v>
      </c>
      <c r="E3583" t="s">
        <v>57</v>
      </c>
      <c r="F3583" t="s">
        <v>1971</v>
      </c>
      <c r="G3583" t="str">
        <f>INDEX(Risk_Matrix!$B$2:$D$4,MATCH(E3583,Risk_Matrix!$A$2:$A$4,0),MATCH(F3583,Risk_Matrix!$B$1:$D$1,0))</f>
        <v>Low</v>
      </c>
      <c r="H3583" s="1">
        <v>46105</v>
      </c>
      <c r="I3583" t="s">
        <v>2025</v>
      </c>
      <c r="J3583" t="s">
        <v>2035</v>
      </c>
      <c r="K3583" t="s">
        <v>2010</v>
      </c>
      <c r="L3583">
        <f>IF(G3583="High",3,IF(G3583="Medium",2,1))</f>
        <v>1</v>
      </c>
    </row>
    <row r="3584" spans="1:12">
      <c r="A3584" t="s">
        <v>5610</v>
      </c>
      <c r="B3584" t="s">
        <v>1933</v>
      </c>
      <c r="C3584" t="s">
        <v>1985</v>
      </c>
      <c r="D3584" t="s">
        <v>2028</v>
      </c>
      <c r="E3584" t="s">
        <v>57</v>
      </c>
      <c r="F3584" t="s">
        <v>57</v>
      </c>
      <c r="G3584" t="str">
        <f>INDEX(Risk_Matrix!$B$2:$D$4,MATCH(E3584,Risk_Matrix!$A$2:$A$4,0),MATCH(F3584,Risk_Matrix!$B$1:$D$1,0))</f>
        <v>Low</v>
      </c>
      <c r="H3584" s="1">
        <v>46204</v>
      </c>
      <c r="I3584" t="s">
        <v>1987</v>
      </c>
      <c r="J3584" t="s">
        <v>1988</v>
      </c>
      <c r="K3584" t="s">
        <v>1989</v>
      </c>
      <c r="L3584">
        <f>IF(G3584="High",3,IF(G3584="Medium",2,1))</f>
        <v>1</v>
      </c>
    </row>
    <row r="3585" spans="1:12">
      <c r="A3585" t="s">
        <v>5611</v>
      </c>
      <c r="B3585" t="s">
        <v>1933</v>
      </c>
      <c r="C3585" t="s">
        <v>1991</v>
      </c>
      <c r="D3585" t="s">
        <v>2064</v>
      </c>
      <c r="E3585" t="s">
        <v>1971</v>
      </c>
      <c r="F3585" t="s">
        <v>1971</v>
      </c>
      <c r="G3585" t="str">
        <f>INDEX(Risk_Matrix!$B$2:$D$4,MATCH(E3585,Risk_Matrix!$A$2:$A$4,0),MATCH(F3585,Risk_Matrix!$B$1:$D$1,0))</f>
        <v>Medium</v>
      </c>
      <c r="H3585" s="1">
        <v>46165</v>
      </c>
      <c r="I3585" t="s">
        <v>2025</v>
      </c>
      <c r="J3585" t="s">
        <v>2026</v>
      </c>
      <c r="K3585" t="s">
        <v>1993</v>
      </c>
      <c r="L3585">
        <f>IF(G3585="High",3,IF(G3585="Medium",2,1))</f>
        <v>2</v>
      </c>
    </row>
    <row r="3586" spans="1:12">
      <c r="A3586" t="s">
        <v>5612</v>
      </c>
      <c r="B3586" t="s">
        <v>1933</v>
      </c>
      <c r="C3586" t="s">
        <v>1995</v>
      </c>
      <c r="D3586" t="s">
        <v>2150</v>
      </c>
      <c r="E3586" t="s">
        <v>1971</v>
      </c>
      <c r="F3586" t="s">
        <v>1971</v>
      </c>
      <c r="G3586" t="str">
        <f>INDEX(Risk_Matrix!$B$2:$D$4,MATCH(E3586,Risk_Matrix!$A$2:$A$4,0),MATCH(F3586,Risk_Matrix!$B$1:$D$1,0))</f>
        <v>Medium</v>
      </c>
      <c r="H3586" s="1">
        <v>46215</v>
      </c>
      <c r="I3586" t="s">
        <v>2025</v>
      </c>
      <c r="J3586" t="s">
        <v>2035</v>
      </c>
      <c r="K3586" t="s">
        <v>2036</v>
      </c>
      <c r="L3586">
        <f>IF(G3586="High",3,IF(G3586="Medium",2,1))</f>
        <v>2</v>
      </c>
    </row>
    <row r="3587" spans="1:12">
      <c r="A3587" t="s">
        <v>5613</v>
      </c>
      <c r="B3587" t="s">
        <v>1933</v>
      </c>
      <c r="C3587" t="s">
        <v>2000</v>
      </c>
      <c r="D3587" t="s">
        <v>2045</v>
      </c>
      <c r="E3587" t="s">
        <v>57</v>
      </c>
      <c r="F3587" t="s">
        <v>57</v>
      </c>
      <c r="G3587" t="str">
        <f>INDEX(Risk_Matrix!$B$2:$D$4,MATCH(E3587,Risk_Matrix!$A$2:$A$4,0),MATCH(F3587,Risk_Matrix!$B$1:$D$1,0))</f>
        <v>Low</v>
      </c>
      <c r="H3587" s="1">
        <v>46202</v>
      </c>
      <c r="I3587" t="s">
        <v>2002</v>
      </c>
      <c r="J3587" t="s">
        <v>2003</v>
      </c>
      <c r="K3587" t="s">
        <v>1989</v>
      </c>
      <c r="L3587">
        <f>IF(G3587="High",3,IF(G3587="Medium",2,1))</f>
        <v>1</v>
      </c>
    </row>
    <row r="3588" spans="1:12">
      <c r="A3588" t="s">
        <v>5614</v>
      </c>
      <c r="B3588" t="s">
        <v>1933</v>
      </c>
      <c r="C3588" t="s">
        <v>2005</v>
      </c>
      <c r="D3588" t="s">
        <v>2022</v>
      </c>
      <c r="E3588" t="s">
        <v>57</v>
      </c>
      <c r="F3588" t="s">
        <v>57</v>
      </c>
      <c r="G3588" t="str">
        <f>INDEX(Risk_Matrix!$B$2:$D$4,MATCH(E3588,Risk_Matrix!$A$2:$A$4,0),MATCH(F3588,Risk_Matrix!$B$1:$D$1,0))</f>
        <v>Low</v>
      </c>
      <c r="H3588" s="1">
        <v>46158</v>
      </c>
      <c r="I3588" t="s">
        <v>2015</v>
      </c>
      <c r="J3588" t="s">
        <v>2016</v>
      </c>
      <c r="K3588" t="s">
        <v>1993</v>
      </c>
      <c r="L3588">
        <f>IF(G3588="High",3,IF(G3588="Medium",2,1))</f>
        <v>1</v>
      </c>
    </row>
    <row r="3589" spans="1:12">
      <c r="A3589" t="s">
        <v>5615</v>
      </c>
      <c r="B3589" t="s">
        <v>1933</v>
      </c>
      <c r="C3589" t="s">
        <v>2008</v>
      </c>
      <c r="D3589" t="s">
        <v>2009</v>
      </c>
      <c r="E3589" t="s">
        <v>47</v>
      </c>
      <c r="F3589" t="s">
        <v>1971</v>
      </c>
      <c r="G3589" t="str">
        <f>INDEX(Risk_Matrix!$B$2:$D$4,MATCH(E3589,Risk_Matrix!$A$2:$A$4,0),MATCH(F3589,Risk_Matrix!$B$1:$D$1,0))</f>
        <v>High</v>
      </c>
      <c r="H3589" s="1">
        <v>46224</v>
      </c>
      <c r="I3589" t="s">
        <v>2025</v>
      </c>
      <c r="J3589" t="s">
        <v>2026</v>
      </c>
      <c r="K3589" t="s">
        <v>2010</v>
      </c>
      <c r="L3589">
        <f>IF(G3589="High",3,IF(G3589="Medium",2,1))</f>
        <v>3</v>
      </c>
    </row>
    <row r="3590" spans="1:12">
      <c r="A3590" t="s">
        <v>5616</v>
      </c>
      <c r="B3590" t="s">
        <v>1936</v>
      </c>
      <c r="C3590" t="s">
        <v>1985</v>
      </c>
      <c r="D3590" t="s">
        <v>2012</v>
      </c>
      <c r="E3590" t="s">
        <v>47</v>
      </c>
      <c r="F3590" t="s">
        <v>1971</v>
      </c>
      <c r="G3590" t="str">
        <f>INDEX(Risk_Matrix!$B$2:$D$4,MATCH(E3590,Risk_Matrix!$A$2:$A$4,0),MATCH(F3590,Risk_Matrix!$B$1:$D$1,0))</f>
        <v>High</v>
      </c>
      <c r="H3590" s="1">
        <v>46204</v>
      </c>
      <c r="I3590" t="s">
        <v>2025</v>
      </c>
      <c r="J3590" t="s">
        <v>2026</v>
      </c>
      <c r="K3590" t="s">
        <v>1989</v>
      </c>
      <c r="L3590">
        <f>IF(G3590="High",3,IF(G3590="Medium",2,1))</f>
        <v>3</v>
      </c>
    </row>
    <row r="3591" spans="1:12">
      <c r="A3591" t="s">
        <v>5617</v>
      </c>
      <c r="B3591" t="s">
        <v>1936</v>
      </c>
      <c r="C3591" t="s">
        <v>1991</v>
      </c>
      <c r="D3591" t="s">
        <v>1992</v>
      </c>
      <c r="E3591" t="s">
        <v>1971</v>
      </c>
      <c r="F3591" t="s">
        <v>1971</v>
      </c>
      <c r="G3591" t="str">
        <f>INDEX(Risk_Matrix!$B$2:$D$4,MATCH(E3591,Risk_Matrix!$A$2:$A$4,0),MATCH(F3591,Risk_Matrix!$B$1:$D$1,0))</f>
        <v>Medium</v>
      </c>
      <c r="H3591" s="1">
        <v>46203</v>
      </c>
      <c r="I3591" t="s">
        <v>2015</v>
      </c>
      <c r="J3591" t="s">
        <v>2016</v>
      </c>
      <c r="K3591" t="s">
        <v>1993</v>
      </c>
      <c r="L3591">
        <f>IF(G3591="High",3,IF(G3591="Medium",2,1))</f>
        <v>2</v>
      </c>
    </row>
    <row r="3592" spans="1:12">
      <c r="A3592" t="s">
        <v>5618</v>
      </c>
      <c r="B3592" t="s">
        <v>1936</v>
      </c>
      <c r="C3592" t="s">
        <v>1995</v>
      </c>
      <c r="D3592" t="s">
        <v>2034</v>
      </c>
      <c r="E3592" t="s">
        <v>57</v>
      </c>
      <c r="F3592" t="s">
        <v>1971</v>
      </c>
      <c r="G3592" t="str">
        <f>INDEX(Risk_Matrix!$B$2:$D$4,MATCH(E3592,Risk_Matrix!$A$2:$A$4,0),MATCH(F3592,Risk_Matrix!$B$1:$D$1,0))</f>
        <v>Low</v>
      </c>
      <c r="H3592" s="1">
        <v>46206</v>
      </c>
      <c r="I3592" t="s">
        <v>2025</v>
      </c>
      <c r="J3592" t="s">
        <v>2026</v>
      </c>
      <c r="K3592" t="s">
        <v>2036</v>
      </c>
      <c r="L3592">
        <f>IF(G3592="High",3,IF(G3592="Medium",2,1))</f>
        <v>1</v>
      </c>
    </row>
    <row r="3593" spans="1:12">
      <c r="A3593" t="s">
        <v>5619</v>
      </c>
      <c r="B3593" t="s">
        <v>1936</v>
      </c>
      <c r="C3593" t="s">
        <v>2000</v>
      </c>
      <c r="D3593" t="s">
        <v>2020</v>
      </c>
      <c r="E3593" t="s">
        <v>47</v>
      </c>
      <c r="F3593" t="s">
        <v>1971</v>
      </c>
      <c r="G3593" t="str">
        <f>INDEX(Risk_Matrix!$B$2:$D$4,MATCH(E3593,Risk_Matrix!$A$2:$A$4,0),MATCH(F3593,Risk_Matrix!$B$1:$D$1,0))</f>
        <v>High</v>
      </c>
      <c r="H3593" s="1">
        <v>46203</v>
      </c>
      <c r="I3593" t="s">
        <v>1987</v>
      </c>
      <c r="J3593" t="s">
        <v>1997</v>
      </c>
      <c r="K3593" t="s">
        <v>1993</v>
      </c>
      <c r="L3593">
        <f>IF(G3593="High",3,IF(G3593="Medium",2,1))</f>
        <v>3</v>
      </c>
    </row>
    <row r="3594" spans="1:12">
      <c r="A3594" t="s">
        <v>5620</v>
      </c>
      <c r="B3594" t="s">
        <v>1936</v>
      </c>
      <c r="C3594" t="s">
        <v>2005</v>
      </c>
      <c r="D3594" t="s">
        <v>2039</v>
      </c>
      <c r="E3594" t="s">
        <v>1971</v>
      </c>
      <c r="F3594" t="s">
        <v>47</v>
      </c>
      <c r="G3594" t="str">
        <f>INDEX(Risk_Matrix!$B$2:$D$4,MATCH(E3594,Risk_Matrix!$A$2:$A$4,0),MATCH(F3594,Risk_Matrix!$B$1:$D$1,0))</f>
        <v>High</v>
      </c>
      <c r="H3594" s="1">
        <v>46171</v>
      </c>
      <c r="I3594" t="s">
        <v>2015</v>
      </c>
      <c r="J3594" t="s">
        <v>2016</v>
      </c>
      <c r="K3594" t="s">
        <v>2036</v>
      </c>
      <c r="L3594">
        <f>IF(G3594="High",3,IF(G3594="Medium",2,1))</f>
        <v>3</v>
      </c>
    </row>
    <row r="3595" spans="1:12">
      <c r="A3595" t="s">
        <v>5621</v>
      </c>
      <c r="B3595" t="s">
        <v>1936</v>
      </c>
      <c r="C3595" t="s">
        <v>2008</v>
      </c>
      <c r="D3595" t="s">
        <v>2009</v>
      </c>
      <c r="E3595" t="s">
        <v>1971</v>
      </c>
      <c r="F3595" t="s">
        <v>57</v>
      </c>
      <c r="G3595" t="str">
        <f>INDEX(Risk_Matrix!$B$2:$D$4,MATCH(E3595,Risk_Matrix!$A$2:$A$4,0),MATCH(F3595,Risk_Matrix!$B$1:$D$1,0))</f>
        <v>Low</v>
      </c>
      <c r="H3595" s="1">
        <v>46141</v>
      </c>
      <c r="I3595" t="s">
        <v>2025</v>
      </c>
      <c r="J3595" t="s">
        <v>2035</v>
      </c>
      <c r="K3595" t="s">
        <v>2010</v>
      </c>
      <c r="L3595">
        <f>IF(G3595="High",3,IF(G3595="Medium",2,1))</f>
        <v>1</v>
      </c>
    </row>
    <row r="3596" spans="1:12">
      <c r="A3596" t="s">
        <v>5622</v>
      </c>
      <c r="B3596" t="s">
        <v>1938</v>
      </c>
      <c r="C3596" t="s">
        <v>1985</v>
      </c>
      <c r="D3596" t="s">
        <v>1986</v>
      </c>
      <c r="E3596" t="s">
        <v>1971</v>
      </c>
      <c r="F3596" t="s">
        <v>1971</v>
      </c>
      <c r="G3596" t="str">
        <f>INDEX(Risk_Matrix!$B$2:$D$4,MATCH(E3596,Risk_Matrix!$A$2:$A$4,0),MATCH(F3596,Risk_Matrix!$B$1:$D$1,0))</f>
        <v>Medium</v>
      </c>
      <c r="H3596" s="1">
        <v>46145</v>
      </c>
      <c r="I3596" t="s">
        <v>1987</v>
      </c>
      <c r="J3596" t="s">
        <v>1997</v>
      </c>
      <c r="K3596" t="s">
        <v>1998</v>
      </c>
      <c r="L3596">
        <f>IF(G3596="High",3,IF(G3596="Medium",2,1))</f>
        <v>2</v>
      </c>
    </row>
    <row r="3597" spans="1:12">
      <c r="A3597" t="s">
        <v>5623</v>
      </c>
      <c r="B3597" t="s">
        <v>1938</v>
      </c>
      <c r="C3597" t="s">
        <v>1991</v>
      </c>
      <c r="D3597" t="s">
        <v>2031</v>
      </c>
      <c r="E3597" t="s">
        <v>47</v>
      </c>
      <c r="F3597" t="s">
        <v>1971</v>
      </c>
      <c r="G3597" t="str">
        <f>INDEX(Risk_Matrix!$B$2:$D$4,MATCH(E3597,Risk_Matrix!$A$2:$A$4,0),MATCH(F3597,Risk_Matrix!$B$1:$D$1,0))</f>
        <v>High</v>
      </c>
      <c r="H3597" s="1">
        <v>46105</v>
      </c>
      <c r="I3597" t="s">
        <v>2025</v>
      </c>
      <c r="J3597" t="s">
        <v>2026</v>
      </c>
      <c r="K3597" t="s">
        <v>2010</v>
      </c>
      <c r="L3597">
        <f>IF(G3597="High",3,IF(G3597="Medium",2,1))</f>
        <v>3</v>
      </c>
    </row>
    <row r="3598" spans="1:12">
      <c r="A3598" t="s">
        <v>5624</v>
      </c>
      <c r="B3598" t="s">
        <v>1938</v>
      </c>
      <c r="C3598" t="s">
        <v>1995</v>
      </c>
      <c r="D3598" t="s">
        <v>2150</v>
      </c>
      <c r="E3598" t="s">
        <v>1971</v>
      </c>
      <c r="F3598" t="s">
        <v>57</v>
      </c>
      <c r="G3598" t="str">
        <f>INDEX(Risk_Matrix!$B$2:$D$4,MATCH(E3598,Risk_Matrix!$A$2:$A$4,0),MATCH(F3598,Risk_Matrix!$B$1:$D$1,0))</f>
        <v>Low</v>
      </c>
      <c r="H3598" s="1">
        <v>46236</v>
      </c>
      <c r="I3598" t="s">
        <v>1987</v>
      </c>
      <c r="J3598" t="s">
        <v>1988</v>
      </c>
      <c r="K3598" t="s">
        <v>2036</v>
      </c>
      <c r="L3598">
        <f>IF(G3598="High",3,IF(G3598="Medium",2,1))</f>
        <v>1</v>
      </c>
    </row>
    <row r="3599" spans="1:12">
      <c r="A3599" t="s">
        <v>5625</v>
      </c>
      <c r="B3599" t="s">
        <v>1938</v>
      </c>
      <c r="C3599" t="s">
        <v>2000</v>
      </c>
      <c r="D3599" t="s">
        <v>2020</v>
      </c>
      <c r="E3599" t="s">
        <v>47</v>
      </c>
      <c r="F3599" t="s">
        <v>1971</v>
      </c>
      <c r="G3599" t="str">
        <f>INDEX(Risk_Matrix!$B$2:$D$4,MATCH(E3599,Risk_Matrix!$A$2:$A$4,0),MATCH(F3599,Risk_Matrix!$B$1:$D$1,0))</f>
        <v>High</v>
      </c>
      <c r="H3599" s="1">
        <v>46231</v>
      </c>
      <c r="I3599" t="s">
        <v>2025</v>
      </c>
      <c r="J3599" t="s">
        <v>2035</v>
      </c>
      <c r="K3599" t="s">
        <v>1989</v>
      </c>
      <c r="L3599">
        <f>IF(G3599="High",3,IF(G3599="Medium",2,1))</f>
        <v>3</v>
      </c>
    </row>
    <row r="3600" spans="1:12">
      <c r="A3600" t="s">
        <v>5626</v>
      </c>
      <c r="B3600" t="s">
        <v>1938</v>
      </c>
      <c r="C3600" t="s">
        <v>2005</v>
      </c>
      <c r="D3600" t="s">
        <v>2022</v>
      </c>
      <c r="E3600" t="s">
        <v>57</v>
      </c>
      <c r="F3600" t="s">
        <v>57</v>
      </c>
      <c r="G3600" t="str">
        <f>INDEX(Risk_Matrix!$B$2:$D$4,MATCH(E3600,Risk_Matrix!$A$2:$A$4,0),MATCH(F3600,Risk_Matrix!$B$1:$D$1,0))</f>
        <v>Low</v>
      </c>
      <c r="H3600" s="1">
        <v>46212</v>
      </c>
      <c r="I3600" t="s">
        <v>2025</v>
      </c>
      <c r="J3600" t="s">
        <v>2026</v>
      </c>
      <c r="K3600" t="s">
        <v>1993</v>
      </c>
      <c r="L3600">
        <f>IF(G3600="High",3,IF(G3600="Medium",2,1))</f>
        <v>1</v>
      </c>
    </row>
    <row r="3601" spans="1:12">
      <c r="A3601" t="s">
        <v>5627</v>
      </c>
      <c r="B3601" t="s">
        <v>1938</v>
      </c>
      <c r="C3601" t="s">
        <v>2008</v>
      </c>
      <c r="D3601" t="s">
        <v>2009</v>
      </c>
      <c r="E3601" t="s">
        <v>47</v>
      </c>
      <c r="F3601" t="s">
        <v>57</v>
      </c>
      <c r="G3601" t="str">
        <f>INDEX(Risk_Matrix!$B$2:$D$4,MATCH(E3601,Risk_Matrix!$A$2:$A$4,0),MATCH(F3601,Risk_Matrix!$B$1:$D$1,0))</f>
        <v>Medium</v>
      </c>
      <c r="H3601" s="1">
        <v>46187</v>
      </c>
      <c r="I3601" t="s">
        <v>2025</v>
      </c>
      <c r="J3601" t="s">
        <v>2026</v>
      </c>
      <c r="K3601" t="s">
        <v>2010</v>
      </c>
      <c r="L3601">
        <f>IF(G3601="High",3,IF(G3601="Medium",2,1))</f>
        <v>2</v>
      </c>
    </row>
  </sheetData>
  <pageMargins left="0.75" right="0.75" top="1" bottom="1" header="0.511811023622047" footer="0.511811023622047"/>
  <ignoredErrors>
    <ignoredError sqref="A1:L3601"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481"/>
  <sheetViews>
    <sheetView workbookViewId="0"/>
  </sheetViews>
  <sheetFormatPr defaultRowHeight="15"/>
  <sheetData>
    <row r="1" spans="1:9">
      <c r="A1" t="s">
        <v>26</v>
      </c>
      <c r="B1" t="s">
        <v>5628</v>
      </c>
      <c r="C1" t="s">
        <v>608</v>
      </c>
      <c r="D1" t="s">
        <v>609</v>
      </c>
      <c r="E1" t="s">
        <v>501</v>
      </c>
      <c r="F1" t="s">
        <v>5629</v>
      </c>
      <c r="G1" t="s">
        <v>5630</v>
      </c>
      <c r="H1" t="s">
        <v>5631</v>
      </c>
      <c r="I1" t="s">
        <v>5632</v>
      </c>
    </row>
    <row r="2" spans="1:9">
      <c r="A2" t="s">
        <v>41</v>
      </c>
      <c r="B2">
        <v>1</v>
      </c>
      <c r="C2" t="s">
        <v>1500</v>
      </c>
      <c r="D2" t="s">
        <v>1501</v>
      </c>
      <c r="E2" t="s">
        <v>560</v>
      </c>
      <c r="F2">
        <f>INDEX(Site_Evaluation!$K:$K,MATCH(C2,Site_Evaluation!$A:$A,0))</f>
        <v>76</v>
      </c>
      <c r="G2">
        <f>COUNTIFS(Risk_Register!B:B,C2,Risk_Register!G:G,"High")</f>
        <v>1</v>
      </c>
      <c r="H2" t="e">
        <f ca="1">IF(_xludf.MAXIFS(Risk_Register!$L:$L,Risk_Register!$B:$B,C2)=3,"High",IF(_xludf.MAXIFS(Risk_Register!$L:$L,Risk_Register!$B:$B,C2)=2,"Medium","Low"))</f>
        <v>#NAME?</v>
      </c>
      <c r="I2" t="str">
        <f>IF(B2&lt;=3,"Preferred site - strong composite profile",IF(B2&lt;=10,"Backup candidate - viable with monitoring","Reserve - evaluate only if primary sites unavailable"))</f>
        <v>Preferred site - strong composite profile</v>
      </c>
    </row>
    <row r="3" spans="1:9">
      <c r="A3" t="s">
        <v>41</v>
      </c>
      <c r="B3">
        <v>2</v>
      </c>
      <c r="C3" t="s">
        <v>1096</v>
      </c>
      <c r="D3" t="s">
        <v>1097</v>
      </c>
      <c r="E3" t="s">
        <v>531</v>
      </c>
      <c r="F3">
        <f>INDEX(Site_Evaluation!$K:$K,MATCH(C3,Site_Evaluation!$A:$A,0))</f>
        <v>71</v>
      </c>
      <c r="G3">
        <f>COUNTIFS(Risk_Register!B:B,C3,Risk_Register!G:G,"High")</f>
        <v>0</v>
      </c>
      <c r="H3" t="e">
        <f ca="1">IF(_xludf.MAXIFS(Risk_Register!$L:$L,Risk_Register!$B:$B,C3)=3,"High",IF(_xludf.MAXIFS(Risk_Register!$L:$L,Risk_Register!$B:$B,C3)=2,"Medium","Low"))</f>
        <v>#NAME?</v>
      </c>
      <c r="I3" t="str">
        <f>IF(B3&lt;=3,"Preferred site - strong composite profile",IF(B3&lt;=10,"Backup candidate - viable with monitoring","Reserve - evaluate only if primary sites unavailable"))</f>
        <v>Preferred site - strong composite profile</v>
      </c>
    </row>
    <row r="4" spans="1:9">
      <c r="A4" t="s">
        <v>41</v>
      </c>
      <c r="B4">
        <v>3</v>
      </c>
      <c r="C4" t="s">
        <v>1464</v>
      </c>
      <c r="D4" t="s">
        <v>1465</v>
      </c>
      <c r="E4" t="s">
        <v>556</v>
      </c>
      <c r="F4">
        <f>INDEX(Site_Evaluation!$K:$K,MATCH(C4,Site_Evaluation!$A:$A,0))</f>
        <v>65</v>
      </c>
      <c r="G4">
        <f>COUNTIFS(Risk_Register!B:B,C4,Risk_Register!G:G,"High")</f>
        <v>0</v>
      </c>
      <c r="H4" t="e">
        <f ca="1">IF(_xludf.MAXIFS(Risk_Register!$L:$L,Risk_Register!$B:$B,C4)=3,"High",IF(_xludf.MAXIFS(Risk_Register!$L:$L,Risk_Register!$B:$B,C4)=2,"Medium","Low"))</f>
        <v>#NAME?</v>
      </c>
      <c r="I4" t="str">
        <f>IF(B4&lt;=3,"Preferred site - strong composite profile",IF(B4&lt;=10,"Backup candidate - viable with monitoring","Reserve - evaluate only if primary sites unavailable"))</f>
        <v>Preferred site - strong composite profile</v>
      </c>
    </row>
    <row r="5" spans="1:9">
      <c r="A5" t="s">
        <v>41</v>
      </c>
      <c r="B5">
        <v>4</v>
      </c>
      <c r="C5" t="s">
        <v>1920</v>
      </c>
      <c r="D5" t="s">
        <v>1921</v>
      </c>
      <c r="E5" t="s">
        <v>604</v>
      </c>
      <c r="F5">
        <f>INDEX(Site_Evaluation!$K:$K,MATCH(C5,Site_Evaluation!$A:$A,0))</f>
        <v>65</v>
      </c>
      <c r="G5">
        <f>COUNTIFS(Risk_Register!B:B,C5,Risk_Register!G:G,"High")</f>
        <v>0</v>
      </c>
      <c r="H5" t="e">
        <f ca="1">IF(_xludf.MAXIFS(Risk_Register!$L:$L,Risk_Register!$B:$B,C5)=3,"High",IF(_xludf.MAXIFS(Risk_Register!$L:$L,Risk_Register!$B:$B,C5)=2,"Medium","Low"))</f>
        <v>#NAME?</v>
      </c>
      <c r="I5" t="str">
        <f>IF(B5&lt;=3,"Preferred site - strong composite profile",IF(B5&lt;=10,"Backup candidate - viable with monitoring","Reserve - evaluate only if primary sites unavailable"))</f>
        <v>Backup candidate - viable with monitoring</v>
      </c>
    </row>
    <row r="6" spans="1:9">
      <c r="A6" t="s">
        <v>41</v>
      </c>
      <c r="B6">
        <v>5</v>
      </c>
      <c r="C6" t="s">
        <v>1567</v>
      </c>
      <c r="D6" t="s">
        <v>1568</v>
      </c>
      <c r="E6" t="s">
        <v>572</v>
      </c>
      <c r="F6">
        <f>INDEX(Site_Evaluation!$K:$K,MATCH(C6,Site_Evaluation!$A:$A,0))</f>
        <v>63</v>
      </c>
      <c r="G6">
        <f>COUNTIFS(Risk_Register!B:B,C6,Risk_Register!G:G,"High")</f>
        <v>1</v>
      </c>
      <c r="H6" t="e">
        <f ca="1">IF(_xludf.MAXIFS(Risk_Register!$L:$L,Risk_Register!$B:$B,C6)=3,"High",IF(_xludf.MAXIFS(Risk_Register!$L:$L,Risk_Register!$B:$B,C6)=2,"Medium","Low"))</f>
        <v>#NAME?</v>
      </c>
      <c r="I6" t="str">
        <f>IF(B6&lt;=3,"Preferred site - strong composite profile",IF(B6&lt;=10,"Backup candidate - viable with monitoring","Reserve - evaluate only if primary sites unavailable"))</f>
        <v>Backup candidate - viable with monitoring</v>
      </c>
    </row>
    <row r="7" spans="1:9">
      <c r="A7" t="s">
        <v>41</v>
      </c>
      <c r="B7">
        <v>6</v>
      </c>
      <c r="C7" t="s">
        <v>1137</v>
      </c>
      <c r="D7" t="s">
        <v>1138</v>
      </c>
      <c r="E7" t="s">
        <v>535</v>
      </c>
      <c r="F7">
        <f>INDEX(Site_Evaluation!$K:$K,MATCH(C7,Site_Evaluation!$A:$A,0))</f>
        <v>61</v>
      </c>
      <c r="G7">
        <f>COUNTIFS(Risk_Register!B:B,C7,Risk_Register!G:G,"High")</f>
        <v>1</v>
      </c>
      <c r="H7" t="e">
        <f ca="1">IF(_xludf.MAXIFS(Risk_Register!$L:$L,Risk_Register!$B:$B,C7)=3,"High",IF(_xludf.MAXIFS(Risk_Register!$L:$L,Risk_Register!$B:$B,C7)=2,"Medium","Low"))</f>
        <v>#NAME?</v>
      </c>
      <c r="I7" t="str">
        <f>IF(B7&lt;=3,"Preferred site - strong composite profile",IF(B7&lt;=10,"Backup candidate - viable with monitoring","Reserve - evaluate only if primary sites unavailable"))</f>
        <v>Backup candidate - viable with monitoring</v>
      </c>
    </row>
    <row r="8" spans="1:9">
      <c r="A8" t="s">
        <v>41</v>
      </c>
      <c r="B8">
        <v>7</v>
      </c>
      <c r="C8" t="s">
        <v>1245</v>
      </c>
      <c r="D8" t="s">
        <v>1246</v>
      </c>
      <c r="E8" t="s">
        <v>541</v>
      </c>
      <c r="F8">
        <f>INDEX(Site_Evaluation!$K:$K,MATCH(C8,Site_Evaluation!$A:$A,0))</f>
        <v>61</v>
      </c>
      <c r="G8">
        <f>COUNTIFS(Risk_Register!B:B,C8,Risk_Register!G:G,"High")</f>
        <v>0</v>
      </c>
      <c r="H8" t="e">
        <f ca="1">IF(_xludf.MAXIFS(Risk_Register!$L:$L,Risk_Register!$B:$B,C8)=3,"High",IF(_xludf.MAXIFS(Risk_Register!$L:$L,Risk_Register!$B:$B,C8)=2,"Medium","Low"))</f>
        <v>#NAME?</v>
      </c>
      <c r="I8" t="str">
        <f>IF(B8&lt;=3,"Preferred site - strong composite profile",IF(B8&lt;=10,"Backup candidate - viable with monitoring","Reserve - evaluate only if primary sites unavailable"))</f>
        <v>Backup candidate - viable with monitoring</v>
      </c>
    </row>
    <row r="9" spans="1:9">
      <c r="A9" t="s">
        <v>41</v>
      </c>
      <c r="B9">
        <v>8</v>
      </c>
      <c r="C9" t="s">
        <v>1135</v>
      </c>
      <c r="D9" t="s">
        <v>1136</v>
      </c>
      <c r="E9" t="s">
        <v>535</v>
      </c>
      <c r="F9">
        <f>INDEX(Site_Evaluation!$K:$K,MATCH(C9,Site_Evaluation!$A:$A,0))</f>
        <v>59</v>
      </c>
      <c r="G9">
        <f>COUNTIFS(Risk_Register!B:B,C9,Risk_Register!G:G,"High")</f>
        <v>2</v>
      </c>
      <c r="H9" t="e">
        <f ca="1">IF(_xludf.MAXIFS(Risk_Register!$L:$L,Risk_Register!$B:$B,C9)=3,"High",IF(_xludf.MAXIFS(Risk_Register!$L:$L,Risk_Register!$B:$B,C9)=2,"Medium","Low"))</f>
        <v>#NAME?</v>
      </c>
      <c r="I9" t="str">
        <f>IF(B9&lt;=3,"Preferred site - strong composite profile",IF(B9&lt;=10,"Backup candidate - viable with monitoring","Reserve - evaluate only if primary sites unavailable"))</f>
        <v>Backup candidate - viable with monitoring</v>
      </c>
    </row>
    <row r="10" spans="1:9">
      <c r="A10" t="s">
        <v>41</v>
      </c>
      <c r="B10">
        <v>9</v>
      </c>
      <c r="C10" t="s">
        <v>1640</v>
      </c>
      <c r="D10" t="s">
        <v>1641</v>
      </c>
      <c r="E10" t="s">
        <v>578</v>
      </c>
      <c r="F10">
        <f>INDEX(Site_Evaluation!$K:$K,MATCH(C10,Site_Evaluation!$A:$A,0))</f>
        <v>59</v>
      </c>
      <c r="G10">
        <f>COUNTIFS(Risk_Register!B:B,C10,Risk_Register!G:G,"High")</f>
        <v>2</v>
      </c>
      <c r="H10" t="e">
        <f ca="1">IF(_xludf.MAXIFS(Risk_Register!$L:$L,Risk_Register!$B:$B,C10)=3,"High",IF(_xludf.MAXIFS(Risk_Register!$L:$L,Risk_Register!$B:$B,C10)=2,"Medium","Low"))</f>
        <v>#NAME?</v>
      </c>
      <c r="I10" t="str">
        <f>IF(B10&lt;=3,"Preferred site - strong composite profile",IF(B10&lt;=10,"Backup candidate - viable with monitoring","Reserve - evaluate only if primary sites unavailable"))</f>
        <v>Backup candidate - viable with monitoring</v>
      </c>
    </row>
    <row r="11" spans="1:9">
      <c r="A11" t="s">
        <v>41</v>
      </c>
      <c r="B11">
        <v>10</v>
      </c>
      <c r="C11" t="s">
        <v>1128</v>
      </c>
      <c r="D11" t="s">
        <v>1129</v>
      </c>
      <c r="E11" t="s">
        <v>535</v>
      </c>
      <c r="F11">
        <f>INDEX(Site_Evaluation!$K:$K,MATCH(C11,Site_Evaluation!$A:$A,0))</f>
        <v>58</v>
      </c>
      <c r="G11">
        <f>COUNTIFS(Risk_Register!B:B,C11,Risk_Register!G:G,"High")</f>
        <v>2</v>
      </c>
      <c r="H11" t="e">
        <f ca="1">IF(_xludf.MAXIFS(Risk_Register!$L:$L,Risk_Register!$B:$B,C11)=3,"High",IF(_xludf.MAXIFS(Risk_Register!$L:$L,Risk_Register!$B:$B,C11)=2,"Medium","Low"))</f>
        <v>#NAME?</v>
      </c>
      <c r="I11" t="str">
        <f>IF(B11&lt;=3,"Preferred site - strong composite profile",IF(B11&lt;=10,"Backup candidate - viable with monitoring","Reserve - evaluate only if primary sites unavailable"))</f>
        <v>Backup candidate - viable with monitoring</v>
      </c>
    </row>
    <row r="12" spans="1:9">
      <c r="A12" t="s">
        <v>41</v>
      </c>
      <c r="B12">
        <v>11</v>
      </c>
      <c r="C12" t="s">
        <v>780</v>
      </c>
      <c r="D12" t="s">
        <v>781</v>
      </c>
      <c r="E12" t="s">
        <v>514</v>
      </c>
      <c r="F12">
        <f>INDEX(Site_Evaluation!$K:$K,MATCH(C12,Site_Evaluation!$A:$A,0))</f>
        <v>57</v>
      </c>
      <c r="G12">
        <f>COUNTIFS(Risk_Register!B:B,C12,Risk_Register!G:G,"High")</f>
        <v>1</v>
      </c>
      <c r="H12" t="e">
        <f ca="1">IF(_xludf.MAXIFS(Risk_Register!$L:$L,Risk_Register!$B:$B,C12)=3,"High",IF(_xludf.MAXIFS(Risk_Register!$L:$L,Risk_Register!$B:$B,C12)=2,"Medium","Low"))</f>
        <v>#NAME?</v>
      </c>
      <c r="I12" t="str">
        <f>IF(B12&lt;=3,"Preferred site - strong composite profile",IF(B12&lt;=10,"Backup candidate - viable with monitoring","Reserve - evaluate only if primary sites unavailable"))</f>
        <v>Reserve - evaluate only if primary sites unavailable</v>
      </c>
    </row>
    <row r="13" spans="1:9">
      <c r="A13" t="s">
        <v>41</v>
      </c>
      <c r="B13">
        <v>12</v>
      </c>
      <c r="C13" t="s">
        <v>1179</v>
      </c>
      <c r="D13" t="s">
        <v>1180</v>
      </c>
      <c r="E13" t="s">
        <v>537</v>
      </c>
      <c r="F13">
        <f>INDEX(Site_Evaluation!$K:$K,MATCH(C13,Site_Evaluation!$A:$A,0))</f>
        <v>57</v>
      </c>
      <c r="G13">
        <f>COUNTIFS(Risk_Register!B:B,C13,Risk_Register!G:G,"High")</f>
        <v>3</v>
      </c>
      <c r="H13" t="e">
        <f ca="1">IF(_xludf.MAXIFS(Risk_Register!$L:$L,Risk_Register!$B:$B,C13)=3,"High",IF(_xludf.MAXIFS(Risk_Register!$L:$L,Risk_Register!$B:$B,C13)=2,"Medium","Low"))</f>
        <v>#NAME?</v>
      </c>
      <c r="I13" t="str">
        <f>IF(B13&lt;=3,"Preferred site - strong composite profile",IF(B13&lt;=10,"Backup candidate - viable with monitoring","Reserve - evaluate only if primary sites unavailable"))</f>
        <v>Reserve - evaluate only if primary sites unavailable</v>
      </c>
    </row>
    <row r="14" spans="1:9">
      <c r="A14" t="s">
        <v>41</v>
      </c>
      <c r="B14">
        <v>13</v>
      </c>
      <c r="C14" t="s">
        <v>690</v>
      </c>
      <c r="D14" t="s">
        <v>691</v>
      </c>
      <c r="E14" t="s">
        <v>509</v>
      </c>
      <c r="F14">
        <f>INDEX(Site_Evaluation!$K:$K,MATCH(C14,Site_Evaluation!$A:$A,0))</f>
        <v>56</v>
      </c>
      <c r="G14">
        <f>COUNTIFS(Risk_Register!B:B,C14,Risk_Register!G:G,"High")</f>
        <v>1</v>
      </c>
      <c r="H14" t="e">
        <f ca="1">IF(_xludf.MAXIFS(Risk_Register!$L:$L,Risk_Register!$B:$B,C14)=3,"High",IF(_xludf.MAXIFS(Risk_Register!$L:$L,Risk_Register!$B:$B,C14)=2,"Medium","Low"))</f>
        <v>#NAME?</v>
      </c>
      <c r="I14" t="str">
        <f>IF(B14&lt;=3,"Preferred site - strong composite profile",IF(B14&lt;=10,"Backup candidate - viable with monitoring","Reserve - evaluate only if primary sites unavailable"))</f>
        <v>Reserve - evaluate only if primary sites unavailable</v>
      </c>
    </row>
    <row r="15" spans="1:9">
      <c r="A15" t="s">
        <v>41</v>
      </c>
      <c r="B15">
        <v>14</v>
      </c>
      <c r="C15" t="s">
        <v>759</v>
      </c>
      <c r="D15" t="s">
        <v>760</v>
      </c>
      <c r="E15" t="s">
        <v>512</v>
      </c>
      <c r="F15">
        <f>INDEX(Site_Evaluation!$K:$K,MATCH(C15,Site_Evaluation!$A:$A,0))</f>
        <v>56</v>
      </c>
      <c r="G15">
        <f>COUNTIFS(Risk_Register!B:B,C15,Risk_Register!G:G,"High")</f>
        <v>0</v>
      </c>
      <c r="H15" t="e">
        <f ca="1">IF(_xludf.MAXIFS(Risk_Register!$L:$L,Risk_Register!$B:$B,C15)=3,"High",IF(_xludf.MAXIFS(Risk_Register!$L:$L,Risk_Register!$B:$B,C15)=2,"Medium","Low"))</f>
        <v>#NAME?</v>
      </c>
      <c r="I15" t="str">
        <f>IF(B15&lt;=3,"Preferred site - strong composite profile",IF(B15&lt;=10,"Backup candidate - viable with monitoring","Reserve - evaluate only if primary sites unavailable"))</f>
        <v>Reserve - evaluate only if primary sites unavailable</v>
      </c>
    </row>
    <row r="16" spans="1:9">
      <c r="A16" t="s">
        <v>41</v>
      </c>
      <c r="B16">
        <v>15</v>
      </c>
      <c r="C16" t="s">
        <v>1008</v>
      </c>
      <c r="D16" t="s">
        <v>1009</v>
      </c>
      <c r="E16" t="s">
        <v>525</v>
      </c>
      <c r="F16">
        <f>INDEX(Site_Evaluation!$K:$K,MATCH(C16,Site_Evaluation!$A:$A,0))</f>
        <v>56</v>
      </c>
      <c r="G16">
        <f>COUNTIFS(Risk_Register!B:B,C16,Risk_Register!G:G,"High")</f>
        <v>0</v>
      </c>
      <c r="H16" t="e">
        <f ca="1">IF(_xludf.MAXIFS(Risk_Register!$L:$L,Risk_Register!$B:$B,C16)=3,"High",IF(_xludf.MAXIFS(Risk_Register!$L:$L,Risk_Register!$B:$B,C16)=2,"Medium","Low"))</f>
        <v>#NAME?</v>
      </c>
      <c r="I16" t="str">
        <f>IF(B16&lt;=3,"Preferred site - strong composite profile",IF(B16&lt;=10,"Backup candidate - viable with monitoring","Reserve - evaluate only if primary sites unavailable"))</f>
        <v>Reserve - evaluate only if primary sites unavailable</v>
      </c>
    </row>
    <row r="17" spans="1:9">
      <c r="A17" t="s">
        <v>41</v>
      </c>
      <c r="B17">
        <v>16</v>
      </c>
      <c r="C17" t="s">
        <v>1611</v>
      </c>
      <c r="D17" t="s">
        <v>1612</v>
      </c>
      <c r="E17" t="s">
        <v>576</v>
      </c>
      <c r="F17">
        <f>INDEX(Site_Evaluation!$K:$K,MATCH(C17,Site_Evaluation!$A:$A,0))</f>
        <v>56</v>
      </c>
      <c r="G17">
        <f>COUNTIFS(Risk_Register!B:B,C17,Risk_Register!G:G,"High")</f>
        <v>0</v>
      </c>
      <c r="H17" t="e">
        <f ca="1">IF(_xludf.MAXIFS(Risk_Register!$L:$L,Risk_Register!$B:$B,C17)=3,"High",IF(_xludf.MAXIFS(Risk_Register!$L:$L,Risk_Register!$B:$B,C17)=2,"Medium","Low"))</f>
        <v>#NAME?</v>
      </c>
      <c r="I17" t="str">
        <f>IF(B17&lt;=3,"Preferred site - strong composite profile",IF(B17&lt;=10,"Backup candidate - viable with monitoring","Reserve - evaluate only if primary sites unavailable"))</f>
        <v>Reserve - evaluate only if primary sites unavailable</v>
      </c>
    </row>
    <row r="18" spans="1:9">
      <c r="A18" t="s">
        <v>41</v>
      </c>
      <c r="B18">
        <v>17</v>
      </c>
      <c r="C18" t="s">
        <v>1822</v>
      </c>
      <c r="D18" t="s">
        <v>1823</v>
      </c>
      <c r="E18" t="s">
        <v>592</v>
      </c>
      <c r="F18">
        <f>INDEX(Site_Evaluation!$K:$K,MATCH(C18,Site_Evaluation!$A:$A,0))</f>
        <v>55</v>
      </c>
      <c r="G18">
        <f>COUNTIFS(Risk_Register!B:B,C18,Risk_Register!G:G,"High")</f>
        <v>0</v>
      </c>
      <c r="H18" t="e">
        <f ca="1">IF(_xludf.MAXIFS(Risk_Register!$L:$L,Risk_Register!$B:$B,C18)=3,"High",IF(_xludf.MAXIFS(Risk_Register!$L:$L,Risk_Register!$B:$B,C18)=2,"Medium","Low"))</f>
        <v>#NAME?</v>
      </c>
      <c r="I18" t="str">
        <f>IF(B18&lt;=3,"Preferred site - strong composite profile",IF(B18&lt;=10,"Backup candidate - viable with monitoring","Reserve - evaluate only if primary sites unavailable"))</f>
        <v>Reserve - evaluate only if primary sites unavailable</v>
      </c>
    </row>
    <row r="19" spans="1:9">
      <c r="A19" t="s">
        <v>41</v>
      </c>
      <c r="B19">
        <v>18</v>
      </c>
      <c r="C19" t="s">
        <v>979</v>
      </c>
      <c r="D19" t="s">
        <v>980</v>
      </c>
      <c r="E19" t="s">
        <v>524</v>
      </c>
      <c r="F19">
        <f>INDEX(Site_Evaluation!$K:$K,MATCH(C19,Site_Evaluation!$A:$A,0))</f>
        <v>54</v>
      </c>
      <c r="G19">
        <f>COUNTIFS(Risk_Register!B:B,C19,Risk_Register!G:G,"High")</f>
        <v>3</v>
      </c>
      <c r="H19" t="e">
        <f ca="1">IF(_xludf.MAXIFS(Risk_Register!$L:$L,Risk_Register!$B:$B,C19)=3,"High",IF(_xludf.MAXIFS(Risk_Register!$L:$L,Risk_Register!$B:$B,C19)=2,"Medium","Low"))</f>
        <v>#NAME?</v>
      </c>
      <c r="I19" t="str">
        <f>IF(B19&lt;=3,"Preferred site - strong composite profile",IF(B19&lt;=10,"Backup candidate - viable with monitoring","Reserve - evaluate only if primary sites unavailable"))</f>
        <v>Reserve - evaluate only if primary sites unavailable</v>
      </c>
    </row>
    <row r="20" spans="1:9">
      <c r="A20" t="s">
        <v>41</v>
      </c>
      <c r="B20">
        <v>19</v>
      </c>
      <c r="C20" t="s">
        <v>1211</v>
      </c>
      <c r="D20" t="s">
        <v>1212</v>
      </c>
      <c r="E20" t="s">
        <v>539</v>
      </c>
      <c r="F20">
        <f>INDEX(Site_Evaluation!$K:$K,MATCH(C20,Site_Evaluation!$A:$A,0))</f>
        <v>54</v>
      </c>
      <c r="G20">
        <f>COUNTIFS(Risk_Register!B:B,C20,Risk_Register!G:G,"High")</f>
        <v>2</v>
      </c>
      <c r="H20" t="e">
        <f ca="1">IF(_xludf.MAXIFS(Risk_Register!$L:$L,Risk_Register!$B:$B,C20)=3,"High",IF(_xludf.MAXIFS(Risk_Register!$L:$L,Risk_Register!$B:$B,C20)=2,"Medium","Low"))</f>
        <v>#NAME?</v>
      </c>
      <c r="I20" t="str">
        <f>IF(B20&lt;=3,"Preferred site - strong composite profile",IF(B20&lt;=10,"Backup candidate - viable with monitoring","Reserve - evaluate only if primary sites unavailable"))</f>
        <v>Reserve - evaluate only if primary sites unavailable</v>
      </c>
    </row>
    <row r="21" spans="1:9">
      <c r="A21" t="s">
        <v>41</v>
      </c>
      <c r="B21">
        <v>20</v>
      </c>
      <c r="C21" t="s">
        <v>1780</v>
      </c>
      <c r="D21" t="s">
        <v>1781</v>
      </c>
      <c r="E21" t="s">
        <v>588</v>
      </c>
      <c r="F21">
        <f>INDEX(Site_Evaluation!$K:$K,MATCH(C21,Site_Evaluation!$A:$A,0))</f>
        <v>54</v>
      </c>
      <c r="G21">
        <f>COUNTIFS(Risk_Register!B:B,C21,Risk_Register!G:G,"High")</f>
        <v>1</v>
      </c>
      <c r="H21" t="e">
        <f ca="1">IF(_xludf.MAXIFS(Risk_Register!$L:$L,Risk_Register!$B:$B,C21)=3,"High",IF(_xludf.MAXIFS(Risk_Register!$L:$L,Risk_Register!$B:$B,C21)=2,"Medium","Low"))</f>
        <v>#NAME?</v>
      </c>
      <c r="I21" t="str">
        <f>IF(B21&lt;=3,"Preferred site - strong composite profile",IF(B21&lt;=10,"Backup candidate - viable with monitoring","Reserve - evaluate only if primary sites unavailable"))</f>
        <v>Reserve - evaluate only if primary sites unavailable</v>
      </c>
    </row>
    <row r="22" spans="1:9">
      <c r="A22" t="s">
        <v>50</v>
      </c>
      <c r="B22">
        <v>1</v>
      </c>
      <c r="C22" t="s">
        <v>1500</v>
      </c>
      <c r="D22" t="s">
        <v>1501</v>
      </c>
      <c r="E22" t="s">
        <v>560</v>
      </c>
      <c r="F22">
        <f>INDEX(Site_Evaluation!$K:$K,MATCH(C22,Site_Evaluation!$A:$A,0))</f>
        <v>76</v>
      </c>
      <c r="G22">
        <f>COUNTIFS(Risk_Register!B:B,C22,Risk_Register!G:G,"High")</f>
        <v>1</v>
      </c>
      <c r="H22" t="e">
        <f ca="1">IF(_xludf.MAXIFS(Risk_Register!$L:$L,Risk_Register!$B:$B,C22)=3,"High",IF(_xludf.MAXIFS(Risk_Register!$L:$L,Risk_Register!$B:$B,C22)=2,"Medium","Low"))</f>
        <v>#NAME?</v>
      </c>
      <c r="I22" t="str">
        <f>IF(B22&lt;=3,"Preferred site - strong composite profile",IF(B22&lt;=10,"Backup candidate - viable with monitoring","Reserve - evaluate only if primary sites unavailable"))</f>
        <v>Preferred site - strong composite profile</v>
      </c>
    </row>
    <row r="23" spans="1:9">
      <c r="A23" t="s">
        <v>50</v>
      </c>
      <c r="B23">
        <v>2</v>
      </c>
      <c r="C23" t="s">
        <v>1096</v>
      </c>
      <c r="D23" t="s">
        <v>1097</v>
      </c>
      <c r="E23" t="s">
        <v>531</v>
      </c>
      <c r="F23">
        <f>INDEX(Site_Evaluation!$K:$K,MATCH(C23,Site_Evaluation!$A:$A,0))</f>
        <v>71</v>
      </c>
      <c r="G23">
        <f>COUNTIFS(Risk_Register!B:B,C23,Risk_Register!G:G,"High")</f>
        <v>0</v>
      </c>
      <c r="H23" t="e">
        <f ca="1">IF(_xludf.MAXIFS(Risk_Register!$L:$L,Risk_Register!$B:$B,C23)=3,"High",IF(_xludf.MAXIFS(Risk_Register!$L:$L,Risk_Register!$B:$B,C23)=2,"Medium","Low"))</f>
        <v>#NAME?</v>
      </c>
      <c r="I23" t="str">
        <f>IF(B23&lt;=3,"Preferred site - strong composite profile",IF(B23&lt;=10,"Backup candidate - viable with monitoring","Reserve - evaluate only if primary sites unavailable"))</f>
        <v>Preferred site - strong composite profile</v>
      </c>
    </row>
    <row r="24" spans="1:9">
      <c r="A24" t="s">
        <v>50</v>
      </c>
      <c r="B24">
        <v>3</v>
      </c>
      <c r="C24" t="s">
        <v>1464</v>
      </c>
      <c r="D24" t="s">
        <v>1465</v>
      </c>
      <c r="E24" t="s">
        <v>556</v>
      </c>
      <c r="F24">
        <f>INDEX(Site_Evaluation!$K:$K,MATCH(C24,Site_Evaluation!$A:$A,0))</f>
        <v>65</v>
      </c>
      <c r="G24">
        <f>COUNTIFS(Risk_Register!B:B,C24,Risk_Register!G:G,"High")</f>
        <v>0</v>
      </c>
      <c r="H24" t="e">
        <f ca="1">IF(_xludf.MAXIFS(Risk_Register!$L:$L,Risk_Register!$B:$B,C24)=3,"High",IF(_xludf.MAXIFS(Risk_Register!$L:$L,Risk_Register!$B:$B,C24)=2,"Medium","Low"))</f>
        <v>#NAME?</v>
      </c>
      <c r="I24" t="str">
        <f>IF(B24&lt;=3,"Preferred site - strong composite profile",IF(B24&lt;=10,"Backup candidate - viable with monitoring","Reserve - evaluate only if primary sites unavailable"))</f>
        <v>Preferred site - strong composite profile</v>
      </c>
    </row>
    <row r="25" spans="1:9">
      <c r="A25" t="s">
        <v>50</v>
      </c>
      <c r="B25">
        <v>4</v>
      </c>
      <c r="C25" t="s">
        <v>1920</v>
      </c>
      <c r="D25" t="s">
        <v>1921</v>
      </c>
      <c r="E25" t="s">
        <v>604</v>
      </c>
      <c r="F25">
        <f>INDEX(Site_Evaluation!$K:$K,MATCH(C25,Site_Evaluation!$A:$A,0))</f>
        <v>65</v>
      </c>
      <c r="G25">
        <f>COUNTIFS(Risk_Register!B:B,C25,Risk_Register!G:G,"High")</f>
        <v>0</v>
      </c>
      <c r="H25" t="e">
        <f ca="1">IF(_xludf.MAXIFS(Risk_Register!$L:$L,Risk_Register!$B:$B,C25)=3,"High",IF(_xludf.MAXIFS(Risk_Register!$L:$L,Risk_Register!$B:$B,C25)=2,"Medium","Low"))</f>
        <v>#NAME?</v>
      </c>
      <c r="I25" t="str">
        <f>IF(B25&lt;=3,"Preferred site - strong composite profile",IF(B25&lt;=10,"Backup candidate - viable with monitoring","Reserve - evaluate only if primary sites unavailable"))</f>
        <v>Backup candidate - viable with monitoring</v>
      </c>
    </row>
    <row r="26" spans="1:9">
      <c r="A26" t="s">
        <v>50</v>
      </c>
      <c r="B26">
        <v>5</v>
      </c>
      <c r="C26" t="s">
        <v>1567</v>
      </c>
      <c r="D26" t="s">
        <v>1568</v>
      </c>
      <c r="E26" t="s">
        <v>572</v>
      </c>
      <c r="F26">
        <f>INDEX(Site_Evaluation!$K:$K,MATCH(C26,Site_Evaluation!$A:$A,0))</f>
        <v>63</v>
      </c>
      <c r="G26">
        <f>COUNTIFS(Risk_Register!B:B,C26,Risk_Register!G:G,"High")</f>
        <v>1</v>
      </c>
      <c r="H26" t="e">
        <f ca="1">IF(_xludf.MAXIFS(Risk_Register!$L:$L,Risk_Register!$B:$B,C26)=3,"High",IF(_xludf.MAXIFS(Risk_Register!$L:$L,Risk_Register!$B:$B,C26)=2,"Medium","Low"))</f>
        <v>#NAME?</v>
      </c>
      <c r="I26" t="str">
        <f>IF(B26&lt;=3,"Preferred site - strong composite profile",IF(B26&lt;=10,"Backup candidate - viable with monitoring","Reserve - evaluate only if primary sites unavailable"))</f>
        <v>Backup candidate - viable with monitoring</v>
      </c>
    </row>
    <row r="27" spans="1:9">
      <c r="A27" t="s">
        <v>50</v>
      </c>
      <c r="B27">
        <v>6</v>
      </c>
      <c r="C27" t="s">
        <v>1137</v>
      </c>
      <c r="D27" t="s">
        <v>1138</v>
      </c>
      <c r="E27" t="s">
        <v>535</v>
      </c>
      <c r="F27">
        <f>INDEX(Site_Evaluation!$K:$K,MATCH(C27,Site_Evaluation!$A:$A,0))</f>
        <v>61</v>
      </c>
      <c r="G27">
        <f>COUNTIFS(Risk_Register!B:B,C27,Risk_Register!G:G,"High")</f>
        <v>1</v>
      </c>
      <c r="H27" t="e">
        <f ca="1">IF(_xludf.MAXIFS(Risk_Register!$L:$L,Risk_Register!$B:$B,C27)=3,"High",IF(_xludf.MAXIFS(Risk_Register!$L:$L,Risk_Register!$B:$B,C27)=2,"Medium","Low"))</f>
        <v>#NAME?</v>
      </c>
      <c r="I27" t="str">
        <f>IF(B27&lt;=3,"Preferred site - strong composite profile",IF(B27&lt;=10,"Backup candidate - viable with monitoring","Reserve - evaluate only if primary sites unavailable"))</f>
        <v>Backup candidate - viable with monitoring</v>
      </c>
    </row>
    <row r="28" spans="1:9">
      <c r="A28" t="s">
        <v>50</v>
      </c>
      <c r="B28">
        <v>7</v>
      </c>
      <c r="C28" t="s">
        <v>1245</v>
      </c>
      <c r="D28" t="s">
        <v>1246</v>
      </c>
      <c r="E28" t="s">
        <v>541</v>
      </c>
      <c r="F28">
        <f>INDEX(Site_Evaluation!$K:$K,MATCH(C28,Site_Evaluation!$A:$A,0))</f>
        <v>61</v>
      </c>
      <c r="G28">
        <f>COUNTIFS(Risk_Register!B:B,C28,Risk_Register!G:G,"High")</f>
        <v>0</v>
      </c>
      <c r="H28" t="e">
        <f ca="1">IF(_xludf.MAXIFS(Risk_Register!$L:$L,Risk_Register!$B:$B,C28)=3,"High",IF(_xludf.MAXIFS(Risk_Register!$L:$L,Risk_Register!$B:$B,C28)=2,"Medium","Low"))</f>
        <v>#NAME?</v>
      </c>
      <c r="I28" t="str">
        <f>IF(B28&lt;=3,"Preferred site - strong composite profile",IF(B28&lt;=10,"Backup candidate - viable with monitoring","Reserve - evaluate only if primary sites unavailable"))</f>
        <v>Backup candidate - viable with monitoring</v>
      </c>
    </row>
    <row r="29" spans="1:9">
      <c r="A29" t="s">
        <v>50</v>
      </c>
      <c r="B29">
        <v>8</v>
      </c>
      <c r="C29" t="s">
        <v>1135</v>
      </c>
      <c r="D29" t="s">
        <v>1136</v>
      </c>
      <c r="E29" t="s">
        <v>535</v>
      </c>
      <c r="F29">
        <f>INDEX(Site_Evaluation!$K:$K,MATCH(C29,Site_Evaluation!$A:$A,0))</f>
        <v>59</v>
      </c>
      <c r="G29">
        <f>COUNTIFS(Risk_Register!B:B,C29,Risk_Register!G:G,"High")</f>
        <v>2</v>
      </c>
      <c r="H29" t="e">
        <f ca="1">IF(_xludf.MAXIFS(Risk_Register!$L:$L,Risk_Register!$B:$B,C29)=3,"High",IF(_xludf.MAXIFS(Risk_Register!$L:$L,Risk_Register!$B:$B,C29)=2,"Medium","Low"))</f>
        <v>#NAME?</v>
      </c>
      <c r="I29" t="str">
        <f>IF(B29&lt;=3,"Preferred site - strong composite profile",IF(B29&lt;=10,"Backup candidate - viable with monitoring","Reserve - evaluate only if primary sites unavailable"))</f>
        <v>Backup candidate - viable with monitoring</v>
      </c>
    </row>
    <row r="30" spans="1:9">
      <c r="A30" t="s">
        <v>50</v>
      </c>
      <c r="B30">
        <v>9</v>
      </c>
      <c r="C30" t="s">
        <v>1640</v>
      </c>
      <c r="D30" t="s">
        <v>1641</v>
      </c>
      <c r="E30" t="s">
        <v>578</v>
      </c>
      <c r="F30">
        <f>INDEX(Site_Evaluation!$K:$K,MATCH(C30,Site_Evaluation!$A:$A,0))</f>
        <v>59</v>
      </c>
      <c r="G30">
        <f>COUNTIFS(Risk_Register!B:B,C30,Risk_Register!G:G,"High")</f>
        <v>2</v>
      </c>
      <c r="H30" t="e">
        <f ca="1">IF(_xludf.MAXIFS(Risk_Register!$L:$L,Risk_Register!$B:$B,C30)=3,"High",IF(_xludf.MAXIFS(Risk_Register!$L:$L,Risk_Register!$B:$B,C30)=2,"Medium","Low"))</f>
        <v>#NAME?</v>
      </c>
      <c r="I30" t="str">
        <f>IF(B30&lt;=3,"Preferred site - strong composite profile",IF(B30&lt;=10,"Backup candidate - viable with monitoring","Reserve - evaluate only if primary sites unavailable"))</f>
        <v>Backup candidate - viable with monitoring</v>
      </c>
    </row>
    <row r="31" spans="1:9">
      <c r="A31" t="s">
        <v>50</v>
      </c>
      <c r="B31">
        <v>10</v>
      </c>
      <c r="C31" t="s">
        <v>1128</v>
      </c>
      <c r="D31" t="s">
        <v>1129</v>
      </c>
      <c r="E31" t="s">
        <v>535</v>
      </c>
      <c r="F31">
        <f>INDEX(Site_Evaluation!$K:$K,MATCH(C31,Site_Evaluation!$A:$A,0))</f>
        <v>58</v>
      </c>
      <c r="G31">
        <f>COUNTIFS(Risk_Register!B:B,C31,Risk_Register!G:G,"High")</f>
        <v>2</v>
      </c>
      <c r="H31" t="e">
        <f ca="1">IF(_xludf.MAXIFS(Risk_Register!$L:$L,Risk_Register!$B:$B,C31)=3,"High",IF(_xludf.MAXIFS(Risk_Register!$L:$L,Risk_Register!$B:$B,C31)=2,"Medium","Low"))</f>
        <v>#NAME?</v>
      </c>
      <c r="I31" t="str">
        <f>IF(B31&lt;=3,"Preferred site - strong composite profile",IF(B31&lt;=10,"Backup candidate - viable with monitoring","Reserve - evaluate only if primary sites unavailable"))</f>
        <v>Backup candidate - viable with monitoring</v>
      </c>
    </row>
    <row r="32" spans="1:9">
      <c r="A32" t="s">
        <v>50</v>
      </c>
      <c r="B32">
        <v>11</v>
      </c>
      <c r="C32" t="s">
        <v>780</v>
      </c>
      <c r="D32" t="s">
        <v>781</v>
      </c>
      <c r="E32" t="s">
        <v>514</v>
      </c>
      <c r="F32">
        <f>INDEX(Site_Evaluation!$K:$K,MATCH(C32,Site_Evaluation!$A:$A,0))</f>
        <v>57</v>
      </c>
      <c r="G32">
        <f>COUNTIFS(Risk_Register!B:B,C32,Risk_Register!G:G,"High")</f>
        <v>1</v>
      </c>
      <c r="H32" t="e">
        <f ca="1">IF(_xludf.MAXIFS(Risk_Register!$L:$L,Risk_Register!$B:$B,C32)=3,"High",IF(_xludf.MAXIFS(Risk_Register!$L:$L,Risk_Register!$B:$B,C32)=2,"Medium","Low"))</f>
        <v>#NAME?</v>
      </c>
      <c r="I32" t="str">
        <f>IF(B32&lt;=3,"Preferred site - strong composite profile",IF(B32&lt;=10,"Backup candidate - viable with monitoring","Reserve - evaluate only if primary sites unavailable"))</f>
        <v>Reserve - evaluate only if primary sites unavailable</v>
      </c>
    </row>
    <row r="33" spans="1:9">
      <c r="A33" t="s">
        <v>50</v>
      </c>
      <c r="B33">
        <v>12</v>
      </c>
      <c r="C33" t="s">
        <v>1179</v>
      </c>
      <c r="D33" t="s">
        <v>1180</v>
      </c>
      <c r="E33" t="s">
        <v>537</v>
      </c>
      <c r="F33">
        <f>INDEX(Site_Evaluation!$K:$K,MATCH(C33,Site_Evaluation!$A:$A,0))</f>
        <v>57</v>
      </c>
      <c r="G33">
        <f>COUNTIFS(Risk_Register!B:B,C33,Risk_Register!G:G,"High")</f>
        <v>3</v>
      </c>
      <c r="H33" t="e">
        <f ca="1">IF(_xludf.MAXIFS(Risk_Register!$L:$L,Risk_Register!$B:$B,C33)=3,"High",IF(_xludf.MAXIFS(Risk_Register!$L:$L,Risk_Register!$B:$B,C33)=2,"Medium","Low"))</f>
        <v>#NAME?</v>
      </c>
      <c r="I33" t="str">
        <f>IF(B33&lt;=3,"Preferred site - strong composite profile",IF(B33&lt;=10,"Backup candidate - viable with monitoring","Reserve - evaluate only if primary sites unavailable"))</f>
        <v>Reserve - evaluate only if primary sites unavailable</v>
      </c>
    </row>
    <row r="34" spans="1:9">
      <c r="A34" t="s">
        <v>50</v>
      </c>
      <c r="B34">
        <v>13</v>
      </c>
      <c r="C34" t="s">
        <v>690</v>
      </c>
      <c r="D34" t="s">
        <v>691</v>
      </c>
      <c r="E34" t="s">
        <v>509</v>
      </c>
      <c r="F34">
        <f>INDEX(Site_Evaluation!$K:$K,MATCH(C34,Site_Evaluation!$A:$A,0))</f>
        <v>56</v>
      </c>
      <c r="G34">
        <f>COUNTIFS(Risk_Register!B:B,C34,Risk_Register!G:G,"High")</f>
        <v>1</v>
      </c>
      <c r="H34" t="e">
        <f ca="1">IF(_xludf.MAXIFS(Risk_Register!$L:$L,Risk_Register!$B:$B,C34)=3,"High",IF(_xludf.MAXIFS(Risk_Register!$L:$L,Risk_Register!$B:$B,C34)=2,"Medium","Low"))</f>
        <v>#NAME?</v>
      </c>
      <c r="I34" t="str">
        <f>IF(B34&lt;=3,"Preferred site - strong composite profile",IF(B34&lt;=10,"Backup candidate - viable with monitoring","Reserve - evaluate only if primary sites unavailable"))</f>
        <v>Reserve - evaluate only if primary sites unavailable</v>
      </c>
    </row>
    <row r="35" spans="1:9">
      <c r="A35" t="s">
        <v>50</v>
      </c>
      <c r="B35">
        <v>14</v>
      </c>
      <c r="C35" t="s">
        <v>759</v>
      </c>
      <c r="D35" t="s">
        <v>760</v>
      </c>
      <c r="E35" t="s">
        <v>512</v>
      </c>
      <c r="F35">
        <f>INDEX(Site_Evaluation!$K:$K,MATCH(C35,Site_Evaluation!$A:$A,0))</f>
        <v>56</v>
      </c>
      <c r="G35">
        <f>COUNTIFS(Risk_Register!B:B,C35,Risk_Register!G:G,"High")</f>
        <v>0</v>
      </c>
      <c r="H35" t="e">
        <f ca="1">IF(_xludf.MAXIFS(Risk_Register!$L:$L,Risk_Register!$B:$B,C35)=3,"High",IF(_xludf.MAXIFS(Risk_Register!$L:$L,Risk_Register!$B:$B,C35)=2,"Medium","Low"))</f>
        <v>#NAME?</v>
      </c>
      <c r="I35" t="str">
        <f>IF(B35&lt;=3,"Preferred site - strong composite profile",IF(B35&lt;=10,"Backup candidate - viable with monitoring","Reserve - evaluate only if primary sites unavailable"))</f>
        <v>Reserve - evaluate only if primary sites unavailable</v>
      </c>
    </row>
    <row r="36" spans="1:9">
      <c r="A36" t="s">
        <v>50</v>
      </c>
      <c r="B36">
        <v>15</v>
      </c>
      <c r="C36" t="s">
        <v>1008</v>
      </c>
      <c r="D36" t="s">
        <v>1009</v>
      </c>
      <c r="E36" t="s">
        <v>525</v>
      </c>
      <c r="F36">
        <f>INDEX(Site_Evaluation!$K:$K,MATCH(C36,Site_Evaluation!$A:$A,0))</f>
        <v>56</v>
      </c>
      <c r="G36">
        <f>COUNTIFS(Risk_Register!B:B,C36,Risk_Register!G:G,"High")</f>
        <v>0</v>
      </c>
      <c r="H36" t="e">
        <f ca="1">IF(_xludf.MAXIFS(Risk_Register!$L:$L,Risk_Register!$B:$B,C36)=3,"High",IF(_xludf.MAXIFS(Risk_Register!$L:$L,Risk_Register!$B:$B,C36)=2,"Medium","Low"))</f>
        <v>#NAME?</v>
      </c>
      <c r="I36" t="str">
        <f>IF(B36&lt;=3,"Preferred site - strong composite profile",IF(B36&lt;=10,"Backup candidate - viable with monitoring","Reserve - evaluate only if primary sites unavailable"))</f>
        <v>Reserve - evaluate only if primary sites unavailable</v>
      </c>
    </row>
    <row r="37" spans="1:9">
      <c r="A37" t="s">
        <v>50</v>
      </c>
      <c r="B37">
        <v>16</v>
      </c>
      <c r="C37" t="s">
        <v>1611</v>
      </c>
      <c r="D37" t="s">
        <v>1612</v>
      </c>
      <c r="E37" t="s">
        <v>576</v>
      </c>
      <c r="F37">
        <f>INDEX(Site_Evaluation!$K:$K,MATCH(C37,Site_Evaluation!$A:$A,0))</f>
        <v>56</v>
      </c>
      <c r="G37">
        <f>COUNTIFS(Risk_Register!B:B,C37,Risk_Register!G:G,"High")</f>
        <v>0</v>
      </c>
      <c r="H37" t="e">
        <f ca="1">IF(_xludf.MAXIFS(Risk_Register!$L:$L,Risk_Register!$B:$B,C37)=3,"High",IF(_xludf.MAXIFS(Risk_Register!$L:$L,Risk_Register!$B:$B,C37)=2,"Medium","Low"))</f>
        <v>#NAME?</v>
      </c>
      <c r="I37" t="str">
        <f>IF(B37&lt;=3,"Preferred site - strong composite profile",IF(B37&lt;=10,"Backup candidate - viable with monitoring","Reserve - evaluate only if primary sites unavailable"))</f>
        <v>Reserve - evaluate only if primary sites unavailable</v>
      </c>
    </row>
    <row r="38" spans="1:9">
      <c r="A38" t="s">
        <v>50</v>
      </c>
      <c r="B38">
        <v>17</v>
      </c>
      <c r="C38" t="s">
        <v>1822</v>
      </c>
      <c r="D38" t="s">
        <v>1823</v>
      </c>
      <c r="E38" t="s">
        <v>592</v>
      </c>
      <c r="F38">
        <f>INDEX(Site_Evaluation!$K:$K,MATCH(C38,Site_Evaluation!$A:$A,0))</f>
        <v>55</v>
      </c>
      <c r="G38">
        <f>COUNTIFS(Risk_Register!B:B,C38,Risk_Register!G:G,"High")</f>
        <v>0</v>
      </c>
      <c r="H38" t="e">
        <f ca="1">IF(_xludf.MAXIFS(Risk_Register!$L:$L,Risk_Register!$B:$B,C38)=3,"High",IF(_xludf.MAXIFS(Risk_Register!$L:$L,Risk_Register!$B:$B,C38)=2,"Medium","Low"))</f>
        <v>#NAME?</v>
      </c>
      <c r="I38" t="str">
        <f>IF(B38&lt;=3,"Preferred site - strong composite profile",IF(B38&lt;=10,"Backup candidate - viable with monitoring","Reserve - evaluate only if primary sites unavailable"))</f>
        <v>Reserve - evaluate only if primary sites unavailable</v>
      </c>
    </row>
    <row r="39" spans="1:9">
      <c r="A39" t="s">
        <v>50</v>
      </c>
      <c r="B39">
        <v>18</v>
      </c>
      <c r="C39" t="s">
        <v>979</v>
      </c>
      <c r="D39" t="s">
        <v>980</v>
      </c>
      <c r="E39" t="s">
        <v>524</v>
      </c>
      <c r="F39">
        <f>INDEX(Site_Evaluation!$K:$K,MATCH(C39,Site_Evaluation!$A:$A,0))</f>
        <v>54</v>
      </c>
      <c r="G39">
        <f>COUNTIFS(Risk_Register!B:B,C39,Risk_Register!G:G,"High")</f>
        <v>3</v>
      </c>
      <c r="H39" t="e">
        <f ca="1">IF(_xludf.MAXIFS(Risk_Register!$L:$L,Risk_Register!$B:$B,C39)=3,"High",IF(_xludf.MAXIFS(Risk_Register!$L:$L,Risk_Register!$B:$B,C39)=2,"Medium","Low"))</f>
        <v>#NAME?</v>
      </c>
      <c r="I39" t="str">
        <f>IF(B39&lt;=3,"Preferred site - strong composite profile",IF(B39&lt;=10,"Backup candidate - viable with monitoring","Reserve - evaluate only if primary sites unavailable"))</f>
        <v>Reserve - evaluate only if primary sites unavailable</v>
      </c>
    </row>
    <row r="40" spans="1:9">
      <c r="A40" t="s">
        <v>50</v>
      </c>
      <c r="B40">
        <v>19</v>
      </c>
      <c r="C40" t="s">
        <v>1211</v>
      </c>
      <c r="D40" t="s">
        <v>1212</v>
      </c>
      <c r="E40" t="s">
        <v>539</v>
      </c>
      <c r="F40">
        <f>INDEX(Site_Evaluation!$K:$K,MATCH(C40,Site_Evaluation!$A:$A,0))</f>
        <v>54</v>
      </c>
      <c r="G40">
        <f>COUNTIFS(Risk_Register!B:B,C40,Risk_Register!G:G,"High")</f>
        <v>2</v>
      </c>
      <c r="H40" t="e">
        <f ca="1">IF(_xludf.MAXIFS(Risk_Register!$L:$L,Risk_Register!$B:$B,C40)=3,"High",IF(_xludf.MAXIFS(Risk_Register!$L:$L,Risk_Register!$B:$B,C40)=2,"Medium","Low"))</f>
        <v>#NAME?</v>
      </c>
      <c r="I40" t="str">
        <f>IF(B40&lt;=3,"Preferred site - strong composite profile",IF(B40&lt;=10,"Backup candidate - viable with monitoring","Reserve - evaluate only if primary sites unavailable"))</f>
        <v>Reserve - evaluate only if primary sites unavailable</v>
      </c>
    </row>
    <row r="41" spans="1:9">
      <c r="A41" t="s">
        <v>50</v>
      </c>
      <c r="B41">
        <v>20</v>
      </c>
      <c r="C41" t="s">
        <v>1780</v>
      </c>
      <c r="D41" t="s">
        <v>1781</v>
      </c>
      <c r="E41" t="s">
        <v>588</v>
      </c>
      <c r="F41">
        <f>INDEX(Site_Evaluation!$K:$K,MATCH(C41,Site_Evaluation!$A:$A,0))</f>
        <v>54</v>
      </c>
      <c r="G41">
        <f>COUNTIFS(Risk_Register!B:B,C41,Risk_Register!G:G,"High")</f>
        <v>1</v>
      </c>
      <c r="H41" t="e">
        <f ca="1">IF(_xludf.MAXIFS(Risk_Register!$L:$L,Risk_Register!$B:$B,C41)=3,"High",IF(_xludf.MAXIFS(Risk_Register!$L:$L,Risk_Register!$B:$B,C41)=2,"Medium","Low"))</f>
        <v>#NAME?</v>
      </c>
      <c r="I41" t="str">
        <f>IF(B41&lt;=3,"Preferred site - strong composite profile",IF(B41&lt;=10,"Backup candidate - viable with monitoring","Reserve - evaluate only if primary sites unavailable"))</f>
        <v>Reserve - evaluate only if primary sites unavailable</v>
      </c>
    </row>
    <row r="42" spans="1:9">
      <c r="A42" t="s">
        <v>54</v>
      </c>
      <c r="B42">
        <v>1</v>
      </c>
      <c r="C42" t="s">
        <v>1676</v>
      </c>
      <c r="D42" t="s">
        <v>1677</v>
      </c>
      <c r="E42" t="s">
        <v>578</v>
      </c>
      <c r="F42">
        <f>INDEX(Site_Evaluation!$K:$K,MATCH(C42,Site_Evaluation!$A:$A,0))</f>
        <v>80</v>
      </c>
      <c r="G42">
        <f>COUNTIFS(Risk_Register!B:B,C42,Risk_Register!G:G,"High")</f>
        <v>1</v>
      </c>
      <c r="H42" t="e">
        <f ca="1">IF(_xludf.MAXIFS(Risk_Register!$L:$L,Risk_Register!$B:$B,C42)=3,"High",IF(_xludf.MAXIFS(Risk_Register!$L:$L,Risk_Register!$B:$B,C42)=2,"Medium","Low"))</f>
        <v>#NAME?</v>
      </c>
      <c r="I42" t="str">
        <f>IF(B42&lt;=3,"Preferred site - strong composite profile",IF(B42&lt;=10,"Backup candidate - viable with monitoring","Reserve - evaluate only if primary sites unavailable"))</f>
        <v>Preferred site - strong composite profile</v>
      </c>
    </row>
    <row r="43" spans="1:9">
      <c r="A43" t="s">
        <v>54</v>
      </c>
      <c r="B43">
        <v>2</v>
      </c>
      <c r="C43" t="s">
        <v>896</v>
      </c>
      <c r="D43" t="s">
        <v>897</v>
      </c>
      <c r="E43" t="s">
        <v>518</v>
      </c>
      <c r="F43">
        <f>INDEX(Site_Evaluation!$K:$K,MATCH(C43,Site_Evaluation!$A:$A,0))</f>
        <v>75</v>
      </c>
      <c r="G43">
        <f>COUNTIFS(Risk_Register!B:B,C43,Risk_Register!G:G,"High")</f>
        <v>1</v>
      </c>
      <c r="H43" t="e">
        <f ca="1">IF(_xludf.MAXIFS(Risk_Register!$L:$L,Risk_Register!$B:$B,C43)=3,"High",IF(_xludf.MAXIFS(Risk_Register!$L:$L,Risk_Register!$B:$B,C43)=2,"Medium","Low"))</f>
        <v>#NAME?</v>
      </c>
      <c r="I43" t="str">
        <f>IF(B43&lt;=3,"Preferred site - strong composite profile",IF(B43&lt;=10,"Backup candidate - viable with monitoring","Reserve - evaluate only if primary sites unavailable"))</f>
        <v>Preferred site - strong composite profile</v>
      </c>
    </row>
    <row r="44" spans="1:9">
      <c r="A44" t="s">
        <v>54</v>
      </c>
      <c r="B44">
        <v>3</v>
      </c>
      <c r="C44" t="s">
        <v>954</v>
      </c>
      <c r="D44" t="s">
        <v>955</v>
      </c>
      <c r="E44" t="s">
        <v>522</v>
      </c>
      <c r="F44">
        <f>INDEX(Site_Evaluation!$K:$K,MATCH(C44,Site_Evaluation!$A:$A,0))</f>
        <v>73</v>
      </c>
      <c r="G44">
        <f>COUNTIFS(Risk_Register!B:B,C44,Risk_Register!G:G,"High")</f>
        <v>0</v>
      </c>
      <c r="H44" t="e">
        <f ca="1">IF(_xludf.MAXIFS(Risk_Register!$L:$L,Risk_Register!$B:$B,C44)=3,"High",IF(_xludf.MAXIFS(Risk_Register!$L:$L,Risk_Register!$B:$B,C44)=2,"Medium","Low"))</f>
        <v>#NAME?</v>
      </c>
      <c r="I44" t="str">
        <f>IF(B44&lt;=3,"Preferred site - strong composite profile",IF(B44&lt;=10,"Backup candidate - viable with monitoring","Reserve - evaluate only if primary sites unavailable"))</f>
        <v>Preferred site - strong composite profile</v>
      </c>
    </row>
    <row r="45" spans="1:9">
      <c r="A45" t="s">
        <v>54</v>
      </c>
      <c r="B45">
        <v>4</v>
      </c>
      <c r="C45" t="s">
        <v>1352</v>
      </c>
      <c r="D45" t="s">
        <v>1353</v>
      </c>
      <c r="E45" t="s">
        <v>547</v>
      </c>
      <c r="F45">
        <f>INDEX(Site_Evaluation!$K:$K,MATCH(C45,Site_Evaluation!$A:$A,0))</f>
        <v>70</v>
      </c>
      <c r="G45">
        <f>COUNTIFS(Risk_Register!B:B,C45,Risk_Register!G:G,"High")</f>
        <v>1</v>
      </c>
      <c r="H45" t="e">
        <f ca="1">IF(_xludf.MAXIFS(Risk_Register!$L:$L,Risk_Register!$B:$B,C45)=3,"High",IF(_xludf.MAXIFS(Risk_Register!$L:$L,Risk_Register!$B:$B,C45)=2,"Medium","Low"))</f>
        <v>#NAME?</v>
      </c>
      <c r="I45" t="str">
        <f>IF(B45&lt;=3,"Preferred site - strong composite profile",IF(B45&lt;=10,"Backup candidate - viable with monitoring","Reserve - evaluate only if primary sites unavailable"))</f>
        <v>Backup candidate - viable with monitoring</v>
      </c>
    </row>
    <row r="46" spans="1:9">
      <c r="A46" t="s">
        <v>54</v>
      </c>
      <c r="B46">
        <v>5</v>
      </c>
      <c r="C46" t="s">
        <v>855</v>
      </c>
      <c r="D46" t="s">
        <v>856</v>
      </c>
      <c r="E46" t="s">
        <v>516</v>
      </c>
      <c r="F46">
        <f>INDEX(Site_Evaluation!$K:$K,MATCH(C46,Site_Evaluation!$A:$A,0))</f>
        <v>66</v>
      </c>
      <c r="G46">
        <f>COUNTIFS(Risk_Register!B:B,C46,Risk_Register!G:G,"High")</f>
        <v>0</v>
      </c>
      <c r="H46" t="e">
        <f ca="1">IF(_xludf.MAXIFS(Risk_Register!$L:$L,Risk_Register!$B:$B,C46)=3,"High",IF(_xludf.MAXIFS(Risk_Register!$L:$L,Risk_Register!$B:$B,C46)=2,"Medium","Low"))</f>
        <v>#NAME?</v>
      </c>
      <c r="I46" t="str">
        <f>IF(B46&lt;=3,"Preferred site - strong composite profile",IF(B46&lt;=10,"Backup candidate - viable with monitoring","Reserve - evaluate only if primary sites unavailable"))</f>
        <v>Backup candidate - viable with monitoring</v>
      </c>
    </row>
    <row r="47" spans="1:9">
      <c r="A47" t="s">
        <v>54</v>
      </c>
      <c r="B47">
        <v>6</v>
      </c>
      <c r="C47" t="s">
        <v>674</v>
      </c>
      <c r="D47" t="s">
        <v>675</v>
      </c>
      <c r="E47" t="s">
        <v>509</v>
      </c>
      <c r="F47">
        <f>INDEX(Site_Evaluation!$K:$K,MATCH(C47,Site_Evaluation!$A:$A,0))</f>
        <v>62</v>
      </c>
      <c r="G47">
        <f>COUNTIFS(Risk_Register!B:B,C47,Risk_Register!G:G,"High")</f>
        <v>1</v>
      </c>
      <c r="H47" t="e">
        <f ca="1">IF(_xludf.MAXIFS(Risk_Register!$L:$L,Risk_Register!$B:$B,C47)=3,"High",IF(_xludf.MAXIFS(Risk_Register!$L:$L,Risk_Register!$B:$B,C47)=2,"Medium","Low"))</f>
        <v>#NAME?</v>
      </c>
      <c r="I47" t="str">
        <f>IF(B47&lt;=3,"Preferred site - strong composite profile",IF(B47&lt;=10,"Backup candidate - viable with monitoring","Reserve - evaluate only if primary sites unavailable"))</f>
        <v>Backup candidate - viable with monitoring</v>
      </c>
    </row>
    <row r="48" spans="1:9">
      <c r="A48" t="s">
        <v>54</v>
      </c>
      <c r="B48">
        <v>7</v>
      </c>
      <c r="C48" t="s">
        <v>946</v>
      </c>
      <c r="D48" t="s">
        <v>936</v>
      </c>
      <c r="E48" t="s">
        <v>522</v>
      </c>
      <c r="F48">
        <f>INDEX(Site_Evaluation!$K:$K,MATCH(C48,Site_Evaluation!$A:$A,0))</f>
        <v>58</v>
      </c>
      <c r="G48">
        <f>COUNTIFS(Risk_Register!B:B,C48,Risk_Register!G:G,"High")</f>
        <v>1</v>
      </c>
      <c r="H48" t="e">
        <f ca="1">IF(_xludf.MAXIFS(Risk_Register!$L:$L,Risk_Register!$B:$B,C48)=3,"High",IF(_xludf.MAXIFS(Risk_Register!$L:$L,Risk_Register!$B:$B,C48)=2,"Medium","Low"))</f>
        <v>#NAME?</v>
      </c>
      <c r="I48" t="str">
        <f>IF(B48&lt;=3,"Preferred site - strong composite profile",IF(B48&lt;=10,"Backup candidate - viable with monitoring","Reserve - evaluate only if primary sites unavailable"))</f>
        <v>Backup candidate - viable with monitoring</v>
      </c>
    </row>
    <row r="49" spans="1:9">
      <c r="A49" t="s">
        <v>54</v>
      </c>
      <c r="B49">
        <v>8</v>
      </c>
      <c r="C49" t="s">
        <v>1429</v>
      </c>
      <c r="D49" t="s">
        <v>1430</v>
      </c>
      <c r="E49" t="s">
        <v>554</v>
      </c>
      <c r="F49">
        <f>INDEX(Site_Evaluation!$K:$K,MATCH(C49,Site_Evaluation!$A:$A,0))</f>
        <v>58</v>
      </c>
      <c r="G49">
        <f>COUNTIFS(Risk_Register!B:B,C49,Risk_Register!G:G,"High")</f>
        <v>0</v>
      </c>
      <c r="H49" t="e">
        <f ca="1">IF(_xludf.MAXIFS(Risk_Register!$L:$L,Risk_Register!$B:$B,C49)=3,"High",IF(_xludf.MAXIFS(Risk_Register!$L:$L,Risk_Register!$B:$B,C49)=2,"Medium","Low"))</f>
        <v>#NAME?</v>
      </c>
      <c r="I49" t="str">
        <f>IF(B49&lt;=3,"Preferred site - strong composite profile",IF(B49&lt;=10,"Backup candidate - viable with monitoring","Reserve - evaluate only if primary sites unavailable"))</f>
        <v>Backup candidate - viable with monitoring</v>
      </c>
    </row>
    <row r="50" spans="1:9">
      <c r="A50" t="s">
        <v>54</v>
      </c>
      <c r="B50">
        <v>9</v>
      </c>
      <c r="C50" t="s">
        <v>1853</v>
      </c>
      <c r="D50" t="s">
        <v>1854</v>
      </c>
      <c r="E50" t="s">
        <v>596</v>
      </c>
      <c r="F50">
        <f>INDEX(Site_Evaluation!$K:$K,MATCH(C50,Site_Evaluation!$A:$A,0))</f>
        <v>58</v>
      </c>
      <c r="G50">
        <f>COUNTIFS(Risk_Register!B:B,C50,Risk_Register!G:G,"High")</f>
        <v>2</v>
      </c>
      <c r="H50" t="e">
        <f ca="1">IF(_xludf.MAXIFS(Risk_Register!$L:$L,Risk_Register!$B:$B,C50)=3,"High",IF(_xludf.MAXIFS(Risk_Register!$L:$L,Risk_Register!$B:$B,C50)=2,"Medium","Low"))</f>
        <v>#NAME?</v>
      </c>
      <c r="I50" t="str">
        <f>IF(B50&lt;=3,"Preferred site - strong composite profile",IF(B50&lt;=10,"Backup candidate - viable with monitoring","Reserve - evaluate only if primary sites unavailable"))</f>
        <v>Backup candidate - viable with monitoring</v>
      </c>
    </row>
    <row r="51" spans="1:9">
      <c r="A51" t="s">
        <v>54</v>
      </c>
      <c r="B51">
        <v>10</v>
      </c>
      <c r="C51" t="s">
        <v>1728</v>
      </c>
      <c r="D51" t="s">
        <v>1729</v>
      </c>
      <c r="E51" t="s">
        <v>582</v>
      </c>
      <c r="F51">
        <f>INDEX(Site_Evaluation!$K:$K,MATCH(C51,Site_Evaluation!$A:$A,0))</f>
        <v>57</v>
      </c>
      <c r="G51">
        <f>COUNTIFS(Risk_Register!B:B,C51,Risk_Register!G:G,"High")</f>
        <v>2</v>
      </c>
      <c r="H51" t="e">
        <f ca="1">IF(_xludf.MAXIFS(Risk_Register!$L:$L,Risk_Register!$B:$B,C51)=3,"High",IF(_xludf.MAXIFS(Risk_Register!$L:$L,Risk_Register!$B:$B,C51)=2,"Medium","Low"))</f>
        <v>#NAME?</v>
      </c>
      <c r="I51" t="str">
        <f>IF(B51&lt;=3,"Preferred site - strong composite profile",IF(B51&lt;=10,"Backup candidate - viable with monitoring","Reserve - evaluate only if primary sites unavailable"))</f>
        <v>Backup candidate - viable with monitoring</v>
      </c>
    </row>
    <row r="52" spans="1:9">
      <c r="A52" t="s">
        <v>54</v>
      </c>
      <c r="B52">
        <v>11</v>
      </c>
      <c r="C52" t="s">
        <v>970</v>
      </c>
      <c r="D52" t="s">
        <v>971</v>
      </c>
      <c r="E52" t="s">
        <v>524</v>
      </c>
      <c r="F52">
        <f>INDEX(Site_Evaluation!$K:$K,MATCH(C52,Site_Evaluation!$A:$A,0))</f>
        <v>56</v>
      </c>
      <c r="G52">
        <f>COUNTIFS(Risk_Register!B:B,C52,Risk_Register!G:G,"High")</f>
        <v>1</v>
      </c>
      <c r="H52" t="e">
        <f ca="1">IF(_xludf.MAXIFS(Risk_Register!$L:$L,Risk_Register!$B:$B,C52)=3,"High",IF(_xludf.MAXIFS(Risk_Register!$L:$L,Risk_Register!$B:$B,C52)=2,"Medium","Low"))</f>
        <v>#NAME?</v>
      </c>
      <c r="I52" t="str">
        <f>IF(B52&lt;=3,"Preferred site - strong composite profile",IF(B52&lt;=10,"Backup candidate - viable with monitoring","Reserve - evaluate only if primary sites unavailable"))</f>
        <v>Reserve - evaluate only if primary sites unavailable</v>
      </c>
    </row>
    <row r="53" spans="1:9">
      <c r="A53" t="s">
        <v>54</v>
      </c>
      <c r="B53">
        <v>12</v>
      </c>
      <c r="C53" t="s">
        <v>1148</v>
      </c>
      <c r="D53" t="s">
        <v>1149</v>
      </c>
      <c r="E53" t="s">
        <v>535</v>
      </c>
      <c r="F53">
        <f>INDEX(Site_Evaluation!$K:$K,MATCH(C53,Site_Evaluation!$A:$A,0))</f>
        <v>56</v>
      </c>
      <c r="G53">
        <f>COUNTIFS(Risk_Register!B:B,C53,Risk_Register!G:G,"High")</f>
        <v>1</v>
      </c>
      <c r="H53" t="e">
        <f ca="1">IF(_xludf.MAXIFS(Risk_Register!$L:$L,Risk_Register!$B:$B,C53)=3,"High",IF(_xludf.MAXIFS(Risk_Register!$L:$L,Risk_Register!$B:$B,C53)=2,"Medium","Low"))</f>
        <v>#NAME?</v>
      </c>
      <c r="I53" t="str">
        <f>IF(B53&lt;=3,"Preferred site - strong composite profile",IF(B53&lt;=10,"Backup candidate - viable with monitoring","Reserve - evaluate only if primary sites unavailable"))</f>
        <v>Reserve - evaluate only if primary sites unavailable</v>
      </c>
    </row>
    <row r="54" spans="1:9">
      <c r="A54" t="s">
        <v>54</v>
      </c>
      <c r="B54">
        <v>13</v>
      </c>
      <c r="C54" t="s">
        <v>1466</v>
      </c>
      <c r="D54" t="s">
        <v>1467</v>
      </c>
      <c r="E54" t="s">
        <v>556</v>
      </c>
      <c r="F54">
        <f>INDEX(Site_Evaluation!$K:$K,MATCH(C54,Site_Evaluation!$A:$A,0))</f>
        <v>56</v>
      </c>
      <c r="G54">
        <f>COUNTIFS(Risk_Register!B:B,C54,Risk_Register!G:G,"High")</f>
        <v>0</v>
      </c>
      <c r="H54" t="e">
        <f ca="1">IF(_xludf.MAXIFS(Risk_Register!$L:$L,Risk_Register!$B:$B,C54)=3,"High",IF(_xludf.MAXIFS(Risk_Register!$L:$L,Risk_Register!$B:$B,C54)=2,"Medium","Low"))</f>
        <v>#NAME?</v>
      </c>
      <c r="I54" t="str">
        <f>IF(B54&lt;=3,"Preferred site - strong composite profile",IF(B54&lt;=10,"Backup candidate - viable with monitoring","Reserve - evaluate only if primary sites unavailable"))</f>
        <v>Reserve - evaluate only if primary sites unavailable</v>
      </c>
    </row>
    <row r="55" spans="1:9">
      <c r="A55" t="s">
        <v>54</v>
      </c>
      <c r="B55">
        <v>14</v>
      </c>
      <c r="C55" t="s">
        <v>1515</v>
      </c>
      <c r="D55" t="s">
        <v>1516</v>
      </c>
      <c r="E55" t="s">
        <v>564</v>
      </c>
      <c r="F55">
        <f>INDEX(Site_Evaluation!$K:$K,MATCH(C55,Site_Evaluation!$A:$A,0))</f>
        <v>56</v>
      </c>
      <c r="G55">
        <f>COUNTIFS(Risk_Register!B:B,C55,Risk_Register!G:G,"High")</f>
        <v>1</v>
      </c>
      <c r="H55" t="e">
        <f ca="1">IF(_xludf.MAXIFS(Risk_Register!$L:$L,Risk_Register!$B:$B,C55)=3,"High",IF(_xludf.MAXIFS(Risk_Register!$L:$L,Risk_Register!$B:$B,C55)=2,"Medium","Low"))</f>
        <v>#NAME?</v>
      </c>
      <c r="I55" t="str">
        <f>IF(B55&lt;=3,"Preferred site - strong composite profile",IF(B55&lt;=10,"Backup candidate - viable with monitoring","Reserve - evaluate only if primary sites unavailable"))</f>
        <v>Reserve - evaluate only if primary sites unavailable</v>
      </c>
    </row>
    <row r="56" spans="1:9">
      <c r="A56" t="s">
        <v>54</v>
      </c>
      <c r="B56">
        <v>15</v>
      </c>
      <c r="C56" t="s">
        <v>783</v>
      </c>
      <c r="D56" t="s">
        <v>774</v>
      </c>
      <c r="E56" t="s">
        <v>514</v>
      </c>
      <c r="F56">
        <f>INDEX(Site_Evaluation!$K:$K,MATCH(C56,Site_Evaluation!$A:$A,0))</f>
        <v>55</v>
      </c>
      <c r="G56">
        <f>COUNTIFS(Risk_Register!B:B,C56,Risk_Register!G:G,"High")</f>
        <v>0</v>
      </c>
      <c r="H56" t="e">
        <f ca="1">IF(_xludf.MAXIFS(Risk_Register!$L:$L,Risk_Register!$B:$B,C56)=3,"High",IF(_xludf.MAXIFS(Risk_Register!$L:$L,Risk_Register!$B:$B,C56)=2,"Medium","Low"))</f>
        <v>#NAME?</v>
      </c>
      <c r="I56" t="str">
        <f>IF(B56&lt;=3,"Preferred site - strong composite profile",IF(B56&lt;=10,"Backup candidate - viable with monitoring","Reserve - evaluate only if primary sites unavailable"))</f>
        <v>Reserve - evaluate only if primary sites unavailable</v>
      </c>
    </row>
    <row r="57" spans="1:9">
      <c r="A57" t="s">
        <v>54</v>
      </c>
      <c r="B57">
        <v>16</v>
      </c>
      <c r="C57" t="s">
        <v>1275</v>
      </c>
      <c r="D57" t="s">
        <v>1276</v>
      </c>
      <c r="E57" t="s">
        <v>543</v>
      </c>
      <c r="F57">
        <f>INDEX(Site_Evaluation!$K:$K,MATCH(C57,Site_Evaluation!$A:$A,0))</f>
        <v>55</v>
      </c>
      <c r="G57">
        <f>COUNTIFS(Risk_Register!B:B,C57,Risk_Register!G:G,"High")</f>
        <v>2</v>
      </c>
      <c r="H57" t="e">
        <f ca="1">IF(_xludf.MAXIFS(Risk_Register!$L:$L,Risk_Register!$B:$B,C57)=3,"High",IF(_xludf.MAXIFS(Risk_Register!$L:$L,Risk_Register!$B:$B,C57)=2,"Medium","Low"))</f>
        <v>#NAME?</v>
      </c>
      <c r="I57" t="str">
        <f>IF(B57&lt;=3,"Preferred site - strong composite profile",IF(B57&lt;=10,"Backup candidate - viable with monitoring","Reserve - evaluate only if primary sites unavailable"))</f>
        <v>Reserve - evaluate only if primary sites unavailable</v>
      </c>
    </row>
    <row r="58" spans="1:9">
      <c r="A58" t="s">
        <v>54</v>
      </c>
      <c r="B58">
        <v>17</v>
      </c>
      <c r="C58" t="s">
        <v>834</v>
      </c>
      <c r="D58" t="s">
        <v>835</v>
      </c>
      <c r="E58" t="s">
        <v>516</v>
      </c>
      <c r="F58">
        <f>INDEX(Site_Evaluation!$K:$K,MATCH(C58,Site_Evaluation!$A:$A,0))</f>
        <v>53</v>
      </c>
      <c r="G58">
        <f>COUNTIFS(Risk_Register!B:B,C58,Risk_Register!G:G,"High")</f>
        <v>0</v>
      </c>
      <c r="H58" t="e">
        <f ca="1">IF(_xludf.MAXIFS(Risk_Register!$L:$L,Risk_Register!$B:$B,C58)=3,"High",IF(_xludf.MAXIFS(Risk_Register!$L:$L,Risk_Register!$B:$B,C58)=2,"Medium","Low"))</f>
        <v>#NAME?</v>
      </c>
      <c r="I58" t="str">
        <f>IF(B58&lt;=3,"Preferred site - strong composite profile",IF(B58&lt;=10,"Backup candidate - viable with monitoring","Reserve - evaluate only if primary sites unavailable"))</f>
        <v>Reserve - evaluate only if primary sites unavailable</v>
      </c>
    </row>
    <row r="59" spans="1:9">
      <c r="A59" t="s">
        <v>54</v>
      </c>
      <c r="B59">
        <v>18</v>
      </c>
      <c r="C59" t="s">
        <v>1120</v>
      </c>
      <c r="D59" t="s">
        <v>1121</v>
      </c>
      <c r="E59" t="s">
        <v>533</v>
      </c>
      <c r="F59">
        <f>INDEX(Site_Evaluation!$K:$K,MATCH(C59,Site_Evaluation!$A:$A,0))</f>
        <v>53</v>
      </c>
      <c r="G59">
        <f>COUNTIFS(Risk_Register!B:B,C59,Risk_Register!G:G,"High")</f>
        <v>0</v>
      </c>
      <c r="H59" t="e">
        <f ca="1">IF(_xludf.MAXIFS(Risk_Register!$L:$L,Risk_Register!$B:$B,C59)=3,"High",IF(_xludf.MAXIFS(Risk_Register!$L:$L,Risk_Register!$B:$B,C59)=2,"Medium","Low"))</f>
        <v>#NAME?</v>
      </c>
      <c r="I59" t="str">
        <f>IF(B59&lt;=3,"Preferred site - strong composite profile",IF(B59&lt;=10,"Backup candidate - viable with monitoring","Reserve - evaluate only if primary sites unavailable"))</f>
        <v>Reserve - evaluate only if primary sites unavailable</v>
      </c>
    </row>
    <row r="60" spans="1:9">
      <c r="A60" t="s">
        <v>54</v>
      </c>
      <c r="B60">
        <v>19</v>
      </c>
      <c r="C60" t="s">
        <v>1509</v>
      </c>
      <c r="D60" t="s">
        <v>1510</v>
      </c>
      <c r="E60" t="s">
        <v>562</v>
      </c>
      <c r="F60">
        <f>INDEX(Site_Evaluation!$K:$K,MATCH(C60,Site_Evaluation!$A:$A,0))</f>
        <v>52</v>
      </c>
      <c r="G60">
        <f>COUNTIFS(Risk_Register!B:B,C60,Risk_Register!G:G,"High")</f>
        <v>1</v>
      </c>
      <c r="H60" t="e">
        <f ca="1">IF(_xludf.MAXIFS(Risk_Register!$L:$L,Risk_Register!$B:$B,C60)=3,"High",IF(_xludf.MAXIFS(Risk_Register!$L:$L,Risk_Register!$B:$B,C60)=2,"Medium","Low"))</f>
        <v>#NAME?</v>
      </c>
      <c r="I60" t="str">
        <f>IF(B60&lt;=3,"Preferred site - strong composite profile",IF(B60&lt;=10,"Backup candidate - viable with monitoring","Reserve - evaluate only if primary sites unavailable"))</f>
        <v>Reserve - evaluate only if primary sites unavailable</v>
      </c>
    </row>
    <row r="61" spans="1:9">
      <c r="A61" t="s">
        <v>54</v>
      </c>
      <c r="B61">
        <v>20</v>
      </c>
      <c r="C61" t="s">
        <v>809</v>
      </c>
      <c r="D61" t="s">
        <v>810</v>
      </c>
      <c r="E61" t="s">
        <v>516</v>
      </c>
      <c r="F61">
        <f>INDEX(Site_Evaluation!$K:$K,MATCH(C61,Site_Evaluation!$A:$A,0))</f>
        <v>50</v>
      </c>
      <c r="G61">
        <f>COUNTIFS(Risk_Register!B:B,C61,Risk_Register!G:G,"High")</f>
        <v>1</v>
      </c>
      <c r="H61" t="e">
        <f ca="1">IF(_xludf.MAXIFS(Risk_Register!$L:$L,Risk_Register!$B:$B,C61)=3,"High",IF(_xludf.MAXIFS(Risk_Register!$L:$L,Risk_Register!$B:$B,C61)=2,"Medium","Low"))</f>
        <v>#NAME?</v>
      </c>
      <c r="I61" t="str">
        <f>IF(B61&lt;=3,"Preferred site - strong composite profile",IF(B61&lt;=10,"Backup candidate - viable with monitoring","Reserve - evaluate only if primary sites unavailable"))</f>
        <v>Reserve - evaluate only if primary sites unavailable</v>
      </c>
    </row>
    <row r="62" spans="1:9">
      <c r="A62" t="s">
        <v>58</v>
      </c>
      <c r="B62">
        <v>1</v>
      </c>
      <c r="C62" t="s">
        <v>1676</v>
      </c>
      <c r="D62" t="s">
        <v>1677</v>
      </c>
      <c r="E62" t="s">
        <v>578</v>
      </c>
      <c r="F62">
        <f>INDEX(Site_Evaluation!$K:$K,MATCH(C62,Site_Evaluation!$A:$A,0))</f>
        <v>80</v>
      </c>
      <c r="G62">
        <f>COUNTIFS(Risk_Register!B:B,C62,Risk_Register!G:G,"High")</f>
        <v>1</v>
      </c>
      <c r="H62" t="e">
        <f ca="1">IF(_xludf.MAXIFS(Risk_Register!$L:$L,Risk_Register!$B:$B,C62)=3,"High",IF(_xludf.MAXIFS(Risk_Register!$L:$L,Risk_Register!$B:$B,C62)=2,"Medium","Low"))</f>
        <v>#NAME?</v>
      </c>
      <c r="I62" t="str">
        <f>IF(B62&lt;=3,"Preferred site - strong composite profile",IF(B62&lt;=10,"Backup candidate - viable with monitoring","Reserve - evaluate only if primary sites unavailable"))</f>
        <v>Preferred site - strong composite profile</v>
      </c>
    </row>
    <row r="63" spans="1:9">
      <c r="A63" t="s">
        <v>58</v>
      </c>
      <c r="B63">
        <v>2</v>
      </c>
      <c r="C63" t="s">
        <v>896</v>
      </c>
      <c r="D63" t="s">
        <v>897</v>
      </c>
      <c r="E63" t="s">
        <v>518</v>
      </c>
      <c r="F63">
        <f>INDEX(Site_Evaluation!$K:$K,MATCH(C63,Site_Evaluation!$A:$A,0))</f>
        <v>75</v>
      </c>
      <c r="G63">
        <f>COUNTIFS(Risk_Register!B:B,C63,Risk_Register!G:G,"High")</f>
        <v>1</v>
      </c>
      <c r="H63" t="e">
        <f ca="1">IF(_xludf.MAXIFS(Risk_Register!$L:$L,Risk_Register!$B:$B,C63)=3,"High",IF(_xludf.MAXIFS(Risk_Register!$L:$L,Risk_Register!$B:$B,C63)=2,"Medium","Low"))</f>
        <v>#NAME?</v>
      </c>
      <c r="I63" t="str">
        <f>IF(B63&lt;=3,"Preferred site - strong composite profile",IF(B63&lt;=10,"Backup candidate - viable with monitoring","Reserve - evaluate only if primary sites unavailable"))</f>
        <v>Preferred site - strong composite profile</v>
      </c>
    </row>
    <row r="64" spans="1:9">
      <c r="A64" t="s">
        <v>58</v>
      </c>
      <c r="B64">
        <v>3</v>
      </c>
      <c r="C64" t="s">
        <v>954</v>
      </c>
      <c r="D64" t="s">
        <v>955</v>
      </c>
      <c r="E64" t="s">
        <v>522</v>
      </c>
      <c r="F64">
        <f>INDEX(Site_Evaluation!$K:$K,MATCH(C64,Site_Evaluation!$A:$A,0))</f>
        <v>73</v>
      </c>
      <c r="G64">
        <f>COUNTIFS(Risk_Register!B:B,C64,Risk_Register!G:G,"High")</f>
        <v>0</v>
      </c>
      <c r="H64" t="e">
        <f ca="1">IF(_xludf.MAXIFS(Risk_Register!$L:$L,Risk_Register!$B:$B,C64)=3,"High",IF(_xludf.MAXIFS(Risk_Register!$L:$L,Risk_Register!$B:$B,C64)=2,"Medium","Low"))</f>
        <v>#NAME?</v>
      </c>
      <c r="I64" t="str">
        <f>IF(B64&lt;=3,"Preferred site - strong composite profile",IF(B64&lt;=10,"Backup candidate - viable with monitoring","Reserve - evaluate only if primary sites unavailable"))</f>
        <v>Preferred site - strong composite profile</v>
      </c>
    </row>
    <row r="65" spans="1:9">
      <c r="A65" t="s">
        <v>58</v>
      </c>
      <c r="B65">
        <v>4</v>
      </c>
      <c r="C65" t="s">
        <v>1352</v>
      </c>
      <c r="D65" t="s">
        <v>1353</v>
      </c>
      <c r="E65" t="s">
        <v>547</v>
      </c>
      <c r="F65">
        <f>INDEX(Site_Evaluation!$K:$K,MATCH(C65,Site_Evaluation!$A:$A,0))</f>
        <v>70</v>
      </c>
      <c r="G65">
        <f>COUNTIFS(Risk_Register!B:B,C65,Risk_Register!G:G,"High")</f>
        <v>1</v>
      </c>
      <c r="H65" t="e">
        <f ca="1">IF(_xludf.MAXIFS(Risk_Register!$L:$L,Risk_Register!$B:$B,C65)=3,"High",IF(_xludf.MAXIFS(Risk_Register!$L:$L,Risk_Register!$B:$B,C65)=2,"Medium","Low"))</f>
        <v>#NAME?</v>
      </c>
      <c r="I65" t="str">
        <f>IF(B65&lt;=3,"Preferred site - strong composite profile",IF(B65&lt;=10,"Backup candidate - viable with monitoring","Reserve - evaluate only if primary sites unavailable"))</f>
        <v>Backup candidate - viable with monitoring</v>
      </c>
    </row>
    <row r="66" spans="1:9">
      <c r="A66" t="s">
        <v>58</v>
      </c>
      <c r="B66">
        <v>5</v>
      </c>
      <c r="C66" t="s">
        <v>855</v>
      </c>
      <c r="D66" t="s">
        <v>856</v>
      </c>
      <c r="E66" t="s">
        <v>516</v>
      </c>
      <c r="F66">
        <f>INDEX(Site_Evaluation!$K:$K,MATCH(C66,Site_Evaluation!$A:$A,0))</f>
        <v>66</v>
      </c>
      <c r="G66">
        <f>COUNTIFS(Risk_Register!B:B,C66,Risk_Register!G:G,"High")</f>
        <v>0</v>
      </c>
      <c r="H66" t="e">
        <f ca="1">IF(_xludf.MAXIFS(Risk_Register!$L:$L,Risk_Register!$B:$B,C66)=3,"High",IF(_xludf.MAXIFS(Risk_Register!$L:$L,Risk_Register!$B:$B,C66)=2,"Medium","Low"))</f>
        <v>#NAME?</v>
      </c>
      <c r="I66" t="str">
        <f>IF(B66&lt;=3,"Preferred site - strong composite profile",IF(B66&lt;=10,"Backup candidate - viable with monitoring","Reserve - evaluate only if primary sites unavailable"))</f>
        <v>Backup candidate - viable with monitoring</v>
      </c>
    </row>
    <row r="67" spans="1:9">
      <c r="A67" t="s">
        <v>58</v>
      </c>
      <c r="B67">
        <v>6</v>
      </c>
      <c r="C67" t="s">
        <v>674</v>
      </c>
      <c r="D67" t="s">
        <v>675</v>
      </c>
      <c r="E67" t="s">
        <v>509</v>
      </c>
      <c r="F67">
        <f>INDEX(Site_Evaluation!$K:$K,MATCH(C67,Site_Evaluation!$A:$A,0))</f>
        <v>62</v>
      </c>
      <c r="G67">
        <f>COUNTIFS(Risk_Register!B:B,C67,Risk_Register!G:G,"High")</f>
        <v>1</v>
      </c>
      <c r="H67" t="e">
        <f ca="1">IF(_xludf.MAXIFS(Risk_Register!$L:$L,Risk_Register!$B:$B,C67)=3,"High",IF(_xludf.MAXIFS(Risk_Register!$L:$L,Risk_Register!$B:$B,C67)=2,"Medium","Low"))</f>
        <v>#NAME?</v>
      </c>
      <c r="I67" t="str">
        <f>IF(B67&lt;=3,"Preferred site - strong composite profile",IF(B67&lt;=10,"Backup candidate - viable with monitoring","Reserve - evaluate only if primary sites unavailable"))</f>
        <v>Backup candidate - viable with monitoring</v>
      </c>
    </row>
    <row r="68" spans="1:9">
      <c r="A68" t="s">
        <v>58</v>
      </c>
      <c r="B68">
        <v>7</v>
      </c>
      <c r="C68" t="s">
        <v>946</v>
      </c>
      <c r="D68" t="s">
        <v>936</v>
      </c>
      <c r="E68" t="s">
        <v>522</v>
      </c>
      <c r="F68">
        <f>INDEX(Site_Evaluation!$K:$K,MATCH(C68,Site_Evaluation!$A:$A,0))</f>
        <v>58</v>
      </c>
      <c r="G68">
        <f>COUNTIFS(Risk_Register!B:B,C68,Risk_Register!G:G,"High")</f>
        <v>1</v>
      </c>
      <c r="H68" t="e">
        <f ca="1">IF(_xludf.MAXIFS(Risk_Register!$L:$L,Risk_Register!$B:$B,C68)=3,"High",IF(_xludf.MAXIFS(Risk_Register!$L:$L,Risk_Register!$B:$B,C68)=2,"Medium","Low"))</f>
        <v>#NAME?</v>
      </c>
      <c r="I68" t="str">
        <f>IF(B68&lt;=3,"Preferred site - strong composite profile",IF(B68&lt;=10,"Backup candidate - viable with monitoring","Reserve - evaluate only if primary sites unavailable"))</f>
        <v>Backup candidate - viable with monitoring</v>
      </c>
    </row>
    <row r="69" spans="1:9">
      <c r="A69" t="s">
        <v>58</v>
      </c>
      <c r="B69">
        <v>8</v>
      </c>
      <c r="C69" t="s">
        <v>1429</v>
      </c>
      <c r="D69" t="s">
        <v>1430</v>
      </c>
      <c r="E69" t="s">
        <v>554</v>
      </c>
      <c r="F69">
        <f>INDEX(Site_Evaluation!$K:$K,MATCH(C69,Site_Evaluation!$A:$A,0))</f>
        <v>58</v>
      </c>
      <c r="G69">
        <f>COUNTIFS(Risk_Register!B:B,C69,Risk_Register!G:G,"High")</f>
        <v>0</v>
      </c>
      <c r="H69" t="e">
        <f ca="1">IF(_xludf.MAXIFS(Risk_Register!$L:$L,Risk_Register!$B:$B,C69)=3,"High",IF(_xludf.MAXIFS(Risk_Register!$L:$L,Risk_Register!$B:$B,C69)=2,"Medium","Low"))</f>
        <v>#NAME?</v>
      </c>
      <c r="I69" t="str">
        <f>IF(B69&lt;=3,"Preferred site - strong composite profile",IF(B69&lt;=10,"Backup candidate - viable with monitoring","Reserve - evaluate only if primary sites unavailable"))</f>
        <v>Backup candidate - viable with monitoring</v>
      </c>
    </row>
    <row r="70" spans="1:9">
      <c r="A70" t="s">
        <v>58</v>
      </c>
      <c r="B70">
        <v>9</v>
      </c>
      <c r="C70" t="s">
        <v>1853</v>
      </c>
      <c r="D70" t="s">
        <v>1854</v>
      </c>
      <c r="E70" t="s">
        <v>596</v>
      </c>
      <c r="F70">
        <f>INDEX(Site_Evaluation!$K:$K,MATCH(C70,Site_Evaluation!$A:$A,0))</f>
        <v>58</v>
      </c>
      <c r="G70">
        <f>COUNTIFS(Risk_Register!B:B,C70,Risk_Register!G:G,"High")</f>
        <v>2</v>
      </c>
      <c r="H70" t="e">
        <f ca="1">IF(_xludf.MAXIFS(Risk_Register!$L:$L,Risk_Register!$B:$B,C70)=3,"High",IF(_xludf.MAXIFS(Risk_Register!$L:$L,Risk_Register!$B:$B,C70)=2,"Medium","Low"))</f>
        <v>#NAME?</v>
      </c>
      <c r="I70" t="str">
        <f>IF(B70&lt;=3,"Preferred site - strong composite profile",IF(B70&lt;=10,"Backup candidate - viable with monitoring","Reserve - evaluate only if primary sites unavailable"))</f>
        <v>Backup candidate - viable with monitoring</v>
      </c>
    </row>
    <row r="71" spans="1:9">
      <c r="A71" t="s">
        <v>58</v>
      </c>
      <c r="B71">
        <v>10</v>
      </c>
      <c r="C71" t="s">
        <v>1728</v>
      </c>
      <c r="D71" t="s">
        <v>1729</v>
      </c>
      <c r="E71" t="s">
        <v>582</v>
      </c>
      <c r="F71">
        <f>INDEX(Site_Evaluation!$K:$K,MATCH(C71,Site_Evaluation!$A:$A,0))</f>
        <v>57</v>
      </c>
      <c r="G71">
        <f>COUNTIFS(Risk_Register!B:B,C71,Risk_Register!G:G,"High")</f>
        <v>2</v>
      </c>
      <c r="H71" t="e">
        <f ca="1">IF(_xludf.MAXIFS(Risk_Register!$L:$L,Risk_Register!$B:$B,C71)=3,"High",IF(_xludf.MAXIFS(Risk_Register!$L:$L,Risk_Register!$B:$B,C71)=2,"Medium","Low"))</f>
        <v>#NAME?</v>
      </c>
      <c r="I71" t="str">
        <f>IF(B71&lt;=3,"Preferred site - strong composite profile",IF(B71&lt;=10,"Backup candidate - viable with monitoring","Reserve - evaluate only if primary sites unavailable"))</f>
        <v>Backup candidate - viable with monitoring</v>
      </c>
    </row>
    <row r="72" spans="1:9">
      <c r="A72" t="s">
        <v>58</v>
      </c>
      <c r="B72">
        <v>11</v>
      </c>
      <c r="C72" t="s">
        <v>970</v>
      </c>
      <c r="D72" t="s">
        <v>971</v>
      </c>
      <c r="E72" t="s">
        <v>524</v>
      </c>
      <c r="F72">
        <f>INDEX(Site_Evaluation!$K:$K,MATCH(C72,Site_Evaluation!$A:$A,0))</f>
        <v>56</v>
      </c>
      <c r="G72">
        <f>COUNTIFS(Risk_Register!B:B,C72,Risk_Register!G:G,"High")</f>
        <v>1</v>
      </c>
      <c r="H72" t="e">
        <f ca="1">IF(_xludf.MAXIFS(Risk_Register!$L:$L,Risk_Register!$B:$B,C72)=3,"High",IF(_xludf.MAXIFS(Risk_Register!$L:$L,Risk_Register!$B:$B,C72)=2,"Medium","Low"))</f>
        <v>#NAME?</v>
      </c>
      <c r="I72" t="str">
        <f>IF(B72&lt;=3,"Preferred site - strong composite profile",IF(B72&lt;=10,"Backup candidate - viable with monitoring","Reserve - evaluate only if primary sites unavailable"))</f>
        <v>Reserve - evaluate only if primary sites unavailable</v>
      </c>
    </row>
    <row r="73" spans="1:9">
      <c r="A73" t="s">
        <v>58</v>
      </c>
      <c r="B73">
        <v>12</v>
      </c>
      <c r="C73" t="s">
        <v>1148</v>
      </c>
      <c r="D73" t="s">
        <v>1149</v>
      </c>
      <c r="E73" t="s">
        <v>535</v>
      </c>
      <c r="F73">
        <f>INDEX(Site_Evaluation!$K:$K,MATCH(C73,Site_Evaluation!$A:$A,0))</f>
        <v>56</v>
      </c>
      <c r="G73">
        <f>COUNTIFS(Risk_Register!B:B,C73,Risk_Register!G:G,"High")</f>
        <v>1</v>
      </c>
      <c r="H73" t="e">
        <f ca="1">IF(_xludf.MAXIFS(Risk_Register!$L:$L,Risk_Register!$B:$B,C73)=3,"High",IF(_xludf.MAXIFS(Risk_Register!$L:$L,Risk_Register!$B:$B,C73)=2,"Medium","Low"))</f>
        <v>#NAME?</v>
      </c>
      <c r="I73" t="str">
        <f>IF(B73&lt;=3,"Preferred site - strong composite profile",IF(B73&lt;=10,"Backup candidate - viable with monitoring","Reserve - evaluate only if primary sites unavailable"))</f>
        <v>Reserve - evaluate only if primary sites unavailable</v>
      </c>
    </row>
    <row r="74" spans="1:9">
      <c r="A74" t="s">
        <v>58</v>
      </c>
      <c r="B74">
        <v>13</v>
      </c>
      <c r="C74" t="s">
        <v>1466</v>
      </c>
      <c r="D74" t="s">
        <v>1467</v>
      </c>
      <c r="E74" t="s">
        <v>556</v>
      </c>
      <c r="F74">
        <f>INDEX(Site_Evaluation!$K:$K,MATCH(C74,Site_Evaluation!$A:$A,0))</f>
        <v>56</v>
      </c>
      <c r="G74">
        <f>COUNTIFS(Risk_Register!B:B,C74,Risk_Register!G:G,"High")</f>
        <v>0</v>
      </c>
      <c r="H74" t="e">
        <f ca="1">IF(_xludf.MAXIFS(Risk_Register!$L:$L,Risk_Register!$B:$B,C74)=3,"High",IF(_xludf.MAXIFS(Risk_Register!$L:$L,Risk_Register!$B:$B,C74)=2,"Medium","Low"))</f>
        <v>#NAME?</v>
      </c>
      <c r="I74" t="str">
        <f>IF(B74&lt;=3,"Preferred site - strong composite profile",IF(B74&lt;=10,"Backup candidate - viable with monitoring","Reserve - evaluate only if primary sites unavailable"))</f>
        <v>Reserve - evaluate only if primary sites unavailable</v>
      </c>
    </row>
    <row r="75" spans="1:9">
      <c r="A75" t="s">
        <v>58</v>
      </c>
      <c r="B75">
        <v>14</v>
      </c>
      <c r="C75" t="s">
        <v>1515</v>
      </c>
      <c r="D75" t="s">
        <v>1516</v>
      </c>
      <c r="E75" t="s">
        <v>564</v>
      </c>
      <c r="F75">
        <f>INDEX(Site_Evaluation!$K:$K,MATCH(C75,Site_Evaluation!$A:$A,0))</f>
        <v>56</v>
      </c>
      <c r="G75">
        <f>COUNTIFS(Risk_Register!B:B,C75,Risk_Register!G:G,"High")</f>
        <v>1</v>
      </c>
      <c r="H75" t="e">
        <f ca="1">IF(_xludf.MAXIFS(Risk_Register!$L:$L,Risk_Register!$B:$B,C75)=3,"High",IF(_xludf.MAXIFS(Risk_Register!$L:$L,Risk_Register!$B:$B,C75)=2,"Medium","Low"))</f>
        <v>#NAME?</v>
      </c>
      <c r="I75" t="str">
        <f>IF(B75&lt;=3,"Preferred site - strong composite profile",IF(B75&lt;=10,"Backup candidate - viable with monitoring","Reserve - evaluate only if primary sites unavailable"))</f>
        <v>Reserve - evaluate only if primary sites unavailable</v>
      </c>
    </row>
    <row r="76" spans="1:9">
      <c r="A76" t="s">
        <v>58</v>
      </c>
      <c r="B76">
        <v>15</v>
      </c>
      <c r="C76" t="s">
        <v>783</v>
      </c>
      <c r="D76" t="s">
        <v>774</v>
      </c>
      <c r="E76" t="s">
        <v>514</v>
      </c>
      <c r="F76">
        <f>INDEX(Site_Evaluation!$K:$K,MATCH(C76,Site_Evaluation!$A:$A,0))</f>
        <v>55</v>
      </c>
      <c r="G76">
        <f>COUNTIFS(Risk_Register!B:B,C76,Risk_Register!G:G,"High")</f>
        <v>0</v>
      </c>
      <c r="H76" t="e">
        <f ca="1">IF(_xludf.MAXIFS(Risk_Register!$L:$L,Risk_Register!$B:$B,C76)=3,"High",IF(_xludf.MAXIFS(Risk_Register!$L:$L,Risk_Register!$B:$B,C76)=2,"Medium","Low"))</f>
        <v>#NAME?</v>
      </c>
      <c r="I76" t="str">
        <f>IF(B76&lt;=3,"Preferred site - strong composite profile",IF(B76&lt;=10,"Backup candidate - viable with monitoring","Reserve - evaluate only if primary sites unavailable"))</f>
        <v>Reserve - evaluate only if primary sites unavailable</v>
      </c>
    </row>
    <row r="77" spans="1:9">
      <c r="A77" t="s">
        <v>58</v>
      </c>
      <c r="B77">
        <v>16</v>
      </c>
      <c r="C77" t="s">
        <v>1275</v>
      </c>
      <c r="D77" t="s">
        <v>1276</v>
      </c>
      <c r="E77" t="s">
        <v>543</v>
      </c>
      <c r="F77">
        <f>INDEX(Site_Evaluation!$K:$K,MATCH(C77,Site_Evaluation!$A:$A,0))</f>
        <v>55</v>
      </c>
      <c r="G77">
        <f>COUNTIFS(Risk_Register!B:B,C77,Risk_Register!G:G,"High")</f>
        <v>2</v>
      </c>
      <c r="H77" t="e">
        <f ca="1">IF(_xludf.MAXIFS(Risk_Register!$L:$L,Risk_Register!$B:$B,C77)=3,"High",IF(_xludf.MAXIFS(Risk_Register!$L:$L,Risk_Register!$B:$B,C77)=2,"Medium","Low"))</f>
        <v>#NAME?</v>
      </c>
      <c r="I77" t="str">
        <f>IF(B77&lt;=3,"Preferred site - strong composite profile",IF(B77&lt;=10,"Backup candidate - viable with monitoring","Reserve - evaluate only if primary sites unavailable"))</f>
        <v>Reserve - evaluate only if primary sites unavailable</v>
      </c>
    </row>
    <row r="78" spans="1:9">
      <c r="A78" t="s">
        <v>58</v>
      </c>
      <c r="B78">
        <v>17</v>
      </c>
      <c r="C78" t="s">
        <v>834</v>
      </c>
      <c r="D78" t="s">
        <v>835</v>
      </c>
      <c r="E78" t="s">
        <v>516</v>
      </c>
      <c r="F78">
        <f>INDEX(Site_Evaluation!$K:$K,MATCH(C78,Site_Evaluation!$A:$A,0))</f>
        <v>53</v>
      </c>
      <c r="G78">
        <f>COUNTIFS(Risk_Register!B:B,C78,Risk_Register!G:G,"High")</f>
        <v>0</v>
      </c>
      <c r="H78" t="e">
        <f ca="1">IF(_xludf.MAXIFS(Risk_Register!$L:$L,Risk_Register!$B:$B,C78)=3,"High",IF(_xludf.MAXIFS(Risk_Register!$L:$L,Risk_Register!$B:$B,C78)=2,"Medium","Low"))</f>
        <v>#NAME?</v>
      </c>
      <c r="I78" t="str">
        <f>IF(B78&lt;=3,"Preferred site - strong composite profile",IF(B78&lt;=10,"Backup candidate - viable with monitoring","Reserve - evaluate only if primary sites unavailable"))</f>
        <v>Reserve - evaluate only if primary sites unavailable</v>
      </c>
    </row>
    <row r="79" spans="1:9">
      <c r="A79" t="s">
        <v>58</v>
      </c>
      <c r="B79">
        <v>18</v>
      </c>
      <c r="C79" t="s">
        <v>1120</v>
      </c>
      <c r="D79" t="s">
        <v>1121</v>
      </c>
      <c r="E79" t="s">
        <v>533</v>
      </c>
      <c r="F79">
        <f>INDEX(Site_Evaluation!$K:$K,MATCH(C79,Site_Evaluation!$A:$A,0))</f>
        <v>53</v>
      </c>
      <c r="G79">
        <f>COUNTIFS(Risk_Register!B:B,C79,Risk_Register!G:G,"High")</f>
        <v>0</v>
      </c>
      <c r="H79" t="e">
        <f ca="1">IF(_xludf.MAXIFS(Risk_Register!$L:$L,Risk_Register!$B:$B,C79)=3,"High",IF(_xludf.MAXIFS(Risk_Register!$L:$L,Risk_Register!$B:$B,C79)=2,"Medium","Low"))</f>
        <v>#NAME?</v>
      </c>
      <c r="I79" t="str">
        <f>IF(B79&lt;=3,"Preferred site - strong composite profile",IF(B79&lt;=10,"Backup candidate - viable with monitoring","Reserve - evaluate only if primary sites unavailable"))</f>
        <v>Reserve - evaluate only if primary sites unavailable</v>
      </c>
    </row>
    <row r="80" spans="1:9">
      <c r="A80" t="s">
        <v>58</v>
      </c>
      <c r="B80">
        <v>19</v>
      </c>
      <c r="C80" t="s">
        <v>1509</v>
      </c>
      <c r="D80" t="s">
        <v>1510</v>
      </c>
      <c r="E80" t="s">
        <v>562</v>
      </c>
      <c r="F80">
        <f>INDEX(Site_Evaluation!$K:$K,MATCH(C80,Site_Evaluation!$A:$A,0))</f>
        <v>52</v>
      </c>
      <c r="G80">
        <f>COUNTIFS(Risk_Register!B:B,C80,Risk_Register!G:G,"High")</f>
        <v>1</v>
      </c>
      <c r="H80" t="e">
        <f ca="1">IF(_xludf.MAXIFS(Risk_Register!$L:$L,Risk_Register!$B:$B,C80)=3,"High",IF(_xludf.MAXIFS(Risk_Register!$L:$L,Risk_Register!$B:$B,C80)=2,"Medium","Low"))</f>
        <v>#NAME?</v>
      </c>
      <c r="I80" t="str">
        <f>IF(B80&lt;=3,"Preferred site - strong composite profile",IF(B80&lt;=10,"Backup candidate - viable with monitoring","Reserve - evaluate only if primary sites unavailable"))</f>
        <v>Reserve - evaluate only if primary sites unavailable</v>
      </c>
    </row>
    <row r="81" spans="1:9">
      <c r="A81" t="s">
        <v>58</v>
      </c>
      <c r="B81">
        <v>20</v>
      </c>
      <c r="C81" t="s">
        <v>809</v>
      </c>
      <c r="D81" t="s">
        <v>810</v>
      </c>
      <c r="E81" t="s">
        <v>516</v>
      </c>
      <c r="F81">
        <f>INDEX(Site_Evaluation!$K:$K,MATCH(C81,Site_Evaluation!$A:$A,0))</f>
        <v>50</v>
      </c>
      <c r="G81">
        <f>COUNTIFS(Risk_Register!B:B,C81,Risk_Register!G:G,"High")</f>
        <v>1</v>
      </c>
      <c r="H81" t="e">
        <f ca="1">IF(_xludf.MAXIFS(Risk_Register!$L:$L,Risk_Register!$B:$B,C81)=3,"High",IF(_xludf.MAXIFS(Risk_Register!$L:$L,Risk_Register!$B:$B,C81)=2,"Medium","Low"))</f>
        <v>#NAME?</v>
      </c>
      <c r="I81" t="str">
        <f>IF(B81&lt;=3,"Preferred site - strong composite profile",IF(B81&lt;=10,"Backup candidate - viable with monitoring","Reserve - evaluate only if primary sites unavailable"))</f>
        <v>Reserve - evaluate only if primary sites unavailable</v>
      </c>
    </row>
    <row r="82" spans="1:9">
      <c r="A82" t="s">
        <v>62</v>
      </c>
      <c r="B82">
        <v>1</v>
      </c>
      <c r="C82" t="s">
        <v>1676</v>
      </c>
      <c r="D82" t="s">
        <v>1677</v>
      </c>
      <c r="E82" t="s">
        <v>578</v>
      </c>
      <c r="F82">
        <f>INDEX(Site_Evaluation!$K:$K,MATCH(C82,Site_Evaluation!$A:$A,0))</f>
        <v>80</v>
      </c>
      <c r="G82">
        <f>COUNTIFS(Risk_Register!B:B,C82,Risk_Register!G:G,"High")</f>
        <v>1</v>
      </c>
      <c r="H82" t="e">
        <f ca="1">IF(_xludf.MAXIFS(Risk_Register!$L:$L,Risk_Register!$B:$B,C82)=3,"High",IF(_xludf.MAXIFS(Risk_Register!$L:$L,Risk_Register!$B:$B,C82)=2,"Medium","Low"))</f>
        <v>#NAME?</v>
      </c>
      <c r="I82" t="str">
        <f>IF(B82&lt;=3,"Preferred site - strong composite profile",IF(B82&lt;=10,"Backup candidate - viable with monitoring","Reserve - evaluate only if primary sites unavailable"))</f>
        <v>Preferred site - strong composite profile</v>
      </c>
    </row>
    <row r="83" spans="1:9">
      <c r="A83" t="s">
        <v>62</v>
      </c>
      <c r="B83">
        <v>2</v>
      </c>
      <c r="C83" t="s">
        <v>896</v>
      </c>
      <c r="D83" t="s">
        <v>897</v>
      </c>
      <c r="E83" t="s">
        <v>518</v>
      </c>
      <c r="F83">
        <f>INDEX(Site_Evaluation!$K:$K,MATCH(C83,Site_Evaluation!$A:$A,0))</f>
        <v>75</v>
      </c>
      <c r="G83">
        <f>COUNTIFS(Risk_Register!B:B,C83,Risk_Register!G:G,"High")</f>
        <v>1</v>
      </c>
      <c r="H83" t="e">
        <f ca="1">IF(_xludf.MAXIFS(Risk_Register!$L:$L,Risk_Register!$B:$B,C83)=3,"High",IF(_xludf.MAXIFS(Risk_Register!$L:$L,Risk_Register!$B:$B,C83)=2,"Medium","Low"))</f>
        <v>#NAME?</v>
      </c>
      <c r="I83" t="str">
        <f>IF(B83&lt;=3,"Preferred site - strong composite profile",IF(B83&lt;=10,"Backup candidate - viable with monitoring","Reserve - evaluate only if primary sites unavailable"))</f>
        <v>Preferred site - strong composite profile</v>
      </c>
    </row>
    <row r="84" spans="1:9">
      <c r="A84" t="s">
        <v>62</v>
      </c>
      <c r="B84">
        <v>3</v>
      </c>
      <c r="C84" t="s">
        <v>954</v>
      </c>
      <c r="D84" t="s">
        <v>955</v>
      </c>
      <c r="E84" t="s">
        <v>522</v>
      </c>
      <c r="F84">
        <f>INDEX(Site_Evaluation!$K:$K,MATCH(C84,Site_Evaluation!$A:$A,0))</f>
        <v>73</v>
      </c>
      <c r="G84">
        <f>COUNTIFS(Risk_Register!B:B,C84,Risk_Register!G:G,"High")</f>
        <v>0</v>
      </c>
      <c r="H84" t="e">
        <f ca="1">IF(_xludf.MAXIFS(Risk_Register!$L:$L,Risk_Register!$B:$B,C84)=3,"High",IF(_xludf.MAXIFS(Risk_Register!$L:$L,Risk_Register!$B:$B,C84)=2,"Medium","Low"))</f>
        <v>#NAME?</v>
      </c>
      <c r="I84" t="str">
        <f>IF(B84&lt;=3,"Preferred site - strong composite profile",IF(B84&lt;=10,"Backup candidate - viable with monitoring","Reserve - evaluate only if primary sites unavailable"))</f>
        <v>Preferred site - strong composite profile</v>
      </c>
    </row>
    <row r="85" spans="1:9">
      <c r="A85" t="s">
        <v>62</v>
      </c>
      <c r="B85">
        <v>4</v>
      </c>
      <c r="C85" t="s">
        <v>1352</v>
      </c>
      <c r="D85" t="s">
        <v>1353</v>
      </c>
      <c r="E85" t="s">
        <v>547</v>
      </c>
      <c r="F85">
        <f>INDEX(Site_Evaluation!$K:$K,MATCH(C85,Site_Evaluation!$A:$A,0))</f>
        <v>70</v>
      </c>
      <c r="G85">
        <f>COUNTIFS(Risk_Register!B:B,C85,Risk_Register!G:G,"High")</f>
        <v>1</v>
      </c>
      <c r="H85" t="e">
        <f ca="1">IF(_xludf.MAXIFS(Risk_Register!$L:$L,Risk_Register!$B:$B,C85)=3,"High",IF(_xludf.MAXIFS(Risk_Register!$L:$L,Risk_Register!$B:$B,C85)=2,"Medium","Low"))</f>
        <v>#NAME?</v>
      </c>
      <c r="I85" t="str">
        <f>IF(B85&lt;=3,"Preferred site - strong composite profile",IF(B85&lt;=10,"Backup candidate - viable with monitoring","Reserve - evaluate only if primary sites unavailable"))</f>
        <v>Backup candidate - viable with monitoring</v>
      </c>
    </row>
    <row r="86" spans="1:9">
      <c r="A86" t="s">
        <v>62</v>
      </c>
      <c r="B86">
        <v>5</v>
      </c>
      <c r="C86" t="s">
        <v>855</v>
      </c>
      <c r="D86" t="s">
        <v>856</v>
      </c>
      <c r="E86" t="s">
        <v>516</v>
      </c>
      <c r="F86">
        <f>INDEX(Site_Evaluation!$K:$K,MATCH(C86,Site_Evaluation!$A:$A,0))</f>
        <v>66</v>
      </c>
      <c r="G86">
        <f>COUNTIFS(Risk_Register!B:B,C86,Risk_Register!G:G,"High")</f>
        <v>0</v>
      </c>
      <c r="H86" t="e">
        <f ca="1">IF(_xludf.MAXIFS(Risk_Register!$L:$L,Risk_Register!$B:$B,C86)=3,"High",IF(_xludf.MAXIFS(Risk_Register!$L:$L,Risk_Register!$B:$B,C86)=2,"Medium","Low"))</f>
        <v>#NAME?</v>
      </c>
      <c r="I86" t="str">
        <f>IF(B86&lt;=3,"Preferred site - strong composite profile",IF(B86&lt;=10,"Backup candidate - viable with monitoring","Reserve - evaluate only if primary sites unavailable"))</f>
        <v>Backup candidate - viable with monitoring</v>
      </c>
    </row>
    <row r="87" spans="1:9">
      <c r="A87" t="s">
        <v>62</v>
      </c>
      <c r="B87">
        <v>6</v>
      </c>
      <c r="C87" t="s">
        <v>674</v>
      </c>
      <c r="D87" t="s">
        <v>675</v>
      </c>
      <c r="E87" t="s">
        <v>509</v>
      </c>
      <c r="F87">
        <f>INDEX(Site_Evaluation!$K:$K,MATCH(C87,Site_Evaluation!$A:$A,0))</f>
        <v>62</v>
      </c>
      <c r="G87">
        <f>COUNTIFS(Risk_Register!B:B,C87,Risk_Register!G:G,"High")</f>
        <v>1</v>
      </c>
      <c r="H87" t="e">
        <f ca="1">IF(_xludf.MAXIFS(Risk_Register!$L:$L,Risk_Register!$B:$B,C87)=3,"High",IF(_xludf.MAXIFS(Risk_Register!$L:$L,Risk_Register!$B:$B,C87)=2,"Medium","Low"))</f>
        <v>#NAME?</v>
      </c>
      <c r="I87" t="str">
        <f>IF(B87&lt;=3,"Preferred site - strong composite profile",IF(B87&lt;=10,"Backup candidate - viable with monitoring","Reserve - evaluate only if primary sites unavailable"))</f>
        <v>Backup candidate - viable with monitoring</v>
      </c>
    </row>
    <row r="88" spans="1:9">
      <c r="A88" t="s">
        <v>62</v>
      </c>
      <c r="B88">
        <v>7</v>
      </c>
      <c r="C88" t="s">
        <v>946</v>
      </c>
      <c r="D88" t="s">
        <v>936</v>
      </c>
      <c r="E88" t="s">
        <v>522</v>
      </c>
      <c r="F88">
        <f>INDEX(Site_Evaluation!$K:$K,MATCH(C88,Site_Evaluation!$A:$A,0))</f>
        <v>58</v>
      </c>
      <c r="G88">
        <f>COUNTIFS(Risk_Register!B:B,C88,Risk_Register!G:G,"High")</f>
        <v>1</v>
      </c>
      <c r="H88" t="e">
        <f ca="1">IF(_xludf.MAXIFS(Risk_Register!$L:$L,Risk_Register!$B:$B,C88)=3,"High",IF(_xludf.MAXIFS(Risk_Register!$L:$L,Risk_Register!$B:$B,C88)=2,"Medium","Low"))</f>
        <v>#NAME?</v>
      </c>
      <c r="I88" t="str">
        <f>IF(B88&lt;=3,"Preferred site - strong composite profile",IF(B88&lt;=10,"Backup candidate - viable with monitoring","Reserve - evaluate only if primary sites unavailable"))</f>
        <v>Backup candidate - viable with monitoring</v>
      </c>
    </row>
    <row r="89" spans="1:9">
      <c r="A89" t="s">
        <v>62</v>
      </c>
      <c r="B89">
        <v>8</v>
      </c>
      <c r="C89" t="s">
        <v>1429</v>
      </c>
      <c r="D89" t="s">
        <v>1430</v>
      </c>
      <c r="E89" t="s">
        <v>554</v>
      </c>
      <c r="F89">
        <f>INDEX(Site_Evaluation!$K:$K,MATCH(C89,Site_Evaluation!$A:$A,0))</f>
        <v>58</v>
      </c>
      <c r="G89">
        <f>COUNTIFS(Risk_Register!B:B,C89,Risk_Register!G:G,"High")</f>
        <v>0</v>
      </c>
      <c r="H89" t="e">
        <f ca="1">IF(_xludf.MAXIFS(Risk_Register!$L:$L,Risk_Register!$B:$B,C89)=3,"High",IF(_xludf.MAXIFS(Risk_Register!$L:$L,Risk_Register!$B:$B,C89)=2,"Medium","Low"))</f>
        <v>#NAME?</v>
      </c>
      <c r="I89" t="str">
        <f>IF(B89&lt;=3,"Preferred site - strong composite profile",IF(B89&lt;=10,"Backup candidate - viable with monitoring","Reserve - evaluate only if primary sites unavailable"))</f>
        <v>Backup candidate - viable with monitoring</v>
      </c>
    </row>
    <row r="90" spans="1:9">
      <c r="A90" t="s">
        <v>62</v>
      </c>
      <c r="B90">
        <v>9</v>
      </c>
      <c r="C90" t="s">
        <v>1853</v>
      </c>
      <c r="D90" t="s">
        <v>1854</v>
      </c>
      <c r="E90" t="s">
        <v>596</v>
      </c>
      <c r="F90">
        <f>INDEX(Site_Evaluation!$K:$K,MATCH(C90,Site_Evaluation!$A:$A,0))</f>
        <v>58</v>
      </c>
      <c r="G90">
        <f>COUNTIFS(Risk_Register!B:B,C90,Risk_Register!G:G,"High")</f>
        <v>2</v>
      </c>
      <c r="H90" t="e">
        <f ca="1">IF(_xludf.MAXIFS(Risk_Register!$L:$L,Risk_Register!$B:$B,C90)=3,"High",IF(_xludf.MAXIFS(Risk_Register!$L:$L,Risk_Register!$B:$B,C90)=2,"Medium","Low"))</f>
        <v>#NAME?</v>
      </c>
      <c r="I90" t="str">
        <f>IF(B90&lt;=3,"Preferred site - strong composite profile",IF(B90&lt;=10,"Backup candidate - viable with monitoring","Reserve - evaluate only if primary sites unavailable"))</f>
        <v>Backup candidate - viable with monitoring</v>
      </c>
    </row>
    <row r="91" spans="1:9">
      <c r="A91" t="s">
        <v>62</v>
      </c>
      <c r="B91">
        <v>10</v>
      </c>
      <c r="C91" t="s">
        <v>1728</v>
      </c>
      <c r="D91" t="s">
        <v>1729</v>
      </c>
      <c r="E91" t="s">
        <v>582</v>
      </c>
      <c r="F91">
        <f>INDEX(Site_Evaluation!$K:$K,MATCH(C91,Site_Evaluation!$A:$A,0))</f>
        <v>57</v>
      </c>
      <c r="G91">
        <f>COUNTIFS(Risk_Register!B:B,C91,Risk_Register!G:G,"High")</f>
        <v>2</v>
      </c>
      <c r="H91" t="e">
        <f ca="1">IF(_xludf.MAXIFS(Risk_Register!$L:$L,Risk_Register!$B:$B,C91)=3,"High",IF(_xludf.MAXIFS(Risk_Register!$L:$L,Risk_Register!$B:$B,C91)=2,"Medium","Low"))</f>
        <v>#NAME?</v>
      </c>
      <c r="I91" t="str">
        <f>IF(B91&lt;=3,"Preferred site - strong composite profile",IF(B91&lt;=10,"Backup candidate - viable with monitoring","Reserve - evaluate only if primary sites unavailable"))</f>
        <v>Backup candidate - viable with monitoring</v>
      </c>
    </row>
    <row r="92" spans="1:9">
      <c r="A92" t="s">
        <v>62</v>
      </c>
      <c r="B92">
        <v>11</v>
      </c>
      <c r="C92" t="s">
        <v>970</v>
      </c>
      <c r="D92" t="s">
        <v>971</v>
      </c>
      <c r="E92" t="s">
        <v>524</v>
      </c>
      <c r="F92">
        <f>INDEX(Site_Evaluation!$K:$K,MATCH(C92,Site_Evaluation!$A:$A,0))</f>
        <v>56</v>
      </c>
      <c r="G92">
        <f>COUNTIFS(Risk_Register!B:B,C92,Risk_Register!G:G,"High")</f>
        <v>1</v>
      </c>
      <c r="H92" t="e">
        <f ca="1">IF(_xludf.MAXIFS(Risk_Register!$L:$L,Risk_Register!$B:$B,C92)=3,"High",IF(_xludf.MAXIFS(Risk_Register!$L:$L,Risk_Register!$B:$B,C92)=2,"Medium","Low"))</f>
        <v>#NAME?</v>
      </c>
      <c r="I92" t="str">
        <f>IF(B92&lt;=3,"Preferred site - strong composite profile",IF(B92&lt;=10,"Backup candidate - viable with monitoring","Reserve - evaluate only if primary sites unavailable"))</f>
        <v>Reserve - evaluate only if primary sites unavailable</v>
      </c>
    </row>
    <row r="93" spans="1:9">
      <c r="A93" t="s">
        <v>62</v>
      </c>
      <c r="B93">
        <v>12</v>
      </c>
      <c r="C93" t="s">
        <v>1148</v>
      </c>
      <c r="D93" t="s">
        <v>1149</v>
      </c>
      <c r="E93" t="s">
        <v>535</v>
      </c>
      <c r="F93">
        <f>INDEX(Site_Evaluation!$K:$K,MATCH(C93,Site_Evaluation!$A:$A,0))</f>
        <v>56</v>
      </c>
      <c r="G93">
        <f>COUNTIFS(Risk_Register!B:B,C93,Risk_Register!G:G,"High")</f>
        <v>1</v>
      </c>
      <c r="H93" t="e">
        <f ca="1">IF(_xludf.MAXIFS(Risk_Register!$L:$L,Risk_Register!$B:$B,C93)=3,"High",IF(_xludf.MAXIFS(Risk_Register!$L:$L,Risk_Register!$B:$B,C93)=2,"Medium","Low"))</f>
        <v>#NAME?</v>
      </c>
      <c r="I93" t="str">
        <f>IF(B93&lt;=3,"Preferred site - strong composite profile",IF(B93&lt;=10,"Backup candidate - viable with monitoring","Reserve - evaluate only if primary sites unavailable"))</f>
        <v>Reserve - evaluate only if primary sites unavailable</v>
      </c>
    </row>
    <row r="94" spans="1:9">
      <c r="A94" t="s">
        <v>62</v>
      </c>
      <c r="B94">
        <v>13</v>
      </c>
      <c r="C94" t="s">
        <v>1466</v>
      </c>
      <c r="D94" t="s">
        <v>1467</v>
      </c>
      <c r="E94" t="s">
        <v>556</v>
      </c>
      <c r="F94">
        <f>INDEX(Site_Evaluation!$K:$K,MATCH(C94,Site_Evaluation!$A:$A,0))</f>
        <v>56</v>
      </c>
      <c r="G94">
        <f>COUNTIFS(Risk_Register!B:B,C94,Risk_Register!G:G,"High")</f>
        <v>0</v>
      </c>
      <c r="H94" t="e">
        <f ca="1">IF(_xludf.MAXIFS(Risk_Register!$L:$L,Risk_Register!$B:$B,C94)=3,"High",IF(_xludf.MAXIFS(Risk_Register!$L:$L,Risk_Register!$B:$B,C94)=2,"Medium","Low"))</f>
        <v>#NAME?</v>
      </c>
      <c r="I94" t="str">
        <f>IF(B94&lt;=3,"Preferred site - strong composite profile",IF(B94&lt;=10,"Backup candidate - viable with monitoring","Reserve - evaluate only if primary sites unavailable"))</f>
        <v>Reserve - evaluate only if primary sites unavailable</v>
      </c>
    </row>
    <row r="95" spans="1:9">
      <c r="A95" t="s">
        <v>62</v>
      </c>
      <c r="B95">
        <v>14</v>
      </c>
      <c r="C95" t="s">
        <v>1515</v>
      </c>
      <c r="D95" t="s">
        <v>1516</v>
      </c>
      <c r="E95" t="s">
        <v>564</v>
      </c>
      <c r="F95">
        <f>INDEX(Site_Evaluation!$K:$K,MATCH(C95,Site_Evaluation!$A:$A,0))</f>
        <v>56</v>
      </c>
      <c r="G95">
        <f>COUNTIFS(Risk_Register!B:B,C95,Risk_Register!G:G,"High")</f>
        <v>1</v>
      </c>
      <c r="H95" t="e">
        <f ca="1">IF(_xludf.MAXIFS(Risk_Register!$L:$L,Risk_Register!$B:$B,C95)=3,"High",IF(_xludf.MAXIFS(Risk_Register!$L:$L,Risk_Register!$B:$B,C95)=2,"Medium","Low"))</f>
        <v>#NAME?</v>
      </c>
      <c r="I95" t="str">
        <f>IF(B95&lt;=3,"Preferred site - strong composite profile",IF(B95&lt;=10,"Backup candidate - viable with monitoring","Reserve - evaluate only if primary sites unavailable"))</f>
        <v>Reserve - evaluate only if primary sites unavailable</v>
      </c>
    </row>
    <row r="96" spans="1:9">
      <c r="A96" t="s">
        <v>62</v>
      </c>
      <c r="B96">
        <v>15</v>
      </c>
      <c r="C96" t="s">
        <v>783</v>
      </c>
      <c r="D96" t="s">
        <v>774</v>
      </c>
      <c r="E96" t="s">
        <v>514</v>
      </c>
      <c r="F96">
        <f>INDEX(Site_Evaluation!$K:$K,MATCH(C96,Site_Evaluation!$A:$A,0))</f>
        <v>55</v>
      </c>
      <c r="G96">
        <f>COUNTIFS(Risk_Register!B:B,C96,Risk_Register!G:G,"High")</f>
        <v>0</v>
      </c>
      <c r="H96" t="e">
        <f ca="1">IF(_xludf.MAXIFS(Risk_Register!$L:$L,Risk_Register!$B:$B,C96)=3,"High",IF(_xludf.MAXIFS(Risk_Register!$L:$L,Risk_Register!$B:$B,C96)=2,"Medium","Low"))</f>
        <v>#NAME?</v>
      </c>
      <c r="I96" t="str">
        <f>IF(B96&lt;=3,"Preferred site - strong composite profile",IF(B96&lt;=10,"Backup candidate - viable with monitoring","Reserve - evaluate only if primary sites unavailable"))</f>
        <v>Reserve - evaluate only if primary sites unavailable</v>
      </c>
    </row>
    <row r="97" spans="1:9">
      <c r="A97" t="s">
        <v>62</v>
      </c>
      <c r="B97">
        <v>16</v>
      </c>
      <c r="C97" t="s">
        <v>1275</v>
      </c>
      <c r="D97" t="s">
        <v>1276</v>
      </c>
      <c r="E97" t="s">
        <v>543</v>
      </c>
      <c r="F97">
        <f>INDEX(Site_Evaluation!$K:$K,MATCH(C97,Site_Evaluation!$A:$A,0))</f>
        <v>55</v>
      </c>
      <c r="G97">
        <f>COUNTIFS(Risk_Register!B:B,C97,Risk_Register!G:G,"High")</f>
        <v>2</v>
      </c>
      <c r="H97" t="e">
        <f ca="1">IF(_xludf.MAXIFS(Risk_Register!$L:$L,Risk_Register!$B:$B,C97)=3,"High",IF(_xludf.MAXIFS(Risk_Register!$L:$L,Risk_Register!$B:$B,C97)=2,"Medium","Low"))</f>
        <v>#NAME?</v>
      </c>
      <c r="I97" t="str">
        <f>IF(B97&lt;=3,"Preferred site - strong composite profile",IF(B97&lt;=10,"Backup candidate - viable with monitoring","Reserve - evaluate only if primary sites unavailable"))</f>
        <v>Reserve - evaluate only if primary sites unavailable</v>
      </c>
    </row>
    <row r="98" spans="1:9">
      <c r="A98" t="s">
        <v>62</v>
      </c>
      <c r="B98">
        <v>17</v>
      </c>
      <c r="C98" t="s">
        <v>834</v>
      </c>
      <c r="D98" t="s">
        <v>835</v>
      </c>
      <c r="E98" t="s">
        <v>516</v>
      </c>
      <c r="F98">
        <f>INDEX(Site_Evaluation!$K:$K,MATCH(C98,Site_Evaluation!$A:$A,0))</f>
        <v>53</v>
      </c>
      <c r="G98">
        <f>COUNTIFS(Risk_Register!B:B,C98,Risk_Register!G:G,"High")</f>
        <v>0</v>
      </c>
      <c r="H98" t="e">
        <f ca="1">IF(_xludf.MAXIFS(Risk_Register!$L:$L,Risk_Register!$B:$B,C98)=3,"High",IF(_xludf.MAXIFS(Risk_Register!$L:$L,Risk_Register!$B:$B,C98)=2,"Medium","Low"))</f>
        <v>#NAME?</v>
      </c>
      <c r="I98" t="str">
        <f>IF(B98&lt;=3,"Preferred site - strong composite profile",IF(B98&lt;=10,"Backup candidate - viable with monitoring","Reserve - evaluate only if primary sites unavailable"))</f>
        <v>Reserve - evaluate only if primary sites unavailable</v>
      </c>
    </row>
    <row r="99" spans="1:9">
      <c r="A99" t="s">
        <v>62</v>
      </c>
      <c r="B99">
        <v>18</v>
      </c>
      <c r="C99" t="s">
        <v>1120</v>
      </c>
      <c r="D99" t="s">
        <v>1121</v>
      </c>
      <c r="E99" t="s">
        <v>533</v>
      </c>
      <c r="F99">
        <f>INDEX(Site_Evaluation!$K:$K,MATCH(C99,Site_Evaluation!$A:$A,0))</f>
        <v>53</v>
      </c>
      <c r="G99">
        <f>COUNTIFS(Risk_Register!B:B,C99,Risk_Register!G:G,"High")</f>
        <v>0</v>
      </c>
      <c r="H99" t="e">
        <f ca="1">IF(_xludf.MAXIFS(Risk_Register!$L:$L,Risk_Register!$B:$B,C99)=3,"High",IF(_xludf.MAXIFS(Risk_Register!$L:$L,Risk_Register!$B:$B,C99)=2,"Medium","Low"))</f>
        <v>#NAME?</v>
      </c>
      <c r="I99" t="str">
        <f>IF(B99&lt;=3,"Preferred site - strong composite profile",IF(B99&lt;=10,"Backup candidate - viable with monitoring","Reserve - evaluate only if primary sites unavailable"))</f>
        <v>Reserve - evaluate only if primary sites unavailable</v>
      </c>
    </row>
    <row r="100" spans="1:9">
      <c r="A100" t="s">
        <v>62</v>
      </c>
      <c r="B100">
        <v>19</v>
      </c>
      <c r="C100" t="s">
        <v>1509</v>
      </c>
      <c r="D100" t="s">
        <v>1510</v>
      </c>
      <c r="E100" t="s">
        <v>562</v>
      </c>
      <c r="F100">
        <f>INDEX(Site_Evaluation!$K:$K,MATCH(C100,Site_Evaluation!$A:$A,0))</f>
        <v>52</v>
      </c>
      <c r="G100">
        <f>COUNTIFS(Risk_Register!B:B,C100,Risk_Register!G:G,"High")</f>
        <v>1</v>
      </c>
      <c r="H100" t="e">
        <f ca="1">IF(_xludf.MAXIFS(Risk_Register!$L:$L,Risk_Register!$B:$B,C100)=3,"High",IF(_xludf.MAXIFS(Risk_Register!$L:$L,Risk_Register!$B:$B,C100)=2,"Medium","Low"))</f>
        <v>#NAME?</v>
      </c>
      <c r="I100" t="str">
        <f>IF(B100&lt;=3,"Preferred site - strong composite profile",IF(B100&lt;=10,"Backup candidate - viable with monitoring","Reserve - evaluate only if primary sites unavailable"))</f>
        <v>Reserve - evaluate only if primary sites unavailable</v>
      </c>
    </row>
    <row r="101" spans="1:9">
      <c r="A101" t="s">
        <v>62</v>
      </c>
      <c r="B101">
        <v>20</v>
      </c>
      <c r="C101" t="s">
        <v>809</v>
      </c>
      <c r="D101" t="s">
        <v>810</v>
      </c>
      <c r="E101" t="s">
        <v>516</v>
      </c>
      <c r="F101">
        <f>INDEX(Site_Evaluation!$K:$K,MATCH(C101,Site_Evaluation!$A:$A,0))</f>
        <v>50</v>
      </c>
      <c r="G101">
        <f>COUNTIFS(Risk_Register!B:B,C101,Risk_Register!G:G,"High")</f>
        <v>1</v>
      </c>
      <c r="H101" t="e">
        <f ca="1">IF(_xludf.MAXIFS(Risk_Register!$L:$L,Risk_Register!$B:$B,C101)=3,"High",IF(_xludf.MAXIFS(Risk_Register!$L:$L,Risk_Register!$B:$B,C101)=2,"Medium","Low"))</f>
        <v>#NAME?</v>
      </c>
      <c r="I101" t="str">
        <f>IF(B101&lt;=3,"Preferred site - strong composite profile",IF(B101&lt;=10,"Backup candidate - viable with monitoring","Reserve - evaluate only if primary sites unavailable"))</f>
        <v>Reserve - evaluate only if primary sites unavailable</v>
      </c>
    </row>
    <row r="102" spans="1:9">
      <c r="A102" t="s">
        <v>66</v>
      </c>
      <c r="B102">
        <v>1</v>
      </c>
      <c r="C102" t="s">
        <v>1676</v>
      </c>
      <c r="D102" t="s">
        <v>1677</v>
      </c>
      <c r="E102" t="s">
        <v>578</v>
      </c>
      <c r="F102">
        <f>INDEX(Site_Evaluation!$K:$K,MATCH(C102,Site_Evaluation!$A:$A,0))</f>
        <v>80</v>
      </c>
      <c r="G102">
        <f>COUNTIFS(Risk_Register!B:B,C102,Risk_Register!G:G,"High")</f>
        <v>1</v>
      </c>
      <c r="H102" t="e">
        <f ca="1">IF(_xludf.MAXIFS(Risk_Register!$L:$L,Risk_Register!$B:$B,C102)=3,"High",IF(_xludf.MAXIFS(Risk_Register!$L:$L,Risk_Register!$B:$B,C102)=2,"Medium","Low"))</f>
        <v>#NAME?</v>
      </c>
      <c r="I102" t="str">
        <f>IF(B102&lt;=3,"Preferred site - strong composite profile",IF(B102&lt;=10,"Backup candidate - viable with monitoring","Reserve - evaluate only if primary sites unavailable"))</f>
        <v>Preferred site - strong composite profile</v>
      </c>
    </row>
    <row r="103" spans="1:9">
      <c r="A103" t="s">
        <v>66</v>
      </c>
      <c r="B103">
        <v>2</v>
      </c>
      <c r="C103" t="s">
        <v>896</v>
      </c>
      <c r="D103" t="s">
        <v>897</v>
      </c>
      <c r="E103" t="s">
        <v>518</v>
      </c>
      <c r="F103">
        <f>INDEX(Site_Evaluation!$K:$K,MATCH(C103,Site_Evaluation!$A:$A,0))</f>
        <v>75</v>
      </c>
      <c r="G103">
        <f>COUNTIFS(Risk_Register!B:B,C103,Risk_Register!G:G,"High")</f>
        <v>1</v>
      </c>
      <c r="H103" t="e">
        <f ca="1">IF(_xludf.MAXIFS(Risk_Register!$L:$L,Risk_Register!$B:$B,C103)=3,"High",IF(_xludf.MAXIFS(Risk_Register!$L:$L,Risk_Register!$B:$B,C103)=2,"Medium","Low"))</f>
        <v>#NAME?</v>
      </c>
      <c r="I103" t="str">
        <f>IF(B103&lt;=3,"Preferred site - strong composite profile",IF(B103&lt;=10,"Backup candidate - viable with monitoring","Reserve - evaluate only if primary sites unavailable"))</f>
        <v>Preferred site - strong composite profile</v>
      </c>
    </row>
    <row r="104" spans="1:9">
      <c r="A104" t="s">
        <v>66</v>
      </c>
      <c r="B104">
        <v>3</v>
      </c>
      <c r="C104" t="s">
        <v>954</v>
      </c>
      <c r="D104" t="s">
        <v>955</v>
      </c>
      <c r="E104" t="s">
        <v>522</v>
      </c>
      <c r="F104">
        <f>INDEX(Site_Evaluation!$K:$K,MATCH(C104,Site_Evaluation!$A:$A,0))</f>
        <v>73</v>
      </c>
      <c r="G104">
        <f>COUNTIFS(Risk_Register!B:B,C104,Risk_Register!G:G,"High")</f>
        <v>0</v>
      </c>
      <c r="H104" t="e">
        <f ca="1">IF(_xludf.MAXIFS(Risk_Register!$L:$L,Risk_Register!$B:$B,C104)=3,"High",IF(_xludf.MAXIFS(Risk_Register!$L:$L,Risk_Register!$B:$B,C104)=2,"Medium","Low"))</f>
        <v>#NAME?</v>
      </c>
      <c r="I104" t="str">
        <f>IF(B104&lt;=3,"Preferred site - strong composite profile",IF(B104&lt;=10,"Backup candidate - viable with monitoring","Reserve - evaluate only if primary sites unavailable"))</f>
        <v>Preferred site - strong composite profile</v>
      </c>
    </row>
    <row r="105" spans="1:9">
      <c r="A105" t="s">
        <v>66</v>
      </c>
      <c r="B105">
        <v>4</v>
      </c>
      <c r="C105" t="s">
        <v>1352</v>
      </c>
      <c r="D105" t="s">
        <v>1353</v>
      </c>
      <c r="E105" t="s">
        <v>547</v>
      </c>
      <c r="F105">
        <f>INDEX(Site_Evaluation!$K:$K,MATCH(C105,Site_Evaluation!$A:$A,0))</f>
        <v>70</v>
      </c>
      <c r="G105">
        <f>COUNTIFS(Risk_Register!B:B,C105,Risk_Register!G:G,"High")</f>
        <v>1</v>
      </c>
      <c r="H105" t="e">
        <f ca="1">IF(_xludf.MAXIFS(Risk_Register!$L:$L,Risk_Register!$B:$B,C105)=3,"High",IF(_xludf.MAXIFS(Risk_Register!$L:$L,Risk_Register!$B:$B,C105)=2,"Medium","Low"))</f>
        <v>#NAME?</v>
      </c>
      <c r="I105" t="str">
        <f>IF(B105&lt;=3,"Preferred site - strong composite profile",IF(B105&lt;=10,"Backup candidate - viable with monitoring","Reserve - evaluate only if primary sites unavailable"))</f>
        <v>Backup candidate - viable with monitoring</v>
      </c>
    </row>
    <row r="106" spans="1:9">
      <c r="A106" t="s">
        <v>66</v>
      </c>
      <c r="B106">
        <v>5</v>
      </c>
      <c r="C106" t="s">
        <v>855</v>
      </c>
      <c r="D106" t="s">
        <v>856</v>
      </c>
      <c r="E106" t="s">
        <v>516</v>
      </c>
      <c r="F106">
        <f>INDEX(Site_Evaluation!$K:$K,MATCH(C106,Site_Evaluation!$A:$A,0))</f>
        <v>66</v>
      </c>
      <c r="G106">
        <f>COUNTIFS(Risk_Register!B:B,C106,Risk_Register!G:G,"High")</f>
        <v>0</v>
      </c>
      <c r="H106" t="e">
        <f ca="1">IF(_xludf.MAXIFS(Risk_Register!$L:$L,Risk_Register!$B:$B,C106)=3,"High",IF(_xludf.MAXIFS(Risk_Register!$L:$L,Risk_Register!$B:$B,C106)=2,"Medium","Low"))</f>
        <v>#NAME?</v>
      </c>
      <c r="I106" t="str">
        <f>IF(B106&lt;=3,"Preferred site - strong composite profile",IF(B106&lt;=10,"Backup candidate - viable with monitoring","Reserve - evaluate only if primary sites unavailable"))</f>
        <v>Backup candidate - viable with monitoring</v>
      </c>
    </row>
    <row r="107" spans="1:9">
      <c r="A107" t="s">
        <v>66</v>
      </c>
      <c r="B107">
        <v>6</v>
      </c>
      <c r="C107" t="s">
        <v>674</v>
      </c>
      <c r="D107" t="s">
        <v>675</v>
      </c>
      <c r="E107" t="s">
        <v>509</v>
      </c>
      <c r="F107">
        <f>INDEX(Site_Evaluation!$K:$K,MATCH(C107,Site_Evaluation!$A:$A,0))</f>
        <v>62</v>
      </c>
      <c r="G107">
        <f>COUNTIFS(Risk_Register!B:B,C107,Risk_Register!G:G,"High")</f>
        <v>1</v>
      </c>
      <c r="H107" t="e">
        <f ca="1">IF(_xludf.MAXIFS(Risk_Register!$L:$L,Risk_Register!$B:$B,C107)=3,"High",IF(_xludf.MAXIFS(Risk_Register!$L:$L,Risk_Register!$B:$B,C107)=2,"Medium","Low"))</f>
        <v>#NAME?</v>
      </c>
      <c r="I107" t="str">
        <f>IF(B107&lt;=3,"Preferred site - strong composite profile",IF(B107&lt;=10,"Backup candidate - viable with monitoring","Reserve - evaluate only if primary sites unavailable"))</f>
        <v>Backup candidate - viable with monitoring</v>
      </c>
    </row>
    <row r="108" spans="1:9">
      <c r="A108" t="s">
        <v>66</v>
      </c>
      <c r="B108">
        <v>7</v>
      </c>
      <c r="C108" t="s">
        <v>946</v>
      </c>
      <c r="D108" t="s">
        <v>936</v>
      </c>
      <c r="E108" t="s">
        <v>522</v>
      </c>
      <c r="F108">
        <f>INDEX(Site_Evaluation!$K:$K,MATCH(C108,Site_Evaluation!$A:$A,0))</f>
        <v>58</v>
      </c>
      <c r="G108">
        <f>COUNTIFS(Risk_Register!B:B,C108,Risk_Register!G:G,"High")</f>
        <v>1</v>
      </c>
      <c r="H108" t="e">
        <f ca="1">IF(_xludf.MAXIFS(Risk_Register!$L:$L,Risk_Register!$B:$B,C108)=3,"High",IF(_xludf.MAXIFS(Risk_Register!$L:$L,Risk_Register!$B:$B,C108)=2,"Medium","Low"))</f>
        <v>#NAME?</v>
      </c>
      <c r="I108" t="str">
        <f>IF(B108&lt;=3,"Preferred site - strong composite profile",IF(B108&lt;=10,"Backup candidate - viable with monitoring","Reserve - evaluate only if primary sites unavailable"))</f>
        <v>Backup candidate - viable with monitoring</v>
      </c>
    </row>
    <row r="109" spans="1:9">
      <c r="A109" t="s">
        <v>66</v>
      </c>
      <c r="B109">
        <v>8</v>
      </c>
      <c r="C109" t="s">
        <v>1429</v>
      </c>
      <c r="D109" t="s">
        <v>1430</v>
      </c>
      <c r="E109" t="s">
        <v>554</v>
      </c>
      <c r="F109">
        <f>INDEX(Site_Evaluation!$K:$K,MATCH(C109,Site_Evaluation!$A:$A,0))</f>
        <v>58</v>
      </c>
      <c r="G109">
        <f>COUNTIFS(Risk_Register!B:B,C109,Risk_Register!G:G,"High")</f>
        <v>0</v>
      </c>
      <c r="H109" t="e">
        <f ca="1">IF(_xludf.MAXIFS(Risk_Register!$L:$L,Risk_Register!$B:$B,C109)=3,"High",IF(_xludf.MAXIFS(Risk_Register!$L:$L,Risk_Register!$B:$B,C109)=2,"Medium","Low"))</f>
        <v>#NAME?</v>
      </c>
      <c r="I109" t="str">
        <f>IF(B109&lt;=3,"Preferred site - strong composite profile",IF(B109&lt;=10,"Backup candidate - viable with monitoring","Reserve - evaluate only if primary sites unavailable"))</f>
        <v>Backup candidate - viable with monitoring</v>
      </c>
    </row>
    <row r="110" spans="1:9">
      <c r="A110" t="s">
        <v>66</v>
      </c>
      <c r="B110">
        <v>9</v>
      </c>
      <c r="C110" t="s">
        <v>1853</v>
      </c>
      <c r="D110" t="s">
        <v>1854</v>
      </c>
      <c r="E110" t="s">
        <v>596</v>
      </c>
      <c r="F110">
        <f>INDEX(Site_Evaluation!$K:$K,MATCH(C110,Site_Evaluation!$A:$A,0))</f>
        <v>58</v>
      </c>
      <c r="G110">
        <f>COUNTIFS(Risk_Register!B:B,C110,Risk_Register!G:G,"High")</f>
        <v>2</v>
      </c>
      <c r="H110" t="e">
        <f ca="1">IF(_xludf.MAXIFS(Risk_Register!$L:$L,Risk_Register!$B:$B,C110)=3,"High",IF(_xludf.MAXIFS(Risk_Register!$L:$L,Risk_Register!$B:$B,C110)=2,"Medium","Low"))</f>
        <v>#NAME?</v>
      </c>
      <c r="I110" t="str">
        <f>IF(B110&lt;=3,"Preferred site - strong composite profile",IF(B110&lt;=10,"Backup candidate - viable with monitoring","Reserve - evaluate only if primary sites unavailable"))</f>
        <v>Backup candidate - viable with monitoring</v>
      </c>
    </row>
    <row r="111" spans="1:9">
      <c r="A111" t="s">
        <v>66</v>
      </c>
      <c r="B111">
        <v>10</v>
      </c>
      <c r="C111" t="s">
        <v>1728</v>
      </c>
      <c r="D111" t="s">
        <v>1729</v>
      </c>
      <c r="E111" t="s">
        <v>582</v>
      </c>
      <c r="F111">
        <f>INDEX(Site_Evaluation!$K:$K,MATCH(C111,Site_Evaluation!$A:$A,0))</f>
        <v>57</v>
      </c>
      <c r="G111">
        <f>COUNTIFS(Risk_Register!B:B,C111,Risk_Register!G:G,"High")</f>
        <v>2</v>
      </c>
      <c r="H111" t="e">
        <f ca="1">IF(_xludf.MAXIFS(Risk_Register!$L:$L,Risk_Register!$B:$B,C111)=3,"High",IF(_xludf.MAXIFS(Risk_Register!$L:$L,Risk_Register!$B:$B,C111)=2,"Medium","Low"))</f>
        <v>#NAME?</v>
      </c>
      <c r="I111" t="str">
        <f>IF(B111&lt;=3,"Preferred site - strong composite profile",IF(B111&lt;=10,"Backup candidate - viable with monitoring","Reserve - evaluate only if primary sites unavailable"))</f>
        <v>Backup candidate - viable with monitoring</v>
      </c>
    </row>
    <row r="112" spans="1:9">
      <c r="A112" t="s">
        <v>66</v>
      </c>
      <c r="B112">
        <v>11</v>
      </c>
      <c r="C112" t="s">
        <v>970</v>
      </c>
      <c r="D112" t="s">
        <v>971</v>
      </c>
      <c r="E112" t="s">
        <v>524</v>
      </c>
      <c r="F112">
        <f>INDEX(Site_Evaluation!$K:$K,MATCH(C112,Site_Evaluation!$A:$A,0))</f>
        <v>56</v>
      </c>
      <c r="G112">
        <f>COUNTIFS(Risk_Register!B:B,C112,Risk_Register!G:G,"High")</f>
        <v>1</v>
      </c>
      <c r="H112" t="e">
        <f ca="1">IF(_xludf.MAXIFS(Risk_Register!$L:$L,Risk_Register!$B:$B,C112)=3,"High",IF(_xludf.MAXIFS(Risk_Register!$L:$L,Risk_Register!$B:$B,C112)=2,"Medium","Low"))</f>
        <v>#NAME?</v>
      </c>
      <c r="I112" t="str">
        <f>IF(B112&lt;=3,"Preferred site - strong composite profile",IF(B112&lt;=10,"Backup candidate - viable with monitoring","Reserve - evaluate only if primary sites unavailable"))</f>
        <v>Reserve - evaluate only if primary sites unavailable</v>
      </c>
    </row>
    <row r="113" spans="1:9">
      <c r="A113" t="s">
        <v>66</v>
      </c>
      <c r="B113">
        <v>12</v>
      </c>
      <c r="C113" t="s">
        <v>1148</v>
      </c>
      <c r="D113" t="s">
        <v>1149</v>
      </c>
      <c r="E113" t="s">
        <v>535</v>
      </c>
      <c r="F113">
        <f>INDEX(Site_Evaluation!$K:$K,MATCH(C113,Site_Evaluation!$A:$A,0))</f>
        <v>56</v>
      </c>
      <c r="G113">
        <f>COUNTIFS(Risk_Register!B:B,C113,Risk_Register!G:G,"High")</f>
        <v>1</v>
      </c>
      <c r="H113" t="e">
        <f ca="1">IF(_xludf.MAXIFS(Risk_Register!$L:$L,Risk_Register!$B:$B,C113)=3,"High",IF(_xludf.MAXIFS(Risk_Register!$L:$L,Risk_Register!$B:$B,C113)=2,"Medium","Low"))</f>
        <v>#NAME?</v>
      </c>
      <c r="I113" t="str">
        <f>IF(B113&lt;=3,"Preferred site - strong composite profile",IF(B113&lt;=10,"Backup candidate - viable with monitoring","Reserve - evaluate only if primary sites unavailable"))</f>
        <v>Reserve - evaluate only if primary sites unavailable</v>
      </c>
    </row>
    <row r="114" spans="1:9">
      <c r="A114" t="s">
        <v>66</v>
      </c>
      <c r="B114">
        <v>13</v>
      </c>
      <c r="C114" t="s">
        <v>1466</v>
      </c>
      <c r="D114" t="s">
        <v>1467</v>
      </c>
      <c r="E114" t="s">
        <v>556</v>
      </c>
      <c r="F114">
        <f>INDEX(Site_Evaluation!$K:$K,MATCH(C114,Site_Evaluation!$A:$A,0))</f>
        <v>56</v>
      </c>
      <c r="G114">
        <f>COUNTIFS(Risk_Register!B:B,C114,Risk_Register!G:G,"High")</f>
        <v>0</v>
      </c>
      <c r="H114" t="e">
        <f ca="1">IF(_xludf.MAXIFS(Risk_Register!$L:$L,Risk_Register!$B:$B,C114)=3,"High",IF(_xludf.MAXIFS(Risk_Register!$L:$L,Risk_Register!$B:$B,C114)=2,"Medium","Low"))</f>
        <v>#NAME?</v>
      </c>
      <c r="I114" t="str">
        <f>IF(B114&lt;=3,"Preferred site - strong composite profile",IF(B114&lt;=10,"Backup candidate - viable with monitoring","Reserve - evaluate only if primary sites unavailable"))</f>
        <v>Reserve - evaluate only if primary sites unavailable</v>
      </c>
    </row>
    <row r="115" spans="1:9">
      <c r="A115" t="s">
        <v>66</v>
      </c>
      <c r="B115">
        <v>14</v>
      </c>
      <c r="C115" t="s">
        <v>1515</v>
      </c>
      <c r="D115" t="s">
        <v>1516</v>
      </c>
      <c r="E115" t="s">
        <v>564</v>
      </c>
      <c r="F115">
        <f>INDEX(Site_Evaluation!$K:$K,MATCH(C115,Site_Evaluation!$A:$A,0))</f>
        <v>56</v>
      </c>
      <c r="G115">
        <f>COUNTIFS(Risk_Register!B:B,C115,Risk_Register!G:G,"High")</f>
        <v>1</v>
      </c>
      <c r="H115" t="e">
        <f ca="1">IF(_xludf.MAXIFS(Risk_Register!$L:$L,Risk_Register!$B:$B,C115)=3,"High",IF(_xludf.MAXIFS(Risk_Register!$L:$L,Risk_Register!$B:$B,C115)=2,"Medium","Low"))</f>
        <v>#NAME?</v>
      </c>
      <c r="I115" t="str">
        <f>IF(B115&lt;=3,"Preferred site - strong composite profile",IF(B115&lt;=10,"Backup candidate - viable with monitoring","Reserve - evaluate only if primary sites unavailable"))</f>
        <v>Reserve - evaluate only if primary sites unavailable</v>
      </c>
    </row>
    <row r="116" spans="1:9">
      <c r="A116" t="s">
        <v>66</v>
      </c>
      <c r="B116">
        <v>15</v>
      </c>
      <c r="C116" t="s">
        <v>783</v>
      </c>
      <c r="D116" t="s">
        <v>774</v>
      </c>
      <c r="E116" t="s">
        <v>514</v>
      </c>
      <c r="F116">
        <f>INDEX(Site_Evaluation!$K:$K,MATCH(C116,Site_Evaluation!$A:$A,0))</f>
        <v>55</v>
      </c>
      <c r="G116">
        <f>COUNTIFS(Risk_Register!B:B,C116,Risk_Register!G:G,"High")</f>
        <v>0</v>
      </c>
      <c r="H116" t="e">
        <f ca="1">IF(_xludf.MAXIFS(Risk_Register!$L:$L,Risk_Register!$B:$B,C116)=3,"High",IF(_xludf.MAXIFS(Risk_Register!$L:$L,Risk_Register!$B:$B,C116)=2,"Medium","Low"))</f>
        <v>#NAME?</v>
      </c>
      <c r="I116" t="str">
        <f>IF(B116&lt;=3,"Preferred site - strong composite profile",IF(B116&lt;=10,"Backup candidate - viable with monitoring","Reserve - evaluate only if primary sites unavailable"))</f>
        <v>Reserve - evaluate only if primary sites unavailable</v>
      </c>
    </row>
    <row r="117" spans="1:9">
      <c r="A117" t="s">
        <v>66</v>
      </c>
      <c r="B117">
        <v>16</v>
      </c>
      <c r="C117" t="s">
        <v>1275</v>
      </c>
      <c r="D117" t="s">
        <v>1276</v>
      </c>
      <c r="E117" t="s">
        <v>543</v>
      </c>
      <c r="F117">
        <f>INDEX(Site_Evaluation!$K:$K,MATCH(C117,Site_Evaluation!$A:$A,0))</f>
        <v>55</v>
      </c>
      <c r="G117">
        <f>COUNTIFS(Risk_Register!B:B,C117,Risk_Register!G:G,"High")</f>
        <v>2</v>
      </c>
      <c r="H117" t="e">
        <f ca="1">IF(_xludf.MAXIFS(Risk_Register!$L:$L,Risk_Register!$B:$B,C117)=3,"High",IF(_xludf.MAXIFS(Risk_Register!$L:$L,Risk_Register!$B:$B,C117)=2,"Medium","Low"))</f>
        <v>#NAME?</v>
      </c>
      <c r="I117" t="str">
        <f>IF(B117&lt;=3,"Preferred site - strong composite profile",IF(B117&lt;=10,"Backup candidate - viable with monitoring","Reserve - evaluate only if primary sites unavailable"))</f>
        <v>Reserve - evaluate only if primary sites unavailable</v>
      </c>
    </row>
    <row r="118" spans="1:9">
      <c r="A118" t="s">
        <v>66</v>
      </c>
      <c r="B118">
        <v>17</v>
      </c>
      <c r="C118" t="s">
        <v>834</v>
      </c>
      <c r="D118" t="s">
        <v>835</v>
      </c>
      <c r="E118" t="s">
        <v>516</v>
      </c>
      <c r="F118">
        <f>INDEX(Site_Evaluation!$K:$K,MATCH(C118,Site_Evaluation!$A:$A,0))</f>
        <v>53</v>
      </c>
      <c r="G118">
        <f>COUNTIFS(Risk_Register!B:B,C118,Risk_Register!G:G,"High")</f>
        <v>0</v>
      </c>
      <c r="H118" t="e">
        <f ca="1">IF(_xludf.MAXIFS(Risk_Register!$L:$L,Risk_Register!$B:$B,C118)=3,"High",IF(_xludf.MAXIFS(Risk_Register!$L:$L,Risk_Register!$B:$B,C118)=2,"Medium","Low"))</f>
        <v>#NAME?</v>
      </c>
      <c r="I118" t="str">
        <f>IF(B118&lt;=3,"Preferred site - strong composite profile",IF(B118&lt;=10,"Backup candidate - viable with monitoring","Reserve - evaluate only if primary sites unavailable"))</f>
        <v>Reserve - evaluate only if primary sites unavailable</v>
      </c>
    </row>
    <row r="119" spans="1:9">
      <c r="A119" t="s">
        <v>66</v>
      </c>
      <c r="B119">
        <v>18</v>
      </c>
      <c r="C119" t="s">
        <v>1120</v>
      </c>
      <c r="D119" t="s">
        <v>1121</v>
      </c>
      <c r="E119" t="s">
        <v>533</v>
      </c>
      <c r="F119">
        <f>INDEX(Site_Evaluation!$K:$K,MATCH(C119,Site_Evaluation!$A:$A,0))</f>
        <v>53</v>
      </c>
      <c r="G119">
        <f>COUNTIFS(Risk_Register!B:B,C119,Risk_Register!G:G,"High")</f>
        <v>0</v>
      </c>
      <c r="H119" t="e">
        <f ca="1">IF(_xludf.MAXIFS(Risk_Register!$L:$L,Risk_Register!$B:$B,C119)=3,"High",IF(_xludf.MAXIFS(Risk_Register!$L:$L,Risk_Register!$B:$B,C119)=2,"Medium","Low"))</f>
        <v>#NAME?</v>
      </c>
      <c r="I119" t="str">
        <f>IF(B119&lt;=3,"Preferred site - strong composite profile",IF(B119&lt;=10,"Backup candidate - viable with monitoring","Reserve - evaluate only if primary sites unavailable"))</f>
        <v>Reserve - evaluate only if primary sites unavailable</v>
      </c>
    </row>
    <row r="120" spans="1:9">
      <c r="A120" t="s">
        <v>66</v>
      </c>
      <c r="B120">
        <v>19</v>
      </c>
      <c r="C120" t="s">
        <v>1509</v>
      </c>
      <c r="D120" t="s">
        <v>1510</v>
      </c>
      <c r="E120" t="s">
        <v>562</v>
      </c>
      <c r="F120">
        <f>INDEX(Site_Evaluation!$K:$K,MATCH(C120,Site_Evaluation!$A:$A,0))</f>
        <v>52</v>
      </c>
      <c r="G120">
        <f>COUNTIFS(Risk_Register!B:B,C120,Risk_Register!G:G,"High")</f>
        <v>1</v>
      </c>
      <c r="H120" t="e">
        <f ca="1">IF(_xludf.MAXIFS(Risk_Register!$L:$L,Risk_Register!$B:$B,C120)=3,"High",IF(_xludf.MAXIFS(Risk_Register!$L:$L,Risk_Register!$B:$B,C120)=2,"Medium","Low"))</f>
        <v>#NAME?</v>
      </c>
      <c r="I120" t="str">
        <f>IF(B120&lt;=3,"Preferred site - strong composite profile",IF(B120&lt;=10,"Backup candidate - viable with monitoring","Reserve - evaluate only if primary sites unavailable"))</f>
        <v>Reserve - evaluate only if primary sites unavailable</v>
      </c>
    </row>
    <row r="121" spans="1:9">
      <c r="A121" t="s">
        <v>66</v>
      </c>
      <c r="B121">
        <v>20</v>
      </c>
      <c r="C121" t="s">
        <v>809</v>
      </c>
      <c r="D121" t="s">
        <v>810</v>
      </c>
      <c r="E121" t="s">
        <v>516</v>
      </c>
      <c r="F121">
        <f>INDEX(Site_Evaluation!$K:$K,MATCH(C121,Site_Evaluation!$A:$A,0))</f>
        <v>50</v>
      </c>
      <c r="G121">
        <f>COUNTIFS(Risk_Register!B:B,C121,Risk_Register!G:G,"High")</f>
        <v>1</v>
      </c>
      <c r="H121" t="e">
        <f ca="1">IF(_xludf.MAXIFS(Risk_Register!$L:$L,Risk_Register!$B:$B,C121)=3,"High",IF(_xludf.MAXIFS(Risk_Register!$L:$L,Risk_Register!$B:$B,C121)=2,"Medium","Low"))</f>
        <v>#NAME?</v>
      </c>
      <c r="I121" t="str">
        <f>IF(B121&lt;=3,"Preferred site - strong composite profile",IF(B121&lt;=10,"Backup candidate - viable with monitoring","Reserve - evaluate only if primary sites unavailable"))</f>
        <v>Reserve - evaluate only if primary sites unavailable</v>
      </c>
    </row>
    <row r="122" spans="1:9">
      <c r="A122" t="s">
        <v>67</v>
      </c>
      <c r="B122">
        <v>1</v>
      </c>
      <c r="C122" t="s">
        <v>770</v>
      </c>
      <c r="D122" t="s">
        <v>771</v>
      </c>
      <c r="E122" t="s">
        <v>514</v>
      </c>
      <c r="F122">
        <f>INDEX(Site_Evaluation!$K:$K,MATCH(C122,Site_Evaluation!$A:$A,0))</f>
        <v>78</v>
      </c>
      <c r="G122">
        <f>COUNTIFS(Risk_Register!B:B,C122,Risk_Register!G:G,"High")</f>
        <v>0</v>
      </c>
      <c r="H122" t="e">
        <f ca="1">IF(_xludf.MAXIFS(Risk_Register!$L:$L,Risk_Register!$B:$B,C122)=3,"High",IF(_xludf.MAXIFS(Risk_Register!$L:$L,Risk_Register!$B:$B,C122)=2,"Medium","Low"))</f>
        <v>#NAME?</v>
      </c>
      <c r="I122" t="str">
        <f>IF(B122&lt;=3,"Preferred site - strong composite profile",IF(B122&lt;=10,"Backup candidate - viable with monitoring","Reserve - evaluate only if primary sites unavailable"))</f>
        <v>Preferred site - strong composite profile</v>
      </c>
    </row>
    <row r="123" spans="1:9">
      <c r="A123" t="s">
        <v>67</v>
      </c>
      <c r="B123">
        <v>2</v>
      </c>
      <c r="C123" t="s">
        <v>1336</v>
      </c>
      <c r="D123" t="s">
        <v>1337</v>
      </c>
      <c r="E123" t="s">
        <v>547</v>
      </c>
      <c r="F123">
        <f>INDEX(Site_Evaluation!$K:$K,MATCH(C123,Site_Evaluation!$A:$A,0))</f>
        <v>67</v>
      </c>
      <c r="G123">
        <f>COUNTIFS(Risk_Register!B:B,C123,Risk_Register!G:G,"High")</f>
        <v>1</v>
      </c>
      <c r="H123" t="e">
        <f ca="1">IF(_xludf.MAXIFS(Risk_Register!$L:$L,Risk_Register!$B:$B,C123)=3,"High",IF(_xludf.MAXIFS(Risk_Register!$L:$L,Risk_Register!$B:$B,C123)=2,"Medium","Low"))</f>
        <v>#NAME?</v>
      </c>
      <c r="I123" t="str">
        <f>IF(B123&lt;=3,"Preferred site - strong composite profile",IF(B123&lt;=10,"Backup candidate - viable with monitoring","Reserve - evaluate only if primary sites unavailable"))</f>
        <v>Preferred site - strong composite profile</v>
      </c>
    </row>
    <row r="124" spans="1:9">
      <c r="A124" t="s">
        <v>67</v>
      </c>
      <c r="B124">
        <v>3</v>
      </c>
      <c r="C124" t="s">
        <v>1867</v>
      </c>
      <c r="D124" t="s">
        <v>1868</v>
      </c>
      <c r="E124" t="s">
        <v>596</v>
      </c>
      <c r="F124">
        <f>INDEX(Site_Evaluation!$K:$K,MATCH(C124,Site_Evaluation!$A:$A,0))</f>
        <v>66</v>
      </c>
      <c r="G124">
        <f>COUNTIFS(Risk_Register!B:B,C124,Risk_Register!G:G,"High")</f>
        <v>1</v>
      </c>
      <c r="H124" t="e">
        <f ca="1">IF(_xludf.MAXIFS(Risk_Register!$L:$L,Risk_Register!$B:$B,C124)=3,"High",IF(_xludf.MAXIFS(Risk_Register!$L:$L,Risk_Register!$B:$B,C124)=2,"Medium","Low"))</f>
        <v>#NAME?</v>
      </c>
      <c r="I124" t="str">
        <f>IF(B124&lt;=3,"Preferred site - strong composite profile",IF(B124&lt;=10,"Backup candidate - viable with monitoring","Reserve - evaluate only if primary sites unavailable"))</f>
        <v>Preferred site - strong composite profile</v>
      </c>
    </row>
    <row r="125" spans="1:9">
      <c r="A125" t="s">
        <v>67</v>
      </c>
      <c r="B125">
        <v>4</v>
      </c>
      <c r="C125" t="s">
        <v>1925</v>
      </c>
      <c r="D125" t="s">
        <v>1926</v>
      </c>
      <c r="E125" t="s">
        <v>604</v>
      </c>
      <c r="F125">
        <f>INDEX(Site_Evaluation!$K:$K,MATCH(C125,Site_Evaluation!$A:$A,0))</f>
        <v>65</v>
      </c>
      <c r="G125">
        <f>COUNTIFS(Risk_Register!B:B,C125,Risk_Register!G:G,"High")</f>
        <v>0</v>
      </c>
      <c r="H125" t="e">
        <f ca="1">IF(_xludf.MAXIFS(Risk_Register!$L:$L,Risk_Register!$B:$B,C125)=3,"High",IF(_xludf.MAXIFS(Risk_Register!$L:$L,Risk_Register!$B:$B,C125)=2,"Medium","Low"))</f>
        <v>#NAME?</v>
      </c>
      <c r="I125" t="str">
        <f>IF(B125&lt;=3,"Preferred site - strong composite profile",IF(B125&lt;=10,"Backup candidate - viable with monitoring","Reserve - evaluate only if primary sites unavailable"))</f>
        <v>Backup candidate - viable with monitoring</v>
      </c>
    </row>
    <row r="126" spans="1:9">
      <c r="A126" t="s">
        <v>67</v>
      </c>
      <c r="B126">
        <v>5</v>
      </c>
      <c r="C126" t="s">
        <v>741</v>
      </c>
      <c r="D126" t="s">
        <v>729</v>
      </c>
      <c r="E126" t="s">
        <v>510</v>
      </c>
      <c r="F126">
        <f>INDEX(Site_Evaluation!$K:$K,MATCH(C126,Site_Evaluation!$A:$A,0))</f>
        <v>62</v>
      </c>
      <c r="G126">
        <f>COUNTIFS(Risk_Register!B:B,C126,Risk_Register!G:G,"High")</f>
        <v>3</v>
      </c>
      <c r="H126" t="e">
        <f ca="1">IF(_xludf.MAXIFS(Risk_Register!$L:$L,Risk_Register!$B:$B,C126)=3,"High",IF(_xludf.MAXIFS(Risk_Register!$L:$L,Risk_Register!$B:$B,C126)=2,"Medium","Low"))</f>
        <v>#NAME?</v>
      </c>
      <c r="I126" t="str">
        <f>IF(B126&lt;=3,"Preferred site - strong composite profile",IF(B126&lt;=10,"Backup candidate - viable with monitoring","Reserve - evaluate only if primary sites unavailable"))</f>
        <v>Backup candidate - viable with monitoring</v>
      </c>
    </row>
    <row r="127" spans="1:9">
      <c r="A127" t="s">
        <v>67</v>
      </c>
      <c r="B127">
        <v>6</v>
      </c>
      <c r="C127" t="s">
        <v>1117</v>
      </c>
      <c r="D127" t="s">
        <v>1118</v>
      </c>
      <c r="E127" t="s">
        <v>533</v>
      </c>
      <c r="F127">
        <f>INDEX(Site_Evaluation!$K:$K,MATCH(C127,Site_Evaluation!$A:$A,0))</f>
        <v>62</v>
      </c>
      <c r="G127">
        <f>COUNTIFS(Risk_Register!B:B,C127,Risk_Register!G:G,"High")</f>
        <v>1</v>
      </c>
      <c r="H127" t="e">
        <f ca="1">IF(_xludf.MAXIFS(Risk_Register!$L:$L,Risk_Register!$B:$B,C127)=3,"High",IF(_xludf.MAXIFS(Risk_Register!$L:$L,Risk_Register!$B:$B,C127)=2,"Medium","Low"))</f>
        <v>#NAME?</v>
      </c>
      <c r="I127" t="str">
        <f>IF(B127&lt;=3,"Preferred site - strong composite profile",IF(B127&lt;=10,"Backup candidate - viable with monitoring","Reserve - evaluate only if primary sites unavailable"))</f>
        <v>Backup candidate - viable with monitoring</v>
      </c>
    </row>
    <row r="128" spans="1:9">
      <c r="A128" t="s">
        <v>67</v>
      </c>
      <c r="B128">
        <v>7</v>
      </c>
      <c r="C128" t="s">
        <v>1838</v>
      </c>
      <c r="D128" t="s">
        <v>1839</v>
      </c>
      <c r="E128" t="s">
        <v>594</v>
      </c>
      <c r="F128">
        <f>INDEX(Site_Evaluation!$K:$K,MATCH(C128,Site_Evaluation!$A:$A,0))</f>
        <v>62</v>
      </c>
      <c r="G128">
        <f>COUNTIFS(Risk_Register!B:B,C128,Risk_Register!G:G,"High")</f>
        <v>2</v>
      </c>
      <c r="H128" t="e">
        <f ca="1">IF(_xludf.MAXIFS(Risk_Register!$L:$L,Risk_Register!$B:$B,C128)=3,"High",IF(_xludf.MAXIFS(Risk_Register!$L:$L,Risk_Register!$B:$B,C128)=2,"Medium","Low"))</f>
        <v>#NAME?</v>
      </c>
      <c r="I128" t="str">
        <f>IF(B128&lt;=3,"Preferred site - strong composite profile",IF(B128&lt;=10,"Backup candidate - viable with monitoring","Reserve - evaluate only if primary sites unavailable"))</f>
        <v>Backup candidate - viable with monitoring</v>
      </c>
    </row>
    <row r="129" spans="1:9">
      <c r="A129" t="s">
        <v>67</v>
      </c>
      <c r="B129">
        <v>8</v>
      </c>
      <c r="C129" t="s">
        <v>869</v>
      </c>
      <c r="D129" t="s">
        <v>870</v>
      </c>
      <c r="E129" t="s">
        <v>516</v>
      </c>
      <c r="F129">
        <f>INDEX(Site_Evaluation!$K:$K,MATCH(C129,Site_Evaluation!$A:$A,0))</f>
        <v>60</v>
      </c>
      <c r="G129">
        <f>COUNTIFS(Risk_Register!B:B,C129,Risk_Register!G:G,"High")</f>
        <v>1</v>
      </c>
      <c r="H129" t="e">
        <f ca="1">IF(_xludf.MAXIFS(Risk_Register!$L:$L,Risk_Register!$B:$B,C129)=3,"High",IF(_xludf.MAXIFS(Risk_Register!$L:$L,Risk_Register!$B:$B,C129)=2,"Medium","Low"))</f>
        <v>#NAME?</v>
      </c>
      <c r="I129" t="str">
        <f>IF(B129&lt;=3,"Preferred site - strong composite profile",IF(B129&lt;=10,"Backup candidate - viable with monitoring","Reserve - evaluate only if primary sites unavailable"))</f>
        <v>Backup candidate - viable with monitoring</v>
      </c>
    </row>
    <row r="130" spans="1:9">
      <c r="A130" t="s">
        <v>67</v>
      </c>
      <c r="B130">
        <v>9</v>
      </c>
      <c r="C130" t="s">
        <v>1718</v>
      </c>
      <c r="D130" t="s">
        <v>1719</v>
      </c>
      <c r="E130" t="s">
        <v>580</v>
      </c>
      <c r="F130">
        <f>INDEX(Site_Evaluation!$K:$K,MATCH(C130,Site_Evaluation!$A:$A,0))</f>
        <v>59</v>
      </c>
      <c r="G130">
        <f>COUNTIFS(Risk_Register!B:B,C130,Risk_Register!G:G,"High")</f>
        <v>0</v>
      </c>
      <c r="H130" t="e">
        <f ca="1">IF(_xludf.MAXIFS(Risk_Register!$L:$L,Risk_Register!$B:$B,C130)=3,"High",IF(_xludf.MAXIFS(Risk_Register!$L:$L,Risk_Register!$B:$B,C130)=2,"Medium","Low"))</f>
        <v>#NAME?</v>
      </c>
      <c r="I130" t="str">
        <f>IF(B130&lt;=3,"Preferred site - strong composite profile",IF(B130&lt;=10,"Backup candidate - viable with monitoring","Reserve - evaluate only if primary sites unavailable"))</f>
        <v>Backup candidate - viable with monitoring</v>
      </c>
    </row>
    <row r="131" spans="1:9">
      <c r="A131" t="s">
        <v>67</v>
      </c>
      <c r="B131">
        <v>10</v>
      </c>
      <c r="C131" t="s">
        <v>1381</v>
      </c>
      <c r="D131" t="s">
        <v>1382</v>
      </c>
      <c r="E131" t="s">
        <v>549</v>
      </c>
      <c r="F131">
        <f>INDEX(Site_Evaluation!$K:$K,MATCH(C131,Site_Evaluation!$A:$A,0))</f>
        <v>57</v>
      </c>
      <c r="G131">
        <f>COUNTIFS(Risk_Register!B:B,C131,Risk_Register!G:G,"High")</f>
        <v>1</v>
      </c>
      <c r="H131" t="e">
        <f ca="1">IF(_xludf.MAXIFS(Risk_Register!$L:$L,Risk_Register!$B:$B,C131)=3,"High",IF(_xludf.MAXIFS(Risk_Register!$L:$L,Risk_Register!$B:$B,C131)=2,"Medium","Low"))</f>
        <v>#NAME?</v>
      </c>
      <c r="I131" t="str">
        <f>IF(B131&lt;=3,"Preferred site - strong composite profile",IF(B131&lt;=10,"Backup candidate - viable with monitoring","Reserve - evaluate only if primary sites unavailable"))</f>
        <v>Backup candidate - viable with monitoring</v>
      </c>
    </row>
    <row r="132" spans="1:9">
      <c r="A132" t="s">
        <v>67</v>
      </c>
      <c r="B132">
        <v>11</v>
      </c>
      <c r="C132" t="s">
        <v>930</v>
      </c>
      <c r="D132" t="s">
        <v>931</v>
      </c>
      <c r="E132" t="s">
        <v>520</v>
      </c>
      <c r="F132">
        <f>INDEX(Site_Evaluation!$K:$K,MATCH(C132,Site_Evaluation!$A:$A,0))</f>
        <v>56</v>
      </c>
      <c r="G132">
        <f>COUNTIFS(Risk_Register!B:B,C132,Risk_Register!G:G,"High")</f>
        <v>1</v>
      </c>
      <c r="H132" t="e">
        <f ca="1">IF(_xludf.MAXIFS(Risk_Register!$L:$L,Risk_Register!$B:$B,C132)=3,"High",IF(_xludf.MAXIFS(Risk_Register!$L:$L,Risk_Register!$B:$B,C132)=2,"Medium","Low"))</f>
        <v>#NAME?</v>
      </c>
      <c r="I132" t="str">
        <f>IF(B132&lt;=3,"Preferred site - strong composite profile",IF(B132&lt;=10,"Backup candidate - viable with monitoring","Reserve - evaluate only if primary sites unavailable"))</f>
        <v>Reserve - evaluate only if primary sites unavailable</v>
      </c>
    </row>
    <row r="133" spans="1:9">
      <c r="A133" t="s">
        <v>67</v>
      </c>
      <c r="B133">
        <v>12</v>
      </c>
      <c r="C133" t="s">
        <v>1101</v>
      </c>
      <c r="D133" t="s">
        <v>1102</v>
      </c>
      <c r="E133" t="s">
        <v>531</v>
      </c>
      <c r="F133">
        <f>INDEX(Site_Evaluation!$K:$K,MATCH(C133,Site_Evaluation!$A:$A,0))</f>
        <v>55</v>
      </c>
      <c r="G133">
        <f>COUNTIFS(Risk_Register!B:B,C133,Risk_Register!G:G,"High")</f>
        <v>2</v>
      </c>
      <c r="H133" t="e">
        <f ca="1">IF(_xludf.MAXIFS(Risk_Register!$L:$L,Risk_Register!$B:$B,C133)=3,"High",IF(_xludf.MAXIFS(Risk_Register!$L:$L,Risk_Register!$B:$B,C133)=2,"Medium","Low"))</f>
        <v>#NAME?</v>
      </c>
      <c r="I133" t="str">
        <f>IF(B133&lt;=3,"Preferred site - strong composite profile",IF(B133&lt;=10,"Backup candidate - viable with monitoring","Reserve - evaluate only if primary sites unavailable"))</f>
        <v>Reserve - evaluate only if primary sites unavailable</v>
      </c>
    </row>
    <row r="134" spans="1:9">
      <c r="A134" t="s">
        <v>67</v>
      </c>
      <c r="B134">
        <v>13</v>
      </c>
      <c r="C134" t="s">
        <v>1706</v>
      </c>
      <c r="D134" t="s">
        <v>1707</v>
      </c>
      <c r="E134" t="s">
        <v>578</v>
      </c>
      <c r="F134">
        <f>INDEX(Site_Evaluation!$K:$K,MATCH(C134,Site_Evaluation!$A:$A,0))</f>
        <v>55</v>
      </c>
      <c r="G134">
        <f>COUNTIFS(Risk_Register!B:B,C134,Risk_Register!G:G,"High")</f>
        <v>1</v>
      </c>
      <c r="H134" t="e">
        <f ca="1">IF(_xludf.MAXIFS(Risk_Register!$L:$L,Risk_Register!$B:$B,C134)=3,"High",IF(_xludf.MAXIFS(Risk_Register!$L:$L,Risk_Register!$B:$B,C134)=2,"Medium","Low"))</f>
        <v>#NAME?</v>
      </c>
      <c r="I134" t="str">
        <f>IF(B134&lt;=3,"Preferred site - strong composite profile",IF(B134&lt;=10,"Backup candidate - viable with monitoring","Reserve - evaluate only if primary sites unavailable"))</f>
        <v>Reserve - evaluate only if primary sites unavailable</v>
      </c>
    </row>
    <row r="135" spans="1:9">
      <c r="A135" t="s">
        <v>67</v>
      </c>
      <c r="B135">
        <v>14</v>
      </c>
      <c r="C135" t="s">
        <v>1598</v>
      </c>
      <c r="D135" t="s">
        <v>1599</v>
      </c>
      <c r="E135" t="s">
        <v>576</v>
      </c>
      <c r="F135">
        <f>INDEX(Site_Evaluation!$K:$K,MATCH(C135,Site_Evaluation!$A:$A,0))</f>
        <v>54</v>
      </c>
      <c r="G135">
        <f>COUNTIFS(Risk_Register!B:B,C135,Risk_Register!G:G,"High")</f>
        <v>0</v>
      </c>
      <c r="H135" t="e">
        <f ca="1">IF(_xludf.MAXIFS(Risk_Register!$L:$L,Risk_Register!$B:$B,C135)=3,"High",IF(_xludf.MAXIFS(Risk_Register!$L:$L,Risk_Register!$B:$B,C135)=2,"Medium","Low"))</f>
        <v>#NAME?</v>
      </c>
      <c r="I135" t="str">
        <f>IF(B135&lt;=3,"Preferred site - strong composite profile",IF(B135&lt;=10,"Backup candidate - viable with monitoring","Reserve - evaluate only if primary sites unavailable"))</f>
        <v>Reserve - evaluate only if primary sites unavailable</v>
      </c>
    </row>
    <row r="136" spans="1:9">
      <c r="A136" t="s">
        <v>67</v>
      </c>
      <c r="B136">
        <v>15</v>
      </c>
      <c r="C136" t="s">
        <v>1912</v>
      </c>
      <c r="D136" t="s">
        <v>1913</v>
      </c>
      <c r="E136" t="s">
        <v>602</v>
      </c>
      <c r="F136">
        <f>INDEX(Site_Evaluation!$K:$K,MATCH(C136,Site_Evaluation!$A:$A,0))</f>
        <v>53</v>
      </c>
      <c r="G136">
        <f>COUNTIFS(Risk_Register!B:B,C136,Risk_Register!G:G,"High")</f>
        <v>1</v>
      </c>
      <c r="H136" t="e">
        <f ca="1">IF(_xludf.MAXIFS(Risk_Register!$L:$L,Risk_Register!$B:$B,C136)=3,"High",IF(_xludf.MAXIFS(Risk_Register!$L:$L,Risk_Register!$B:$B,C136)=2,"Medium","Low"))</f>
        <v>#NAME?</v>
      </c>
      <c r="I136" t="str">
        <f>IF(B136&lt;=3,"Preferred site - strong composite profile",IF(B136&lt;=10,"Backup candidate - viable with monitoring","Reserve - evaluate only if primary sites unavailable"))</f>
        <v>Reserve - evaluate only if primary sites unavailable</v>
      </c>
    </row>
    <row r="137" spans="1:9">
      <c r="A137" t="s">
        <v>67</v>
      </c>
      <c r="B137">
        <v>16</v>
      </c>
      <c r="C137" t="s">
        <v>1851</v>
      </c>
      <c r="D137" t="s">
        <v>1852</v>
      </c>
      <c r="E137" t="s">
        <v>596</v>
      </c>
      <c r="F137">
        <f>INDEX(Site_Evaluation!$K:$K,MATCH(C137,Site_Evaluation!$A:$A,0))</f>
        <v>52</v>
      </c>
      <c r="G137">
        <f>COUNTIFS(Risk_Register!B:B,C137,Risk_Register!G:G,"High")</f>
        <v>2</v>
      </c>
      <c r="H137" t="e">
        <f ca="1">IF(_xludf.MAXIFS(Risk_Register!$L:$L,Risk_Register!$B:$B,C137)=3,"High",IF(_xludf.MAXIFS(Risk_Register!$L:$L,Risk_Register!$B:$B,C137)=2,"Medium","Low"))</f>
        <v>#NAME?</v>
      </c>
      <c r="I137" t="str">
        <f>IF(B137&lt;=3,"Preferred site - strong composite profile",IF(B137&lt;=10,"Backup candidate - viable with monitoring","Reserve - evaluate only if primary sites unavailable"))</f>
        <v>Reserve - evaluate only if primary sites unavailable</v>
      </c>
    </row>
    <row r="138" spans="1:9">
      <c r="A138" t="s">
        <v>67</v>
      </c>
      <c r="B138">
        <v>17</v>
      </c>
      <c r="C138" t="s">
        <v>891</v>
      </c>
      <c r="D138" t="s">
        <v>892</v>
      </c>
      <c r="E138" t="s">
        <v>518</v>
      </c>
      <c r="F138">
        <f>INDEX(Site_Evaluation!$K:$K,MATCH(C138,Site_Evaluation!$A:$A,0))</f>
        <v>51</v>
      </c>
      <c r="G138">
        <f>COUNTIFS(Risk_Register!B:B,C138,Risk_Register!G:G,"High")</f>
        <v>1</v>
      </c>
      <c r="H138" t="e">
        <f ca="1">IF(_xludf.MAXIFS(Risk_Register!$L:$L,Risk_Register!$B:$B,C138)=3,"High",IF(_xludf.MAXIFS(Risk_Register!$L:$L,Risk_Register!$B:$B,C138)=2,"Medium","Low"))</f>
        <v>#NAME?</v>
      </c>
      <c r="I138" t="str">
        <f>IF(B138&lt;=3,"Preferred site - strong composite profile",IF(B138&lt;=10,"Backup candidate - viable with monitoring","Reserve - evaluate only if primary sites unavailable"))</f>
        <v>Reserve - evaluate only if primary sites unavailable</v>
      </c>
    </row>
    <row r="139" spans="1:9">
      <c r="A139" t="s">
        <v>67</v>
      </c>
      <c r="B139">
        <v>18</v>
      </c>
      <c r="C139" t="s">
        <v>1584</v>
      </c>
      <c r="D139" t="s">
        <v>1585</v>
      </c>
      <c r="E139" t="s">
        <v>574</v>
      </c>
      <c r="F139">
        <f>INDEX(Site_Evaluation!$K:$K,MATCH(C139,Site_Evaluation!$A:$A,0))</f>
        <v>51</v>
      </c>
      <c r="G139">
        <f>COUNTIFS(Risk_Register!B:B,C139,Risk_Register!G:G,"High")</f>
        <v>4</v>
      </c>
      <c r="H139" t="e">
        <f ca="1">IF(_xludf.MAXIFS(Risk_Register!$L:$L,Risk_Register!$B:$B,C139)=3,"High",IF(_xludf.MAXIFS(Risk_Register!$L:$L,Risk_Register!$B:$B,C139)=2,"Medium","Low"))</f>
        <v>#NAME?</v>
      </c>
      <c r="I139" t="str">
        <f>IF(B139&lt;=3,"Preferred site - strong composite profile",IF(B139&lt;=10,"Backup candidate - viable with monitoring","Reserve - evaluate only if primary sites unavailable"))</f>
        <v>Reserve - evaluate only if primary sites unavailable</v>
      </c>
    </row>
    <row r="140" spans="1:9">
      <c r="A140" t="s">
        <v>67</v>
      </c>
      <c r="B140">
        <v>19</v>
      </c>
      <c r="C140" t="s">
        <v>714</v>
      </c>
      <c r="D140" t="s">
        <v>689</v>
      </c>
      <c r="E140" t="s">
        <v>509</v>
      </c>
      <c r="F140">
        <f>INDEX(Site_Evaluation!$K:$K,MATCH(C140,Site_Evaluation!$A:$A,0))</f>
        <v>50</v>
      </c>
      <c r="G140">
        <f>COUNTIFS(Risk_Register!B:B,C140,Risk_Register!G:G,"High")</f>
        <v>1</v>
      </c>
      <c r="H140" t="e">
        <f ca="1">IF(_xludf.MAXIFS(Risk_Register!$L:$L,Risk_Register!$B:$B,C140)=3,"High",IF(_xludf.MAXIFS(Risk_Register!$L:$L,Risk_Register!$B:$B,C140)=2,"Medium","Low"))</f>
        <v>#NAME?</v>
      </c>
      <c r="I140" t="str">
        <f>IF(B140&lt;=3,"Preferred site - strong composite profile",IF(B140&lt;=10,"Backup candidate - viable with monitoring","Reserve - evaluate only if primary sites unavailable"))</f>
        <v>Reserve - evaluate only if primary sites unavailable</v>
      </c>
    </row>
    <row r="141" spans="1:9">
      <c r="A141" t="s">
        <v>67</v>
      </c>
      <c r="B141">
        <v>20</v>
      </c>
      <c r="C141" t="s">
        <v>778</v>
      </c>
      <c r="D141" t="s">
        <v>779</v>
      </c>
      <c r="E141" t="s">
        <v>514</v>
      </c>
      <c r="F141">
        <f>INDEX(Site_Evaluation!$K:$K,MATCH(C141,Site_Evaluation!$A:$A,0))</f>
        <v>50</v>
      </c>
      <c r="G141">
        <f>COUNTIFS(Risk_Register!B:B,C141,Risk_Register!G:G,"High")</f>
        <v>2</v>
      </c>
      <c r="H141" t="e">
        <f ca="1">IF(_xludf.MAXIFS(Risk_Register!$L:$L,Risk_Register!$B:$B,C141)=3,"High",IF(_xludf.MAXIFS(Risk_Register!$L:$L,Risk_Register!$B:$B,C141)=2,"Medium","Low"))</f>
        <v>#NAME?</v>
      </c>
      <c r="I141" t="str">
        <f>IF(B141&lt;=3,"Preferred site - strong composite profile",IF(B141&lt;=10,"Backup candidate - viable with monitoring","Reserve - evaluate only if primary sites unavailable"))</f>
        <v>Reserve - evaluate only if primary sites unavailable</v>
      </c>
    </row>
    <row r="142" spans="1:9">
      <c r="A142" t="s">
        <v>69</v>
      </c>
      <c r="B142">
        <v>1</v>
      </c>
      <c r="C142" t="s">
        <v>770</v>
      </c>
      <c r="D142" t="s">
        <v>771</v>
      </c>
      <c r="E142" t="s">
        <v>514</v>
      </c>
      <c r="F142">
        <f>INDEX(Site_Evaluation!$K:$K,MATCH(C142,Site_Evaluation!$A:$A,0))</f>
        <v>78</v>
      </c>
      <c r="G142">
        <f>COUNTIFS(Risk_Register!B:B,C142,Risk_Register!G:G,"High")</f>
        <v>0</v>
      </c>
      <c r="H142" t="e">
        <f ca="1">IF(_xludf.MAXIFS(Risk_Register!$L:$L,Risk_Register!$B:$B,C142)=3,"High",IF(_xludf.MAXIFS(Risk_Register!$L:$L,Risk_Register!$B:$B,C142)=2,"Medium","Low"))</f>
        <v>#NAME?</v>
      </c>
      <c r="I142" t="str">
        <f>IF(B142&lt;=3,"Preferred site - strong composite profile",IF(B142&lt;=10,"Backup candidate - viable with monitoring","Reserve - evaluate only if primary sites unavailable"))</f>
        <v>Preferred site - strong composite profile</v>
      </c>
    </row>
    <row r="143" spans="1:9">
      <c r="A143" t="s">
        <v>69</v>
      </c>
      <c r="B143">
        <v>2</v>
      </c>
      <c r="C143" t="s">
        <v>1336</v>
      </c>
      <c r="D143" t="s">
        <v>1337</v>
      </c>
      <c r="E143" t="s">
        <v>547</v>
      </c>
      <c r="F143">
        <f>INDEX(Site_Evaluation!$K:$K,MATCH(C143,Site_Evaluation!$A:$A,0))</f>
        <v>67</v>
      </c>
      <c r="G143">
        <f>COUNTIFS(Risk_Register!B:B,C143,Risk_Register!G:G,"High")</f>
        <v>1</v>
      </c>
      <c r="H143" t="e">
        <f ca="1">IF(_xludf.MAXIFS(Risk_Register!$L:$L,Risk_Register!$B:$B,C143)=3,"High",IF(_xludf.MAXIFS(Risk_Register!$L:$L,Risk_Register!$B:$B,C143)=2,"Medium","Low"))</f>
        <v>#NAME?</v>
      </c>
      <c r="I143" t="str">
        <f>IF(B143&lt;=3,"Preferred site - strong composite profile",IF(B143&lt;=10,"Backup candidate - viable with monitoring","Reserve - evaluate only if primary sites unavailable"))</f>
        <v>Preferred site - strong composite profile</v>
      </c>
    </row>
    <row r="144" spans="1:9">
      <c r="A144" t="s">
        <v>69</v>
      </c>
      <c r="B144">
        <v>3</v>
      </c>
      <c r="C144" t="s">
        <v>1867</v>
      </c>
      <c r="D144" t="s">
        <v>1868</v>
      </c>
      <c r="E144" t="s">
        <v>596</v>
      </c>
      <c r="F144">
        <f>INDEX(Site_Evaluation!$K:$K,MATCH(C144,Site_Evaluation!$A:$A,0))</f>
        <v>66</v>
      </c>
      <c r="G144">
        <f>COUNTIFS(Risk_Register!B:B,C144,Risk_Register!G:G,"High")</f>
        <v>1</v>
      </c>
      <c r="H144" t="e">
        <f ca="1">IF(_xludf.MAXIFS(Risk_Register!$L:$L,Risk_Register!$B:$B,C144)=3,"High",IF(_xludf.MAXIFS(Risk_Register!$L:$L,Risk_Register!$B:$B,C144)=2,"Medium","Low"))</f>
        <v>#NAME?</v>
      </c>
      <c r="I144" t="str">
        <f>IF(B144&lt;=3,"Preferred site - strong composite profile",IF(B144&lt;=10,"Backup candidate - viable with monitoring","Reserve - evaluate only if primary sites unavailable"))</f>
        <v>Preferred site - strong composite profile</v>
      </c>
    </row>
    <row r="145" spans="1:9">
      <c r="A145" t="s">
        <v>69</v>
      </c>
      <c r="B145">
        <v>4</v>
      </c>
      <c r="C145" t="s">
        <v>1925</v>
      </c>
      <c r="D145" t="s">
        <v>1926</v>
      </c>
      <c r="E145" t="s">
        <v>604</v>
      </c>
      <c r="F145">
        <f>INDEX(Site_Evaluation!$K:$K,MATCH(C145,Site_Evaluation!$A:$A,0))</f>
        <v>65</v>
      </c>
      <c r="G145">
        <f>COUNTIFS(Risk_Register!B:B,C145,Risk_Register!G:G,"High")</f>
        <v>0</v>
      </c>
      <c r="H145" t="e">
        <f ca="1">IF(_xludf.MAXIFS(Risk_Register!$L:$L,Risk_Register!$B:$B,C145)=3,"High",IF(_xludf.MAXIFS(Risk_Register!$L:$L,Risk_Register!$B:$B,C145)=2,"Medium","Low"))</f>
        <v>#NAME?</v>
      </c>
      <c r="I145" t="str">
        <f>IF(B145&lt;=3,"Preferred site - strong composite profile",IF(B145&lt;=10,"Backup candidate - viable with monitoring","Reserve - evaluate only if primary sites unavailable"))</f>
        <v>Backup candidate - viable with monitoring</v>
      </c>
    </row>
    <row r="146" spans="1:9">
      <c r="A146" t="s">
        <v>69</v>
      </c>
      <c r="B146">
        <v>5</v>
      </c>
      <c r="C146" t="s">
        <v>741</v>
      </c>
      <c r="D146" t="s">
        <v>729</v>
      </c>
      <c r="E146" t="s">
        <v>510</v>
      </c>
      <c r="F146">
        <f>INDEX(Site_Evaluation!$K:$K,MATCH(C146,Site_Evaluation!$A:$A,0))</f>
        <v>62</v>
      </c>
      <c r="G146">
        <f>COUNTIFS(Risk_Register!B:B,C146,Risk_Register!G:G,"High")</f>
        <v>3</v>
      </c>
      <c r="H146" t="e">
        <f ca="1">IF(_xludf.MAXIFS(Risk_Register!$L:$L,Risk_Register!$B:$B,C146)=3,"High",IF(_xludf.MAXIFS(Risk_Register!$L:$L,Risk_Register!$B:$B,C146)=2,"Medium","Low"))</f>
        <v>#NAME?</v>
      </c>
      <c r="I146" t="str">
        <f>IF(B146&lt;=3,"Preferred site - strong composite profile",IF(B146&lt;=10,"Backup candidate - viable with monitoring","Reserve - evaluate only if primary sites unavailable"))</f>
        <v>Backup candidate - viable with monitoring</v>
      </c>
    </row>
    <row r="147" spans="1:9">
      <c r="A147" t="s">
        <v>69</v>
      </c>
      <c r="B147">
        <v>6</v>
      </c>
      <c r="C147" t="s">
        <v>1117</v>
      </c>
      <c r="D147" t="s">
        <v>1118</v>
      </c>
      <c r="E147" t="s">
        <v>533</v>
      </c>
      <c r="F147">
        <f>INDEX(Site_Evaluation!$K:$K,MATCH(C147,Site_Evaluation!$A:$A,0))</f>
        <v>62</v>
      </c>
      <c r="G147">
        <f>COUNTIFS(Risk_Register!B:B,C147,Risk_Register!G:G,"High")</f>
        <v>1</v>
      </c>
      <c r="H147" t="e">
        <f ca="1">IF(_xludf.MAXIFS(Risk_Register!$L:$L,Risk_Register!$B:$B,C147)=3,"High",IF(_xludf.MAXIFS(Risk_Register!$L:$L,Risk_Register!$B:$B,C147)=2,"Medium","Low"))</f>
        <v>#NAME?</v>
      </c>
      <c r="I147" t="str">
        <f>IF(B147&lt;=3,"Preferred site - strong composite profile",IF(B147&lt;=10,"Backup candidate - viable with monitoring","Reserve - evaluate only if primary sites unavailable"))</f>
        <v>Backup candidate - viable with monitoring</v>
      </c>
    </row>
    <row r="148" spans="1:9">
      <c r="A148" t="s">
        <v>69</v>
      </c>
      <c r="B148">
        <v>7</v>
      </c>
      <c r="C148" t="s">
        <v>1838</v>
      </c>
      <c r="D148" t="s">
        <v>1839</v>
      </c>
      <c r="E148" t="s">
        <v>594</v>
      </c>
      <c r="F148">
        <f>INDEX(Site_Evaluation!$K:$K,MATCH(C148,Site_Evaluation!$A:$A,0))</f>
        <v>62</v>
      </c>
      <c r="G148">
        <f>COUNTIFS(Risk_Register!B:B,C148,Risk_Register!G:G,"High")</f>
        <v>2</v>
      </c>
      <c r="H148" t="e">
        <f ca="1">IF(_xludf.MAXIFS(Risk_Register!$L:$L,Risk_Register!$B:$B,C148)=3,"High",IF(_xludf.MAXIFS(Risk_Register!$L:$L,Risk_Register!$B:$B,C148)=2,"Medium","Low"))</f>
        <v>#NAME?</v>
      </c>
      <c r="I148" t="str">
        <f>IF(B148&lt;=3,"Preferred site - strong composite profile",IF(B148&lt;=10,"Backup candidate - viable with monitoring","Reserve - evaluate only if primary sites unavailable"))</f>
        <v>Backup candidate - viable with monitoring</v>
      </c>
    </row>
    <row r="149" spans="1:9">
      <c r="A149" t="s">
        <v>69</v>
      </c>
      <c r="B149">
        <v>8</v>
      </c>
      <c r="C149" t="s">
        <v>869</v>
      </c>
      <c r="D149" t="s">
        <v>870</v>
      </c>
      <c r="E149" t="s">
        <v>516</v>
      </c>
      <c r="F149">
        <f>INDEX(Site_Evaluation!$K:$K,MATCH(C149,Site_Evaluation!$A:$A,0))</f>
        <v>60</v>
      </c>
      <c r="G149">
        <f>COUNTIFS(Risk_Register!B:B,C149,Risk_Register!G:G,"High")</f>
        <v>1</v>
      </c>
      <c r="H149" t="e">
        <f ca="1">IF(_xludf.MAXIFS(Risk_Register!$L:$L,Risk_Register!$B:$B,C149)=3,"High",IF(_xludf.MAXIFS(Risk_Register!$L:$L,Risk_Register!$B:$B,C149)=2,"Medium","Low"))</f>
        <v>#NAME?</v>
      </c>
      <c r="I149" t="str">
        <f>IF(B149&lt;=3,"Preferred site - strong composite profile",IF(B149&lt;=10,"Backup candidate - viable with monitoring","Reserve - evaluate only if primary sites unavailable"))</f>
        <v>Backup candidate - viable with monitoring</v>
      </c>
    </row>
    <row r="150" spans="1:9">
      <c r="A150" t="s">
        <v>69</v>
      </c>
      <c r="B150">
        <v>9</v>
      </c>
      <c r="C150" t="s">
        <v>1718</v>
      </c>
      <c r="D150" t="s">
        <v>1719</v>
      </c>
      <c r="E150" t="s">
        <v>580</v>
      </c>
      <c r="F150">
        <f>INDEX(Site_Evaluation!$K:$K,MATCH(C150,Site_Evaluation!$A:$A,0))</f>
        <v>59</v>
      </c>
      <c r="G150">
        <f>COUNTIFS(Risk_Register!B:B,C150,Risk_Register!G:G,"High")</f>
        <v>0</v>
      </c>
      <c r="H150" t="e">
        <f ca="1">IF(_xludf.MAXIFS(Risk_Register!$L:$L,Risk_Register!$B:$B,C150)=3,"High",IF(_xludf.MAXIFS(Risk_Register!$L:$L,Risk_Register!$B:$B,C150)=2,"Medium","Low"))</f>
        <v>#NAME?</v>
      </c>
      <c r="I150" t="str">
        <f>IF(B150&lt;=3,"Preferred site - strong composite profile",IF(B150&lt;=10,"Backup candidate - viable with monitoring","Reserve - evaluate only if primary sites unavailable"))</f>
        <v>Backup candidate - viable with monitoring</v>
      </c>
    </row>
    <row r="151" spans="1:9">
      <c r="A151" t="s">
        <v>69</v>
      </c>
      <c r="B151">
        <v>10</v>
      </c>
      <c r="C151" t="s">
        <v>1381</v>
      </c>
      <c r="D151" t="s">
        <v>1382</v>
      </c>
      <c r="E151" t="s">
        <v>549</v>
      </c>
      <c r="F151">
        <f>INDEX(Site_Evaluation!$K:$K,MATCH(C151,Site_Evaluation!$A:$A,0))</f>
        <v>57</v>
      </c>
      <c r="G151">
        <f>COUNTIFS(Risk_Register!B:B,C151,Risk_Register!G:G,"High")</f>
        <v>1</v>
      </c>
      <c r="H151" t="e">
        <f ca="1">IF(_xludf.MAXIFS(Risk_Register!$L:$L,Risk_Register!$B:$B,C151)=3,"High",IF(_xludf.MAXIFS(Risk_Register!$L:$L,Risk_Register!$B:$B,C151)=2,"Medium","Low"))</f>
        <v>#NAME?</v>
      </c>
      <c r="I151" t="str">
        <f>IF(B151&lt;=3,"Preferred site - strong composite profile",IF(B151&lt;=10,"Backup candidate - viable with monitoring","Reserve - evaluate only if primary sites unavailable"))</f>
        <v>Backup candidate - viable with monitoring</v>
      </c>
    </row>
    <row r="152" spans="1:9">
      <c r="A152" t="s">
        <v>69</v>
      </c>
      <c r="B152">
        <v>11</v>
      </c>
      <c r="C152" t="s">
        <v>930</v>
      </c>
      <c r="D152" t="s">
        <v>931</v>
      </c>
      <c r="E152" t="s">
        <v>520</v>
      </c>
      <c r="F152">
        <f>INDEX(Site_Evaluation!$K:$K,MATCH(C152,Site_Evaluation!$A:$A,0))</f>
        <v>56</v>
      </c>
      <c r="G152">
        <f>COUNTIFS(Risk_Register!B:B,C152,Risk_Register!G:G,"High")</f>
        <v>1</v>
      </c>
      <c r="H152" t="e">
        <f ca="1">IF(_xludf.MAXIFS(Risk_Register!$L:$L,Risk_Register!$B:$B,C152)=3,"High",IF(_xludf.MAXIFS(Risk_Register!$L:$L,Risk_Register!$B:$B,C152)=2,"Medium","Low"))</f>
        <v>#NAME?</v>
      </c>
      <c r="I152" t="str">
        <f>IF(B152&lt;=3,"Preferred site - strong composite profile",IF(B152&lt;=10,"Backup candidate - viable with monitoring","Reserve - evaluate only if primary sites unavailable"))</f>
        <v>Reserve - evaluate only if primary sites unavailable</v>
      </c>
    </row>
    <row r="153" spans="1:9">
      <c r="A153" t="s">
        <v>69</v>
      </c>
      <c r="B153">
        <v>12</v>
      </c>
      <c r="C153" t="s">
        <v>1101</v>
      </c>
      <c r="D153" t="s">
        <v>1102</v>
      </c>
      <c r="E153" t="s">
        <v>531</v>
      </c>
      <c r="F153">
        <f>INDEX(Site_Evaluation!$K:$K,MATCH(C153,Site_Evaluation!$A:$A,0))</f>
        <v>55</v>
      </c>
      <c r="G153">
        <f>COUNTIFS(Risk_Register!B:B,C153,Risk_Register!G:G,"High")</f>
        <v>2</v>
      </c>
      <c r="H153" t="e">
        <f ca="1">IF(_xludf.MAXIFS(Risk_Register!$L:$L,Risk_Register!$B:$B,C153)=3,"High",IF(_xludf.MAXIFS(Risk_Register!$L:$L,Risk_Register!$B:$B,C153)=2,"Medium","Low"))</f>
        <v>#NAME?</v>
      </c>
      <c r="I153" t="str">
        <f>IF(B153&lt;=3,"Preferred site - strong composite profile",IF(B153&lt;=10,"Backup candidate - viable with monitoring","Reserve - evaluate only if primary sites unavailable"))</f>
        <v>Reserve - evaluate only if primary sites unavailable</v>
      </c>
    </row>
    <row r="154" spans="1:9">
      <c r="A154" t="s">
        <v>69</v>
      </c>
      <c r="B154">
        <v>13</v>
      </c>
      <c r="C154" t="s">
        <v>1706</v>
      </c>
      <c r="D154" t="s">
        <v>1707</v>
      </c>
      <c r="E154" t="s">
        <v>578</v>
      </c>
      <c r="F154">
        <f>INDEX(Site_Evaluation!$K:$K,MATCH(C154,Site_Evaluation!$A:$A,0))</f>
        <v>55</v>
      </c>
      <c r="G154">
        <f>COUNTIFS(Risk_Register!B:B,C154,Risk_Register!G:G,"High")</f>
        <v>1</v>
      </c>
      <c r="H154" t="e">
        <f ca="1">IF(_xludf.MAXIFS(Risk_Register!$L:$L,Risk_Register!$B:$B,C154)=3,"High",IF(_xludf.MAXIFS(Risk_Register!$L:$L,Risk_Register!$B:$B,C154)=2,"Medium","Low"))</f>
        <v>#NAME?</v>
      </c>
      <c r="I154" t="str">
        <f>IF(B154&lt;=3,"Preferred site - strong composite profile",IF(B154&lt;=10,"Backup candidate - viable with monitoring","Reserve - evaluate only if primary sites unavailable"))</f>
        <v>Reserve - evaluate only if primary sites unavailable</v>
      </c>
    </row>
    <row r="155" spans="1:9">
      <c r="A155" t="s">
        <v>69</v>
      </c>
      <c r="B155">
        <v>14</v>
      </c>
      <c r="C155" t="s">
        <v>1598</v>
      </c>
      <c r="D155" t="s">
        <v>1599</v>
      </c>
      <c r="E155" t="s">
        <v>576</v>
      </c>
      <c r="F155">
        <f>INDEX(Site_Evaluation!$K:$K,MATCH(C155,Site_Evaluation!$A:$A,0))</f>
        <v>54</v>
      </c>
      <c r="G155">
        <f>COUNTIFS(Risk_Register!B:B,C155,Risk_Register!G:G,"High")</f>
        <v>0</v>
      </c>
      <c r="H155" t="e">
        <f ca="1">IF(_xludf.MAXIFS(Risk_Register!$L:$L,Risk_Register!$B:$B,C155)=3,"High",IF(_xludf.MAXIFS(Risk_Register!$L:$L,Risk_Register!$B:$B,C155)=2,"Medium","Low"))</f>
        <v>#NAME?</v>
      </c>
      <c r="I155" t="str">
        <f>IF(B155&lt;=3,"Preferred site - strong composite profile",IF(B155&lt;=10,"Backup candidate - viable with monitoring","Reserve - evaluate only if primary sites unavailable"))</f>
        <v>Reserve - evaluate only if primary sites unavailable</v>
      </c>
    </row>
    <row r="156" spans="1:9">
      <c r="A156" t="s">
        <v>69</v>
      </c>
      <c r="B156">
        <v>15</v>
      </c>
      <c r="C156" t="s">
        <v>1912</v>
      </c>
      <c r="D156" t="s">
        <v>1913</v>
      </c>
      <c r="E156" t="s">
        <v>602</v>
      </c>
      <c r="F156">
        <f>INDEX(Site_Evaluation!$K:$K,MATCH(C156,Site_Evaluation!$A:$A,0))</f>
        <v>53</v>
      </c>
      <c r="G156">
        <f>COUNTIFS(Risk_Register!B:B,C156,Risk_Register!G:G,"High")</f>
        <v>1</v>
      </c>
      <c r="H156" t="e">
        <f ca="1">IF(_xludf.MAXIFS(Risk_Register!$L:$L,Risk_Register!$B:$B,C156)=3,"High",IF(_xludf.MAXIFS(Risk_Register!$L:$L,Risk_Register!$B:$B,C156)=2,"Medium","Low"))</f>
        <v>#NAME?</v>
      </c>
      <c r="I156" t="str">
        <f>IF(B156&lt;=3,"Preferred site - strong composite profile",IF(B156&lt;=10,"Backup candidate - viable with monitoring","Reserve - evaluate only if primary sites unavailable"))</f>
        <v>Reserve - evaluate only if primary sites unavailable</v>
      </c>
    </row>
    <row r="157" spans="1:9">
      <c r="A157" t="s">
        <v>69</v>
      </c>
      <c r="B157">
        <v>16</v>
      </c>
      <c r="C157" t="s">
        <v>1851</v>
      </c>
      <c r="D157" t="s">
        <v>1852</v>
      </c>
      <c r="E157" t="s">
        <v>596</v>
      </c>
      <c r="F157">
        <f>INDEX(Site_Evaluation!$K:$K,MATCH(C157,Site_Evaluation!$A:$A,0))</f>
        <v>52</v>
      </c>
      <c r="G157">
        <f>COUNTIFS(Risk_Register!B:B,C157,Risk_Register!G:G,"High")</f>
        <v>2</v>
      </c>
      <c r="H157" t="e">
        <f ca="1">IF(_xludf.MAXIFS(Risk_Register!$L:$L,Risk_Register!$B:$B,C157)=3,"High",IF(_xludf.MAXIFS(Risk_Register!$L:$L,Risk_Register!$B:$B,C157)=2,"Medium","Low"))</f>
        <v>#NAME?</v>
      </c>
      <c r="I157" t="str">
        <f>IF(B157&lt;=3,"Preferred site - strong composite profile",IF(B157&lt;=10,"Backup candidate - viable with monitoring","Reserve - evaluate only if primary sites unavailable"))</f>
        <v>Reserve - evaluate only if primary sites unavailable</v>
      </c>
    </row>
    <row r="158" spans="1:9">
      <c r="A158" t="s">
        <v>69</v>
      </c>
      <c r="B158">
        <v>17</v>
      </c>
      <c r="C158" t="s">
        <v>891</v>
      </c>
      <c r="D158" t="s">
        <v>892</v>
      </c>
      <c r="E158" t="s">
        <v>518</v>
      </c>
      <c r="F158">
        <f>INDEX(Site_Evaluation!$K:$K,MATCH(C158,Site_Evaluation!$A:$A,0))</f>
        <v>51</v>
      </c>
      <c r="G158">
        <f>COUNTIFS(Risk_Register!B:B,C158,Risk_Register!G:G,"High")</f>
        <v>1</v>
      </c>
      <c r="H158" t="e">
        <f ca="1">IF(_xludf.MAXIFS(Risk_Register!$L:$L,Risk_Register!$B:$B,C158)=3,"High",IF(_xludf.MAXIFS(Risk_Register!$L:$L,Risk_Register!$B:$B,C158)=2,"Medium","Low"))</f>
        <v>#NAME?</v>
      </c>
      <c r="I158" t="str">
        <f>IF(B158&lt;=3,"Preferred site - strong composite profile",IF(B158&lt;=10,"Backup candidate - viable with monitoring","Reserve - evaluate only if primary sites unavailable"))</f>
        <v>Reserve - evaluate only if primary sites unavailable</v>
      </c>
    </row>
    <row r="159" spans="1:9">
      <c r="A159" t="s">
        <v>69</v>
      </c>
      <c r="B159">
        <v>18</v>
      </c>
      <c r="C159" t="s">
        <v>1584</v>
      </c>
      <c r="D159" t="s">
        <v>1585</v>
      </c>
      <c r="E159" t="s">
        <v>574</v>
      </c>
      <c r="F159">
        <f>INDEX(Site_Evaluation!$K:$K,MATCH(C159,Site_Evaluation!$A:$A,0))</f>
        <v>51</v>
      </c>
      <c r="G159">
        <f>COUNTIFS(Risk_Register!B:B,C159,Risk_Register!G:G,"High")</f>
        <v>4</v>
      </c>
      <c r="H159" t="e">
        <f ca="1">IF(_xludf.MAXIFS(Risk_Register!$L:$L,Risk_Register!$B:$B,C159)=3,"High",IF(_xludf.MAXIFS(Risk_Register!$L:$L,Risk_Register!$B:$B,C159)=2,"Medium","Low"))</f>
        <v>#NAME?</v>
      </c>
      <c r="I159" t="str">
        <f>IF(B159&lt;=3,"Preferred site - strong composite profile",IF(B159&lt;=10,"Backup candidate - viable with monitoring","Reserve - evaluate only if primary sites unavailable"))</f>
        <v>Reserve - evaluate only if primary sites unavailable</v>
      </c>
    </row>
    <row r="160" spans="1:9">
      <c r="A160" t="s">
        <v>69</v>
      </c>
      <c r="B160">
        <v>19</v>
      </c>
      <c r="C160" t="s">
        <v>714</v>
      </c>
      <c r="D160" t="s">
        <v>689</v>
      </c>
      <c r="E160" t="s">
        <v>509</v>
      </c>
      <c r="F160">
        <f>INDEX(Site_Evaluation!$K:$K,MATCH(C160,Site_Evaluation!$A:$A,0))</f>
        <v>50</v>
      </c>
      <c r="G160">
        <f>COUNTIFS(Risk_Register!B:B,C160,Risk_Register!G:G,"High")</f>
        <v>1</v>
      </c>
      <c r="H160" t="e">
        <f ca="1">IF(_xludf.MAXIFS(Risk_Register!$L:$L,Risk_Register!$B:$B,C160)=3,"High",IF(_xludf.MAXIFS(Risk_Register!$L:$L,Risk_Register!$B:$B,C160)=2,"Medium","Low"))</f>
        <v>#NAME?</v>
      </c>
      <c r="I160" t="str">
        <f>IF(B160&lt;=3,"Preferred site - strong composite profile",IF(B160&lt;=10,"Backup candidate - viable with monitoring","Reserve - evaluate only if primary sites unavailable"))</f>
        <v>Reserve - evaluate only if primary sites unavailable</v>
      </c>
    </row>
    <row r="161" spans="1:9">
      <c r="A161" t="s">
        <v>69</v>
      </c>
      <c r="B161">
        <v>20</v>
      </c>
      <c r="C161" t="s">
        <v>778</v>
      </c>
      <c r="D161" t="s">
        <v>779</v>
      </c>
      <c r="E161" t="s">
        <v>514</v>
      </c>
      <c r="F161">
        <f>INDEX(Site_Evaluation!$K:$K,MATCH(C161,Site_Evaluation!$A:$A,0))</f>
        <v>50</v>
      </c>
      <c r="G161">
        <f>COUNTIFS(Risk_Register!B:B,C161,Risk_Register!G:G,"High")</f>
        <v>2</v>
      </c>
      <c r="H161" t="e">
        <f ca="1">IF(_xludf.MAXIFS(Risk_Register!$L:$L,Risk_Register!$B:$B,C161)=3,"High",IF(_xludf.MAXIFS(Risk_Register!$L:$L,Risk_Register!$B:$B,C161)=2,"Medium","Low"))</f>
        <v>#NAME?</v>
      </c>
      <c r="I161" t="str">
        <f>IF(B161&lt;=3,"Preferred site - strong composite profile",IF(B161&lt;=10,"Backup candidate - viable with monitoring","Reserve - evaluate only if primary sites unavailable"))</f>
        <v>Reserve - evaluate only if primary sites unavailable</v>
      </c>
    </row>
    <row r="162" spans="1:9">
      <c r="A162" t="s">
        <v>71</v>
      </c>
      <c r="B162">
        <v>1</v>
      </c>
      <c r="C162" t="s">
        <v>770</v>
      </c>
      <c r="D162" t="s">
        <v>771</v>
      </c>
      <c r="E162" t="s">
        <v>514</v>
      </c>
      <c r="F162">
        <f>INDEX(Site_Evaluation!$K:$K,MATCH(C162,Site_Evaluation!$A:$A,0))</f>
        <v>78</v>
      </c>
      <c r="G162">
        <f>COUNTIFS(Risk_Register!B:B,C162,Risk_Register!G:G,"High")</f>
        <v>0</v>
      </c>
      <c r="H162" t="e">
        <f ca="1">IF(_xludf.MAXIFS(Risk_Register!$L:$L,Risk_Register!$B:$B,C162)=3,"High",IF(_xludf.MAXIFS(Risk_Register!$L:$L,Risk_Register!$B:$B,C162)=2,"Medium","Low"))</f>
        <v>#NAME?</v>
      </c>
      <c r="I162" t="str">
        <f>IF(B162&lt;=3,"Preferred site - strong composite profile",IF(B162&lt;=10,"Backup candidate - viable with monitoring","Reserve - evaluate only if primary sites unavailable"))</f>
        <v>Preferred site - strong composite profile</v>
      </c>
    </row>
    <row r="163" spans="1:9">
      <c r="A163" t="s">
        <v>71</v>
      </c>
      <c r="B163">
        <v>2</v>
      </c>
      <c r="C163" t="s">
        <v>1336</v>
      </c>
      <c r="D163" t="s">
        <v>1337</v>
      </c>
      <c r="E163" t="s">
        <v>547</v>
      </c>
      <c r="F163">
        <f>INDEX(Site_Evaluation!$K:$K,MATCH(C163,Site_Evaluation!$A:$A,0))</f>
        <v>67</v>
      </c>
      <c r="G163">
        <f>COUNTIFS(Risk_Register!B:B,C163,Risk_Register!G:G,"High")</f>
        <v>1</v>
      </c>
      <c r="H163" t="e">
        <f ca="1">IF(_xludf.MAXIFS(Risk_Register!$L:$L,Risk_Register!$B:$B,C163)=3,"High",IF(_xludf.MAXIFS(Risk_Register!$L:$L,Risk_Register!$B:$B,C163)=2,"Medium","Low"))</f>
        <v>#NAME?</v>
      </c>
      <c r="I163" t="str">
        <f>IF(B163&lt;=3,"Preferred site - strong composite profile",IF(B163&lt;=10,"Backup candidate - viable with monitoring","Reserve - evaluate only if primary sites unavailable"))</f>
        <v>Preferred site - strong composite profile</v>
      </c>
    </row>
    <row r="164" spans="1:9">
      <c r="A164" t="s">
        <v>71</v>
      </c>
      <c r="B164">
        <v>3</v>
      </c>
      <c r="C164" t="s">
        <v>1867</v>
      </c>
      <c r="D164" t="s">
        <v>1868</v>
      </c>
      <c r="E164" t="s">
        <v>596</v>
      </c>
      <c r="F164">
        <f>INDEX(Site_Evaluation!$K:$K,MATCH(C164,Site_Evaluation!$A:$A,0))</f>
        <v>66</v>
      </c>
      <c r="G164">
        <f>COUNTIFS(Risk_Register!B:B,C164,Risk_Register!G:G,"High")</f>
        <v>1</v>
      </c>
      <c r="H164" t="e">
        <f ca="1">IF(_xludf.MAXIFS(Risk_Register!$L:$L,Risk_Register!$B:$B,C164)=3,"High",IF(_xludf.MAXIFS(Risk_Register!$L:$L,Risk_Register!$B:$B,C164)=2,"Medium","Low"))</f>
        <v>#NAME?</v>
      </c>
      <c r="I164" t="str">
        <f>IF(B164&lt;=3,"Preferred site - strong composite profile",IF(B164&lt;=10,"Backup candidate - viable with monitoring","Reserve - evaluate only if primary sites unavailable"))</f>
        <v>Preferred site - strong composite profile</v>
      </c>
    </row>
    <row r="165" spans="1:9">
      <c r="A165" t="s">
        <v>71</v>
      </c>
      <c r="B165">
        <v>4</v>
      </c>
      <c r="C165" t="s">
        <v>1925</v>
      </c>
      <c r="D165" t="s">
        <v>1926</v>
      </c>
      <c r="E165" t="s">
        <v>604</v>
      </c>
      <c r="F165">
        <f>INDEX(Site_Evaluation!$K:$K,MATCH(C165,Site_Evaluation!$A:$A,0))</f>
        <v>65</v>
      </c>
      <c r="G165">
        <f>COUNTIFS(Risk_Register!B:B,C165,Risk_Register!G:G,"High")</f>
        <v>0</v>
      </c>
      <c r="H165" t="e">
        <f ca="1">IF(_xludf.MAXIFS(Risk_Register!$L:$L,Risk_Register!$B:$B,C165)=3,"High",IF(_xludf.MAXIFS(Risk_Register!$L:$L,Risk_Register!$B:$B,C165)=2,"Medium","Low"))</f>
        <v>#NAME?</v>
      </c>
      <c r="I165" t="str">
        <f>IF(B165&lt;=3,"Preferred site - strong composite profile",IF(B165&lt;=10,"Backup candidate - viable with monitoring","Reserve - evaluate only if primary sites unavailable"))</f>
        <v>Backup candidate - viable with monitoring</v>
      </c>
    </row>
    <row r="166" spans="1:9">
      <c r="A166" t="s">
        <v>71</v>
      </c>
      <c r="B166">
        <v>5</v>
      </c>
      <c r="C166" t="s">
        <v>741</v>
      </c>
      <c r="D166" t="s">
        <v>729</v>
      </c>
      <c r="E166" t="s">
        <v>510</v>
      </c>
      <c r="F166">
        <f>INDEX(Site_Evaluation!$K:$K,MATCH(C166,Site_Evaluation!$A:$A,0))</f>
        <v>62</v>
      </c>
      <c r="G166">
        <f>COUNTIFS(Risk_Register!B:B,C166,Risk_Register!G:G,"High")</f>
        <v>3</v>
      </c>
      <c r="H166" t="e">
        <f ca="1">IF(_xludf.MAXIFS(Risk_Register!$L:$L,Risk_Register!$B:$B,C166)=3,"High",IF(_xludf.MAXIFS(Risk_Register!$L:$L,Risk_Register!$B:$B,C166)=2,"Medium","Low"))</f>
        <v>#NAME?</v>
      </c>
      <c r="I166" t="str">
        <f>IF(B166&lt;=3,"Preferred site - strong composite profile",IF(B166&lt;=10,"Backup candidate - viable with monitoring","Reserve - evaluate only if primary sites unavailable"))</f>
        <v>Backup candidate - viable with monitoring</v>
      </c>
    </row>
    <row r="167" spans="1:9">
      <c r="A167" t="s">
        <v>71</v>
      </c>
      <c r="B167">
        <v>6</v>
      </c>
      <c r="C167" t="s">
        <v>1117</v>
      </c>
      <c r="D167" t="s">
        <v>1118</v>
      </c>
      <c r="E167" t="s">
        <v>533</v>
      </c>
      <c r="F167">
        <f>INDEX(Site_Evaluation!$K:$K,MATCH(C167,Site_Evaluation!$A:$A,0))</f>
        <v>62</v>
      </c>
      <c r="G167">
        <f>COUNTIFS(Risk_Register!B:B,C167,Risk_Register!G:G,"High")</f>
        <v>1</v>
      </c>
      <c r="H167" t="e">
        <f ca="1">IF(_xludf.MAXIFS(Risk_Register!$L:$L,Risk_Register!$B:$B,C167)=3,"High",IF(_xludf.MAXIFS(Risk_Register!$L:$L,Risk_Register!$B:$B,C167)=2,"Medium","Low"))</f>
        <v>#NAME?</v>
      </c>
      <c r="I167" t="str">
        <f>IF(B167&lt;=3,"Preferred site - strong composite profile",IF(B167&lt;=10,"Backup candidate - viable with monitoring","Reserve - evaluate only if primary sites unavailable"))</f>
        <v>Backup candidate - viable with monitoring</v>
      </c>
    </row>
    <row r="168" spans="1:9">
      <c r="A168" t="s">
        <v>71</v>
      </c>
      <c r="B168">
        <v>7</v>
      </c>
      <c r="C168" t="s">
        <v>1838</v>
      </c>
      <c r="D168" t="s">
        <v>1839</v>
      </c>
      <c r="E168" t="s">
        <v>594</v>
      </c>
      <c r="F168">
        <f>INDEX(Site_Evaluation!$K:$K,MATCH(C168,Site_Evaluation!$A:$A,0))</f>
        <v>62</v>
      </c>
      <c r="G168">
        <f>COUNTIFS(Risk_Register!B:B,C168,Risk_Register!G:G,"High")</f>
        <v>2</v>
      </c>
      <c r="H168" t="e">
        <f ca="1">IF(_xludf.MAXIFS(Risk_Register!$L:$L,Risk_Register!$B:$B,C168)=3,"High",IF(_xludf.MAXIFS(Risk_Register!$L:$L,Risk_Register!$B:$B,C168)=2,"Medium","Low"))</f>
        <v>#NAME?</v>
      </c>
      <c r="I168" t="str">
        <f>IF(B168&lt;=3,"Preferred site - strong composite profile",IF(B168&lt;=10,"Backup candidate - viable with monitoring","Reserve - evaluate only if primary sites unavailable"))</f>
        <v>Backup candidate - viable with monitoring</v>
      </c>
    </row>
    <row r="169" spans="1:9">
      <c r="A169" t="s">
        <v>71</v>
      </c>
      <c r="B169">
        <v>8</v>
      </c>
      <c r="C169" t="s">
        <v>869</v>
      </c>
      <c r="D169" t="s">
        <v>870</v>
      </c>
      <c r="E169" t="s">
        <v>516</v>
      </c>
      <c r="F169">
        <f>INDEX(Site_Evaluation!$K:$K,MATCH(C169,Site_Evaluation!$A:$A,0))</f>
        <v>60</v>
      </c>
      <c r="G169">
        <f>COUNTIFS(Risk_Register!B:B,C169,Risk_Register!G:G,"High")</f>
        <v>1</v>
      </c>
      <c r="H169" t="e">
        <f ca="1">IF(_xludf.MAXIFS(Risk_Register!$L:$L,Risk_Register!$B:$B,C169)=3,"High",IF(_xludf.MAXIFS(Risk_Register!$L:$L,Risk_Register!$B:$B,C169)=2,"Medium","Low"))</f>
        <v>#NAME?</v>
      </c>
      <c r="I169" t="str">
        <f>IF(B169&lt;=3,"Preferred site - strong composite profile",IF(B169&lt;=10,"Backup candidate - viable with monitoring","Reserve - evaluate only if primary sites unavailable"))</f>
        <v>Backup candidate - viable with monitoring</v>
      </c>
    </row>
    <row r="170" spans="1:9">
      <c r="A170" t="s">
        <v>71</v>
      </c>
      <c r="B170">
        <v>9</v>
      </c>
      <c r="C170" t="s">
        <v>1718</v>
      </c>
      <c r="D170" t="s">
        <v>1719</v>
      </c>
      <c r="E170" t="s">
        <v>580</v>
      </c>
      <c r="F170">
        <f>INDEX(Site_Evaluation!$K:$K,MATCH(C170,Site_Evaluation!$A:$A,0))</f>
        <v>59</v>
      </c>
      <c r="G170">
        <f>COUNTIFS(Risk_Register!B:B,C170,Risk_Register!G:G,"High")</f>
        <v>0</v>
      </c>
      <c r="H170" t="e">
        <f ca="1">IF(_xludf.MAXIFS(Risk_Register!$L:$L,Risk_Register!$B:$B,C170)=3,"High",IF(_xludf.MAXIFS(Risk_Register!$L:$L,Risk_Register!$B:$B,C170)=2,"Medium","Low"))</f>
        <v>#NAME?</v>
      </c>
      <c r="I170" t="str">
        <f>IF(B170&lt;=3,"Preferred site - strong composite profile",IF(B170&lt;=10,"Backup candidate - viable with monitoring","Reserve - evaluate only if primary sites unavailable"))</f>
        <v>Backup candidate - viable with monitoring</v>
      </c>
    </row>
    <row r="171" spans="1:9">
      <c r="A171" t="s">
        <v>71</v>
      </c>
      <c r="B171">
        <v>10</v>
      </c>
      <c r="C171" t="s">
        <v>1381</v>
      </c>
      <c r="D171" t="s">
        <v>1382</v>
      </c>
      <c r="E171" t="s">
        <v>549</v>
      </c>
      <c r="F171">
        <f>INDEX(Site_Evaluation!$K:$K,MATCH(C171,Site_Evaluation!$A:$A,0))</f>
        <v>57</v>
      </c>
      <c r="G171">
        <f>COUNTIFS(Risk_Register!B:B,C171,Risk_Register!G:G,"High")</f>
        <v>1</v>
      </c>
      <c r="H171" t="e">
        <f ca="1">IF(_xludf.MAXIFS(Risk_Register!$L:$L,Risk_Register!$B:$B,C171)=3,"High",IF(_xludf.MAXIFS(Risk_Register!$L:$L,Risk_Register!$B:$B,C171)=2,"Medium","Low"))</f>
        <v>#NAME?</v>
      </c>
      <c r="I171" t="str">
        <f>IF(B171&lt;=3,"Preferred site - strong composite profile",IF(B171&lt;=10,"Backup candidate - viable with monitoring","Reserve - evaluate only if primary sites unavailable"))</f>
        <v>Backup candidate - viable with monitoring</v>
      </c>
    </row>
    <row r="172" spans="1:9">
      <c r="A172" t="s">
        <v>71</v>
      </c>
      <c r="B172">
        <v>11</v>
      </c>
      <c r="C172" t="s">
        <v>930</v>
      </c>
      <c r="D172" t="s">
        <v>931</v>
      </c>
      <c r="E172" t="s">
        <v>520</v>
      </c>
      <c r="F172">
        <f>INDEX(Site_Evaluation!$K:$K,MATCH(C172,Site_Evaluation!$A:$A,0))</f>
        <v>56</v>
      </c>
      <c r="G172">
        <f>COUNTIFS(Risk_Register!B:B,C172,Risk_Register!G:G,"High")</f>
        <v>1</v>
      </c>
      <c r="H172" t="e">
        <f ca="1">IF(_xludf.MAXIFS(Risk_Register!$L:$L,Risk_Register!$B:$B,C172)=3,"High",IF(_xludf.MAXIFS(Risk_Register!$L:$L,Risk_Register!$B:$B,C172)=2,"Medium","Low"))</f>
        <v>#NAME?</v>
      </c>
      <c r="I172" t="str">
        <f>IF(B172&lt;=3,"Preferred site - strong composite profile",IF(B172&lt;=10,"Backup candidate - viable with monitoring","Reserve - evaluate only if primary sites unavailable"))</f>
        <v>Reserve - evaluate only if primary sites unavailable</v>
      </c>
    </row>
    <row r="173" spans="1:9">
      <c r="A173" t="s">
        <v>71</v>
      </c>
      <c r="B173">
        <v>12</v>
      </c>
      <c r="C173" t="s">
        <v>1101</v>
      </c>
      <c r="D173" t="s">
        <v>1102</v>
      </c>
      <c r="E173" t="s">
        <v>531</v>
      </c>
      <c r="F173">
        <f>INDEX(Site_Evaluation!$K:$K,MATCH(C173,Site_Evaluation!$A:$A,0))</f>
        <v>55</v>
      </c>
      <c r="G173">
        <f>COUNTIFS(Risk_Register!B:B,C173,Risk_Register!G:G,"High")</f>
        <v>2</v>
      </c>
      <c r="H173" t="e">
        <f ca="1">IF(_xludf.MAXIFS(Risk_Register!$L:$L,Risk_Register!$B:$B,C173)=3,"High",IF(_xludf.MAXIFS(Risk_Register!$L:$L,Risk_Register!$B:$B,C173)=2,"Medium","Low"))</f>
        <v>#NAME?</v>
      </c>
      <c r="I173" t="str">
        <f>IF(B173&lt;=3,"Preferred site - strong composite profile",IF(B173&lt;=10,"Backup candidate - viable with monitoring","Reserve - evaluate only if primary sites unavailable"))</f>
        <v>Reserve - evaluate only if primary sites unavailable</v>
      </c>
    </row>
    <row r="174" spans="1:9">
      <c r="A174" t="s">
        <v>71</v>
      </c>
      <c r="B174">
        <v>13</v>
      </c>
      <c r="C174" t="s">
        <v>1706</v>
      </c>
      <c r="D174" t="s">
        <v>1707</v>
      </c>
      <c r="E174" t="s">
        <v>578</v>
      </c>
      <c r="F174">
        <f>INDEX(Site_Evaluation!$K:$K,MATCH(C174,Site_Evaluation!$A:$A,0))</f>
        <v>55</v>
      </c>
      <c r="G174">
        <f>COUNTIFS(Risk_Register!B:B,C174,Risk_Register!G:G,"High")</f>
        <v>1</v>
      </c>
      <c r="H174" t="e">
        <f ca="1">IF(_xludf.MAXIFS(Risk_Register!$L:$L,Risk_Register!$B:$B,C174)=3,"High",IF(_xludf.MAXIFS(Risk_Register!$L:$L,Risk_Register!$B:$B,C174)=2,"Medium","Low"))</f>
        <v>#NAME?</v>
      </c>
      <c r="I174" t="str">
        <f>IF(B174&lt;=3,"Preferred site - strong composite profile",IF(B174&lt;=10,"Backup candidate - viable with monitoring","Reserve - evaluate only if primary sites unavailable"))</f>
        <v>Reserve - evaluate only if primary sites unavailable</v>
      </c>
    </row>
    <row r="175" spans="1:9">
      <c r="A175" t="s">
        <v>71</v>
      </c>
      <c r="B175">
        <v>14</v>
      </c>
      <c r="C175" t="s">
        <v>1598</v>
      </c>
      <c r="D175" t="s">
        <v>1599</v>
      </c>
      <c r="E175" t="s">
        <v>576</v>
      </c>
      <c r="F175">
        <f>INDEX(Site_Evaluation!$K:$K,MATCH(C175,Site_Evaluation!$A:$A,0))</f>
        <v>54</v>
      </c>
      <c r="G175">
        <f>COUNTIFS(Risk_Register!B:B,C175,Risk_Register!G:G,"High")</f>
        <v>0</v>
      </c>
      <c r="H175" t="e">
        <f ca="1">IF(_xludf.MAXIFS(Risk_Register!$L:$L,Risk_Register!$B:$B,C175)=3,"High",IF(_xludf.MAXIFS(Risk_Register!$L:$L,Risk_Register!$B:$B,C175)=2,"Medium","Low"))</f>
        <v>#NAME?</v>
      </c>
      <c r="I175" t="str">
        <f>IF(B175&lt;=3,"Preferred site - strong composite profile",IF(B175&lt;=10,"Backup candidate - viable with monitoring","Reserve - evaluate only if primary sites unavailable"))</f>
        <v>Reserve - evaluate only if primary sites unavailable</v>
      </c>
    </row>
    <row r="176" spans="1:9">
      <c r="A176" t="s">
        <v>71</v>
      </c>
      <c r="B176">
        <v>15</v>
      </c>
      <c r="C176" t="s">
        <v>1912</v>
      </c>
      <c r="D176" t="s">
        <v>1913</v>
      </c>
      <c r="E176" t="s">
        <v>602</v>
      </c>
      <c r="F176">
        <f>INDEX(Site_Evaluation!$K:$K,MATCH(C176,Site_Evaluation!$A:$A,0))</f>
        <v>53</v>
      </c>
      <c r="G176">
        <f>COUNTIFS(Risk_Register!B:B,C176,Risk_Register!G:G,"High")</f>
        <v>1</v>
      </c>
      <c r="H176" t="e">
        <f ca="1">IF(_xludf.MAXIFS(Risk_Register!$L:$L,Risk_Register!$B:$B,C176)=3,"High",IF(_xludf.MAXIFS(Risk_Register!$L:$L,Risk_Register!$B:$B,C176)=2,"Medium","Low"))</f>
        <v>#NAME?</v>
      </c>
      <c r="I176" t="str">
        <f>IF(B176&lt;=3,"Preferred site - strong composite profile",IF(B176&lt;=10,"Backup candidate - viable with monitoring","Reserve - evaluate only if primary sites unavailable"))</f>
        <v>Reserve - evaluate only if primary sites unavailable</v>
      </c>
    </row>
    <row r="177" spans="1:9">
      <c r="A177" t="s">
        <v>71</v>
      </c>
      <c r="B177">
        <v>16</v>
      </c>
      <c r="C177" t="s">
        <v>1851</v>
      </c>
      <c r="D177" t="s">
        <v>1852</v>
      </c>
      <c r="E177" t="s">
        <v>596</v>
      </c>
      <c r="F177">
        <f>INDEX(Site_Evaluation!$K:$K,MATCH(C177,Site_Evaluation!$A:$A,0))</f>
        <v>52</v>
      </c>
      <c r="G177">
        <f>COUNTIFS(Risk_Register!B:B,C177,Risk_Register!G:G,"High")</f>
        <v>2</v>
      </c>
      <c r="H177" t="e">
        <f ca="1">IF(_xludf.MAXIFS(Risk_Register!$L:$L,Risk_Register!$B:$B,C177)=3,"High",IF(_xludf.MAXIFS(Risk_Register!$L:$L,Risk_Register!$B:$B,C177)=2,"Medium","Low"))</f>
        <v>#NAME?</v>
      </c>
      <c r="I177" t="str">
        <f>IF(B177&lt;=3,"Preferred site - strong composite profile",IF(B177&lt;=10,"Backup candidate - viable with monitoring","Reserve - evaluate only if primary sites unavailable"))</f>
        <v>Reserve - evaluate only if primary sites unavailable</v>
      </c>
    </row>
    <row r="178" spans="1:9">
      <c r="A178" t="s">
        <v>71</v>
      </c>
      <c r="B178">
        <v>17</v>
      </c>
      <c r="C178" t="s">
        <v>891</v>
      </c>
      <c r="D178" t="s">
        <v>892</v>
      </c>
      <c r="E178" t="s">
        <v>518</v>
      </c>
      <c r="F178">
        <f>INDEX(Site_Evaluation!$K:$K,MATCH(C178,Site_Evaluation!$A:$A,0))</f>
        <v>51</v>
      </c>
      <c r="G178">
        <f>COUNTIFS(Risk_Register!B:B,C178,Risk_Register!G:G,"High")</f>
        <v>1</v>
      </c>
      <c r="H178" t="e">
        <f ca="1">IF(_xludf.MAXIFS(Risk_Register!$L:$L,Risk_Register!$B:$B,C178)=3,"High",IF(_xludf.MAXIFS(Risk_Register!$L:$L,Risk_Register!$B:$B,C178)=2,"Medium","Low"))</f>
        <v>#NAME?</v>
      </c>
      <c r="I178" t="str">
        <f>IF(B178&lt;=3,"Preferred site - strong composite profile",IF(B178&lt;=10,"Backup candidate - viable with monitoring","Reserve - evaluate only if primary sites unavailable"))</f>
        <v>Reserve - evaluate only if primary sites unavailable</v>
      </c>
    </row>
    <row r="179" spans="1:9">
      <c r="A179" t="s">
        <v>71</v>
      </c>
      <c r="B179">
        <v>18</v>
      </c>
      <c r="C179" t="s">
        <v>1584</v>
      </c>
      <c r="D179" t="s">
        <v>1585</v>
      </c>
      <c r="E179" t="s">
        <v>574</v>
      </c>
      <c r="F179">
        <f>INDEX(Site_Evaluation!$K:$K,MATCH(C179,Site_Evaluation!$A:$A,0))</f>
        <v>51</v>
      </c>
      <c r="G179">
        <f>COUNTIFS(Risk_Register!B:B,C179,Risk_Register!G:G,"High")</f>
        <v>4</v>
      </c>
      <c r="H179" t="e">
        <f ca="1">IF(_xludf.MAXIFS(Risk_Register!$L:$L,Risk_Register!$B:$B,C179)=3,"High",IF(_xludf.MAXIFS(Risk_Register!$L:$L,Risk_Register!$B:$B,C179)=2,"Medium","Low"))</f>
        <v>#NAME?</v>
      </c>
      <c r="I179" t="str">
        <f>IF(B179&lt;=3,"Preferred site - strong composite profile",IF(B179&lt;=10,"Backup candidate - viable with monitoring","Reserve - evaluate only if primary sites unavailable"))</f>
        <v>Reserve - evaluate only if primary sites unavailable</v>
      </c>
    </row>
    <row r="180" spans="1:9">
      <c r="A180" t="s">
        <v>71</v>
      </c>
      <c r="B180">
        <v>19</v>
      </c>
      <c r="C180" t="s">
        <v>714</v>
      </c>
      <c r="D180" t="s">
        <v>689</v>
      </c>
      <c r="E180" t="s">
        <v>509</v>
      </c>
      <c r="F180">
        <f>INDEX(Site_Evaluation!$K:$K,MATCH(C180,Site_Evaluation!$A:$A,0))</f>
        <v>50</v>
      </c>
      <c r="G180">
        <f>COUNTIFS(Risk_Register!B:B,C180,Risk_Register!G:G,"High")</f>
        <v>1</v>
      </c>
      <c r="H180" t="e">
        <f ca="1">IF(_xludf.MAXIFS(Risk_Register!$L:$L,Risk_Register!$B:$B,C180)=3,"High",IF(_xludf.MAXIFS(Risk_Register!$L:$L,Risk_Register!$B:$B,C180)=2,"Medium","Low"))</f>
        <v>#NAME?</v>
      </c>
      <c r="I180" t="str">
        <f>IF(B180&lt;=3,"Preferred site - strong composite profile",IF(B180&lt;=10,"Backup candidate - viable with monitoring","Reserve - evaluate only if primary sites unavailable"))</f>
        <v>Reserve - evaluate only if primary sites unavailable</v>
      </c>
    </row>
    <row r="181" spans="1:9">
      <c r="A181" t="s">
        <v>71</v>
      </c>
      <c r="B181">
        <v>20</v>
      </c>
      <c r="C181" t="s">
        <v>778</v>
      </c>
      <c r="D181" t="s">
        <v>779</v>
      </c>
      <c r="E181" t="s">
        <v>514</v>
      </c>
      <c r="F181">
        <f>INDEX(Site_Evaluation!$K:$K,MATCH(C181,Site_Evaluation!$A:$A,0))</f>
        <v>50</v>
      </c>
      <c r="G181">
        <f>COUNTIFS(Risk_Register!B:B,C181,Risk_Register!G:G,"High")</f>
        <v>2</v>
      </c>
      <c r="H181" t="e">
        <f ca="1">IF(_xludf.MAXIFS(Risk_Register!$L:$L,Risk_Register!$B:$B,C181)=3,"High",IF(_xludf.MAXIFS(Risk_Register!$L:$L,Risk_Register!$B:$B,C181)=2,"Medium","Low"))</f>
        <v>#NAME?</v>
      </c>
      <c r="I181" t="str">
        <f>IF(B181&lt;=3,"Preferred site - strong composite profile",IF(B181&lt;=10,"Backup candidate - viable with monitoring","Reserve - evaluate only if primary sites unavailable"))</f>
        <v>Reserve - evaluate only if primary sites unavailable</v>
      </c>
    </row>
    <row r="182" spans="1:9">
      <c r="A182" t="s">
        <v>72</v>
      </c>
      <c r="B182">
        <v>1</v>
      </c>
      <c r="C182" t="s">
        <v>1669</v>
      </c>
      <c r="D182" t="s">
        <v>1670</v>
      </c>
      <c r="E182" t="s">
        <v>578</v>
      </c>
      <c r="F182">
        <f>INDEX(Site_Evaluation!$K:$K,MATCH(C182,Site_Evaluation!$A:$A,0))</f>
        <v>73</v>
      </c>
      <c r="G182">
        <f>COUNTIFS(Risk_Register!B:B,C182,Risk_Register!G:G,"High")</f>
        <v>1</v>
      </c>
      <c r="H182" t="e">
        <f ca="1">IF(_xludf.MAXIFS(Risk_Register!$L:$L,Risk_Register!$B:$B,C182)=3,"High",IF(_xludf.MAXIFS(Risk_Register!$L:$L,Risk_Register!$B:$B,C182)=2,"Medium","Low"))</f>
        <v>#NAME?</v>
      </c>
      <c r="I182" t="str">
        <f>IF(B182&lt;=3,"Preferred site - strong composite profile",IF(B182&lt;=10,"Backup candidate - viable with monitoring","Reserve - evaluate only if primary sites unavailable"))</f>
        <v>Preferred site - strong composite profile</v>
      </c>
    </row>
    <row r="183" spans="1:9">
      <c r="A183" t="s">
        <v>72</v>
      </c>
      <c r="B183">
        <v>2</v>
      </c>
      <c r="C183" t="s">
        <v>1619</v>
      </c>
      <c r="D183" t="s">
        <v>1620</v>
      </c>
      <c r="E183" t="s">
        <v>576</v>
      </c>
      <c r="F183">
        <f>INDEX(Site_Evaluation!$K:$K,MATCH(C183,Site_Evaluation!$A:$A,0))</f>
        <v>71</v>
      </c>
      <c r="G183">
        <f>COUNTIFS(Risk_Register!B:B,C183,Risk_Register!G:G,"High")</f>
        <v>1</v>
      </c>
      <c r="H183" t="e">
        <f ca="1">IF(_xludf.MAXIFS(Risk_Register!$L:$L,Risk_Register!$B:$B,C183)=3,"High",IF(_xludf.MAXIFS(Risk_Register!$L:$L,Risk_Register!$B:$B,C183)=2,"Medium","Low"))</f>
        <v>#NAME?</v>
      </c>
      <c r="I183" t="str">
        <f>IF(B183&lt;=3,"Preferred site - strong composite profile",IF(B183&lt;=10,"Backup candidate - viable with monitoring","Reserve - evaluate only if primary sites unavailable"))</f>
        <v>Preferred site - strong composite profile</v>
      </c>
    </row>
    <row r="184" spans="1:9">
      <c r="A184" t="s">
        <v>72</v>
      </c>
      <c r="B184">
        <v>3</v>
      </c>
      <c r="C184" t="s">
        <v>1456</v>
      </c>
      <c r="D184" t="s">
        <v>1457</v>
      </c>
      <c r="E184" t="s">
        <v>556</v>
      </c>
      <c r="F184">
        <f>INDEX(Site_Evaluation!$K:$K,MATCH(C184,Site_Evaluation!$A:$A,0))</f>
        <v>65</v>
      </c>
      <c r="G184">
        <f>COUNTIFS(Risk_Register!B:B,C184,Risk_Register!G:G,"High")</f>
        <v>0</v>
      </c>
      <c r="H184" t="e">
        <f ca="1">IF(_xludf.MAXIFS(Risk_Register!$L:$L,Risk_Register!$B:$B,C184)=3,"High",IF(_xludf.MAXIFS(Risk_Register!$L:$L,Risk_Register!$B:$B,C184)=2,"Medium","Low"))</f>
        <v>#NAME?</v>
      </c>
      <c r="I184" t="str">
        <f>IF(B184&lt;=3,"Preferred site - strong composite profile",IF(B184&lt;=10,"Backup candidate - viable with monitoring","Reserve - evaluate only if primary sites unavailable"))</f>
        <v>Preferred site - strong composite profile</v>
      </c>
    </row>
    <row r="185" spans="1:9">
      <c r="A185" t="s">
        <v>72</v>
      </c>
      <c r="B185">
        <v>4</v>
      </c>
      <c r="C185" t="s">
        <v>1737</v>
      </c>
      <c r="D185" t="s">
        <v>1738</v>
      </c>
      <c r="E185" t="s">
        <v>582</v>
      </c>
      <c r="F185">
        <f>INDEX(Site_Evaluation!$K:$K,MATCH(C185,Site_Evaluation!$A:$A,0))</f>
        <v>61</v>
      </c>
      <c r="G185">
        <f>COUNTIFS(Risk_Register!B:B,C185,Risk_Register!G:G,"High")</f>
        <v>3</v>
      </c>
      <c r="H185" t="e">
        <f ca="1">IF(_xludf.MAXIFS(Risk_Register!$L:$L,Risk_Register!$B:$B,C185)=3,"High",IF(_xludf.MAXIFS(Risk_Register!$L:$L,Risk_Register!$B:$B,C185)=2,"Medium","Low"))</f>
        <v>#NAME?</v>
      </c>
      <c r="I185" t="str">
        <f>IF(B185&lt;=3,"Preferred site - strong composite profile",IF(B185&lt;=10,"Backup candidate - viable with monitoring","Reserve - evaluate only if primary sites unavailable"))</f>
        <v>Backup candidate - viable with monitoring</v>
      </c>
    </row>
    <row r="186" spans="1:9">
      <c r="A186" t="s">
        <v>72</v>
      </c>
      <c r="B186">
        <v>5</v>
      </c>
      <c r="C186" t="s">
        <v>1695</v>
      </c>
      <c r="D186" t="s">
        <v>1696</v>
      </c>
      <c r="E186" t="s">
        <v>578</v>
      </c>
      <c r="F186">
        <f>INDEX(Site_Evaluation!$K:$K,MATCH(C186,Site_Evaluation!$A:$A,0))</f>
        <v>59</v>
      </c>
      <c r="G186">
        <f>COUNTIFS(Risk_Register!B:B,C186,Risk_Register!G:G,"High")</f>
        <v>0</v>
      </c>
      <c r="H186" t="e">
        <f ca="1">IF(_xludf.MAXIFS(Risk_Register!$L:$L,Risk_Register!$B:$B,C186)=3,"High",IF(_xludf.MAXIFS(Risk_Register!$L:$L,Risk_Register!$B:$B,C186)=2,"Medium","Low"))</f>
        <v>#NAME?</v>
      </c>
      <c r="I186" t="str">
        <f>IF(B186&lt;=3,"Preferred site - strong composite profile",IF(B186&lt;=10,"Backup candidate - viable with monitoring","Reserve - evaluate only if primary sites unavailable"))</f>
        <v>Backup candidate - viable with monitoring</v>
      </c>
    </row>
    <row r="187" spans="1:9">
      <c r="A187" t="s">
        <v>72</v>
      </c>
      <c r="B187">
        <v>6</v>
      </c>
      <c r="C187" t="s">
        <v>1029</v>
      </c>
      <c r="D187" t="s">
        <v>1030</v>
      </c>
      <c r="E187" t="s">
        <v>527</v>
      </c>
      <c r="F187">
        <f>INDEX(Site_Evaluation!$K:$K,MATCH(C187,Site_Evaluation!$A:$A,0))</f>
        <v>57</v>
      </c>
      <c r="G187">
        <f>COUNTIFS(Risk_Register!B:B,C187,Risk_Register!G:G,"High")</f>
        <v>2</v>
      </c>
      <c r="H187" t="e">
        <f ca="1">IF(_xludf.MAXIFS(Risk_Register!$L:$L,Risk_Register!$B:$B,C187)=3,"High",IF(_xludf.MAXIFS(Risk_Register!$L:$L,Risk_Register!$B:$B,C187)=2,"Medium","Low"))</f>
        <v>#NAME?</v>
      </c>
      <c r="I187" t="str">
        <f>IF(B187&lt;=3,"Preferred site - strong composite profile",IF(B187&lt;=10,"Backup candidate - viable with monitoring","Reserve - evaluate only if primary sites unavailable"))</f>
        <v>Backup candidate - viable with monitoring</v>
      </c>
    </row>
    <row r="188" spans="1:9">
      <c r="A188" t="s">
        <v>72</v>
      </c>
      <c r="B188">
        <v>7</v>
      </c>
      <c r="C188" t="s">
        <v>1601</v>
      </c>
      <c r="D188" t="s">
        <v>1602</v>
      </c>
      <c r="E188" t="s">
        <v>576</v>
      </c>
      <c r="F188">
        <f>INDEX(Site_Evaluation!$K:$K,MATCH(C188,Site_Evaluation!$A:$A,0))</f>
        <v>57</v>
      </c>
      <c r="G188">
        <f>COUNTIFS(Risk_Register!B:B,C188,Risk_Register!G:G,"High")</f>
        <v>2</v>
      </c>
      <c r="H188" t="e">
        <f ca="1">IF(_xludf.MAXIFS(Risk_Register!$L:$L,Risk_Register!$B:$B,C188)=3,"High",IF(_xludf.MAXIFS(Risk_Register!$L:$L,Risk_Register!$B:$B,C188)=2,"Medium","Low"))</f>
        <v>#NAME?</v>
      </c>
      <c r="I188" t="str">
        <f>IF(B188&lt;=3,"Preferred site - strong composite profile",IF(B188&lt;=10,"Backup candidate - viable with monitoring","Reserve - evaluate only if primary sites unavailable"))</f>
        <v>Backup candidate - viable with monitoring</v>
      </c>
    </row>
    <row r="189" spans="1:9">
      <c r="A189" t="s">
        <v>72</v>
      </c>
      <c r="B189">
        <v>8</v>
      </c>
      <c r="C189" t="s">
        <v>845</v>
      </c>
      <c r="D189" t="s">
        <v>846</v>
      </c>
      <c r="E189" t="s">
        <v>516</v>
      </c>
      <c r="F189">
        <f>INDEX(Site_Evaluation!$K:$K,MATCH(C189,Site_Evaluation!$A:$A,0))</f>
        <v>56</v>
      </c>
      <c r="G189">
        <f>COUNTIFS(Risk_Register!B:B,C189,Risk_Register!G:G,"High")</f>
        <v>0</v>
      </c>
      <c r="H189" t="e">
        <f ca="1">IF(_xludf.MAXIFS(Risk_Register!$L:$L,Risk_Register!$B:$B,C189)=3,"High",IF(_xludf.MAXIFS(Risk_Register!$L:$L,Risk_Register!$B:$B,C189)=2,"Medium","Low"))</f>
        <v>#NAME?</v>
      </c>
      <c r="I189" t="str">
        <f>IF(B189&lt;=3,"Preferred site - strong composite profile",IF(B189&lt;=10,"Backup candidate - viable with monitoring","Reserve - evaluate only if primary sites unavailable"))</f>
        <v>Backup candidate - viable with monitoring</v>
      </c>
    </row>
    <row r="190" spans="1:9">
      <c r="A190" t="s">
        <v>72</v>
      </c>
      <c r="B190">
        <v>9</v>
      </c>
      <c r="C190" t="s">
        <v>863</v>
      </c>
      <c r="D190" t="s">
        <v>864</v>
      </c>
      <c r="E190" t="s">
        <v>516</v>
      </c>
      <c r="F190">
        <f>INDEX(Site_Evaluation!$K:$K,MATCH(C190,Site_Evaluation!$A:$A,0))</f>
        <v>56</v>
      </c>
      <c r="G190">
        <f>COUNTIFS(Risk_Register!B:B,C190,Risk_Register!G:G,"High")</f>
        <v>2</v>
      </c>
      <c r="H190" t="e">
        <f ca="1">IF(_xludf.MAXIFS(Risk_Register!$L:$L,Risk_Register!$B:$B,C190)=3,"High",IF(_xludf.MAXIFS(Risk_Register!$L:$L,Risk_Register!$B:$B,C190)=2,"Medium","Low"))</f>
        <v>#NAME?</v>
      </c>
      <c r="I190" t="str">
        <f>IF(B190&lt;=3,"Preferred site - strong composite profile",IF(B190&lt;=10,"Backup candidate - viable with monitoring","Reserve - evaluate only if primary sites unavailable"))</f>
        <v>Backup candidate - viable with monitoring</v>
      </c>
    </row>
    <row r="191" spans="1:9">
      <c r="A191" t="s">
        <v>72</v>
      </c>
      <c r="B191">
        <v>10</v>
      </c>
      <c r="C191" t="s">
        <v>1267</v>
      </c>
      <c r="D191" t="s">
        <v>1268</v>
      </c>
      <c r="E191" t="s">
        <v>543</v>
      </c>
      <c r="F191">
        <f>INDEX(Site_Evaluation!$K:$K,MATCH(C191,Site_Evaluation!$A:$A,0))</f>
        <v>56</v>
      </c>
      <c r="G191">
        <f>COUNTIFS(Risk_Register!B:B,C191,Risk_Register!G:G,"High")</f>
        <v>1</v>
      </c>
      <c r="H191" t="e">
        <f ca="1">IF(_xludf.MAXIFS(Risk_Register!$L:$L,Risk_Register!$B:$B,C191)=3,"High",IF(_xludf.MAXIFS(Risk_Register!$L:$L,Risk_Register!$B:$B,C191)=2,"Medium","Low"))</f>
        <v>#NAME?</v>
      </c>
      <c r="I191" t="str">
        <f>IF(B191&lt;=3,"Preferred site - strong composite profile",IF(B191&lt;=10,"Backup candidate - viable with monitoring","Reserve - evaluate only if primary sites unavailable"))</f>
        <v>Backup candidate - viable with monitoring</v>
      </c>
    </row>
    <row r="192" spans="1:9">
      <c r="A192" t="s">
        <v>72</v>
      </c>
      <c r="B192">
        <v>11</v>
      </c>
      <c r="C192" t="s">
        <v>1910</v>
      </c>
      <c r="D192" t="s">
        <v>1911</v>
      </c>
      <c r="E192" t="s">
        <v>600</v>
      </c>
      <c r="F192">
        <f>INDEX(Site_Evaluation!$K:$K,MATCH(C192,Site_Evaluation!$A:$A,0))</f>
        <v>56</v>
      </c>
      <c r="G192">
        <f>COUNTIFS(Risk_Register!B:B,C192,Risk_Register!G:G,"High")</f>
        <v>1</v>
      </c>
      <c r="H192" t="e">
        <f ca="1">IF(_xludf.MAXIFS(Risk_Register!$L:$L,Risk_Register!$B:$B,C192)=3,"High",IF(_xludf.MAXIFS(Risk_Register!$L:$L,Risk_Register!$B:$B,C192)=2,"Medium","Low"))</f>
        <v>#NAME?</v>
      </c>
      <c r="I192" t="str">
        <f>IF(B192&lt;=3,"Preferred site - strong composite profile",IF(B192&lt;=10,"Backup candidate - viable with monitoring","Reserve - evaluate only if primary sites unavailable"))</f>
        <v>Reserve - evaluate only if primary sites unavailable</v>
      </c>
    </row>
    <row r="193" spans="1:9">
      <c r="A193" t="s">
        <v>72</v>
      </c>
      <c r="B193">
        <v>12</v>
      </c>
      <c r="C193" t="s">
        <v>710</v>
      </c>
      <c r="D193" t="s">
        <v>711</v>
      </c>
      <c r="E193" t="s">
        <v>509</v>
      </c>
      <c r="F193">
        <f>INDEX(Site_Evaluation!$K:$K,MATCH(C193,Site_Evaluation!$A:$A,0))</f>
        <v>55</v>
      </c>
      <c r="G193">
        <f>COUNTIFS(Risk_Register!B:B,C193,Risk_Register!G:G,"High")</f>
        <v>2</v>
      </c>
      <c r="H193" t="e">
        <f ca="1">IF(_xludf.MAXIFS(Risk_Register!$L:$L,Risk_Register!$B:$B,C193)=3,"High",IF(_xludf.MAXIFS(Risk_Register!$L:$L,Risk_Register!$B:$B,C193)=2,"Medium","Low"))</f>
        <v>#NAME?</v>
      </c>
      <c r="I193" t="str">
        <f>IF(B193&lt;=3,"Preferred site - strong composite profile",IF(B193&lt;=10,"Backup candidate - viable with monitoring","Reserve - evaluate only if primary sites unavailable"))</f>
        <v>Reserve - evaluate only if primary sites unavailable</v>
      </c>
    </row>
    <row r="194" spans="1:9">
      <c r="A194" t="s">
        <v>72</v>
      </c>
      <c r="B194">
        <v>13</v>
      </c>
      <c r="C194" t="s">
        <v>1713</v>
      </c>
      <c r="D194" t="s">
        <v>1714</v>
      </c>
      <c r="E194" t="s">
        <v>580</v>
      </c>
      <c r="F194">
        <f>INDEX(Site_Evaluation!$K:$K,MATCH(C194,Site_Evaluation!$A:$A,0))</f>
        <v>54</v>
      </c>
      <c r="G194">
        <f>COUNTIFS(Risk_Register!B:B,C194,Risk_Register!G:G,"High")</f>
        <v>3</v>
      </c>
      <c r="H194" t="e">
        <f ca="1">IF(_xludf.MAXIFS(Risk_Register!$L:$L,Risk_Register!$B:$B,C194)=3,"High",IF(_xludf.MAXIFS(Risk_Register!$L:$L,Risk_Register!$B:$B,C194)=2,"Medium","Low"))</f>
        <v>#NAME?</v>
      </c>
      <c r="I194" t="str">
        <f>IF(B194&lt;=3,"Preferred site - strong composite profile",IF(B194&lt;=10,"Backup candidate - viable with monitoring","Reserve - evaluate only if primary sites unavailable"))</f>
        <v>Reserve - evaluate only if primary sites unavailable</v>
      </c>
    </row>
    <row r="195" spans="1:9">
      <c r="A195" t="s">
        <v>72</v>
      </c>
      <c r="B195">
        <v>14</v>
      </c>
      <c r="C195" t="s">
        <v>1739</v>
      </c>
      <c r="D195" t="s">
        <v>1740</v>
      </c>
      <c r="E195" t="s">
        <v>584</v>
      </c>
      <c r="F195">
        <f>INDEX(Site_Evaluation!$K:$K,MATCH(C195,Site_Evaluation!$A:$A,0))</f>
        <v>54</v>
      </c>
      <c r="G195">
        <f>COUNTIFS(Risk_Register!B:B,C195,Risk_Register!G:G,"High")</f>
        <v>2</v>
      </c>
      <c r="H195" t="e">
        <f ca="1">IF(_xludf.MAXIFS(Risk_Register!$L:$L,Risk_Register!$B:$B,C195)=3,"High",IF(_xludf.MAXIFS(Risk_Register!$L:$L,Risk_Register!$B:$B,C195)=2,"Medium","Low"))</f>
        <v>#NAME?</v>
      </c>
      <c r="I195" t="str">
        <f>IF(B195&lt;=3,"Preferred site - strong composite profile",IF(B195&lt;=10,"Backup candidate - viable with monitoring","Reserve - evaluate only if primary sites unavailable"))</f>
        <v>Reserve - evaluate only if primary sites unavailable</v>
      </c>
    </row>
    <row r="196" spans="1:9">
      <c r="A196" t="s">
        <v>72</v>
      </c>
      <c r="B196">
        <v>15</v>
      </c>
      <c r="C196" t="s">
        <v>1383</v>
      </c>
      <c r="D196" t="s">
        <v>1384</v>
      </c>
      <c r="E196" t="s">
        <v>551</v>
      </c>
      <c r="F196">
        <f>INDEX(Site_Evaluation!$K:$K,MATCH(C196,Site_Evaluation!$A:$A,0))</f>
        <v>53</v>
      </c>
      <c r="G196">
        <f>COUNTIFS(Risk_Register!B:B,C196,Risk_Register!G:G,"High")</f>
        <v>0</v>
      </c>
      <c r="H196" t="e">
        <f ca="1">IF(_xludf.MAXIFS(Risk_Register!$L:$L,Risk_Register!$B:$B,C196)=3,"High",IF(_xludf.MAXIFS(Risk_Register!$L:$L,Risk_Register!$B:$B,C196)=2,"Medium","Low"))</f>
        <v>#NAME?</v>
      </c>
      <c r="I196" t="str">
        <f>IF(B196&lt;=3,"Preferred site - strong composite profile",IF(B196&lt;=10,"Backup candidate - viable with monitoring","Reserve - evaluate only if primary sites unavailable"))</f>
        <v>Reserve - evaluate only if primary sites unavailable</v>
      </c>
    </row>
    <row r="197" spans="1:9">
      <c r="A197" t="s">
        <v>72</v>
      </c>
      <c r="B197">
        <v>16</v>
      </c>
      <c r="C197" t="s">
        <v>692</v>
      </c>
      <c r="D197" t="s">
        <v>693</v>
      </c>
      <c r="E197" t="s">
        <v>509</v>
      </c>
      <c r="F197">
        <f>INDEX(Site_Evaluation!$K:$K,MATCH(C197,Site_Evaluation!$A:$A,0))</f>
        <v>52</v>
      </c>
      <c r="G197">
        <f>COUNTIFS(Risk_Register!B:B,C197,Risk_Register!G:G,"High")</f>
        <v>1</v>
      </c>
      <c r="H197" t="e">
        <f ca="1">IF(_xludf.MAXIFS(Risk_Register!$L:$L,Risk_Register!$B:$B,C197)=3,"High",IF(_xludf.MAXIFS(Risk_Register!$L:$L,Risk_Register!$B:$B,C197)=2,"Medium","Low"))</f>
        <v>#NAME?</v>
      </c>
      <c r="I197" t="str">
        <f>IF(B197&lt;=3,"Preferred site - strong composite profile",IF(B197&lt;=10,"Backup candidate - viable with monitoring","Reserve - evaluate only if primary sites unavailable"))</f>
        <v>Reserve - evaluate only if primary sites unavailable</v>
      </c>
    </row>
    <row r="198" spans="1:9">
      <c r="A198" t="s">
        <v>72</v>
      </c>
      <c r="B198">
        <v>17</v>
      </c>
      <c r="C198" t="s">
        <v>646</v>
      </c>
      <c r="D198" t="s">
        <v>647</v>
      </c>
      <c r="E198" t="s">
        <v>507</v>
      </c>
      <c r="F198">
        <f>INDEX(Site_Evaluation!$K:$K,MATCH(C198,Site_Evaluation!$A:$A,0))</f>
        <v>51</v>
      </c>
      <c r="G198">
        <f>COUNTIFS(Risk_Register!B:B,C198,Risk_Register!G:G,"High")</f>
        <v>0</v>
      </c>
      <c r="H198" t="e">
        <f ca="1">IF(_xludf.MAXIFS(Risk_Register!$L:$L,Risk_Register!$B:$B,C198)=3,"High",IF(_xludf.MAXIFS(Risk_Register!$L:$L,Risk_Register!$B:$B,C198)=2,"Medium","Low"))</f>
        <v>#NAME?</v>
      </c>
      <c r="I198" t="str">
        <f>IF(B198&lt;=3,"Preferred site - strong composite profile",IF(B198&lt;=10,"Backup candidate - viable with monitoring","Reserve - evaluate only if primary sites unavailable"))</f>
        <v>Reserve - evaluate only if primary sites unavailable</v>
      </c>
    </row>
    <row r="199" spans="1:9">
      <c r="A199" t="s">
        <v>72</v>
      </c>
      <c r="B199">
        <v>18</v>
      </c>
      <c r="C199" t="s">
        <v>1282</v>
      </c>
      <c r="D199" t="s">
        <v>1283</v>
      </c>
      <c r="E199" t="s">
        <v>543</v>
      </c>
      <c r="F199">
        <f>INDEX(Site_Evaluation!$K:$K,MATCH(C199,Site_Evaluation!$A:$A,0))</f>
        <v>51</v>
      </c>
      <c r="G199">
        <f>COUNTIFS(Risk_Register!B:B,C199,Risk_Register!G:G,"High")</f>
        <v>3</v>
      </c>
      <c r="H199" t="e">
        <f ca="1">IF(_xludf.MAXIFS(Risk_Register!$L:$L,Risk_Register!$B:$B,C199)=3,"High",IF(_xludf.MAXIFS(Risk_Register!$L:$L,Risk_Register!$B:$B,C199)=2,"Medium","Low"))</f>
        <v>#NAME?</v>
      </c>
      <c r="I199" t="str">
        <f>IF(B199&lt;=3,"Preferred site - strong composite profile",IF(B199&lt;=10,"Backup candidate - viable with monitoring","Reserve - evaluate only if primary sites unavailable"))</f>
        <v>Reserve - evaluate only if primary sites unavailable</v>
      </c>
    </row>
    <row r="200" spans="1:9">
      <c r="A200" t="s">
        <v>72</v>
      </c>
      <c r="B200">
        <v>19</v>
      </c>
      <c r="C200" t="s">
        <v>1476</v>
      </c>
      <c r="D200" t="s">
        <v>1477</v>
      </c>
      <c r="E200" t="s">
        <v>558</v>
      </c>
      <c r="F200">
        <f>INDEX(Site_Evaluation!$K:$K,MATCH(C200,Site_Evaluation!$A:$A,0))</f>
        <v>51</v>
      </c>
      <c r="G200">
        <f>COUNTIFS(Risk_Register!B:B,C200,Risk_Register!G:G,"High")</f>
        <v>1</v>
      </c>
      <c r="H200" t="e">
        <f ca="1">IF(_xludf.MAXIFS(Risk_Register!$L:$L,Risk_Register!$B:$B,C200)=3,"High",IF(_xludf.MAXIFS(Risk_Register!$L:$L,Risk_Register!$B:$B,C200)=2,"Medium","Low"))</f>
        <v>#NAME?</v>
      </c>
      <c r="I200" t="str">
        <f>IF(B200&lt;=3,"Preferred site - strong composite profile",IF(B200&lt;=10,"Backup candidate - viable with monitoring","Reserve - evaluate only if primary sites unavailable"))</f>
        <v>Reserve - evaluate only if primary sites unavailable</v>
      </c>
    </row>
    <row r="201" spans="1:9">
      <c r="A201" t="s">
        <v>72</v>
      </c>
      <c r="B201">
        <v>20</v>
      </c>
      <c r="C201" t="s">
        <v>812</v>
      </c>
      <c r="D201" t="s">
        <v>813</v>
      </c>
      <c r="E201" t="s">
        <v>516</v>
      </c>
      <c r="F201">
        <f>INDEX(Site_Evaluation!$K:$K,MATCH(C201,Site_Evaluation!$A:$A,0))</f>
        <v>50</v>
      </c>
      <c r="G201">
        <f>COUNTIFS(Risk_Register!B:B,C201,Risk_Register!G:G,"High")</f>
        <v>1</v>
      </c>
      <c r="H201" t="e">
        <f ca="1">IF(_xludf.MAXIFS(Risk_Register!$L:$L,Risk_Register!$B:$B,C201)=3,"High",IF(_xludf.MAXIFS(Risk_Register!$L:$L,Risk_Register!$B:$B,C201)=2,"Medium","Low"))</f>
        <v>#NAME?</v>
      </c>
      <c r="I201" t="str">
        <f>IF(B201&lt;=3,"Preferred site - strong composite profile",IF(B201&lt;=10,"Backup candidate - viable with monitoring","Reserve - evaluate only if primary sites unavailable"))</f>
        <v>Reserve - evaluate only if primary sites unavailable</v>
      </c>
    </row>
    <row r="202" spans="1:9">
      <c r="A202" t="s">
        <v>74</v>
      </c>
      <c r="B202">
        <v>1</v>
      </c>
      <c r="C202" t="s">
        <v>1669</v>
      </c>
      <c r="D202" t="s">
        <v>1670</v>
      </c>
      <c r="E202" t="s">
        <v>578</v>
      </c>
      <c r="F202">
        <f>INDEX(Site_Evaluation!$K:$K,MATCH(C202,Site_Evaluation!$A:$A,0))</f>
        <v>73</v>
      </c>
      <c r="G202">
        <f>COUNTIFS(Risk_Register!B:B,C202,Risk_Register!G:G,"High")</f>
        <v>1</v>
      </c>
      <c r="H202" t="e">
        <f ca="1">IF(_xludf.MAXIFS(Risk_Register!$L:$L,Risk_Register!$B:$B,C202)=3,"High",IF(_xludf.MAXIFS(Risk_Register!$L:$L,Risk_Register!$B:$B,C202)=2,"Medium","Low"))</f>
        <v>#NAME?</v>
      </c>
      <c r="I202" t="str">
        <f>IF(B202&lt;=3,"Preferred site - strong composite profile",IF(B202&lt;=10,"Backup candidate - viable with monitoring","Reserve - evaluate only if primary sites unavailable"))</f>
        <v>Preferred site - strong composite profile</v>
      </c>
    </row>
    <row r="203" spans="1:9">
      <c r="A203" t="s">
        <v>74</v>
      </c>
      <c r="B203">
        <v>2</v>
      </c>
      <c r="C203" t="s">
        <v>1619</v>
      </c>
      <c r="D203" t="s">
        <v>1620</v>
      </c>
      <c r="E203" t="s">
        <v>576</v>
      </c>
      <c r="F203">
        <f>INDEX(Site_Evaluation!$K:$K,MATCH(C203,Site_Evaluation!$A:$A,0))</f>
        <v>71</v>
      </c>
      <c r="G203">
        <f>COUNTIFS(Risk_Register!B:B,C203,Risk_Register!G:G,"High")</f>
        <v>1</v>
      </c>
      <c r="H203" t="e">
        <f ca="1">IF(_xludf.MAXIFS(Risk_Register!$L:$L,Risk_Register!$B:$B,C203)=3,"High",IF(_xludf.MAXIFS(Risk_Register!$L:$L,Risk_Register!$B:$B,C203)=2,"Medium","Low"))</f>
        <v>#NAME?</v>
      </c>
      <c r="I203" t="str">
        <f>IF(B203&lt;=3,"Preferred site - strong composite profile",IF(B203&lt;=10,"Backup candidate - viable with monitoring","Reserve - evaluate only if primary sites unavailable"))</f>
        <v>Preferred site - strong composite profile</v>
      </c>
    </row>
    <row r="204" spans="1:9">
      <c r="A204" t="s">
        <v>74</v>
      </c>
      <c r="B204">
        <v>3</v>
      </c>
      <c r="C204" t="s">
        <v>1456</v>
      </c>
      <c r="D204" t="s">
        <v>1457</v>
      </c>
      <c r="E204" t="s">
        <v>556</v>
      </c>
      <c r="F204">
        <f>INDEX(Site_Evaluation!$K:$K,MATCH(C204,Site_Evaluation!$A:$A,0))</f>
        <v>65</v>
      </c>
      <c r="G204">
        <f>COUNTIFS(Risk_Register!B:B,C204,Risk_Register!G:G,"High")</f>
        <v>0</v>
      </c>
      <c r="H204" t="e">
        <f ca="1">IF(_xludf.MAXIFS(Risk_Register!$L:$L,Risk_Register!$B:$B,C204)=3,"High",IF(_xludf.MAXIFS(Risk_Register!$L:$L,Risk_Register!$B:$B,C204)=2,"Medium","Low"))</f>
        <v>#NAME?</v>
      </c>
      <c r="I204" t="str">
        <f>IF(B204&lt;=3,"Preferred site - strong composite profile",IF(B204&lt;=10,"Backup candidate - viable with monitoring","Reserve - evaluate only if primary sites unavailable"))</f>
        <v>Preferred site - strong composite profile</v>
      </c>
    </row>
    <row r="205" spans="1:9">
      <c r="A205" t="s">
        <v>74</v>
      </c>
      <c r="B205">
        <v>4</v>
      </c>
      <c r="C205" t="s">
        <v>1737</v>
      </c>
      <c r="D205" t="s">
        <v>1738</v>
      </c>
      <c r="E205" t="s">
        <v>582</v>
      </c>
      <c r="F205">
        <f>INDEX(Site_Evaluation!$K:$K,MATCH(C205,Site_Evaluation!$A:$A,0))</f>
        <v>61</v>
      </c>
      <c r="G205">
        <f>COUNTIFS(Risk_Register!B:B,C205,Risk_Register!G:G,"High")</f>
        <v>3</v>
      </c>
      <c r="H205" t="e">
        <f ca="1">IF(_xludf.MAXIFS(Risk_Register!$L:$L,Risk_Register!$B:$B,C205)=3,"High",IF(_xludf.MAXIFS(Risk_Register!$L:$L,Risk_Register!$B:$B,C205)=2,"Medium","Low"))</f>
        <v>#NAME?</v>
      </c>
      <c r="I205" t="str">
        <f>IF(B205&lt;=3,"Preferred site - strong composite profile",IF(B205&lt;=10,"Backup candidate - viable with monitoring","Reserve - evaluate only if primary sites unavailable"))</f>
        <v>Backup candidate - viable with monitoring</v>
      </c>
    </row>
    <row r="206" spans="1:9">
      <c r="A206" t="s">
        <v>74</v>
      </c>
      <c r="B206">
        <v>5</v>
      </c>
      <c r="C206" t="s">
        <v>1695</v>
      </c>
      <c r="D206" t="s">
        <v>1696</v>
      </c>
      <c r="E206" t="s">
        <v>578</v>
      </c>
      <c r="F206">
        <f>INDEX(Site_Evaluation!$K:$K,MATCH(C206,Site_Evaluation!$A:$A,0))</f>
        <v>59</v>
      </c>
      <c r="G206">
        <f>COUNTIFS(Risk_Register!B:B,C206,Risk_Register!G:G,"High")</f>
        <v>0</v>
      </c>
      <c r="H206" t="e">
        <f ca="1">IF(_xludf.MAXIFS(Risk_Register!$L:$L,Risk_Register!$B:$B,C206)=3,"High",IF(_xludf.MAXIFS(Risk_Register!$L:$L,Risk_Register!$B:$B,C206)=2,"Medium","Low"))</f>
        <v>#NAME?</v>
      </c>
      <c r="I206" t="str">
        <f>IF(B206&lt;=3,"Preferred site - strong composite profile",IF(B206&lt;=10,"Backup candidate - viable with monitoring","Reserve - evaluate only if primary sites unavailable"))</f>
        <v>Backup candidate - viable with monitoring</v>
      </c>
    </row>
    <row r="207" spans="1:9">
      <c r="A207" t="s">
        <v>74</v>
      </c>
      <c r="B207">
        <v>6</v>
      </c>
      <c r="C207" t="s">
        <v>1029</v>
      </c>
      <c r="D207" t="s">
        <v>1030</v>
      </c>
      <c r="E207" t="s">
        <v>527</v>
      </c>
      <c r="F207">
        <f>INDEX(Site_Evaluation!$K:$K,MATCH(C207,Site_Evaluation!$A:$A,0))</f>
        <v>57</v>
      </c>
      <c r="G207">
        <f>COUNTIFS(Risk_Register!B:B,C207,Risk_Register!G:G,"High")</f>
        <v>2</v>
      </c>
      <c r="H207" t="e">
        <f ca="1">IF(_xludf.MAXIFS(Risk_Register!$L:$L,Risk_Register!$B:$B,C207)=3,"High",IF(_xludf.MAXIFS(Risk_Register!$L:$L,Risk_Register!$B:$B,C207)=2,"Medium","Low"))</f>
        <v>#NAME?</v>
      </c>
      <c r="I207" t="str">
        <f>IF(B207&lt;=3,"Preferred site - strong composite profile",IF(B207&lt;=10,"Backup candidate - viable with monitoring","Reserve - evaluate only if primary sites unavailable"))</f>
        <v>Backup candidate - viable with monitoring</v>
      </c>
    </row>
    <row r="208" spans="1:9">
      <c r="A208" t="s">
        <v>74</v>
      </c>
      <c r="B208">
        <v>7</v>
      </c>
      <c r="C208" t="s">
        <v>1601</v>
      </c>
      <c r="D208" t="s">
        <v>1602</v>
      </c>
      <c r="E208" t="s">
        <v>576</v>
      </c>
      <c r="F208">
        <f>INDEX(Site_Evaluation!$K:$K,MATCH(C208,Site_Evaluation!$A:$A,0))</f>
        <v>57</v>
      </c>
      <c r="G208">
        <f>COUNTIFS(Risk_Register!B:B,C208,Risk_Register!G:G,"High")</f>
        <v>2</v>
      </c>
      <c r="H208" t="e">
        <f ca="1">IF(_xludf.MAXIFS(Risk_Register!$L:$L,Risk_Register!$B:$B,C208)=3,"High",IF(_xludf.MAXIFS(Risk_Register!$L:$L,Risk_Register!$B:$B,C208)=2,"Medium","Low"))</f>
        <v>#NAME?</v>
      </c>
      <c r="I208" t="str">
        <f>IF(B208&lt;=3,"Preferred site - strong composite profile",IF(B208&lt;=10,"Backup candidate - viable with monitoring","Reserve - evaluate only if primary sites unavailable"))</f>
        <v>Backup candidate - viable with monitoring</v>
      </c>
    </row>
    <row r="209" spans="1:9">
      <c r="A209" t="s">
        <v>74</v>
      </c>
      <c r="B209">
        <v>8</v>
      </c>
      <c r="C209" t="s">
        <v>845</v>
      </c>
      <c r="D209" t="s">
        <v>846</v>
      </c>
      <c r="E209" t="s">
        <v>516</v>
      </c>
      <c r="F209">
        <f>INDEX(Site_Evaluation!$K:$K,MATCH(C209,Site_Evaluation!$A:$A,0))</f>
        <v>56</v>
      </c>
      <c r="G209">
        <f>COUNTIFS(Risk_Register!B:B,C209,Risk_Register!G:G,"High")</f>
        <v>0</v>
      </c>
      <c r="H209" t="e">
        <f ca="1">IF(_xludf.MAXIFS(Risk_Register!$L:$L,Risk_Register!$B:$B,C209)=3,"High",IF(_xludf.MAXIFS(Risk_Register!$L:$L,Risk_Register!$B:$B,C209)=2,"Medium","Low"))</f>
        <v>#NAME?</v>
      </c>
      <c r="I209" t="str">
        <f>IF(B209&lt;=3,"Preferred site - strong composite profile",IF(B209&lt;=10,"Backup candidate - viable with monitoring","Reserve - evaluate only if primary sites unavailable"))</f>
        <v>Backup candidate - viable with monitoring</v>
      </c>
    </row>
    <row r="210" spans="1:9">
      <c r="A210" t="s">
        <v>74</v>
      </c>
      <c r="B210">
        <v>9</v>
      </c>
      <c r="C210" t="s">
        <v>863</v>
      </c>
      <c r="D210" t="s">
        <v>864</v>
      </c>
      <c r="E210" t="s">
        <v>516</v>
      </c>
      <c r="F210">
        <f>INDEX(Site_Evaluation!$K:$K,MATCH(C210,Site_Evaluation!$A:$A,0))</f>
        <v>56</v>
      </c>
      <c r="G210">
        <f>COUNTIFS(Risk_Register!B:B,C210,Risk_Register!G:G,"High")</f>
        <v>2</v>
      </c>
      <c r="H210" t="e">
        <f ca="1">IF(_xludf.MAXIFS(Risk_Register!$L:$L,Risk_Register!$B:$B,C210)=3,"High",IF(_xludf.MAXIFS(Risk_Register!$L:$L,Risk_Register!$B:$B,C210)=2,"Medium","Low"))</f>
        <v>#NAME?</v>
      </c>
      <c r="I210" t="str">
        <f>IF(B210&lt;=3,"Preferred site - strong composite profile",IF(B210&lt;=10,"Backup candidate - viable with monitoring","Reserve - evaluate only if primary sites unavailable"))</f>
        <v>Backup candidate - viable with monitoring</v>
      </c>
    </row>
    <row r="211" spans="1:9">
      <c r="A211" t="s">
        <v>74</v>
      </c>
      <c r="B211">
        <v>10</v>
      </c>
      <c r="C211" t="s">
        <v>1267</v>
      </c>
      <c r="D211" t="s">
        <v>1268</v>
      </c>
      <c r="E211" t="s">
        <v>543</v>
      </c>
      <c r="F211">
        <f>INDEX(Site_Evaluation!$K:$K,MATCH(C211,Site_Evaluation!$A:$A,0))</f>
        <v>56</v>
      </c>
      <c r="G211">
        <f>COUNTIFS(Risk_Register!B:B,C211,Risk_Register!G:G,"High")</f>
        <v>1</v>
      </c>
      <c r="H211" t="e">
        <f ca="1">IF(_xludf.MAXIFS(Risk_Register!$L:$L,Risk_Register!$B:$B,C211)=3,"High",IF(_xludf.MAXIFS(Risk_Register!$L:$L,Risk_Register!$B:$B,C211)=2,"Medium","Low"))</f>
        <v>#NAME?</v>
      </c>
      <c r="I211" t="str">
        <f>IF(B211&lt;=3,"Preferred site - strong composite profile",IF(B211&lt;=10,"Backup candidate - viable with monitoring","Reserve - evaluate only if primary sites unavailable"))</f>
        <v>Backup candidate - viable with monitoring</v>
      </c>
    </row>
    <row r="212" spans="1:9">
      <c r="A212" t="s">
        <v>74</v>
      </c>
      <c r="B212">
        <v>11</v>
      </c>
      <c r="C212" t="s">
        <v>1910</v>
      </c>
      <c r="D212" t="s">
        <v>1911</v>
      </c>
      <c r="E212" t="s">
        <v>600</v>
      </c>
      <c r="F212">
        <f>INDEX(Site_Evaluation!$K:$K,MATCH(C212,Site_Evaluation!$A:$A,0))</f>
        <v>56</v>
      </c>
      <c r="G212">
        <f>COUNTIFS(Risk_Register!B:B,C212,Risk_Register!G:G,"High")</f>
        <v>1</v>
      </c>
      <c r="H212" t="e">
        <f ca="1">IF(_xludf.MAXIFS(Risk_Register!$L:$L,Risk_Register!$B:$B,C212)=3,"High",IF(_xludf.MAXIFS(Risk_Register!$L:$L,Risk_Register!$B:$B,C212)=2,"Medium","Low"))</f>
        <v>#NAME?</v>
      </c>
      <c r="I212" t="str">
        <f>IF(B212&lt;=3,"Preferred site - strong composite profile",IF(B212&lt;=10,"Backup candidate - viable with monitoring","Reserve - evaluate only if primary sites unavailable"))</f>
        <v>Reserve - evaluate only if primary sites unavailable</v>
      </c>
    </row>
    <row r="213" spans="1:9">
      <c r="A213" t="s">
        <v>74</v>
      </c>
      <c r="B213">
        <v>12</v>
      </c>
      <c r="C213" t="s">
        <v>710</v>
      </c>
      <c r="D213" t="s">
        <v>711</v>
      </c>
      <c r="E213" t="s">
        <v>509</v>
      </c>
      <c r="F213">
        <f>INDEX(Site_Evaluation!$K:$K,MATCH(C213,Site_Evaluation!$A:$A,0))</f>
        <v>55</v>
      </c>
      <c r="G213">
        <f>COUNTIFS(Risk_Register!B:B,C213,Risk_Register!G:G,"High")</f>
        <v>2</v>
      </c>
      <c r="H213" t="e">
        <f ca="1">IF(_xludf.MAXIFS(Risk_Register!$L:$L,Risk_Register!$B:$B,C213)=3,"High",IF(_xludf.MAXIFS(Risk_Register!$L:$L,Risk_Register!$B:$B,C213)=2,"Medium","Low"))</f>
        <v>#NAME?</v>
      </c>
      <c r="I213" t="str">
        <f>IF(B213&lt;=3,"Preferred site - strong composite profile",IF(B213&lt;=10,"Backup candidate - viable with monitoring","Reserve - evaluate only if primary sites unavailable"))</f>
        <v>Reserve - evaluate only if primary sites unavailable</v>
      </c>
    </row>
    <row r="214" spans="1:9">
      <c r="A214" t="s">
        <v>74</v>
      </c>
      <c r="B214">
        <v>13</v>
      </c>
      <c r="C214" t="s">
        <v>1713</v>
      </c>
      <c r="D214" t="s">
        <v>1714</v>
      </c>
      <c r="E214" t="s">
        <v>580</v>
      </c>
      <c r="F214">
        <f>INDEX(Site_Evaluation!$K:$K,MATCH(C214,Site_Evaluation!$A:$A,0))</f>
        <v>54</v>
      </c>
      <c r="G214">
        <f>COUNTIFS(Risk_Register!B:B,C214,Risk_Register!G:G,"High")</f>
        <v>3</v>
      </c>
      <c r="H214" t="e">
        <f ca="1">IF(_xludf.MAXIFS(Risk_Register!$L:$L,Risk_Register!$B:$B,C214)=3,"High",IF(_xludf.MAXIFS(Risk_Register!$L:$L,Risk_Register!$B:$B,C214)=2,"Medium","Low"))</f>
        <v>#NAME?</v>
      </c>
      <c r="I214" t="str">
        <f>IF(B214&lt;=3,"Preferred site - strong composite profile",IF(B214&lt;=10,"Backup candidate - viable with monitoring","Reserve - evaluate only if primary sites unavailable"))</f>
        <v>Reserve - evaluate only if primary sites unavailable</v>
      </c>
    </row>
    <row r="215" spans="1:9">
      <c r="A215" t="s">
        <v>74</v>
      </c>
      <c r="B215">
        <v>14</v>
      </c>
      <c r="C215" t="s">
        <v>1739</v>
      </c>
      <c r="D215" t="s">
        <v>1740</v>
      </c>
      <c r="E215" t="s">
        <v>584</v>
      </c>
      <c r="F215">
        <f>INDEX(Site_Evaluation!$K:$K,MATCH(C215,Site_Evaluation!$A:$A,0))</f>
        <v>54</v>
      </c>
      <c r="G215">
        <f>COUNTIFS(Risk_Register!B:B,C215,Risk_Register!G:G,"High")</f>
        <v>2</v>
      </c>
      <c r="H215" t="e">
        <f ca="1">IF(_xludf.MAXIFS(Risk_Register!$L:$L,Risk_Register!$B:$B,C215)=3,"High",IF(_xludf.MAXIFS(Risk_Register!$L:$L,Risk_Register!$B:$B,C215)=2,"Medium","Low"))</f>
        <v>#NAME?</v>
      </c>
      <c r="I215" t="str">
        <f>IF(B215&lt;=3,"Preferred site - strong composite profile",IF(B215&lt;=10,"Backup candidate - viable with monitoring","Reserve - evaluate only if primary sites unavailable"))</f>
        <v>Reserve - evaluate only if primary sites unavailable</v>
      </c>
    </row>
    <row r="216" spans="1:9">
      <c r="A216" t="s">
        <v>74</v>
      </c>
      <c r="B216">
        <v>15</v>
      </c>
      <c r="C216" t="s">
        <v>1383</v>
      </c>
      <c r="D216" t="s">
        <v>1384</v>
      </c>
      <c r="E216" t="s">
        <v>551</v>
      </c>
      <c r="F216">
        <f>INDEX(Site_Evaluation!$K:$K,MATCH(C216,Site_Evaluation!$A:$A,0))</f>
        <v>53</v>
      </c>
      <c r="G216">
        <f>COUNTIFS(Risk_Register!B:B,C216,Risk_Register!G:G,"High")</f>
        <v>0</v>
      </c>
      <c r="H216" t="e">
        <f ca="1">IF(_xludf.MAXIFS(Risk_Register!$L:$L,Risk_Register!$B:$B,C216)=3,"High",IF(_xludf.MAXIFS(Risk_Register!$L:$L,Risk_Register!$B:$B,C216)=2,"Medium","Low"))</f>
        <v>#NAME?</v>
      </c>
      <c r="I216" t="str">
        <f>IF(B216&lt;=3,"Preferred site - strong composite profile",IF(B216&lt;=10,"Backup candidate - viable with monitoring","Reserve - evaluate only if primary sites unavailable"))</f>
        <v>Reserve - evaluate only if primary sites unavailable</v>
      </c>
    </row>
    <row r="217" spans="1:9">
      <c r="A217" t="s">
        <v>74</v>
      </c>
      <c r="B217">
        <v>16</v>
      </c>
      <c r="C217" t="s">
        <v>692</v>
      </c>
      <c r="D217" t="s">
        <v>693</v>
      </c>
      <c r="E217" t="s">
        <v>509</v>
      </c>
      <c r="F217">
        <f>INDEX(Site_Evaluation!$K:$K,MATCH(C217,Site_Evaluation!$A:$A,0))</f>
        <v>52</v>
      </c>
      <c r="G217">
        <f>COUNTIFS(Risk_Register!B:B,C217,Risk_Register!G:G,"High")</f>
        <v>1</v>
      </c>
      <c r="H217" t="e">
        <f ca="1">IF(_xludf.MAXIFS(Risk_Register!$L:$L,Risk_Register!$B:$B,C217)=3,"High",IF(_xludf.MAXIFS(Risk_Register!$L:$L,Risk_Register!$B:$B,C217)=2,"Medium","Low"))</f>
        <v>#NAME?</v>
      </c>
      <c r="I217" t="str">
        <f>IF(B217&lt;=3,"Preferred site - strong composite profile",IF(B217&lt;=10,"Backup candidate - viable with monitoring","Reserve - evaluate only if primary sites unavailable"))</f>
        <v>Reserve - evaluate only if primary sites unavailable</v>
      </c>
    </row>
    <row r="218" spans="1:9">
      <c r="A218" t="s">
        <v>74</v>
      </c>
      <c r="B218">
        <v>17</v>
      </c>
      <c r="C218" t="s">
        <v>646</v>
      </c>
      <c r="D218" t="s">
        <v>647</v>
      </c>
      <c r="E218" t="s">
        <v>507</v>
      </c>
      <c r="F218">
        <f>INDEX(Site_Evaluation!$K:$K,MATCH(C218,Site_Evaluation!$A:$A,0))</f>
        <v>51</v>
      </c>
      <c r="G218">
        <f>COUNTIFS(Risk_Register!B:B,C218,Risk_Register!G:G,"High")</f>
        <v>0</v>
      </c>
      <c r="H218" t="e">
        <f ca="1">IF(_xludf.MAXIFS(Risk_Register!$L:$L,Risk_Register!$B:$B,C218)=3,"High",IF(_xludf.MAXIFS(Risk_Register!$L:$L,Risk_Register!$B:$B,C218)=2,"Medium","Low"))</f>
        <v>#NAME?</v>
      </c>
      <c r="I218" t="str">
        <f>IF(B218&lt;=3,"Preferred site - strong composite profile",IF(B218&lt;=10,"Backup candidate - viable with monitoring","Reserve - evaluate only if primary sites unavailable"))</f>
        <v>Reserve - evaluate only if primary sites unavailable</v>
      </c>
    </row>
    <row r="219" spans="1:9">
      <c r="A219" t="s">
        <v>74</v>
      </c>
      <c r="B219">
        <v>18</v>
      </c>
      <c r="C219" t="s">
        <v>1282</v>
      </c>
      <c r="D219" t="s">
        <v>1283</v>
      </c>
      <c r="E219" t="s">
        <v>543</v>
      </c>
      <c r="F219">
        <f>INDEX(Site_Evaluation!$K:$K,MATCH(C219,Site_Evaluation!$A:$A,0))</f>
        <v>51</v>
      </c>
      <c r="G219">
        <f>COUNTIFS(Risk_Register!B:B,C219,Risk_Register!G:G,"High")</f>
        <v>3</v>
      </c>
      <c r="H219" t="e">
        <f ca="1">IF(_xludf.MAXIFS(Risk_Register!$L:$L,Risk_Register!$B:$B,C219)=3,"High",IF(_xludf.MAXIFS(Risk_Register!$L:$L,Risk_Register!$B:$B,C219)=2,"Medium","Low"))</f>
        <v>#NAME?</v>
      </c>
      <c r="I219" t="str">
        <f>IF(B219&lt;=3,"Preferred site - strong composite profile",IF(B219&lt;=10,"Backup candidate - viable with monitoring","Reserve - evaluate only if primary sites unavailable"))</f>
        <v>Reserve - evaluate only if primary sites unavailable</v>
      </c>
    </row>
    <row r="220" spans="1:9">
      <c r="A220" t="s">
        <v>74</v>
      </c>
      <c r="B220">
        <v>19</v>
      </c>
      <c r="C220" t="s">
        <v>1476</v>
      </c>
      <c r="D220" t="s">
        <v>1477</v>
      </c>
      <c r="E220" t="s">
        <v>558</v>
      </c>
      <c r="F220">
        <f>INDEX(Site_Evaluation!$K:$K,MATCH(C220,Site_Evaluation!$A:$A,0))</f>
        <v>51</v>
      </c>
      <c r="G220">
        <f>COUNTIFS(Risk_Register!B:B,C220,Risk_Register!G:G,"High")</f>
        <v>1</v>
      </c>
      <c r="H220" t="e">
        <f ca="1">IF(_xludf.MAXIFS(Risk_Register!$L:$L,Risk_Register!$B:$B,C220)=3,"High",IF(_xludf.MAXIFS(Risk_Register!$L:$L,Risk_Register!$B:$B,C220)=2,"Medium","Low"))</f>
        <v>#NAME?</v>
      </c>
      <c r="I220" t="str">
        <f>IF(B220&lt;=3,"Preferred site - strong composite profile",IF(B220&lt;=10,"Backup candidate - viable with monitoring","Reserve - evaluate only if primary sites unavailable"))</f>
        <v>Reserve - evaluate only if primary sites unavailable</v>
      </c>
    </row>
    <row r="221" spans="1:9">
      <c r="A221" t="s">
        <v>74</v>
      </c>
      <c r="B221">
        <v>20</v>
      </c>
      <c r="C221" t="s">
        <v>812</v>
      </c>
      <c r="D221" t="s">
        <v>813</v>
      </c>
      <c r="E221" t="s">
        <v>516</v>
      </c>
      <c r="F221">
        <f>INDEX(Site_Evaluation!$K:$K,MATCH(C221,Site_Evaluation!$A:$A,0))</f>
        <v>50</v>
      </c>
      <c r="G221">
        <f>COUNTIFS(Risk_Register!B:B,C221,Risk_Register!G:G,"High")</f>
        <v>1</v>
      </c>
      <c r="H221" t="e">
        <f ca="1">IF(_xludf.MAXIFS(Risk_Register!$L:$L,Risk_Register!$B:$B,C221)=3,"High",IF(_xludf.MAXIFS(Risk_Register!$L:$L,Risk_Register!$B:$B,C221)=2,"Medium","Low"))</f>
        <v>#NAME?</v>
      </c>
      <c r="I221" t="str">
        <f>IF(B221&lt;=3,"Preferred site - strong composite profile",IF(B221&lt;=10,"Backup candidate - viable with monitoring","Reserve - evaluate only if primary sites unavailable"))</f>
        <v>Reserve - evaluate only if primary sites unavailable</v>
      </c>
    </row>
    <row r="222" spans="1:9">
      <c r="A222" t="s">
        <v>76</v>
      </c>
      <c r="B222">
        <v>1</v>
      </c>
      <c r="C222" t="s">
        <v>1669</v>
      </c>
      <c r="D222" t="s">
        <v>1670</v>
      </c>
      <c r="E222" t="s">
        <v>578</v>
      </c>
      <c r="F222">
        <f>INDEX(Site_Evaluation!$K:$K,MATCH(C222,Site_Evaluation!$A:$A,0))</f>
        <v>73</v>
      </c>
      <c r="G222">
        <f>COUNTIFS(Risk_Register!B:B,C222,Risk_Register!G:G,"High")</f>
        <v>1</v>
      </c>
      <c r="H222" t="e">
        <f ca="1">IF(_xludf.MAXIFS(Risk_Register!$L:$L,Risk_Register!$B:$B,C222)=3,"High",IF(_xludf.MAXIFS(Risk_Register!$L:$L,Risk_Register!$B:$B,C222)=2,"Medium","Low"))</f>
        <v>#NAME?</v>
      </c>
      <c r="I222" t="str">
        <f>IF(B222&lt;=3,"Preferred site - strong composite profile",IF(B222&lt;=10,"Backup candidate - viable with monitoring","Reserve - evaluate only if primary sites unavailable"))</f>
        <v>Preferred site - strong composite profile</v>
      </c>
    </row>
    <row r="223" spans="1:9">
      <c r="A223" t="s">
        <v>76</v>
      </c>
      <c r="B223">
        <v>2</v>
      </c>
      <c r="C223" t="s">
        <v>1619</v>
      </c>
      <c r="D223" t="s">
        <v>1620</v>
      </c>
      <c r="E223" t="s">
        <v>576</v>
      </c>
      <c r="F223">
        <f>INDEX(Site_Evaluation!$K:$K,MATCH(C223,Site_Evaluation!$A:$A,0))</f>
        <v>71</v>
      </c>
      <c r="G223">
        <f>COUNTIFS(Risk_Register!B:B,C223,Risk_Register!G:G,"High")</f>
        <v>1</v>
      </c>
      <c r="H223" t="e">
        <f ca="1">IF(_xludf.MAXIFS(Risk_Register!$L:$L,Risk_Register!$B:$B,C223)=3,"High",IF(_xludf.MAXIFS(Risk_Register!$L:$L,Risk_Register!$B:$B,C223)=2,"Medium","Low"))</f>
        <v>#NAME?</v>
      </c>
      <c r="I223" t="str">
        <f>IF(B223&lt;=3,"Preferred site - strong composite profile",IF(B223&lt;=10,"Backup candidate - viable with monitoring","Reserve - evaluate only if primary sites unavailable"))</f>
        <v>Preferred site - strong composite profile</v>
      </c>
    </row>
    <row r="224" spans="1:9">
      <c r="A224" t="s">
        <v>76</v>
      </c>
      <c r="B224">
        <v>3</v>
      </c>
      <c r="C224" t="s">
        <v>1456</v>
      </c>
      <c r="D224" t="s">
        <v>1457</v>
      </c>
      <c r="E224" t="s">
        <v>556</v>
      </c>
      <c r="F224">
        <f>INDEX(Site_Evaluation!$K:$K,MATCH(C224,Site_Evaluation!$A:$A,0))</f>
        <v>65</v>
      </c>
      <c r="G224">
        <f>COUNTIFS(Risk_Register!B:B,C224,Risk_Register!G:G,"High")</f>
        <v>0</v>
      </c>
      <c r="H224" t="e">
        <f ca="1">IF(_xludf.MAXIFS(Risk_Register!$L:$L,Risk_Register!$B:$B,C224)=3,"High",IF(_xludf.MAXIFS(Risk_Register!$L:$L,Risk_Register!$B:$B,C224)=2,"Medium","Low"))</f>
        <v>#NAME?</v>
      </c>
      <c r="I224" t="str">
        <f>IF(B224&lt;=3,"Preferred site - strong composite profile",IF(B224&lt;=10,"Backup candidate - viable with monitoring","Reserve - evaluate only if primary sites unavailable"))</f>
        <v>Preferred site - strong composite profile</v>
      </c>
    </row>
    <row r="225" spans="1:9">
      <c r="A225" t="s">
        <v>76</v>
      </c>
      <c r="B225">
        <v>4</v>
      </c>
      <c r="C225" t="s">
        <v>1737</v>
      </c>
      <c r="D225" t="s">
        <v>1738</v>
      </c>
      <c r="E225" t="s">
        <v>582</v>
      </c>
      <c r="F225">
        <f>INDEX(Site_Evaluation!$K:$K,MATCH(C225,Site_Evaluation!$A:$A,0))</f>
        <v>61</v>
      </c>
      <c r="G225">
        <f>COUNTIFS(Risk_Register!B:B,C225,Risk_Register!G:G,"High")</f>
        <v>3</v>
      </c>
      <c r="H225" t="e">
        <f ca="1">IF(_xludf.MAXIFS(Risk_Register!$L:$L,Risk_Register!$B:$B,C225)=3,"High",IF(_xludf.MAXIFS(Risk_Register!$L:$L,Risk_Register!$B:$B,C225)=2,"Medium","Low"))</f>
        <v>#NAME?</v>
      </c>
      <c r="I225" t="str">
        <f>IF(B225&lt;=3,"Preferred site - strong composite profile",IF(B225&lt;=10,"Backup candidate - viable with monitoring","Reserve - evaluate only if primary sites unavailable"))</f>
        <v>Backup candidate - viable with monitoring</v>
      </c>
    </row>
    <row r="226" spans="1:9">
      <c r="A226" t="s">
        <v>76</v>
      </c>
      <c r="B226">
        <v>5</v>
      </c>
      <c r="C226" t="s">
        <v>1695</v>
      </c>
      <c r="D226" t="s">
        <v>1696</v>
      </c>
      <c r="E226" t="s">
        <v>578</v>
      </c>
      <c r="F226">
        <f>INDEX(Site_Evaluation!$K:$K,MATCH(C226,Site_Evaluation!$A:$A,0))</f>
        <v>59</v>
      </c>
      <c r="G226">
        <f>COUNTIFS(Risk_Register!B:B,C226,Risk_Register!G:G,"High")</f>
        <v>0</v>
      </c>
      <c r="H226" t="e">
        <f ca="1">IF(_xludf.MAXIFS(Risk_Register!$L:$L,Risk_Register!$B:$B,C226)=3,"High",IF(_xludf.MAXIFS(Risk_Register!$L:$L,Risk_Register!$B:$B,C226)=2,"Medium","Low"))</f>
        <v>#NAME?</v>
      </c>
      <c r="I226" t="str">
        <f>IF(B226&lt;=3,"Preferred site - strong composite profile",IF(B226&lt;=10,"Backup candidate - viable with monitoring","Reserve - evaluate only if primary sites unavailable"))</f>
        <v>Backup candidate - viable with monitoring</v>
      </c>
    </row>
    <row r="227" spans="1:9">
      <c r="A227" t="s">
        <v>76</v>
      </c>
      <c r="B227">
        <v>6</v>
      </c>
      <c r="C227" t="s">
        <v>1029</v>
      </c>
      <c r="D227" t="s">
        <v>1030</v>
      </c>
      <c r="E227" t="s">
        <v>527</v>
      </c>
      <c r="F227">
        <f>INDEX(Site_Evaluation!$K:$K,MATCH(C227,Site_Evaluation!$A:$A,0))</f>
        <v>57</v>
      </c>
      <c r="G227">
        <f>COUNTIFS(Risk_Register!B:B,C227,Risk_Register!G:G,"High")</f>
        <v>2</v>
      </c>
      <c r="H227" t="e">
        <f ca="1">IF(_xludf.MAXIFS(Risk_Register!$L:$L,Risk_Register!$B:$B,C227)=3,"High",IF(_xludf.MAXIFS(Risk_Register!$L:$L,Risk_Register!$B:$B,C227)=2,"Medium","Low"))</f>
        <v>#NAME?</v>
      </c>
      <c r="I227" t="str">
        <f>IF(B227&lt;=3,"Preferred site - strong composite profile",IF(B227&lt;=10,"Backup candidate - viable with monitoring","Reserve - evaluate only if primary sites unavailable"))</f>
        <v>Backup candidate - viable with monitoring</v>
      </c>
    </row>
    <row r="228" spans="1:9">
      <c r="A228" t="s">
        <v>76</v>
      </c>
      <c r="B228">
        <v>7</v>
      </c>
      <c r="C228" t="s">
        <v>1601</v>
      </c>
      <c r="D228" t="s">
        <v>1602</v>
      </c>
      <c r="E228" t="s">
        <v>576</v>
      </c>
      <c r="F228">
        <f>INDEX(Site_Evaluation!$K:$K,MATCH(C228,Site_Evaluation!$A:$A,0))</f>
        <v>57</v>
      </c>
      <c r="G228">
        <f>COUNTIFS(Risk_Register!B:B,C228,Risk_Register!G:G,"High")</f>
        <v>2</v>
      </c>
      <c r="H228" t="e">
        <f ca="1">IF(_xludf.MAXIFS(Risk_Register!$L:$L,Risk_Register!$B:$B,C228)=3,"High",IF(_xludf.MAXIFS(Risk_Register!$L:$L,Risk_Register!$B:$B,C228)=2,"Medium","Low"))</f>
        <v>#NAME?</v>
      </c>
      <c r="I228" t="str">
        <f>IF(B228&lt;=3,"Preferred site - strong composite profile",IF(B228&lt;=10,"Backup candidate - viable with monitoring","Reserve - evaluate only if primary sites unavailable"))</f>
        <v>Backup candidate - viable with monitoring</v>
      </c>
    </row>
    <row r="229" spans="1:9">
      <c r="A229" t="s">
        <v>76</v>
      </c>
      <c r="B229">
        <v>8</v>
      </c>
      <c r="C229" t="s">
        <v>845</v>
      </c>
      <c r="D229" t="s">
        <v>846</v>
      </c>
      <c r="E229" t="s">
        <v>516</v>
      </c>
      <c r="F229">
        <f>INDEX(Site_Evaluation!$K:$K,MATCH(C229,Site_Evaluation!$A:$A,0))</f>
        <v>56</v>
      </c>
      <c r="G229">
        <f>COUNTIFS(Risk_Register!B:B,C229,Risk_Register!G:G,"High")</f>
        <v>0</v>
      </c>
      <c r="H229" t="e">
        <f ca="1">IF(_xludf.MAXIFS(Risk_Register!$L:$L,Risk_Register!$B:$B,C229)=3,"High",IF(_xludf.MAXIFS(Risk_Register!$L:$L,Risk_Register!$B:$B,C229)=2,"Medium","Low"))</f>
        <v>#NAME?</v>
      </c>
      <c r="I229" t="str">
        <f>IF(B229&lt;=3,"Preferred site - strong composite profile",IF(B229&lt;=10,"Backup candidate - viable with monitoring","Reserve - evaluate only if primary sites unavailable"))</f>
        <v>Backup candidate - viable with monitoring</v>
      </c>
    </row>
    <row r="230" spans="1:9">
      <c r="A230" t="s">
        <v>76</v>
      </c>
      <c r="B230">
        <v>9</v>
      </c>
      <c r="C230" t="s">
        <v>863</v>
      </c>
      <c r="D230" t="s">
        <v>864</v>
      </c>
      <c r="E230" t="s">
        <v>516</v>
      </c>
      <c r="F230">
        <f>INDEX(Site_Evaluation!$K:$K,MATCH(C230,Site_Evaluation!$A:$A,0))</f>
        <v>56</v>
      </c>
      <c r="G230">
        <f>COUNTIFS(Risk_Register!B:B,C230,Risk_Register!G:G,"High")</f>
        <v>2</v>
      </c>
      <c r="H230" t="e">
        <f ca="1">IF(_xludf.MAXIFS(Risk_Register!$L:$L,Risk_Register!$B:$B,C230)=3,"High",IF(_xludf.MAXIFS(Risk_Register!$L:$L,Risk_Register!$B:$B,C230)=2,"Medium","Low"))</f>
        <v>#NAME?</v>
      </c>
      <c r="I230" t="str">
        <f>IF(B230&lt;=3,"Preferred site - strong composite profile",IF(B230&lt;=10,"Backup candidate - viable with monitoring","Reserve - evaluate only if primary sites unavailable"))</f>
        <v>Backup candidate - viable with monitoring</v>
      </c>
    </row>
    <row r="231" spans="1:9">
      <c r="A231" t="s">
        <v>76</v>
      </c>
      <c r="B231">
        <v>10</v>
      </c>
      <c r="C231" t="s">
        <v>1267</v>
      </c>
      <c r="D231" t="s">
        <v>1268</v>
      </c>
      <c r="E231" t="s">
        <v>543</v>
      </c>
      <c r="F231">
        <f>INDEX(Site_Evaluation!$K:$K,MATCH(C231,Site_Evaluation!$A:$A,0))</f>
        <v>56</v>
      </c>
      <c r="G231">
        <f>COUNTIFS(Risk_Register!B:B,C231,Risk_Register!G:G,"High")</f>
        <v>1</v>
      </c>
      <c r="H231" t="e">
        <f ca="1">IF(_xludf.MAXIFS(Risk_Register!$L:$L,Risk_Register!$B:$B,C231)=3,"High",IF(_xludf.MAXIFS(Risk_Register!$L:$L,Risk_Register!$B:$B,C231)=2,"Medium","Low"))</f>
        <v>#NAME?</v>
      </c>
      <c r="I231" t="str">
        <f>IF(B231&lt;=3,"Preferred site - strong composite profile",IF(B231&lt;=10,"Backup candidate - viable with monitoring","Reserve - evaluate only if primary sites unavailable"))</f>
        <v>Backup candidate - viable with monitoring</v>
      </c>
    </row>
    <row r="232" spans="1:9">
      <c r="A232" t="s">
        <v>76</v>
      </c>
      <c r="B232">
        <v>11</v>
      </c>
      <c r="C232" t="s">
        <v>1910</v>
      </c>
      <c r="D232" t="s">
        <v>1911</v>
      </c>
      <c r="E232" t="s">
        <v>600</v>
      </c>
      <c r="F232">
        <f>INDEX(Site_Evaluation!$K:$K,MATCH(C232,Site_Evaluation!$A:$A,0))</f>
        <v>56</v>
      </c>
      <c r="G232">
        <f>COUNTIFS(Risk_Register!B:B,C232,Risk_Register!G:G,"High")</f>
        <v>1</v>
      </c>
      <c r="H232" t="e">
        <f ca="1">IF(_xludf.MAXIFS(Risk_Register!$L:$L,Risk_Register!$B:$B,C232)=3,"High",IF(_xludf.MAXIFS(Risk_Register!$L:$L,Risk_Register!$B:$B,C232)=2,"Medium","Low"))</f>
        <v>#NAME?</v>
      </c>
      <c r="I232" t="str">
        <f>IF(B232&lt;=3,"Preferred site - strong composite profile",IF(B232&lt;=10,"Backup candidate - viable with monitoring","Reserve - evaluate only if primary sites unavailable"))</f>
        <v>Reserve - evaluate only if primary sites unavailable</v>
      </c>
    </row>
    <row r="233" spans="1:9">
      <c r="A233" t="s">
        <v>76</v>
      </c>
      <c r="B233">
        <v>12</v>
      </c>
      <c r="C233" t="s">
        <v>710</v>
      </c>
      <c r="D233" t="s">
        <v>711</v>
      </c>
      <c r="E233" t="s">
        <v>509</v>
      </c>
      <c r="F233">
        <f>INDEX(Site_Evaluation!$K:$K,MATCH(C233,Site_Evaluation!$A:$A,0))</f>
        <v>55</v>
      </c>
      <c r="G233">
        <f>COUNTIFS(Risk_Register!B:B,C233,Risk_Register!G:G,"High")</f>
        <v>2</v>
      </c>
      <c r="H233" t="e">
        <f ca="1">IF(_xludf.MAXIFS(Risk_Register!$L:$L,Risk_Register!$B:$B,C233)=3,"High",IF(_xludf.MAXIFS(Risk_Register!$L:$L,Risk_Register!$B:$B,C233)=2,"Medium","Low"))</f>
        <v>#NAME?</v>
      </c>
      <c r="I233" t="str">
        <f>IF(B233&lt;=3,"Preferred site - strong composite profile",IF(B233&lt;=10,"Backup candidate - viable with monitoring","Reserve - evaluate only if primary sites unavailable"))</f>
        <v>Reserve - evaluate only if primary sites unavailable</v>
      </c>
    </row>
    <row r="234" spans="1:9">
      <c r="A234" t="s">
        <v>76</v>
      </c>
      <c r="B234">
        <v>13</v>
      </c>
      <c r="C234" t="s">
        <v>1713</v>
      </c>
      <c r="D234" t="s">
        <v>1714</v>
      </c>
      <c r="E234" t="s">
        <v>580</v>
      </c>
      <c r="F234">
        <f>INDEX(Site_Evaluation!$K:$K,MATCH(C234,Site_Evaluation!$A:$A,0))</f>
        <v>54</v>
      </c>
      <c r="G234">
        <f>COUNTIFS(Risk_Register!B:B,C234,Risk_Register!G:G,"High")</f>
        <v>3</v>
      </c>
      <c r="H234" t="e">
        <f ca="1">IF(_xludf.MAXIFS(Risk_Register!$L:$L,Risk_Register!$B:$B,C234)=3,"High",IF(_xludf.MAXIFS(Risk_Register!$L:$L,Risk_Register!$B:$B,C234)=2,"Medium","Low"))</f>
        <v>#NAME?</v>
      </c>
      <c r="I234" t="str">
        <f>IF(B234&lt;=3,"Preferred site - strong composite profile",IF(B234&lt;=10,"Backup candidate - viable with monitoring","Reserve - evaluate only if primary sites unavailable"))</f>
        <v>Reserve - evaluate only if primary sites unavailable</v>
      </c>
    </row>
    <row r="235" spans="1:9">
      <c r="A235" t="s">
        <v>76</v>
      </c>
      <c r="B235">
        <v>14</v>
      </c>
      <c r="C235" t="s">
        <v>1739</v>
      </c>
      <c r="D235" t="s">
        <v>1740</v>
      </c>
      <c r="E235" t="s">
        <v>584</v>
      </c>
      <c r="F235">
        <f>INDEX(Site_Evaluation!$K:$K,MATCH(C235,Site_Evaluation!$A:$A,0))</f>
        <v>54</v>
      </c>
      <c r="G235">
        <f>COUNTIFS(Risk_Register!B:B,C235,Risk_Register!G:G,"High")</f>
        <v>2</v>
      </c>
      <c r="H235" t="e">
        <f ca="1">IF(_xludf.MAXIFS(Risk_Register!$L:$L,Risk_Register!$B:$B,C235)=3,"High",IF(_xludf.MAXIFS(Risk_Register!$L:$L,Risk_Register!$B:$B,C235)=2,"Medium","Low"))</f>
        <v>#NAME?</v>
      </c>
      <c r="I235" t="str">
        <f>IF(B235&lt;=3,"Preferred site - strong composite profile",IF(B235&lt;=10,"Backup candidate - viable with monitoring","Reserve - evaluate only if primary sites unavailable"))</f>
        <v>Reserve - evaluate only if primary sites unavailable</v>
      </c>
    </row>
    <row r="236" spans="1:9">
      <c r="A236" t="s">
        <v>76</v>
      </c>
      <c r="B236">
        <v>15</v>
      </c>
      <c r="C236" t="s">
        <v>1383</v>
      </c>
      <c r="D236" t="s">
        <v>1384</v>
      </c>
      <c r="E236" t="s">
        <v>551</v>
      </c>
      <c r="F236">
        <f>INDEX(Site_Evaluation!$K:$K,MATCH(C236,Site_Evaluation!$A:$A,0))</f>
        <v>53</v>
      </c>
      <c r="G236">
        <f>COUNTIFS(Risk_Register!B:B,C236,Risk_Register!G:G,"High")</f>
        <v>0</v>
      </c>
      <c r="H236" t="e">
        <f ca="1">IF(_xludf.MAXIFS(Risk_Register!$L:$L,Risk_Register!$B:$B,C236)=3,"High",IF(_xludf.MAXIFS(Risk_Register!$L:$L,Risk_Register!$B:$B,C236)=2,"Medium","Low"))</f>
        <v>#NAME?</v>
      </c>
      <c r="I236" t="str">
        <f>IF(B236&lt;=3,"Preferred site - strong composite profile",IF(B236&lt;=10,"Backup candidate - viable with monitoring","Reserve - evaluate only if primary sites unavailable"))</f>
        <v>Reserve - evaluate only if primary sites unavailable</v>
      </c>
    </row>
    <row r="237" spans="1:9">
      <c r="A237" t="s">
        <v>76</v>
      </c>
      <c r="B237">
        <v>16</v>
      </c>
      <c r="C237" t="s">
        <v>692</v>
      </c>
      <c r="D237" t="s">
        <v>693</v>
      </c>
      <c r="E237" t="s">
        <v>509</v>
      </c>
      <c r="F237">
        <f>INDEX(Site_Evaluation!$K:$K,MATCH(C237,Site_Evaluation!$A:$A,0))</f>
        <v>52</v>
      </c>
      <c r="G237">
        <f>COUNTIFS(Risk_Register!B:B,C237,Risk_Register!G:G,"High")</f>
        <v>1</v>
      </c>
      <c r="H237" t="e">
        <f ca="1">IF(_xludf.MAXIFS(Risk_Register!$L:$L,Risk_Register!$B:$B,C237)=3,"High",IF(_xludf.MAXIFS(Risk_Register!$L:$L,Risk_Register!$B:$B,C237)=2,"Medium","Low"))</f>
        <v>#NAME?</v>
      </c>
      <c r="I237" t="str">
        <f>IF(B237&lt;=3,"Preferred site - strong composite profile",IF(B237&lt;=10,"Backup candidate - viable with monitoring","Reserve - evaluate only if primary sites unavailable"))</f>
        <v>Reserve - evaluate only if primary sites unavailable</v>
      </c>
    </row>
    <row r="238" spans="1:9">
      <c r="A238" t="s">
        <v>76</v>
      </c>
      <c r="B238">
        <v>17</v>
      </c>
      <c r="C238" t="s">
        <v>646</v>
      </c>
      <c r="D238" t="s">
        <v>647</v>
      </c>
      <c r="E238" t="s">
        <v>507</v>
      </c>
      <c r="F238">
        <f>INDEX(Site_Evaluation!$K:$K,MATCH(C238,Site_Evaluation!$A:$A,0))</f>
        <v>51</v>
      </c>
      <c r="G238">
        <f>COUNTIFS(Risk_Register!B:B,C238,Risk_Register!G:G,"High")</f>
        <v>0</v>
      </c>
      <c r="H238" t="e">
        <f ca="1">IF(_xludf.MAXIFS(Risk_Register!$L:$L,Risk_Register!$B:$B,C238)=3,"High",IF(_xludf.MAXIFS(Risk_Register!$L:$L,Risk_Register!$B:$B,C238)=2,"Medium","Low"))</f>
        <v>#NAME?</v>
      </c>
      <c r="I238" t="str">
        <f>IF(B238&lt;=3,"Preferred site - strong composite profile",IF(B238&lt;=10,"Backup candidate - viable with monitoring","Reserve - evaluate only if primary sites unavailable"))</f>
        <v>Reserve - evaluate only if primary sites unavailable</v>
      </c>
    </row>
    <row r="239" spans="1:9">
      <c r="A239" t="s">
        <v>76</v>
      </c>
      <c r="B239">
        <v>18</v>
      </c>
      <c r="C239" t="s">
        <v>1282</v>
      </c>
      <c r="D239" t="s">
        <v>1283</v>
      </c>
      <c r="E239" t="s">
        <v>543</v>
      </c>
      <c r="F239">
        <f>INDEX(Site_Evaluation!$K:$K,MATCH(C239,Site_Evaluation!$A:$A,0))</f>
        <v>51</v>
      </c>
      <c r="G239">
        <f>COUNTIFS(Risk_Register!B:B,C239,Risk_Register!G:G,"High")</f>
        <v>3</v>
      </c>
      <c r="H239" t="e">
        <f ca="1">IF(_xludf.MAXIFS(Risk_Register!$L:$L,Risk_Register!$B:$B,C239)=3,"High",IF(_xludf.MAXIFS(Risk_Register!$L:$L,Risk_Register!$B:$B,C239)=2,"Medium","Low"))</f>
        <v>#NAME?</v>
      </c>
      <c r="I239" t="str">
        <f>IF(B239&lt;=3,"Preferred site - strong composite profile",IF(B239&lt;=10,"Backup candidate - viable with monitoring","Reserve - evaluate only if primary sites unavailable"))</f>
        <v>Reserve - evaluate only if primary sites unavailable</v>
      </c>
    </row>
    <row r="240" spans="1:9">
      <c r="A240" t="s">
        <v>76</v>
      </c>
      <c r="B240">
        <v>19</v>
      </c>
      <c r="C240" t="s">
        <v>1476</v>
      </c>
      <c r="D240" t="s">
        <v>1477</v>
      </c>
      <c r="E240" t="s">
        <v>558</v>
      </c>
      <c r="F240">
        <f>INDEX(Site_Evaluation!$K:$K,MATCH(C240,Site_Evaluation!$A:$A,0))</f>
        <v>51</v>
      </c>
      <c r="G240">
        <f>COUNTIFS(Risk_Register!B:B,C240,Risk_Register!G:G,"High")</f>
        <v>1</v>
      </c>
      <c r="H240" t="e">
        <f ca="1">IF(_xludf.MAXIFS(Risk_Register!$L:$L,Risk_Register!$B:$B,C240)=3,"High",IF(_xludf.MAXIFS(Risk_Register!$L:$L,Risk_Register!$B:$B,C240)=2,"Medium","Low"))</f>
        <v>#NAME?</v>
      </c>
      <c r="I240" t="str">
        <f>IF(B240&lt;=3,"Preferred site - strong composite profile",IF(B240&lt;=10,"Backup candidate - viable with monitoring","Reserve - evaluate only if primary sites unavailable"))</f>
        <v>Reserve - evaluate only if primary sites unavailable</v>
      </c>
    </row>
    <row r="241" spans="1:9">
      <c r="A241" t="s">
        <v>76</v>
      </c>
      <c r="B241">
        <v>20</v>
      </c>
      <c r="C241" t="s">
        <v>812</v>
      </c>
      <c r="D241" t="s">
        <v>813</v>
      </c>
      <c r="E241" t="s">
        <v>516</v>
      </c>
      <c r="F241">
        <f>INDEX(Site_Evaluation!$K:$K,MATCH(C241,Site_Evaluation!$A:$A,0))</f>
        <v>50</v>
      </c>
      <c r="G241">
        <f>COUNTIFS(Risk_Register!B:B,C241,Risk_Register!G:G,"High")</f>
        <v>1</v>
      </c>
      <c r="H241" t="e">
        <f ca="1">IF(_xludf.MAXIFS(Risk_Register!$L:$L,Risk_Register!$B:$B,C241)=3,"High",IF(_xludf.MAXIFS(Risk_Register!$L:$L,Risk_Register!$B:$B,C241)=2,"Medium","Low"))</f>
        <v>#NAME?</v>
      </c>
      <c r="I241" t="str">
        <f>IF(B241&lt;=3,"Preferred site - strong composite profile",IF(B241&lt;=10,"Backup candidate - viable with monitoring","Reserve - evaluate only if primary sites unavailable"))</f>
        <v>Reserve - evaluate only if primary sites unavailable</v>
      </c>
    </row>
    <row r="242" spans="1:9">
      <c r="A242" t="s">
        <v>78</v>
      </c>
      <c r="B242">
        <v>1</v>
      </c>
      <c r="C242" t="s">
        <v>1669</v>
      </c>
      <c r="D242" t="s">
        <v>1670</v>
      </c>
      <c r="E242" t="s">
        <v>578</v>
      </c>
      <c r="F242">
        <f>INDEX(Site_Evaluation!$K:$K,MATCH(C242,Site_Evaluation!$A:$A,0))</f>
        <v>73</v>
      </c>
      <c r="G242">
        <f>COUNTIFS(Risk_Register!B:B,C242,Risk_Register!G:G,"High")</f>
        <v>1</v>
      </c>
      <c r="H242" t="e">
        <f ca="1">IF(_xludf.MAXIFS(Risk_Register!$L:$L,Risk_Register!$B:$B,C242)=3,"High",IF(_xludf.MAXIFS(Risk_Register!$L:$L,Risk_Register!$B:$B,C242)=2,"Medium","Low"))</f>
        <v>#NAME?</v>
      </c>
      <c r="I242" t="str">
        <f>IF(B242&lt;=3,"Preferred site - strong composite profile",IF(B242&lt;=10,"Backup candidate - viable with monitoring","Reserve - evaluate only if primary sites unavailable"))</f>
        <v>Preferred site - strong composite profile</v>
      </c>
    </row>
    <row r="243" spans="1:9">
      <c r="A243" t="s">
        <v>78</v>
      </c>
      <c r="B243">
        <v>2</v>
      </c>
      <c r="C243" t="s">
        <v>1619</v>
      </c>
      <c r="D243" t="s">
        <v>1620</v>
      </c>
      <c r="E243" t="s">
        <v>576</v>
      </c>
      <c r="F243">
        <f>INDEX(Site_Evaluation!$K:$K,MATCH(C243,Site_Evaluation!$A:$A,0))</f>
        <v>71</v>
      </c>
      <c r="G243">
        <f>COUNTIFS(Risk_Register!B:B,C243,Risk_Register!G:G,"High")</f>
        <v>1</v>
      </c>
      <c r="H243" t="e">
        <f ca="1">IF(_xludf.MAXIFS(Risk_Register!$L:$L,Risk_Register!$B:$B,C243)=3,"High",IF(_xludf.MAXIFS(Risk_Register!$L:$L,Risk_Register!$B:$B,C243)=2,"Medium","Low"))</f>
        <v>#NAME?</v>
      </c>
      <c r="I243" t="str">
        <f>IF(B243&lt;=3,"Preferred site - strong composite profile",IF(B243&lt;=10,"Backup candidate - viable with monitoring","Reserve - evaluate only if primary sites unavailable"))</f>
        <v>Preferred site - strong composite profile</v>
      </c>
    </row>
    <row r="244" spans="1:9">
      <c r="A244" t="s">
        <v>78</v>
      </c>
      <c r="B244">
        <v>3</v>
      </c>
      <c r="C244" t="s">
        <v>1456</v>
      </c>
      <c r="D244" t="s">
        <v>1457</v>
      </c>
      <c r="E244" t="s">
        <v>556</v>
      </c>
      <c r="F244">
        <f>INDEX(Site_Evaluation!$K:$K,MATCH(C244,Site_Evaluation!$A:$A,0))</f>
        <v>65</v>
      </c>
      <c r="G244">
        <f>COUNTIFS(Risk_Register!B:B,C244,Risk_Register!G:G,"High")</f>
        <v>0</v>
      </c>
      <c r="H244" t="e">
        <f ca="1">IF(_xludf.MAXIFS(Risk_Register!$L:$L,Risk_Register!$B:$B,C244)=3,"High",IF(_xludf.MAXIFS(Risk_Register!$L:$L,Risk_Register!$B:$B,C244)=2,"Medium","Low"))</f>
        <v>#NAME?</v>
      </c>
      <c r="I244" t="str">
        <f>IF(B244&lt;=3,"Preferred site - strong composite profile",IF(B244&lt;=10,"Backup candidate - viable with monitoring","Reserve - evaluate only if primary sites unavailable"))</f>
        <v>Preferred site - strong composite profile</v>
      </c>
    </row>
    <row r="245" spans="1:9">
      <c r="A245" t="s">
        <v>78</v>
      </c>
      <c r="B245">
        <v>4</v>
      </c>
      <c r="C245" t="s">
        <v>1737</v>
      </c>
      <c r="D245" t="s">
        <v>1738</v>
      </c>
      <c r="E245" t="s">
        <v>582</v>
      </c>
      <c r="F245">
        <f>INDEX(Site_Evaluation!$K:$K,MATCH(C245,Site_Evaluation!$A:$A,0))</f>
        <v>61</v>
      </c>
      <c r="G245">
        <f>COUNTIFS(Risk_Register!B:B,C245,Risk_Register!G:G,"High")</f>
        <v>3</v>
      </c>
      <c r="H245" t="e">
        <f ca="1">IF(_xludf.MAXIFS(Risk_Register!$L:$L,Risk_Register!$B:$B,C245)=3,"High",IF(_xludf.MAXIFS(Risk_Register!$L:$L,Risk_Register!$B:$B,C245)=2,"Medium","Low"))</f>
        <v>#NAME?</v>
      </c>
      <c r="I245" t="str">
        <f>IF(B245&lt;=3,"Preferred site - strong composite profile",IF(B245&lt;=10,"Backup candidate - viable with monitoring","Reserve - evaluate only if primary sites unavailable"))</f>
        <v>Backup candidate - viable with monitoring</v>
      </c>
    </row>
    <row r="246" spans="1:9">
      <c r="A246" t="s">
        <v>78</v>
      </c>
      <c r="B246">
        <v>5</v>
      </c>
      <c r="C246" t="s">
        <v>1695</v>
      </c>
      <c r="D246" t="s">
        <v>1696</v>
      </c>
      <c r="E246" t="s">
        <v>578</v>
      </c>
      <c r="F246">
        <f>INDEX(Site_Evaluation!$K:$K,MATCH(C246,Site_Evaluation!$A:$A,0))</f>
        <v>59</v>
      </c>
      <c r="G246">
        <f>COUNTIFS(Risk_Register!B:B,C246,Risk_Register!G:G,"High")</f>
        <v>0</v>
      </c>
      <c r="H246" t="e">
        <f ca="1">IF(_xludf.MAXIFS(Risk_Register!$L:$L,Risk_Register!$B:$B,C246)=3,"High",IF(_xludf.MAXIFS(Risk_Register!$L:$L,Risk_Register!$B:$B,C246)=2,"Medium","Low"))</f>
        <v>#NAME?</v>
      </c>
      <c r="I246" t="str">
        <f>IF(B246&lt;=3,"Preferred site - strong composite profile",IF(B246&lt;=10,"Backup candidate - viable with monitoring","Reserve - evaluate only if primary sites unavailable"))</f>
        <v>Backup candidate - viable with monitoring</v>
      </c>
    </row>
    <row r="247" spans="1:9">
      <c r="A247" t="s">
        <v>78</v>
      </c>
      <c r="B247">
        <v>6</v>
      </c>
      <c r="C247" t="s">
        <v>1029</v>
      </c>
      <c r="D247" t="s">
        <v>1030</v>
      </c>
      <c r="E247" t="s">
        <v>527</v>
      </c>
      <c r="F247">
        <f>INDEX(Site_Evaluation!$K:$K,MATCH(C247,Site_Evaluation!$A:$A,0))</f>
        <v>57</v>
      </c>
      <c r="G247">
        <f>COUNTIFS(Risk_Register!B:B,C247,Risk_Register!G:G,"High")</f>
        <v>2</v>
      </c>
      <c r="H247" t="e">
        <f ca="1">IF(_xludf.MAXIFS(Risk_Register!$L:$L,Risk_Register!$B:$B,C247)=3,"High",IF(_xludf.MAXIFS(Risk_Register!$L:$L,Risk_Register!$B:$B,C247)=2,"Medium","Low"))</f>
        <v>#NAME?</v>
      </c>
      <c r="I247" t="str">
        <f>IF(B247&lt;=3,"Preferred site - strong composite profile",IF(B247&lt;=10,"Backup candidate - viable with monitoring","Reserve - evaluate only if primary sites unavailable"))</f>
        <v>Backup candidate - viable with monitoring</v>
      </c>
    </row>
    <row r="248" spans="1:9">
      <c r="A248" t="s">
        <v>78</v>
      </c>
      <c r="B248">
        <v>7</v>
      </c>
      <c r="C248" t="s">
        <v>1601</v>
      </c>
      <c r="D248" t="s">
        <v>1602</v>
      </c>
      <c r="E248" t="s">
        <v>576</v>
      </c>
      <c r="F248">
        <f>INDEX(Site_Evaluation!$K:$K,MATCH(C248,Site_Evaluation!$A:$A,0))</f>
        <v>57</v>
      </c>
      <c r="G248">
        <f>COUNTIFS(Risk_Register!B:B,C248,Risk_Register!G:G,"High")</f>
        <v>2</v>
      </c>
      <c r="H248" t="e">
        <f ca="1">IF(_xludf.MAXIFS(Risk_Register!$L:$L,Risk_Register!$B:$B,C248)=3,"High",IF(_xludf.MAXIFS(Risk_Register!$L:$L,Risk_Register!$B:$B,C248)=2,"Medium","Low"))</f>
        <v>#NAME?</v>
      </c>
      <c r="I248" t="str">
        <f>IF(B248&lt;=3,"Preferred site - strong composite profile",IF(B248&lt;=10,"Backup candidate - viable with monitoring","Reserve - evaluate only if primary sites unavailable"))</f>
        <v>Backup candidate - viable with monitoring</v>
      </c>
    </row>
    <row r="249" spans="1:9">
      <c r="A249" t="s">
        <v>78</v>
      </c>
      <c r="B249">
        <v>8</v>
      </c>
      <c r="C249" t="s">
        <v>845</v>
      </c>
      <c r="D249" t="s">
        <v>846</v>
      </c>
      <c r="E249" t="s">
        <v>516</v>
      </c>
      <c r="F249">
        <f>INDEX(Site_Evaluation!$K:$K,MATCH(C249,Site_Evaluation!$A:$A,0))</f>
        <v>56</v>
      </c>
      <c r="G249">
        <f>COUNTIFS(Risk_Register!B:B,C249,Risk_Register!G:G,"High")</f>
        <v>0</v>
      </c>
      <c r="H249" t="e">
        <f ca="1">IF(_xludf.MAXIFS(Risk_Register!$L:$L,Risk_Register!$B:$B,C249)=3,"High",IF(_xludf.MAXIFS(Risk_Register!$L:$L,Risk_Register!$B:$B,C249)=2,"Medium","Low"))</f>
        <v>#NAME?</v>
      </c>
      <c r="I249" t="str">
        <f>IF(B249&lt;=3,"Preferred site - strong composite profile",IF(B249&lt;=10,"Backup candidate - viable with monitoring","Reserve - evaluate only if primary sites unavailable"))</f>
        <v>Backup candidate - viable with monitoring</v>
      </c>
    </row>
    <row r="250" spans="1:9">
      <c r="A250" t="s">
        <v>78</v>
      </c>
      <c r="B250">
        <v>9</v>
      </c>
      <c r="C250" t="s">
        <v>863</v>
      </c>
      <c r="D250" t="s">
        <v>864</v>
      </c>
      <c r="E250" t="s">
        <v>516</v>
      </c>
      <c r="F250">
        <f>INDEX(Site_Evaluation!$K:$K,MATCH(C250,Site_Evaluation!$A:$A,0))</f>
        <v>56</v>
      </c>
      <c r="G250">
        <f>COUNTIFS(Risk_Register!B:B,C250,Risk_Register!G:G,"High")</f>
        <v>2</v>
      </c>
      <c r="H250" t="e">
        <f ca="1">IF(_xludf.MAXIFS(Risk_Register!$L:$L,Risk_Register!$B:$B,C250)=3,"High",IF(_xludf.MAXIFS(Risk_Register!$L:$L,Risk_Register!$B:$B,C250)=2,"Medium","Low"))</f>
        <v>#NAME?</v>
      </c>
      <c r="I250" t="str">
        <f>IF(B250&lt;=3,"Preferred site - strong composite profile",IF(B250&lt;=10,"Backup candidate - viable with monitoring","Reserve - evaluate only if primary sites unavailable"))</f>
        <v>Backup candidate - viable with monitoring</v>
      </c>
    </row>
    <row r="251" spans="1:9">
      <c r="A251" t="s">
        <v>78</v>
      </c>
      <c r="B251">
        <v>10</v>
      </c>
      <c r="C251" t="s">
        <v>1267</v>
      </c>
      <c r="D251" t="s">
        <v>1268</v>
      </c>
      <c r="E251" t="s">
        <v>543</v>
      </c>
      <c r="F251">
        <f>INDEX(Site_Evaluation!$K:$K,MATCH(C251,Site_Evaluation!$A:$A,0))</f>
        <v>56</v>
      </c>
      <c r="G251">
        <f>COUNTIFS(Risk_Register!B:B,C251,Risk_Register!G:G,"High")</f>
        <v>1</v>
      </c>
      <c r="H251" t="e">
        <f ca="1">IF(_xludf.MAXIFS(Risk_Register!$L:$L,Risk_Register!$B:$B,C251)=3,"High",IF(_xludf.MAXIFS(Risk_Register!$L:$L,Risk_Register!$B:$B,C251)=2,"Medium","Low"))</f>
        <v>#NAME?</v>
      </c>
      <c r="I251" t="str">
        <f>IF(B251&lt;=3,"Preferred site - strong composite profile",IF(B251&lt;=10,"Backup candidate - viable with monitoring","Reserve - evaluate only if primary sites unavailable"))</f>
        <v>Backup candidate - viable with monitoring</v>
      </c>
    </row>
    <row r="252" spans="1:9">
      <c r="A252" t="s">
        <v>78</v>
      </c>
      <c r="B252">
        <v>11</v>
      </c>
      <c r="C252" t="s">
        <v>1910</v>
      </c>
      <c r="D252" t="s">
        <v>1911</v>
      </c>
      <c r="E252" t="s">
        <v>600</v>
      </c>
      <c r="F252">
        <f>INDEX(Site_Evaluation!$K:$K,MATCH(C252,Site_Evaluation!$A:$A,0))</f>
        <v>56</v>
      </c>
      <c r="G252">
        <f>COUNTIFS(Risk_Register!B:B,C252,Risk_Register!G:G,"High")</f>
        <v>1</v>
      </c>
      <c r="H252" t="e">
        <f ca="1">IF(_xludf.MAXIFS(Risk_Register!$L:$L,Risk_Register!$B:$B,C252)=3,"High",IF(_xludf.MAXIFS(Risk_Register!$L:$L,Risk_Register!$B:$B,C252)=2,"Medium","Low"))</f>
        <v>#NAME?</v>
      </c>
      <c r="I252" t="str">
        <f>IF(B252&lt;=3,"Preferred site - strong composite profile",IF(B252&lt;=10,"Backup candidate - viable with monitoring","Reserve - evaluate only if primary sites unavailable"))</f>
        <v>Reserve - evaluate only if primary sites unavailable</v>
      </c>
    </row>
    <row r="253" spans="1:9">
      <c r="A253" t="s">
        <v>78</v>
      </c>
      <c r="B253">
        <v>12</v>
      </c>
      <c r="C253" t="s">
        <v>710</v>
      </c>
      <c r="D253" t="s">
        <v>711</v>
      </c>
      <c r="E253" t="s">
        <v>509</v>
      </c>
      <c r="F253">
        <f>INDEX(Site_Evaluation!$K:$K,MATCH(C253,Site_Evaluation!$A:$A,0))</f>
        <v>55</v>
      </c>
      <c r="G253">
        <f>COUNTIFS(Risk_Register!B:B,C253,Risk_Register!G:G,"High")</f>
        <v>2</v>
      </c>
      <c r="H253" t="e">
        <f ca="1">IF(_xludf.MAXIFS(Risk_Register!$L:$L,Risk_Register!$B:$B,C253)=3,"High",IF(_xludf.MAXIFS(Risk_Register!$L:$L,Risk_Register!$B:$B,C253)=2,"Medium","Low"))</f>
        <v>#NAME?</v>
      </c>
      <c r="I253" t="str">
        <f>IF(B253&lt;=3,"Preferred site - strong composite profile",IF(B253&lt;=10,"Backup candidate - viable with monitoring","Reserve - evaluate only if primary sites unavailable"))</f>
        <v>Reserve - evaluate only if primary sites unavailable</v>
      </c>
    </row>
    <row r="254" spans="1:9">
      <c r="A254" t="s">
        <v>78</v>
      </c>
      <c r="B254">
        <v>13</v>
      </c>
      <c r="C254" t="s">
        <v>1713</v>
      </c>
      <c r="D254" t="s">
        <v>1714</v>
      </c>
      <c r="E254" t="s">
        <v>580</v>
      </c>
      <c r="F254">
        <f>INDEX(Site_Evaluation!$K:$K,MATCH(C254,Site_Evaluation!$A:$A,0))</f>
        <v>54</v>
      </c>
      <c r="G254">
        <f>COUNTIFS(Risk_Register!B:B,C254,Risk_Register!G:G,"High")</f>
        <v>3</v>
      </c>
      <c r="H254" t="e">
        <f ca="1">IF(_xludf.MAXIFS(Risk_Register!$L:$L,Risk_Register!$B:$B,C254)=3,"High",IF(_xludf.MAXIFS(Risk_Register!$L:$L,Risk_Register!$B:$B,C254)=2,"Medium","Low"))</f>
        <v>#NAME?</v>
      </c>
      <c r="I254" t="str">
        <f>IF(B254&lt;=3,"Preferred site - strong composite profile",IF(B254&lt;=10,"Backup candidate - viable with monitoring","Reserve - evaluate only if primary sites unavailable"))</f>
        <v>Reserve - evaluate only if primary sites unavailable</v>
      </c>
    </row>
    <row r="255" spans="1:9">
      <c r="A255" t="s">
        <v>78</v>
      </c>
      <c r="B255">
        <v>14</v>
      </c>
      <c r="C255" t="s">
        <v>1739</v>
      </c>
      <c r="D255" t="s">
        <v>1740</v>
      </c>
      <c r="E255" t="s">
        <v>584</v>
      </c>
      <c r="F255">
        <f>INDEX(Site_Evaluation!$K:$K,MATCH(C255,Site_Evaluation!$A:$A,0))</f>
        <v>54</v>
      </c>
      <c r="G255">
        <f>COUNTIFS(Risk_Register!B:B,C255,Risk_Register!G:G,"High")</f>
        <v>2</v>
      </c>
      <c r="H255" t="e">
        <f ca="1">IF(_xludf.MAXIFS(Risk_Register!$L:$L,Risk_Register!$B:$B,C255)=3,"High",IF(_xludf.MAXIFS(Risk_Register!$L:$L,Risk_Register!$B:$B,C255)=2,"Medium","Low"))</f>
        <v>#NAME?</v>
      </c>
      <c r="I255" t="str">
        <f>IF(B255&lt;=3,"Preferred site - strong composite profile",IF(B255&lt;=10,"Backup candidate - viable with monitoring","Reserve - evaluate only if primary sites unavailable"))</f>
        <v>Reserve - evaluate only if primary sites unavailable</v>
      </c>
    </row>
    <row r="256" spans="1:9">
      <c r="A256" t="s">
        <v>78</v>
      </c>
      <c r="B256">
        <v>15</v>
      </c>
      <c r="C256" t="s">
        <v>1383</v>
      </c>
      <c r="D256" t="s">
        <v>1384</v>
      </c>
      <c r="E256" t="s">
        <v>551</v>
      </c>
      <c r="F256">
        <f>INDEX(Site_Evaluation!$K:$K,MATCH(C256,Site_Evaluation!$A:$A,0))</f>
        <v>53</v>
      </c>
      <c r="G256">
        <f>COUNTIFS(Risk_Register!B:B,C256,Risk_Register!G:G,"High")</f>
        <v>0</v>
      </c>
      <c r="H256" t="e">
        <f ca="1">IF(_xludf.MAXIFS(Risk_Register!$L:$L,Risk_Register!$B:$B,C256)=3,"High",IF(_xludf.MAXIFS(Risk_Register!$L:$L,Risk_Register!$B:$B,C256)=2,"Medium","Low"))</f>
        <v>#NAME?</v>
      </c>
      <c r="I256" t="str">
        <f>IF(B256&lt;=3,"Preferred site - strong composite profile",IF(B256&lt;=10,"Backup candidate - viable with monitoring","Reserve - evaluate only if primary sites unavailable"))</f>
        <v>Reserve - evaluate only if primary sites unavailable</v>
      </c>
    </row>
    <row r="257" spans="1:9">
      <c r="A257" t="s">
        <v>78</v>
      </c>
      <c r="B257">
        <v>16</v>
      </c>
      <c r="C257" t="s">
        <v>692</v>
      </c>
      <c r="D257" t="s">
        <v>693</v>
      </c>
      <c r="E257" t="s">
        <v>509</v>
      </c>
      <c r="F257">
        <f>INDEX(Site_Evaluation!$K:$K,MATCH(C257,Site_Evaluation!$A:$A,0))</f>
        <v>52</v>
      </c>
      <c r="G257">
        <f>COUNTIFS(Risk_Register!B:B,C257,Risk_Register!G:G,"High")</f>
        <v>1</v>
      </c>
      <c r="H257" t="e">
        <f ca="1">IF(_xludf.MAXIFS(Risk_Register!$L:$L,Risk_Register!$B:$B,C257)=3,"High",IF(_xludf.MAXIFS(Risk_Register!$L:$L,Risk_Register!$B:$B,C257)=2,"Medium","Low"))</f>
        <v>#NAME?</v>
      </c>
      <c r="I257" t="str">
        <f>IF(B257&lt;=3,"Preferred site - strong composite profile",IF(B257&lt;=10,"Backup candidate - viable with monitoring","Reserve - evaluate only if primary sites unavailable"))</f>
        <v>Reserve - evaluate only if primary sites unavailable</v>
      </c>
    </row>
    <row r="258" spans="1:9">
      <c r="A258" t="s">
        <v>78</v>
      </c>
      <c r="B258">
        <v>17</v>
      </c>
      <c r="C258" t="s">
        <v>646</v>
      </c>
      <c r="D258" t="s">
        <v>647</v>
      </c>
      <c r="E258" t="s">
        <v>507</v>
      </c>
      <c r="F258">
        <f>INDEX(Site_Evaluation!$K:$K,MATCH(C258,Site_Evaluation!$A:$A,0))</f>
        <v>51</v>
      </c>
      <c r="G258">
        <f>COUNTIFS(Risk_Register!B:B,C258,Risk_Register!G:G,"High")</f>
        <v>0</v>
      </c>
      <c r="H258" t="e">
        <f ca="1">IF(_xludf.MAXIFS(Risk_Register!$L:$L,Risk_Register!$B:$B,C258)=3,"High",IF(_xludf.MAXIFS(Risk_Register!$L:$L,Risk_Register!$B:$B,C258)=2,"Medium","Low"))</f>
        <v>#NAME?</v>
      </c>
      <c r="I258" t="str">
        <f>IF(B258&lt;=3,"Preferred site - strong composite profile",IF(B258&lt;=10,"Backup candidate - viable with monitoring","Reserve - evaluate only if primary sites unavailable"))</f>
        <v>Reserve - evaluate only if primary sites unavailable</v>
      </c>
    </row>
    <row r="259" spans="1:9">
      <c r="A259" t="s">
        <v>78</v>
      </c>
      <c r="B259">
        <v>18</v>
      </c>
      <c r="C259" t="s">
        <v>1282</v>
      </c>
      <c r="D259" t="s">
        <v>1283</v>
      </c>
      <c r="E259" t="s">
        <v>543</v>
      </c>
      <c r="F259">
        <f>INDEX(Site_Evaluation!$K:$K,MATCH(C259,Site_Evaluation!$A:$A,0))</f>
        <v>51</v>
      </c>
      <c r="G259">
        <f>COUNTIFS(Risk_Register!B:B,C259,Risk_Register!G:G,"High")</f>
        <v>3</v>
      </c>
      <c r="H259" t="e">
        <f ca="1">IF(_xludf.MAXIFS(Risk_Register!$L:$L,Risk_Register!$B:$B,C259)=3,"High",IF(_xludf.MAXIFS(Risk_Register!$L:$L,Risk_Register!$B:$B,C259)=2,"Medium","Low"))</f>
        <v>#NAME?</v>
      </c>
      <c r="I259" t="str">
        <f>IF(B259&lt;=3,"Preferred site - strong composite profile",IF(B259&lt;=10,"Backup candidate - viable with monitoring","Reserve - evaluate only if primary sites unavailable"))</f>
        <v>Reserve - evaluate only if primary sites unavailable</v>
      </c>
    </row>
    <row r="260" spans="1:9">
      <c r="A260" t="s">
        <v>78</v>
      </c>
      <c r="B260">
        <v>19</v>
      </c>
      <c r="C260" t="s">
        <v>1476</v>
      </c>
      <c r="D260" t="s">
        <v>1477</v>
      </c>
      <c r="E260" t="s">
        <v>558</v>
      </c>
      <c r="F260">
        <f>INDEX(Site_Evaluation!$K:$K,MATCH(C260,Site_Evaluation!$A:$A,0))</f>
        <v>51</v>
      </c>
      <c r="G260">
        <f>COUNTIFS(Risk_Register!B:B,C260,Risk_Register!G:G,"High")</f>
        <v>1</v>
      </c>
      <c r="H260" t="e">
        <f ca="1">IF(_xludf.MAXIFS(Risk_Register!$L:$L,Risk_Register!$B:$B,C260)=3,"High",IF(_xludf.MAXIFS(Risk_Register!$L:$L,Risk_Register!$B:$B,C260)=2,"Medium","Low"))</f>
        <v>#NAME?</v>
      </c>
      <c r="I260" t="str">
        <f>IF(B260&lt;=3,"Preferred site - strong composite profile",IF(B260&lt;=10,"Backup candidate - viable with monitoring","Reserve - evaluate only if primary sites unavailable"))</f>
        <v>Reserve - evaluate only if primary sites unavailable</v>
      </c>
    </row>
    <row r="261" spans="1:9">
      <c r="A261" t="s">
        <v>78</v>
      </c>
      <c r="B261">
        <v>20</v>
      </c>
      <c r="C261" t="s">
        <v>812</v>
      </c>
      <c r="D261" t="s">
        <v>813</v>
      </c>
      <c r="E261" t="s">
        <v>516</v>
      </c>
      <c r="F261">
        <f>INDEX(Site_Evaluation!$K:$K,MATCH(C261,Site_Evaluation!$A:$A,0))</f>
        <v>50</v>
      </c>
      <c r="G261">
        <f>COUNTIFS(Risk_Register!B:B,C261,Risk_Register!G:G,"High")</f>
        <v>1</v>
      </c>
      <c r="H261" t="e">
        <f ca="1">IF(_xludf.MAXIFS(Risk_Register!$L:$L,Risk_Register!$B:$B,C261)=3,"High",IF(_xludf.MAXIFS(Risk_Register!$L:$L,Risk_Register!$B:$B,C261)=2,"Medium","Low"))</f>
        <v>#NAME?</v>
      </c>
      <c r="I261" t="str">
        <f>IF(B261&lt;=3,"Preferred site - strong composite profile",IF(B261&lt;=10,"Backup candidate - viable with monitoring","Reserve - evaluate only if primary sites unavailable"))</f>
        <v>Reserve - evaluate only if primary sites unavailable</v>
      </c>
    </row>
    <row r="262" spans="1:9">
      <c r="A262" t="s">
        <v>80</v>
      </c>
      <c r="B262">
        <v>1</v>
      </c>
      <c r="C262" t="s">
        <v>888</v>
      </c>
      <c r="D262" t="s">
        <v>889</v>
      </c>
      <c r="E262" t="s">
        <v>518</v>
      </c>
      <c r="F262">
        <f>INDEX(Site_Evaluation!$K:$K,MATCH(C262,Site_Evaluation!$A:$A,0))</f>
        <v>79</v>
      </c>
      <c r="G262">
        <f>COUNTIFS(Risk_Register!B:B,C262,Risk_Register!G:G,"High")</f>
        <v>0</v>
      </c>
      <c r="H262" t="e">
        <f ca="1">IF(_xludf.MAXIFS(Risk_Register!$L:$L,Risk_Register!$B:$B,C262)=3,"High",IF(_xludf.MAXIFS(Risk_Register!$L:$L,Risk_Register!$B:$B,C262)=2,"Medium","Low"))</f>
        <v>#NAME?</v>
      </c>
      <c r="I262" t="str">
        <f>IF(B262&lt;=3,"Preferred site - strong composite profile",IF(B262&lt;=10,"Backup candidate - viable with monitoring","Reserve - evaluate only if primary sites unavailable"))</f>
        <v>Preferred site - strong composite profile</v>
      </c>
    </row>
    <row r="263" spans="1:9">
      <c r="A263" t="s">
        <v>80</v>
      </c>
      <c r="B263">
        <v>2</v>
      </c>
      <c r="C263" t="s">
        <v>1804</v>
      </c>
      <c r="D263" t="s">
        <v>1805</v>
      </c>
      <c r="E263" t="s">
        <v>590</v>
      </c>
      <c r="F263">
        <f>INDEX(Site_Evaluation!$K:$K,MATCH(C263,Site_Evaluation!$A:$A,0))</f>
        <v>76</v>
      </c>
      <c r="G263">
        <f>COUNTIFS(Risk_Register!B:B,C263,Risk_Register!G:G,"High")</f>
        <v>0</v>
      </c>
      <c r="H263" t="e">
        <f ca="1">IF(_xludf.MAXIFS(Risk_Register!$L:$L,Risk_Register!$B:$B,C263)=3,"High",IF(_xludf.MAXIFS(Risk_Register!$L:$L,Risk_Register!$B:$B,C263)=2,"Medium","Low"))</f>
        <v>#NAME?</v>
      </c>
      <c r="I263" t="str">
        <f>IF(B263&lt;=3,"Preferred site - strong composite profile",IF(B263&lt;=10,"Backup candidate - viable with monitoring","Reserve - evaluate only if primary sites unavailable"))</f>
        <v>Preferred site - strong composite profile</v>
      </c>
    </row>
    <row r="264" spans="1:9">
      <c r="A264" t="s">
        <v>80</v>
      </c>
      <c r="B264">
        <v>3</v>
      </c>
      <c r="C264" t="s">
        <v>819</v>
      </c>
      <c r="D264" t="s">
        <v>820</v>
      </c>
      <c r="E264" t="s">
        <v>516</v>
      </c>
      <c r="F264">
        <f>INDEX(Site_Evaluation!$K:$K,MATCH(C264,Site_Evaluation!$A:$A,0))</f>
        <v>65</v>
      </c>
      <c r="G264">
        <f>COUNTIFS(Risk_Register!B:B,C264,Risk_Register!G:G,"High")</f>
        <v>1</v>
      </c>
      <c r="H264" t="e">
        <f ca="1">IF(_xludf.MAXIFS(Risk_Register!$L:$L,Risk_Register!$B:$B,C264)=3,"High",IF(_xludf.MAXIFS(Risk_Register!$L:$L,Risk_Register!$B:$B,C264)=2,"Medium","Low"))</f>
        <v>#NAME?</v>
      </c>
      <c r="I264" t="str">
        <f>IF(B264&lt;=3,"Preferred site - strong composite profile",IF(B264&lt;=10,"Backup candidate - viable with monitoring","Reserve - evaluate only if primary sites unavailable"))</f>
        <v>Preferred site - strong composite profile</v>
      </c>
    </row>
    <row r="265" spans="1:9">
      <c r="A265" t="s">
        <v>80</v>
      </c>
      <c r="B265">
        <v>4</v>
      </c>
      <c r="C265" t="s">
        <v>1000</v>
      </c>
      <c r="D265" t="s">
        <v>993</v>
      </c>
      <c r="E265" t="s">
        <v>525</v>
      </c>
      <c r="F265">
        <f>INDEX(Site_Evaluation!$K:$K,MATCH(C265,Site_Evaluation!$A:$A,0))</f>
        <v>64</v>
      </c>
      <c r="G265">
        <f>COUNTIFS(Risk_Register!B:B,C265,Risk_Register!G:G,"High")</f>
        <v>1</v>
      </c>
      <c r="H265" t="e">
        <f ca="1">IF(_xludf.MAXIFS(Risk_Register!$L:$L,Risk_Register!$B:$B,C265)=3,"High",IF(_xludf.MAXIFS(Risk_Register!$L:$L,Risk_Register!$B:$B,C265)=2,"Medium","Low"))</f>
        <v>#NAME?</v>
      </c>
      <c r="I265" t="str">
        <f>IF(B265&lt;=3,"Preferred site - strong composite profile",IF(B265&lt;=10,"Backup candidate - viable with monitoring","Reserve - evaluate only if primary sites unavailable"))</f>
        <v>Backup candidate - viable with monitoring</v>
      </c>
    </row>
    <row r="266" spans="1:9">
      <c r="A266" t="s">
        <v>80</v>
      </c>
      <c r="B266">
        <v>5</v>
      </c>
      <c r="C266" t="s">
        <v>1901</v>
      </c>
      <c r="D266" t="s">
        <v>1902</v>
      </c>
      <c r="E266" t="s">
        <v>600</v>
      </c>
      <c r="F266">
        <f>INDEX(Site_Evaluation!$K:$K,MATCH(C266,Site_Evaluation!$A:$A,0))</f>
        <v>64</v>
      </c>
      <c r="G266">
        <f>COUNTIFS(Risk_Register!B:B,C266,Risk_Register!G:G,"High")</f>
        <v>1</v>
      </c>
      <c r="H266" t="e">
        <f ca="1">IF(_xludf.MAXIFS(Risk_Register!$L:$L,Risk_Register!$B:$B,C266)=3,"High",IF(_xludf.MAXIFS(Risk_Register!$L:$L,Risk_Register!$B:$B,C266)=2,"Medium","Low"))</f>
        <v>#NAME?</v>
      </c>
      <c r="I266" t="str">
        <f>IF(B266&lt;=3,"Preferred site - strong composite profile",IF(B266&lt;=10,"Backup candidate - viable with monitoring","Reserve - evaluate only if primary sites unavailable"))</f>
        <v>Backup candidate - viable with monitoring</v>
      </c>
    </row>
    <row r="267" spans="1:9">
      <c r="A267" t="s">
        <v>80</v>
      </c>
      <c r="B267">
        <v>6</v>
      </c>
      <c r="C267" t="s">
        <v>790</v>
      </c>
      <c r="D267" t="s">
        <v>791</v>
      </c>
      <c r="E267" t="s">
        <v>514</v>
      </c>
      <c r="F267">
        <f>INDEX(Site_Evaluation!$K:$K,MATCH(C267,Site_Evaluation!$A:$A,0))</f>
        <v>63</v>
      </c>
      <c r="G267">
        <f>COUNTIFS(Risk_Register!B:B,C267,Risk_Register!G:G,"High")</f>
        <v>1</v>
      </c>
      <c r="H267" t="e">
        <f ca="1">IF(_xludf.MAXIFS(Risk_Register!$L:$L,Risk_Register!$B:$B,C267)=3,"High",IF(_xludf.MAXIFS(Risk_Register!$L:$L,Risk_Register!$B:$B,C267)=2,"Medium","Low"))</f>
        <v>#NAME?</v>
      </c>
      <c r="I267" t="str">
        <f>IF(B267&lt;=3,"Preferred site - strong composite profile",IF(B267&lt;=10,"Backup candidate - viable with monitoring","Reserve - evaluate only if primary sites unavailable"))</f>
        <v>Backup candidate - viable with monitoring</v>
      </c>
    </row>
    <row r="268" spans="1:9">
      <c r="A268" t="s">
        <v>80</v>
      </c>
      <c r="B268">
        <v>7</v>
      </c>
      <c r="C268" t="s">
        <v>840</v>
      </c>
      <c r="D268" t="s">
        <v>841</v>
      </c>
      <c r="E268" t="s">
        <v>516</v>
      </c>
      <c r="F268">
        <f>INDEX(Site_Evaluation!$K:$K,MATCH(C268,Site_Evaluation!$A:$A,0))</f>
        <v>63</v>
      </c>
      <c r="G268">
        <f>COUNTIFS(Risk_Register!B:B,C268,Risk_Register!G:G,"High")</f>
        <v>0</v>
      </c>
      <c r="H268" t="e">
        <f ca="1">IF(_xludf.MAXIFS(Risk_Register!$L:$L,Risk_Register!$B:$B,C268)=3,"High",IF(_xludf.MAXIFS(Risk_Register!$L:$L,Risk_Register!$B:$B,C268)=2,"Medium","Low"))</f>
        <v>#NAME?</v>
      </c>
      <c r="I268" t="str">
        <f>IF(B268&lt;=3,"Preferred site - strong composite profile",IF(B268&lt;=10,"Backup candidate - viable with monitoring","Reserve - evaluate only if primary sites unavailable"))</f>
        <v>Backup candidate - viable with monitoring</v>
      </c>
    </row>
    <row r="269" spans="1:9">
      <c r="A269" t="s">
        <v>80</v>
      </c>
      <c r="B269">
        <v>8</v>
      </c>
      <c r="C269" t="s">
        <v>1586</v>
      </c>
      <c r="D269" t="s">
        <v>1587</v>
      </c>
      <c r="E269" t="s">
        <v>576</v>
      </c>
      <c r="F269">
        <f>INDEX(Site_Evaluation!$K:$K,MATCH(C269,Site_Evaluation!$A:$A,0))</f>
        <v>63</v>
      </c>
      <c r="G269">
        <f>COUNTIFS(Risk_Register!B:B,C269,Risk_Register!G:G,"High")</f>
        <v>0</v>
      </c>
      <c r="H269" t="e">
        <f ca="1">IF(_xludf.MAXIFS(Risk_Register!$L:$L,Risk_Register!$B:$B,C269)=3,"High",IF(_xludf.MAXIFS(Risk_Register!$L:$L,Risk_Register!$B:$B,C269)=2,"Medium","Low"))</f>
        <v>#NAME?</v>
      </c>
      <c r="I269" t="str">
        <f>IF(B269&lt;=3,"Preferred site - strong composite profile",IF(B269&lt;=10,"Backup candidate - viable with monitoring","Reserve - evaluate only if primary sites unavailable"))</f>
        <v>Backup candidate - viable with monitoring</v>
      </c>
    </row>
    <row r="270" spans="1:9">
      <c r="A270" t="s">
        <v>80</v>
      </c>
      <c r="B270">
        <v>9</v>
      </c>
      <c r="C270" t="s">
        <v>1617</v>
      </c>
      <c r="D270" t="s">
        <v>1618</v>
      </c>
      <c r="E270" t="s">
        <v>576</v>
      </c>
      <c r="F270">
        <f>INDEX(Site_Evaluation!$K:$K,MATCH(C270,Site_Evaluation!$A:$A,0))</f>
        <v>61</v>
      </c>
      <c r="G270">
        <f>COUNTIFS(Risk_Register!B:B,C270,Risk_Register!G:G,"High")</f>
        <v>2</v>
      </c>
      <c r="H270" t="e">
        <f ca="1">IF(_xludf.MAXIFS(Risk_Register!$L:$L,Risk_Register!$B:$B,C270)=3,"High",IF(_xludf.MAXIFS(Risk_Register!$L:$L,Risk_Register!$B:$B,C270)=2,"Medium","Low"))</f>
        <v>#NAME?</v>
      </c>
      <c r="I270" t="str">
        <f>IF(B270&lt;=3,"Preferred site - strong composite profile",IF(B270&lt;=10,"Backup candidate - viable with monitoring","Reserve - evaluate only if primary sites unavailable"))</f>
        <v>Backup candidate - viable with monitoring</v>
      </c>
    </row>
    <row r="271" spans="1:9">
      <c r="A271" t="s">
        <v>80</v>
      </c>
      <c r="B271">
        <v>10</v>
      </c>
      <c r="C271" t="s">
        <v>949</v>
      </c>
      <c r="D271" t="s">
        <v>939</v>
      </c>
      <c r="E271" t="s">
        <v>522</v>
      </c>
      <c r="F271">
        <f>INDEX(Site_Evaluation!$K:$K,MATCH(C271,Site_Evaluation!$A:$A,0))</f>
        <v>60</v>
      </c>
      <c r="G271">
        <f>COUNTIFS(Risk_Register!B:B,C271,Risk_Register!G:G,"High")</f>
        <v>1</v>
      </c>
      <c r="H271" t="e">
        <f ca="1">IF(_xludf.MAXIFS(Risk_Register!$L:$L,Risk_Register!$B:$B,C271)=3,"High",IF(_xludf.MAXIFS(Risk_Register!$L:$L,Risk_Register!$B:$B,C271)=2,"Medium","Low"))</f>
        <v>#NAME?</v>
      </c>
      <c r="I271" t="str">
        <f>IF(B271&lt;=3,"Preferred site - strong composite profile",IF(B271&lt;=10,"Backup candidate - viable with monitoring","Reserve - evaluate only if primary sites unavailable"))</f>
        <v>Backup candidate - viable with monitoring</v>
      </c>
    </row>
    <row r="272" spans="1:9">
      <c r="A272" t="s">
        <v>80</v>
      </c>
      <c r="B272">
        <v>11</v>
      </c>
      <c r="C272" t="s">
        <v>1311</v>
      </c>
      <c r="D272" t="s">
        <v>1312</v>
      </c>
      <c r="E272" t="s">
        <v>545</v>
      </c>
      <c r="F272">
        <f>INDEX(Site_Evaluation!$K:$K,MATCH(C272,Site_Evaluation!$A:$A,0))</f>
        <v>60</v>
      </c>
      <c r="G272">
        <f>COUNTIFS(Risk_Register!B:B,C272,Risk_Register!G:G,"High")</f>
        <v>2</v>
      </c>
      <c r="H272" t="e">
        <f ca="1">IF(_xludf.MAXIFS(Risk_Register!$L:$L,Risk_Register!$B:$B,C272)=3,"High",IF(_xludf.MAXIFS(Risk_Register!$L:$L,Risk_Register!$B:$B,C272)=2,"Medium","Low"))</f>
        <v>#NAME?</v>
      </c>
      <c r="I272" t="str">
        <f>IF(B272&lt;=3,"Preferred site - strong composite profile",IF(B272&lt;=10,"Backup candidate - viable with monitoring","Reserve - evaluate only if primary sites unavailable"))</f>
        <v>Reserve - evaluate only if primary sites unavailable</v>
      </c>
    </row>
    <row r="273" spans="1:9">
      <c r="A273" t="s">
        <v>80</v>
      </c>
      <c r="B273">
        <v>12</v>
      </c>
      <c r="C273" t="s">
        <v>1621</v>
      </c>
      <c r="D273" t="s">
        <v>1622</v>
      </c>
      <c r="E273" t="s">
        <v>576</v>
      </c>
      <c r="F273">
        <f>INDEX(Site_Evaluation!$K:$K,MATCH(C273,Site_Evaluation!$A:$A,0))</f>
        <v>60</v>
      </c>
      <c r="G273">
        <f>COUNTIFS(Risk_Register!B:B,C273,Risk_Register!G:G,"High")</f>
        <v>0</v>
      </c>
      <c r="H273" t="e">
        <f ca="1">IF(_xludf.MAXIFS(Risk_Register!$L:$L,Risk_Register!$B:$B,C273)=3,"High",IF(_xludf.MAXIFS(Risk_Register!$L:$L,Risk_Register!$B:$B,C273)=2,"Medium","Low"))</f>
        <v>#NAME?</v>
      </c>
      <c r="I273" t="str">
        <f>IF(B273&lt;=3,"Preferred site - strong composite profile",IF(B273&lt;=10,"Backup candidate - viable with monitoring","Reserve - evaluate only if primary sites unavailable"))</f>
        <v>Reserve - evaluate only if primary sites unavailable</v>
      </c>
    </row>
    <row r="274" spans="1:9">
      <c r="A274" t="s">
        <v>80</v>
      </c>
      <c r="B274">
        <v>13</v>
      </c>
      <c r="C274" t="s">
        <v>1841</v>
      </c>
      <c r="D274" t="s">
        <v>1842</v>
      </c>
      <c r="E274" t="s">
        <v>594</v>
      </c>
      <c r="F274">
        <f>INDEX(Site_Evaluation!$K:$K,MATCH(C274,Site_Evaluation!$A:$A,0))</f>
        <v>59</v>
      </c>
      <c r="G274">
        <f>COUNTIFS(Risk_Register!B:B,C274,Risk_Register!G:G,"High")</f>
        <v>0</v>
      </c>
      <c r="H274" t="e">
        <f ca="1">IF(_xludf.MAXIFS(Risk_Register!$L:$L,Risk_Register!$B:$B,C274)=3,"High",IF(_xludf.MAXIFS(Risk_Register!$L:$L,Risk_Register!$B:$B,C274)=2,"Medium","Low"))</f>
        <v>#NAME?</v>
      </c>
      <c r="I274" t="str">
        <f>IF(B274&lt;=3,"Preferred site - strong composite profile",IF(B274&lt;=10,"Backup candidate - viable with monitoring","Reserve - evaluate only if primary sites unavailable"))</f>
        <v>Reserve - evaluate only if primary sites unavailable</v>
      </c>
    </row>
    <row r="275" spans="1:9">
      <c r="A275" t="s">
        <v>80</v>
      </c>
      <c r="B275">
        <v>14</v>
      </c>
      <c r="C275" t="s">
        <v>661</v>
      </c>
      <c r="D275" t="s">
        <v>662</v>
      </c>
      <c r="E275" t="s">
        <v>507</v>
      </c>
      <c r="F275">
        <f>INDEX(Site_Evaluation!$K:$K,MATCH(C275,Site_Evaluation!$A:$A,0))</f>
        <v>58</v>
      </c>
      <c r="G275">
        <f>COUNTIFS(Risk_Register!B:B,C275,Risk_Register!G:G,"High")</f>
        <v>0</v>
      </c>
      <c r="H275" t="e">
        <f ca="1">IF(_xludf.MAXIFS(Risk_Register!$L:$L,Risk_Register!$B:$B,C275)=3,"High",IF(_xludf.MAXIFS(Risk_Register!$L:$L,Risk_Register!$B:$B,C275)=2,"Medium","Low"))</f>
        <v>#NAME?</v>
      </c>
      <c r="I275" t="str">
        <f>IF(B275&lt;=3,"Preferred site - strong composite profile",IF(B275&lt;=10,"Backup candidate - viable with monitoring","Reserve - evaluate only if primary sites unavailable"))</f>
        <v>Reserve - evaluate only if primary sites unavailable</v>
      </c>
    </row>
    <row r="276" spans="1:9">
      <c r="A276" t="s">
        <v>80</v>
      </c>
      <c r="B276">
        <v>15</v>
      </c>
      <c r="C276" t="s">
        <v>866</v>
      </c>
      <c r="D276" t="s">
        <v>867</v>
      </c>
      <c r="E276" t="s">
        <v>516</v>
      </c>
      <c r="F276">
        <f>INDEX(Site_Evaluation!$K:$K,MATCH(C276,Site_Evaluation!$A:$A,0))</f>
        <v>58</v>
      </c>
      <c r="G276">
        <f>COUNTIFS(Risk_Register!B:B,C276,Risk_Register!G:G,"High")</f>
        <v>0</v>
      </c>
      <c r="H276" t="e">
        <f ca="1">IF(_xludf.MAXIFS(Risk_Register!$L:$L,Risk_Register!$B:$B,C276)=3,"High",IF(_xludf.MAXIFS(Risk_Register!$L:$L,Risk_Register!$B:$B,C276)=2,"Medium","Low"))</f>
        <v>#NAME?</v>
      </c>
      <c r="I276" t="str">
        <f>IF(B276&lt;=3,"Preferred site - strong composite profile",IF(B276&lt;=10,"Backup candidate - viable with monitoring","Reserve - evaluate only if primary sites unavailable"))</f>
        <v>Reserve - evaluate only if primary sites unavailable</v>
      </c>
    </row>
    <row r="277" spans="1:9">
      <c r="A277" t="s">
        <v>80</v>
      </c>
      <c r="B277">
        <v>16</v>
      </c>
      <c r="C277" t="s">
        <v>1164</v>
      </c>
      <c r="D277" t="s">
        <v>1165</v>
      </c>
      <c r="E277" t="s">
        <v>537</v>
      </c>
      <c r="F277">
        <f>INDEX(Site_Evaluation!$K:$K,MATCH(C277,Site_Evaluation!$A:$A,0))</f>
        <v>58</v>
      </c>
      <c r="G277">
        <f>COUNTIFS(Risk_Register!B:B,C277,Risk_Register!G:G,"High")</f>
        <v>1</v>
      </c>
      <c r="H277" t="e">
        <f ca="1">IF(_xludf.MAXIFS(Risk_Register!$L:$L,Risk_Register!$B:$B,C277)=3,"High",IF(_xludf.MAXIFS(Risk_Register!$L:$L,Risk_Register!$B:$B,C277)=2,"Medium","Low"))</f>
        <v>#NAME?</v>
      </c>
      <c r="I277" t="str">
        <f>IF(B277&lt;=3,"Preferred site - strong composite profile",IF(B277&lt;=10,"Backup candidate - viable with monitoring","Reserve - evaluate only if primary sites unavailable"))</f>
        <v>Reserve - evaluate only if primary sites unavailable</v>
      </c>
    </row>
    <row r="278" spans="1:9">
      <c r="A278" t="s">
        <v>80</v>
      </c>
      <c r="B278">
        <v>17</v>
      </c>
      <c r="C278" t="s">
        <v>1287</v>
      </c>
      <c r="D278" t="s">
        <v>1288</v>
      </c>
      <c r="E278" t="s">
        <v>545</v>
      </c>
      <c r="F278">
        <f>INDEX(Site_Evaluation!$K:$K,MATCH(C278,Site_Evaluation!$A:$A,0))</f>
        <v>58</v>
      </c>
      <c r="G278">
        <f>COUNTIFS(Risk_Register!B:B,C278,Risk_Register!G:G,"High")</f>
        <v>1</v>
      </c>
      <c r="H278" t="e">
        <f ca="1">IF(_xludf.MAXIFS(Risk_Register!$L:$L,Risk_Register!$B:$B,C278)=3,"High",IF(_xludf.MAXIFS(Risk_Register!$L:$L,Risk_Register!$B:$B,C278)=2,"Medium","Low"))</f>
        <v>#NAME?</v>
      </c>
      <c r="I278" t="str">
        <f>IF(B278&lt;=3,"Preferred site - strong composite profile",IF(B278&lt;=10,"Backup candidate - viable with monitoring","Reserve - evaluate only if primary sites unavailable"))</f>
        <v>Reserve - evaluate only if primary sites unavailable</v>
      </c>
    </row>
    <row r="279" spans="1:9">
      <c r="A279" t="s">
        <v>80</v>
      </c>
      <c r="B279">
        <v>18</v>
      </c>
      <c r="C279" t="s">
        <v>1888</v>
      </c>
      <c r="D279" t="s">
        <v>1889</v>
      </c>
      <c r="E279" t="s">
        <v>598</v>
      </c>
      <c r="F279">
        <f>INDEX(Site_Evaluation!$K:$K,MATCH(C279,Site_Evaluation!$A:$A,0))</f>
        <v>58</v>
      </c>
      <c r="G279">
        <f>COUNTIFS(Risk_Register!B:B,C279,Risk_Register!G:G,"High")</f>
        <v>1</v>
      </c>
      <c r="H279" t="e">
        <f ca="1">IF(_xludf.MAXIFS(Risk_Register!$L:$L,Risk_Register!$B:$B,C279)=3,"High",IF(_xludf.MAXIFS(Risk_Register!$L:$L,Risk_Register!$B:$B,C279)=2,"Medium","Low"))</f>
        <v>#NAME?</v>
      </c>
      <c r="I279" t="str">
        <f>IF(B279&lt;=3,"Preferred site - strong composite profile",IF(B279&lt;=10,"Backup candidate - viable with monitoring","Reserve - evaluate only if primary sites unavailable"))</f>
        <v>Reserve - evaluate only if primary sites unavailable</v>
      </c>
    </row>
    <row r="280" spans="1:9">
      <c r="A280" t="s">
        <v>80</v>
      </c>
      <c r="B280">
        <v>19</v>
      </c>
      <c r="C280" t="s">
        <v>1905</v>
      </c>
      <c r="D280" t="s">
        <v>1899</v>
      </c>
      <c r="E280" t="s">
        <v>600</v>
      </c>
      <c r="F280">
        <f>INDEX(Site_Evaluation!$K:$K,MATCH(C280,Site_Evaluation!$A:$A,0))</f>
        <v>58</v>
      </c>
      <c r="G280">
        <f>COUNTIFS(Risk_Register!B:B,C280,Risk_Register!G:G,"High")</f>
        <v>3</v>
      </c>
      <c r="H280" t="e">
        <f ca="1">IF(_xludf.MAXIFS(Risk_Register!$L:$L,Risk_Register!$B:$B,C280)=3,"High",IF(_xludf.MAXIFS(Risk_Register!$L:$L,Risk_Register!$B:$B,C280)=2,"Medium","Low"))</f>
        <v>#NAME?</v>
      </c>
      <c r="I280" t="str">
        <f>IF(B280&lt;=3,"Preferred site - strong composite profile",IF(B280&lt;=10,"Backup candidate - viable with monitoring","Reserve - evaluate only if primary sites unavailable"))</f>
        <v>Reserve - evaluate only if primary sites unavailable</v>
      </c>
    </row>
    <row r="281" spans="1:9">
      <c r="A281" t="s">
        <v>80</v>
      </c>
      <c r="B281">
        <v>20</v>
      </c>
      <c r="C281" t="s">
        <v>621</v>
      </c>
      <c r="D281" t="s">
        <v>622</v>
      </c>
      <c r="E281" t="s">
        <v>507</v>
      </c>
      <c r="F281">
        <f>INDEX(Site_Evaluation!$K:$K,MATCH(C281,Site_Evaluation!$A:$A,0))</f>
        <v>56</v>
      </c>
      <c r="G281">
        <f>COUNTIFS(Risk_Register!B:B,C281,Risk_Register!G:G,"High")</f>
        <v>2</v>
      </c>
      <c r="H281" t="e">
        <f ca="1">IF(_xludf.MAXIFS(Risk_Register!$L:$L,Risk_Register!$B:$B,C281)=3,"High",IF(_xludf.MAXIFS(Risk_Register!$L:$L,Risk_Register!$B:$B,C281)=2,"Medium","Low"))</f>
        <v>#NAME?</v>
      </c>
      <c r="I281" t="str">
        <f>IF(B281&lt;=3,"Preferred site - strong composite profile",IF(B281&lt;=10,"Backup candidate - viable with monitoring","Reserve - evaluate only if primary sites unavailable"))</f>
        <v>Reserve - evaluate only if primary sites unavailable</v>
      </c>
    </row>
    <row r="282" spans="1:9">
      <c r="A282" t="s">
        <v>82</v>
      </c>
      <c r="B282">
        <v>1</v>
      </c>
      <c r="C282" t="s">
        <v>888</v>
      </c>
      <c r="D282" t="s">
        <v>889</v>
      </c>
      <c r="E282" t="s">
        <v>518</v>
      </c>
      <c r="F282">
        <f>INDEX(Site_Evaluation!$K:$K,MATCH(C282,Site_Evaluation!$A:$A,0))</f>
        <v>79</v>
      </c>
      <c r="G282">
        <f>COUNTIFS(Risk_Register!B:B,C282,Risk_Register!G:G,"High")</f>
        <v>0</v>
      </c>
      <c r="H282" t="e">
        <f ca="1">IF(_xludf.MAXIFS(Risk_Register!$L:$L,Risk_Register!$B:$B,C282)=3,"High",IF(_xludf.MAXIFS(Risk_Register!$L:$L,Risk_Register!$B:$B,C282)=2,"Medium","Low"))</f>
        <v>#NAME?</v>
      </c>
      <c r="I282" t="str">
        <f>IF(B282&lt;=3,"Preferred site - strong composite profile",IF(B282&lt;=10,"Backup candidate - viable with monitoring","Reserve - evaluate only if primary sites unavailable"))</f>
        <v>Preferred site - strong composite profile</v>
      </c>
    </row>
    <row r="283" spans="1:9">
      <c r="A283" t="s">
        <v>82</v>
      </c>
      <c r="B283">
        <v>2</v>
      </c>
      <c r="C283" t="s">
        <v>1804</v>
      </c>
      <c r="D283" t="s">
        <v>1805</v>
      </c>
      <c r="E283" t="s">
        <v>590</v>
      </c>
      <c r="F283">
        <f>INDEX(Site_Evaluation!$K:$K,MATCH(C283,Site_Evaluation!$A:$A,0))</f>
        <v>76</v>
      </c>
      <c r="G283">
        <f>COUNTIFS(Risk_Register!B:B,C283,Risk_Register!G:G,"High")</f>
        <v>0</v>
      </c>
      <c r="H283" t="e">
        <f ca="1">IF(_xludf.MAXIFS(Risk_Register!$L:$L,Risk_Register!$B:$B,C283)=3,"High",IF(_xludf.MAXIFS(Risk_Register!$L:$L,Risk_Register!$B:$B,C283)=2,"Medium","Low"))</f>
        <v>#NAME?</v>
      </c>
      <c r="I283" t="str">
        <f>IF(B283&lt;=3,"Preferred site - strong composite profile",IF(B283&lt;=10,"Backup candidate - viable with monitoring","Reserve - evaluate only if primary sites unavailable"))</f>
        <v>Preferred site - strong composite profile</v>
      </c>
    </row>
    <row r="284" spans="1:9">
      <c r="A284" t="s">
        <v>82</v>
      </c>
      <c r="B284">
        <v>3</v>
      </c>
      <c r="C284" t="s">
        <v>819</v>
      </c>
      <c r="D284" t="s">
        <v>820</v>
      </c>
      <c r="E284" t="s">
        <v>516</v>
      </c>
      <c r="F284">
        <f>INDEX(Site_Evaluation!$K:$K,MATCH(C284,Site_Evaluation!$A:$A,0))</f>
        <v>65</v>
      </c>
      <c r="G284">
        <f>COUNTIFS(Risk_Register!B:B,C284,Risk_Register!G:G,"High")</f>
        <v>1</v>
      </c>
      <c r="H284" t="e">
        <f ca="1">IF(_xludf.MAXIFS(Risk_Register!$L:$L,Risk_Register!$B:$B,C284)=3,"High",IF(_xludf.MAXIFS(Risk_Register!$L:$L,Risk_Register!$B:$B,C284)=2,"Medium","Low"))</f>
        <v>#NAME?</v>
      </c>
      <c r="I284" t="str">
        <f>IF(B284&lt;=3,"Preferred site - strong composite profile",IF(B284&lt;=10,"Backup candidate - viable with monitoring","Reserve - evaluate only if primary sites unavailable"))</f>
        <v>Preferred site - strong composite profile</v>
      </c>
    </row>
    <row r="285" spans="1:9">
      <c r="A285" t="s">
        <v>82</v>
      </c>
      <c r="B285">
        <v>4</v>
      </c>
      <c r="C285" t="s">
        <v>1000</v>
      </c>
      <c r="D285" t="s">
        <v>993</v>
      </c>
      <c r="E285" t="s">
        <v>525</v>
      </c>
      <c r="F285">
        <f>INDEX(Site_Evaluation!$K:$K,MATCH(C285,Site_Evaluation!$A:$A,0))</f>
        <v>64</v>
      </c>
      <c r="G285">
        <f>COUNTIFS(Risk_Register!B:B,C285,Risk_Register!G:G,"High")</f>
        <v>1</v>
      </c>
      <c r="H285" t="e">
        <f ca="1">IF(_xludf.MAXIFS(Risk_Register!$L:$L,Risk_Register!$B:$B,C285)=3,"High",IF(_xludf.MAXIFS(Risk_Register!$L:$L,Risk_Register!$B:$B,C285)=2,"Medium","Low"))</f>
        <v>#NAME?</v>
      </c>
      <c r="I285" t="str">
        <f>IF(B285&lt;=3,"Preferred site - strong composite profile",IF(B285&lt;=10,"Backup candidate - viable with monitoring","Reserve - evaluate only if primary sites unavailable"))</f>
        <v>Backup candidate - viable with monitoring</v>
      </c>
    </row>
    <row r="286" spans="1:9">
      <c r="A286" t="s">
        <v>82</v>
      </c>
      <c r="B286">
        <v>5</v>
      </c>
      <c r="C286" t="s">
        <v>1901</v>
      </c>
      <c r="D286" t="s">
        <v>1902</v>
      </c>
      <c r="E286" t="s">
        <v>600</v>
      </c>
      <c r="F286">
        <f>INDEX(Site_Evaluation!$K:$K,MATCH(C286,Site_Evaluation!$A:$A,0))</f>
        <v>64</v>
      </c>
      <c r="G286">
        <f>COUNTIFS(Risk_Register!B:B,C286,Risk_Register!G:G,"High")</f>
        <v>1</v>
      </c>
      <c r="H286" t="e">
        <f ca="1">IF(_xludf.MAXIFS(Risk_Register!$L:$L,Risk_Register!$B:$B,C286)=3,"High",IF(_xludf.MAXIFS(Risk_Register!$L:$L,Risk_Register!$B:$B,C286)=2,"Medium","Low"))</f>
        <v>#NAME?</v>
      </c>
      <c r="I286" t="str">
        <f>IF(B286&lt;=3,"Preferred site - strong composite profile",IF(B286&lt;=10,"Backup candidate - viable with monitoring","Reserve - evaluate only if primary sites unavailable"))</f>
        <v>Backup candidate - viable with monitoring</v>
      </c>
    </row>
    <row r="287" spans="1:9">
      <c r="A287" t="s">
        <v>82</v>
      </c>
      <c r="B287">
        <v>6</v>
      </c>
      <c r="C287" t="s">
        <v>790</v>
      </c>
      <c r="D287" t="s">
        <v>791</v>
      </c>
      <c r="E287" t="s">
        <v>514</v>
      </c>
      <c r="F287">
        <f>INDEX(Site_Evaluation!$K:$K,MATCH(C287,Site_Evaluation!$A:$A,0))</f>
        <v>63</v>
      </c>
      <c r="G287">
        <f>COUNTIFS(Risk_Register!B:B,C287,Risk_Register!G:G,"High")</f>
        <v>1</v>
      </c>
      <c r="H287" t="e">
        <f ca="1">IF(_xludf.MAXIFS(Risk_Register!$L:$L,Risk_Register!$B:$B,C287)=3,"High",IF(_xludf.MAXIFS(Risk_Register!$L:$L,Risk_Register!$B:$B,C287)=2,"Medium","Low"))</f>
        <v>#NAME?</v>
      </c>
      <c r="I287" t="str">
        <f>IF(B287&lt;=3,"Preferred site - strong composite profile",IF(B287&lt;=10,"Backup candidate - viable with monitoring","Reserve - evaluate only if primary sites unavailable"))</f>
        <v>Backup candidate - viable with monitoring</v>
      </c>
    </row>
    <row r="288" spans="1:9">
      <c r="A288" t="s">
        <v>82</v>
      </c>
      <c r="B288">
        <v>7</v>
      </c>
      <c r="C288" t="s">
        <v>840</v>
      </c>
      <c r="D288" t="s">
        <v>841</v>
      </c>
      <c r="E288" t="s">
        <v>516</v>
      </c>
      <c r="F288">
        <f>INDEX(Site_Evaluation!$K:$K,MATCH(C288,Site_Evaluation!$A:$A,0))</f>
        <v>63</v>
      </c>
      <c r="G288">
        <f>COUNTIFS(Risk_Register!B:B,C288,Risk_Register!G:G,"High")</f>
        <v>0</v>
      </c>
      <c r="H288" t="e">
        <f ca="1">IF(_xludf.MAXIFS(Risk_Register!$L:$L,Risk_Register!$B:$B,C288)=3,"High",IF(_xludf.MAXIFS(Risk_Register!$L:$L,Risk_Register!$B:$B,C288)=2,"Medium","Low"))</f>
        <v>#NAME?</v>
      </c>
      <c r="I288" t="str">
        <f>IF(B288&lt;=3,"Preferred site - strong composite profile",IF(B288&lt;=10,"Backup candidate - viable with monitoring","Reserve - evaluate only if primary sites unavailable"))</f>
        <v>Backup candidate - viable with monitoring</v>
      </c>
    </row>
    <row r="289" spans="1:9">
      <c r="A289" t="s">
        <v>82</v>
      </c>
      <c r="B289">
        <v>8</v>
      </c>
      <c r="C289" t="s">
        <v>1586</v>
      </c>
      <c r="D289" t="s">
        <v>1587</v>
      </c>
      <c r="E289" t="s">
        <v>576</v>
      </c>
      <c r="F289">
        <f>INDEX(Site_Evaluation!$K:$K,MATCH(C289,Site_Evaluation!$A:$A,0))</f>
        <v>63</v>
      </c>
      <c r="G289">
        <f>COUNTIFS(Risk_Register!B:B,C289,Risk_Register!G:G,"High")</f>
        <v>0</v>
      </c>
      <c r="H289" t="e">
        <f ca="1">IF(_xludf.MAXIFS(Risk_Register!$L:$L,Risk_Register!$B:$B,C289)=3,"High",IF(_xludf.MAXIFS(Risk_Register!$L:$L,Risk_Register!$B:$B,C289)=2,"Medium","Low"))</f>
        <v>#NAME?</v>
      </c>
      <c r="I289" t="str">
        <f>IF(B289&lt;=3,"Preferred site - strong composite profile",IF(B289&lt;=10,"Backup candidate - viable with monitoring","Reserve - evaluate only if primary sites unavailable"))</f>
        <v>Backup candidate - viable with monitoring</v>
      </c>
    </row>
    <row r="290" spans="1:9">
      <c r="A290" t="s">
        <v>82</v>
      </c>
      <c r="B290">
        <v>9</v>
      </c>
      <c r="C290" t="s">
        <v>1617</v>
      </c>
      <c r="D290" t="s">
        <v>1618</v>
      </c>
      <c r="E290" t="s">
        <v>576</v>
      </c>
      <c r="F290">
        <f>INDEX(Site_Evaluation!$K:$K,MATCH(C290,Site_Evaluation!$A:$A,0))</f>
        <v>61</v>
      </c>
      <c r="G290">
        <f>COUNTIFS(Risk_Register!B:B,C290,Risk_Register!G:G,"High")</f>
        <v>2</v>
      </c>
      <c r="H290" t="e">
        <f ca="1">IF(_xludf.MAXIFS(Risk_Register!$L:$L,Risk_Register!$B:$B,C290)=3,"High",IF(_xludf.MAXIFS(Risk_Register!$L:$L,Risk_Register!$B:$B,C290)=2,"Medium","Low"))</f>
        <v>#NAME?</v>
      </c>
      <c r="I290" t="str">
        <f>IF(B290&lt;=3,"Preferred site - strong composite profile",IF(B290&lt;=10,"Backup candidate - viable with monitoring","Reserve - evaluate only if primary sites unavailable"))</f>
        <v>Backup candidate - viable with monitoring</v>
      </c>
    </row>
    <row r="291" spans="1:9">
      <c r="A291" t="s">
        <v>82</v>
      </c>
      <c r="B291">
        <v>10</v>
      </c>
      <c r="C291" t="s">
        <v>949</v>
      </c>
      <c r="D291" t="s">
        <v>939</v>
      </c>
      <c r="E291" t="s">
        <v>522</v>
      </c>
      <c r="F291">
        <f>INDEX(Site_Evaluation!$K:$K,MATCH(C291,Site_Evaluation!$A:$A,0))</f>
        <v>60</v>
      </c>
      <c r="G291">
        <f>COUNTIFS(Risk_Register!B:B,C291,Risk_Register!G:G,"High")</f>
        <v>1</v>
      </c>
      <c r="H291" t="e">
        <f ca="1">IF(_xludf.MAXIFS(Risk_Register!$L:$L,Risk_Register!$B:$B,C291)=3,"High",IF(_xludf.MAXIFS(Risk_Register!$L:$L,Risk_Register!$B:$B,C291)=2,"Medium","Low"))</f>
        <v>#NAME?</v>
      </c>
      <c r="I291" t="str">
        <f>IF(B291&lt;=3,"Preferred site - strong composite profile",IF(B291&lt;=10,"Backup candidate - viable with monitoring","Reserve - evaluate only if primary sites unavailable"))</f>
        <v>Backup candidate - viable with monitoring</v>
      </c>
    </row>
    <row r="292" spans="1:9">
      <c r="A292" t="s">
        <v>82</v>
      </c>
      <c r="B292">
        <v>11</v>
      </c>
      <c r="C292" t="s">
        <v>1311</v>
      </c>
      <c r="D292" t="s">
        <v>1312</v>
      </c>
      <c r="E292" t="s">
        <v>545</v>
      </c>
      <c r="F292">
        <f>INDEX(Site_Evaluation!$K:$K,MATCH(C292,Site_Evaluation!$A:$A,0))</f>
        <v>60</v>
      </c>
      <c r="G292">
        <f>COUNTIFS(Risk_Register!B:B,C292,Risk_Register!G:G,"High")</f>
        <v>2</v>
      </c>
      <c r="H292" t="e">
        <f ca="1">IF(_xludf.MAXIFS(Risk_Register!$L:$L,Risk_Register!$B:$B,C292)=3,"High",IF(_xludf.MAXIFS(Risk_Register!$L:$L,Risk_Register!$B:$B,C292)=2,"Medium","Low"))</f>
        <v>#NAME?</v>
      </c>
      <c r="I292" t="str">
        <f>IF(B292&lt;=3,"Preferred site - strong composite profile",IF(B292&lt;=10,"Backup candidate - viable with monitoring","Reserve - evaluate only if primary sites unavailable"))</f>
        <v>Reserve - evaluate only if primary sites unavailable</v>
      </c>
    </row>
    <row r="293" spans="1:9">
      <c r="A293" t="s">
        <v>82</v>
      </c>
      <c r="B293">
        <v>12</v>
      </c>
      <c r="C293" t="s">
        <v>1621</v>
      </c>
      <c r="D293" t="s">
        <v>1622</v>
      </c>
      <c r="E293" t="s">
        <v>576</v>
      </c>
      <c r="F293">
        <f>INDEX(Site_Evaluation!$K:$K,MATCH(C293,Site_Evaluation!$A:$A,0))</f>
        <v>60</v>
      </c>
      <c r="G293">
        <f>COUNTIFS(Risk_Register!B:B,C293,Risk_Register!G:G,"High")</f>
        <v>0</v>
      </c>
      <c r="H293" t="e">
        <f ca="1">IF(_xludf.MAXIFS(Risk_Register!$L:$L,Risk_Register!$B:$B,C293)=3,"High",IF(_xludf.MAXIFS(Risk_Register!$L:$L,Risk_Register!$B:$B,C293)=2,"Medium","Low"))</f>
        <v>#NAME?</v>
      </c>
      <c r="I293" t="str">
        <f>IF(B293&lt;=3,"Preferred site - strong composite profile",IF(B293&lt;=10,"Backup candidate - viable with monitoring","Reserve - evaluate only if primary sites unavailable"))</f>
        <v>Reserve - evaluate only if primary sites unavailable</v>
      </c>
    </row>
    <row r="294" spans="1:9">
      <c r="A294" t="s">
        <v>82</v>
      </c>
      <c r="B294">
        <v>13</v>
      </c>
      <c r="C294" t="s">
        <v>1841</v>
      </c>
      <c r="D294" t="s">
        <v>1842</v>
      </c>
      <c r="E294" t="s">
        <v>594</v>
      </c>
      <c r="F294">
        <f>INDEX(Site_Evaluation!$K:$K,MATCH(C294,Site_Evaluation!$A:$A,0))</f>
        <v>59</v>
      </c>
      <c r="G294">
        <f>COUNTIFS(Risk_Register!B:B,C294,Risk_Register!G:G,"High")</f>
        <v>0</v>
      </c>
      <c r="H294" t="e">
        <f ca="1">IF(_xludf.MAXIFS(Risk_Register!$L:$L,Risk_Register!$B:$B,C294)=3,"High",IF(_xludf.MAXIFS(Risk_Register!$L:$L,Risk_Register!$B:$B,C294)=2,"Medium","Low"))</f>
        <v>#NAME?</v>
      </c>
      <c r="I294" t="str">
        <f>IF(B294&lt;=3,"Preferred site - strong composite profile",IF(B294&lt;=10,"Backup candidate - viable with monitoring","Reserve - evaluate only if primary sites unavailable"))</f>
        <v>Reserve - evaluate only if primary sites unavailable</v>
      </c>
    </row>
    <row r="295" spans="1:9">
      <c r="A295" t="s">
        <v>82</v>
      </c>
      <c r="B295">
        <v>14</v>
      </c>
      <c r="C295" t="s">
        <v>661</v>
      </c>
      <c r="D295" t="s">
        <v>662</v>
      </c>
      <c r="E295" t="s">
        <v>507</v>
      </c>
      <c r="F295">
        <f>INDEX(Site_Evaluation!$K:$K,MATCH(C295,Site_Evaluation!$A:$A,0))</f>
        <v>58</v>
      </c>
      <c r="G295">
        <f>COUNTIFS(Risk_Register!B:B,C295,Risk_Register!G:G,"High")</f>
        <v>0</v>
      </c>
      <c r="H295" t="e">
        <f ca="1">IF(_xludf.MAXIFS(Risk_Register!$L:$L,Risk_Register!$B:$B,C295)=3,"High",IF(_xludf.MAXIFS(Risk_Register!$L:$L,Risk_Register!$B:$B,C295)=2,"Medium","Low"))</f>
        <v>#NAME?</v>
      </c>
      <c r="I295" t="str">
        <f>IF(B295&lt;=3,"Preferred site - strong composite profile",IF(B295&lt;=10,"Backup candidate - viable with monitoring","Reserve - evaluate only if primary sites unavailable"))</f>
        <v>Reserve - evaluate only if primary sites unavailable</v>
      </c>
    </row>
    <row r="296" spans="1:9">
      <c r="A296" t="s">
        <v>82</v>
      </c>
      <c r="B296">
        <v>15</v>
      </c>
      <c r="C296" t="s">
        <v>866</v>
      </c>
      <c r="D296" t="s">
        <v>867</v>
      </c>
      <c r="E296" t="s">
        <v>516</v>
      </c>
      <c r="F296">
        <f>INDEX(Site_Evaluation!$K:$K,MATCH(C296,Site_Evaluation!$A:$A,0))</f>
        <v>58</v>
      </c>
      <c r="G296">
        <f>COUNTIFS(Risk_Register!B:B,C296,Risk_Register!G:G,"High")</f>
        <v>0</v>
      </c>
      <c r="H296" t="e">
        <f ca="1">IF(_xludf.MAXIFS(Risk_Register!$L:$L,Risk_Register!$B:$B,C296)=3,"High",IF(_xludf.MAXIFS(Risk_Register!$L:$L,Risk_Register!$B:$B,C296)=2,"Medium","Low"))</f>
        <v>#NAME?</v>
      </c>
      <c r="I296" t="str">
        <f>IF(B296&lt;=3,"Preferred site - strong composite profile",IF(B296&lt;=10,"Backup candidate - viable with monitoring","Reserve - evaluate only if primary sites unavailable"))</f>
        <v>Reserve - evaluate only if primary sites unavailable</v>
      </c>
    </row>
    <row r="297" spans="1:9">
      <c r="A297" t="s">
        <v>82</v>
      </c>
      <c r="B297">
        <v>16</v>
      </c>
      <c r="C297" t="s">
        <v>1164</v>
      </c>
      <c r="D297" t="s">
        <v>1165</v>
      </c>
      <c r="E297" t="s">
        <v>537</v>
      </c>
      <c r="F297">
        <f>INDEX(Site_Evaluation!$K:$K,MATCH(C297,Site_Evaluation!$A:$A,0))</f>
        <v>58</v>
      </c>
      <c r="G297">
        <f>COUNTIFS(Risk_Register!B:B,C297,Risk_Register!G:G,"High")</f>
        <v>1</v>
      </c>
      <c r="H297" t="e">
        <f ca="1">IF(_xludf.MAXIFS(Risk_Register!$L:$L,Risk_Register!$B:$B,C297)=3,"High",IF(_xludf.MAXIFS(Risk_Register!$L:$L,Risk_Register!$B:$B,C297)=2,"Medium","Low"))</f>
        <v>#NAME?</v>
      </c>
      <c r="I297" t="str">
        <f>IF(B297&lt;=3,"Preferred site - strong composite profile",IF(B297&lt;=10,"Backup candidate - viable with monitoring","Reserve - evaluate only if primary sites unavailable"))</f>
        <v>Reserve - evaluate only if primary sites unavailable</v>
      </c>
    </row>
    <row r="298" spans="1:9">
      <c r="A298" t="s">
        <v>82</v>
      </c>
      <c r="B298">
        <v>17</v>
      </c>
      <c r="C298" t="s">
        <v>1287</v>
      </c>
      <c r="D298" t="s">
        <v>1288</v>
      </c>
      <c r="E298" t="s">
        <v>545</v>
      </c>
      <c r="F298">
        <f>INDEX(Site_Evaluation!$K:$K,MATCH(C298,Site_Evaluation!$A:$A,0))</f>
        <v>58</v>
      </c>
      <c r="G298">
        <f>COUNTIFS(Risk_Register!B:B,C298,Risk_Register!G:G,"High")</f>
        <v>1</v>
      </c>
      <c r="H298" t="e">
        <f ca="1">IF(_xludf.MAXIFS(Risk_Register!$L:$L,Risk_Register!$B:$B,C298)=3,"High",IF(_xludf.MAXIFS(Risk_Register!$L:$L,Risk_Register!$B:$B,C298)=2,"Medium","Low"))</f>
        <v>#NAME?</v>
      </c>
      <c r="I298" t="str">
        <f>IF(B298&lt;=3,"Preferred site - strong composite profile",IF(B298&lt;=10,"Backup candidate - viable with monitoring","Reserve - evaluate only if primary sites unavailable"))</f>
        <v>Reserve - evaluate only if primary sites unavailable</v>
      </c>
    </row>
    <row r="299" spans="1:9">
      <c r="A299" t="s">
        <v>82</v>
      </c>
      <c r="B299">
        <v>18</v>
      </c>
      <c r="C299" t="s">
        <v>1888</v>
      </c>
      <c r="D299" t="s">
        <v>1889</v>
      </c>
      <c r="E299" t="s">
        <v>598</v>
      </c>
      <c r="F299">
        <f>INDEX(Site_Evaluation!$K:$K,MATCH(C299,Site_Evaluation!$A:$A,0))</f>
        <v>58</v>
      </c>
      <c r="G299">
        <f>COUNTIFS(Risk_Register!B:B,C299,Risk_Register!G:G,"High")</f>
        <v>1</v>
      </c>
      <c r="H299" t="e">
        <f ca="1">IF(_xludf.MAXIFS(Risk_Register!$L:$L,Risk_Register!$B:$B,C299)=3,"High",IF(_xludf.MAXIFS(Risk_Register!$L:$L,Risk_Register!$B:$B,C299)=2,"Medium","Low"))</f>
        <v>#NAME?</v>
      </c>
      <c r="I299" t="str">
        <f>IF(B299&lt;=3,"Preferred site - strong composite profile",IF(B299&lt;=10,"Backup candidate - viable with monitoring","Reserve - evaluate only if primary sites unavailable"))</f>
        <v>Reserve - evaluate only if primary sites unavailable</v>
      </c>
    </row>
    <row r="300" spans="1:9">
      <c r="A300" t="s">
        <v>82</v>
      </c>
      <c r="B300">
        <v>19</v>
      </c>
      <c r="C300" t="s">
        <v>1905</v>
      </c>
      <c r="D300" t="s">
        <v>1899</v>
      </c>
      <c r="E300" t="s">
        <v>600</v>
      </c>
      <c r="F300">
        <f>INDEX(Site_Evaluation!$K:$K,MATCH(C300,Site_Evaluation!$A:$A,0))</f>
        <v>58</v>
      </c>
      <c r="G300">
        <f>COUNTIFS(Risk_Register!B:B,C300,Risk_Register!G:G,"High")</f>
        <v>3</v>
      </c>
      <c r="H300" t="e">
        <f ca="1">IF(_xludf.MAXIFS(Risk_Register!$L:$L,Risk_Register!$B:$B,C300)=3,"High",IF(_xludf.MAXIFS(Risk_Register!$L:$L,Risk_Register!$B:$B,C300)=2,"Medium","Low"))</f>
        <v>#NAME?</v>
      </c>
      <c r="I300" t="str">
        <f>IF(B300&lt;=3,"Preferred site - strong composite profile",IF(B300&lt;=10,"Backup candidate - viable with monitoring","Reserve - evaluate only if primary sites unavailable"))</f>
        <v>Reserve - evaluate only if primary sites unavailable</v>
      </c>
    </row>
    <row r="301" spans="1:9">
      <c r="A301" t="s">
        <v>82</v>
      </c>
      <c r="B301">
        <v>20</v>
      </c>
      <c r="C301" t="s">
        <v>621</v>
      </c>
      <c r="D301" t="s">
        <v>622</v>
      </c>
      <c r="E301" t="s">
        <v>507</v>
      </c>
      <c r="F301">
        <f>INDEX(Site_Evaluation!$K:$K,MATCH(C301,Site_Evaluation!$A:$A,0))</f>
        <v>56</v>
      </c>
      <c r="G301">
        <f>COUNTIFS(Risk_Register!B:B,C301,Risk_Register!G:G,"High")</f>
        <v>2</v>
      </c>
      <c r="H301" t="e">
        <f ca="1">IF(_xludf.MAXIFS(Risk_Register!$L:$L,Risk_Register!$B:$B,C301)=3,"High",IF(_xludf.MAXIFS(Risk_Register!$L:$L,Risk_Register!$B:$B,C301)=2,"Medium","Low"))</f>
        <v>#NAME?</v>
      </c>
      <c r="I301" t="str">
        <f>IF(B301&lt;=3,"Preferred site - strong composite profile",IF(B301&lt;=10,"Backup candidate - viable with monitoring","Reserve - evaluate only if primary sites unavailable"))</f>
        <v>Reserve - evaluate only if primary sites unavailable</v>
      </c>
    </row>
    <row r="302" spans="1:9">
      <c r="A302" t="s">
        <v>83</v>
      </c>
      <c r="B302">
        <v>1</v>
      </c>
      <c r="C302" t="s">
        <v>888</v>
      </c>
      <c r="D302" t="s">
        <v>889</v>
      </c>
      <c r="E302" t="s">
        <v>518</v>
      </c>
      <c r="F302">
        <f>INDEX(Site_Evaluation!$K:$K,MATCH(C302,Site_Evaluation!$A:$A,0))</f>
        <v>79</v>
      </c>
      <c r="G302">
        <f>COUNTIFS(Risk_Register!B:B,C302,Risk_Register!G:G,"High")</f>
        <v>0</v>
      </c>
      <c r="H302" t="e">
        <f ca="1">IF(_xludf.MAXIFS(Risk_Register!$L:$L,Risk_Register!$B:$B,C302)=3,"High",IF(_xludf.MAXIFS(Risk_Register!$L:$L,Risk_Register!$B:$B,C302)=2,"Medium","Low"))</f>
        <v>#NAME?</v>
      </c>
      <c r="I302" t="str">
        <f>IF(B302&lt;=3,"Preferred site - strong composite profile",IF(B302&lt;=10,"Backup candidate - viable with monitoring","Reserve - evaluate only if primary sites unavailable"))</f>
        <v>Preferred site - strong composite profile</v>
      </c>
    </row>
    <row r="303" spans="1:9">
      <c r="A303" t="s">
        <v>83</v>
      </c>
      <c r="B303">
        <v>2</v>
      </c>
      <c r="C303" t="s">
        <v>1804</v>
      </c>
      <c r="D303" t="s">
        <v>1805</v>
      </c>
      <c r="E303" t="s">
        <v>590</v>
      </c>
      <c r="F303">
        <f>INDEX(Site_Evaluation!$K:$K,MATCH(C303,Site_Evaluation!$A:$A,0))</f>
        <v>76</v>
      </c>
      <c r="G303">
        <f>COUNTIFS(Risk_Register!B:B,C303,Risk_Register!G:G,"High")</f>
        <v>0</v>
      </c>
      <c r="H303" t="e">
        <f ca="1">IF(_xludf.MAXIFS(Risk_Register!$L:$L,Risk_Register!$B:$B,C303)=3,"High",IF(_xludf.MAXIFS(Risk_Register!$L:$L,Risk_Register!$B:$B,C303)=2,"Medium","Low"))</f>
        <v>#NAME?</v>
      </c>
      <c r="I303" t="str">
        <f>IF(B303&lt;=3,"Preferred site - strong composite profile",IF(B303&lt;=10,"Backup candidate - viable with monitoring","Reserve - evaluate only if primary sites unavailable"))</f>
        <v>Preferred site - strong composite profile</v>
      </c>
    </row>
    <row r="304" spans="1:9">
      <c r="A304" t="s">
        <v>83</v>
      </c>
      <c r="B304">
        <v>3</v>
      </c>
      <c r="C304" t="s">
        <v>819</v>
      </c>
      <c r="D304" t="s">
        <v>820</v>
      </c>
      <c r="E304" t="s">
        <v>516</v>
      </c>
      <c r="F304">
        <f>INDEX(Site_Evaluation!$K:$K,MATCH(C304,Site_Evaluation!$A:$A,0))</f>
        <v>65</v>
      </c>
      <c r="G304">
        <f>COUNTIFS(Risk_Register!B:B,C304,Risk_Register!G:G,"High")</f>
        <v>1</v>
      </c>
      <c r="H304" t="e">
        <f ca="1">IF(_xludf.MAXIFS(Risk_Register!$L:$L,Risk_Register!$B:$B,C304)=3,"High",IF(_xludf.MAXIFS(Risk_Register!$L:$L,Risk_Register!$B:$B,C304)=2,"Medium","Low"))</f>
        <v>#NAME?</v>
      </c>
      <c r="I304" t="str">
        <f>IF(B304&lt;=3,"Preferred site - strong composite profile",IF(B304&lt;=10,"Backup candidate - viable with monitoring","Reserve - evaluate only if primary sites unavailable"))</f>
        <v>Preferred site - strong composite profile</v>
      </c>
    </row>
    <row r="305" spans="1:9">
      <c r="A305" t="s">
        <v>83</v>
      </c>
      <c r="B305">
        <v>4</v>
      </c>
      <c r="C305" t="s">
        <v>1000</v>
      </c>
      <c r="D305" t="s">
        <v>993</v>
      </c>
      <c r="E305" t="s">
        <v>525</v>
      </c>
      <c r="F305">
        <f>INDEX(Site_Evaluation!$K:$K,MATCH(C305,Site_Evaluation!$A:$A,0))</f>
        <v>64</v>
      </c>
      <c r="G305">
        <f>COUNTIFS(Risk_Register!B:B,C305,Risk_Register!G:G,"High")</f>
        <v>1</v>
      </c>
      <c r="H305" t="e">
        <f ca="1">IF(_xludf.MAXIFS(Risk_Register!$L:$L,Risk_Register!$B:$B,C305)=3,"High",IF(_xludf.MAXIFS(Risk_Register!$L:$L,Risk_Register!$B:$B,C305)=2,"Medium","Low"))</f>
        <v>#NAME?</v>
      </c>
      <c r="I305" t="str">
        <f>IF(B305&lt;=3,"Preferred site - strong composite profile",IF(B305&lt;=10,"Backup candidate - viable with monitoring","Reserve - evaluate only if primary sites unavailable"))</f>
        <v>Backup candidate - viable with monitoring</v>
      </c>
    </row>
    <row r="306" spans="1:9">
      <c r="A306" t="s">
        <v>83</v>
      </c>
      <c r="B306">
        <v>5</v>
      </c>
      <c r="C306" t="s">
        <v>1901</v>
      </c>
      <c r="D306" t="s">
        <v>1902</v>
      </c>
      <c r="E306" t="s">
        <v>600</v>
      </c>
      <c r="F306">
        <f>INDEX(Site_Evaluation!$K:$K,MATCH(C306,Site_Evaluation!$A:$A,0))</f>
        <v>64</v>
      </c>
      <c r="G306">
        <f>COUNTIFS(Risk_Register!B:B,C306,Risk_Register!G:G,"High")</f>
        <v>1</v>
      </c>
      <c r="H306" t="e">
        <f ca="1">IF(_xludf.MAXIFS(Risk_Register!$L:$L,Risk_Register!$B:$B,C306)=3,"High",IF(_xludf.MAXIFS(Risk_Register!$L:$L,Risk_Register!$B:$B,C306)=2,"Medium","Low"))</f>
        <v>#NAME?</v>
      </c>
      <c r="I306" t="str">
        <f>IF(B306&lt;=3,"Preferred site - strong composite profile",IF(B306&lt;=10,"Backup candidate - viable with monitoring","Reserve - evaluate only if primary sites unavailable"))</f>
        <v>Backup candidate - viable with monitoring</v>
      </c>
    </row>
    <row r="307" spans="1:9">
      <c r="A307" t="s">
        <v>83</v>
      </c>
      <c r="B307">
        <v>6</v>
      </c>
      <c r="C307" t="s">
        <v>790</v>
      </c>
      <c r="D307" t="s">
        <v>791</v>
      </c>
      <c r="E307" t="s">
        <v>514</v>
      </c>
      <c r="F307">
        <f>INDEX(Site_Evaluation!$K:$K,MATCH(C307,Site_Evaluation!$A:$A,0))</f>
        <v>63</v>
      </c>
      <c r="G307">
        <f>COUNTIFS(Risk_Register!B:B,C307,Risk_Register!G:G,"High")</f>
        <v>1</v>
      </c>
      <c r="H307" t="e">
        <f ca="1">IF(_xludf.MAXIFS(Risk_Register!$L:$L,Risk_Register!$B:$B,C307)=3,"High",IF(_xludf.MAXIFS(Risk_Register!$L:$L,Risk_Register!$B:$B,C307)=2,"Medium","Low"))</f>
        <v>#NAME?</v>
      </c>
      <c r="I307" t="str">
        <f>IF(B307&lt;=3,"Preferred site - strong composite profile",IF(B307&lt;=10,"Backup candidate - viable with monitoring","Reserve - evaluate only if primary sites unavailable"))</f>
        <v>Backup candidate - viable with monitoring</v>
      </c>
    </row>
    <row r="308" spans="1:9">
      <c r="A308" t="s">
        <v>83</v>
      </c>
      <c r="B308">
        <v>7</v>
      </c>
      <c r="C308" t="s">
        <v>840</v>
      </c>
      <c r="D308" t="s">
        <v>841</v>
      </c>
      <c r="E308" t="s">
        <v>516</v>
      </c>
      <c r="F308">
        <f>INDEX(Site_Evaluation!$K:$K,MATCH(C308,Site_Evaluation!$A:$A,0))</f>
        <v>63</v>
      </c>
      <c r="G308">
        <f>COUNTIFS(Risk_Register!B:B,C308,Risk_Register!G:G,"High")</f>
        <v>0</v>
      </c>
      <c r="H308" t="e">
        <f ca="1">IF(_xludf.MAXIFS(Risk_Register!$L:$L,Risk_Register!$B:$B,C308)=3,"High",IF(_xludf.MAXIFS(Risk_Register!$L:$L,Risk_Register!$B:$B,C308)=2,"Medium","Low"))</f>
        <v>#NAME?</v>
      </c>
      <c r="I308" t="str">
        <f>IF(B308&lt;=3,"Preferred site - strong composite profile",IF(B308&lt;=10,"Backup candidate - viable with monitoring","Reserve - evaluate only if primary sites unavailable"))</f>
        <v>Backup candidate - viable with monitoring</v>
      </c>
    </row>
    <row r="309" spans="1:9">
      <c r="A309" t="s">
        <v>83</v>
      </c>
      <c r="B309">
        <v>8</v>
      </c>
      <c r="C309" t="s">
        <v>1586</v>
      </c>
      <c r="D309" t="s">
        <v>1587</v>
      </c>
      <c r="E309" t="s">
        <v>576</v>
      </c>
      <c r="F309">
        <f>INDEX(Site_Evaluation!$K:$K,MATCH(C309,Site_Evaluation!$A:$A,0))</f>
        <v>63</v>
      </c>
      <c r="G309">
        <f>COUNTIFS(Risk_Register!B:B,C309,Risk_Register!G:G,"High")</f>
        <v>0</v>
      </c>
      <c r="H309" t="e">
        <f ca="1">IF(_xludf.MAXIFS(Risk_Register!$L:$L,Risk_Register!$B:$B,C309)=3,"High",IF(_xludf.MAXIFS(Risk_Register!$L:$L,Risk_Register!$B:$B,C309)=2,"Medium","Low"))</f>
        <v>#NAME?</v>
      </c>
      <c r="I309" t="str">
        <f>IF(B309&lt;=3,"Preferred site - strong composite profile",IF(B309&lt;=10,"Backup candidate - viable with monitoring","Reserve - evaluate only if primary sites unavailable"))</f>
        <v>Backup candidate - viable with monitoring</v>
      </c>
    </row>
    <row r="310" spans="1:9">
      <c r="A310" t="s">
        <v>83</v>
      </c>
      <c r="B310">
        <v>9</v>
      </c>
      <c r="C310" t="s">
        <v>1617</v>
      </c>
      <c r="D310" t="s">
        <v>1618</v>
      </c>
      <c r="E310" t="s">
        <v>576</v>
      </c>
      <c r="F310">
        <f>INDEX(Site_Evaluation!$K:$K,MATCH(C310,Site_Evaluation!$A:$A,0))</f>
        <v>61</v>
      </c>
      <c r="G310">
        <f>COUNTIFS(Risk_Register!B:B,C310,Risk_Register!G:G,"High")</f>
        <v>2</v>
      </c>
      <c r="H310" t="e">
        <f ca="1">IF(_xludf.MAXIFS(Risk_Register!$L:$L,Risk_Register!$B:$B,C310)=3,"High",IF(_xludf.MAXIFS(Risk_Register!$L:$L,Risk_Register!$B:$B,C310)=2,"Medium","Low"))</f>
        <v>#NAME?</v>
      </c>
      <c r="I310" t="str">
        <f>IF(B310&lt;=3,"Preferred site - strong composite profile",IF(B310&lt;=10,"Backup candidate - viable with monitoring","Reserve - evaluate only if primary sites unavailable"))</f>
        <v>Backup candidate - viable with monitoring</v>
      </c>
    </row>
    <row r="311" spans="1:9">
      <c r="A311" t="s">
        <v>83</v>
      </c>
      <c r="B311">
        <v>10</v>
      </c>
      <c r="C311" t="s">
        <v>949</v>
      </c>
      <c r="D311" t="s">
        <v>939</v>
      </c>
      <c r="E311" t="s">
        <v>522</v>
      </c>
      <c r="F311">
        <f>INDEX(Site_Evaluation!$K:$K,MATCH(C311,Site_Evaluation!$A:$A,0))</f>
        <v>60</v>
      </c>
      <c r="G311">
        <f>COUNTIFS(Risk_Register!B:B,C311,Risk_Register!G:G,"High")</f>
        <v>1</v>
      </c>
      <c r="H311" t="e">
        <f ca="1">IF(_xludf.MAXIFS(Risk_Register!$L:$L,Risk_Register!$B:$B,C311)=3,"High",IF(_xludf.MAXIFS(Risk_Register!$L:$L,Risk_Register!$B:$B,C311)=2,"Medium","Low"))</f>
        <v>#NAME?</v>
      </c>
      <c r="I311" t="str">
        <f>IF(B311&lt;=3,"Preferred site - strong composite profile",IF(B311&lt;=10,"Backup candidate - viable with monitoring","Reserve - evaluate only if primary sites unavailable"))</f>
        <v>Backup candidate - viable with monitoring</v>
      </c>
    </row>
    <row r="312" spans="1:9">
      <c r="A312" t="s">
        <v>83</v>
      </c>
      <c r="B312">
        <v>11</v>
      </c>
      <c r="C312" t="s">
        <v>1311</v>
      </c>
      <c r="D312" t="s">
        <v>1312</v>
      </c>
      <c r="E312" t="s">
        <v>545</v>
      </c>
      <c r="F312">
        <f>INDEX(Site_Evaluation!$K:$K,MATCH(C312,Site_Evaluation!$A:$A,0))</f>
        <v>60</v>
      </c>
      <c r="G312">
        <f>COUNTIFS(Risk_Register!B:B,C312,Risk_Register!G:G,"High")</f>
        <v>2</v>
      </c>
      <c r="H312" t="e">
        <f ca="1">IF(_xludf.MAXIFS(Risk_Register!$L:$L,Risk_Register!$B:$B,C312)=3,"High",IF(_xludf.MAXIFS(Risk_Register!$L:$L,Risk_Register!$B:$B,C312)=2,"Medium","Low"))</f>
        <v>#NAME?</v>
      </c>
      <c r="I312" t="str">
        <f>IF(B312&lt;=3,"Preferred site - strong composite profile",IF(B312&lt;=10,"Backup candidate - viable with monitoring","Reserve - evaluate only if primary sites unavailable"))</f>
        <v>Reserve - evaluate only if primary sites unavailable</v>
      </c>
    </row>
    <row r="313" spans="1:9">
      <c r="A313" t="s">
        <v>83</v>
      </c>
      <c r="B313">
        <v>12</v>
      </c>
      <c r="C313" t="s">
        <v>1621</v>
      </c>
      <c r="D313" t="s">
        <v>1622</v>
      </c>
      <c r="E313" t="s">
        <v>576</v>
      </c>
      <c r="F313">
        <f>INDEX(Site_Evaluation!$K:$K,MATCH(C313,Site_Evaluation!$A:$A,0))</f>
        <v>60</v>
      </c>
      <c r="G313">
        <f>COUNTIFS(Risk_Register!B:B,C313,Risk_Register!G:G,"High")</f>
        <v>0</v>
      </c>
      <c r="H313" t="e">
        <f ca="1">IF(_xludf.MAXIFS(Risk_Register!$L:$L,Risk_Register!$B:$B,C313)=3,"High",IF(_xludf.MAXIFS(Risk_Register!$L:$L,Risk_Register!$B:$B,C313)=2,"Medium","Low"))</f>
        <v>#NAME?</v>
      </c>
      <c r="I313" t="str">
        <f>IF(B313&lt;=3,"Preferred site - strong composite profile",IF(B313&lt;=10,"Backup candidate - viable with monitoring","Reserve - evaluate only if primary sites unavailable"))</f>
        <v>Reserve - evaluate only if primary sites unavailable</v>
      </c>
    </row>
    <row r="314" spans="1:9">
      <c r="A314" t="s">
        <v>83</v>
      </c>
      <c r="B314">
        <v>13</v>
      </c>
      <c r="C314" t="s">
        <v>1841</v>
      </c>
      <c r="D314" t="s">
        <v>1842</v>
      </c>
      <c r="E314" t="s">
        <v>594</v>
      </c>
      <c r="F314">
        <f>INDEX(Site_Evaluation!$K:$K,MATCH(C314,Site_Evaluation!$A:$A,0))</f>
        <v>59</v>
      </c>
      <c r="G314">
        <f>COUNTIFS(Risk_Register!B:B,C314,Risk_Register!G:G,"High")</f>
        <v>0</v>
      </c>
      <c r="H314" t="e">
        <f ca="1">IF(_xludf.MAXIFS(Risk_Register!$L:$L,Risk_Register!$B:$B,C314)=3,"High",IF(_xludf.MAXIFS(Risk_Register!$L:$L,Risk_Register!$B:$B,C314)=2,"Medium","Low"))</f>
        <v>#NAME?</v>
      </c>
      <c r="I314" t="str">
        <f>IF(B314&lt;=3,"Preferred site - strong composite profile",IF(B314&lt;=10,"Backup candidate - viable with monitoring","Reserve - evaluate only if primary sites unavailable"))</f>
        <v>Reserve - evaluate only if primary sites unavailable</v>
      </c>
    </row>
    <row r="315" spans="1:9">
      <c r="A315" t="s">
        <v>83</v>
      </c>
      <c r="B315">
        <v>14</v>
      </c>
      <c r="C315" t="s">
        <v>661</v>
      </c>
      <c r="D315" t="s">
        <v>662</v>
      </c>
      <c r="E315" t="s">
        <v>507</v>
      </c>
      <c r="F315">
        <f>INDEX(Site_Evaluation!$K:$K,MATCH(C315,Site_Evaluation!$A:$A,0))</f>
        <v>58</v>
      </c>
      <c r="G315">
        <f>COUNTIFS(Risk_Register!B:B,C315,Risk_Register!G:G,"High")</f>
        <v>0</v>
      </c>
      <c r="H315" t="e">
        <f ca="1">IF(_xludf.MAXIFS(Risk_Register!$L:$L,Risk_Register!$B:$B,C315)=3,"High",IF(_xludf.MAXIFS(Risk_Register!$L:$L,Risk_Register!$B:$B,C315)=2,"Medium","Low"))</f>
        <v>#NAME?</v>
      </c>
      <c r="I315" t="str">
        <f>IF(B315&lt;=3,"Preferred site - strong composite profile",IF(B315&lt;=10,"Backup candidate - viable with monitoring","Reserve - evaluate only if primary sites unavailable"))</f>
        <v>Reserve - evaluate only if primary sites unavailable</v>
      </c>
    </row>
    <row r="316" spans="1:9">
      <c r="A316" t="s">
        <v>83</v>
      </c>
      <c r="B316">
        <v>15</v>
      </c>
      <c r="C316" t="s">
        <v>866</v>
      </c>
      <c r="D316" t="s">
        <v>867</v>
      </c>
      <c r="E316" t="s">
        <v>516</v>
      </c>
      <c r="F316">
        <f>INDEX(Site_Evaluation!$K:$K,MATCH(C316,Site_Evaluation!$A:$A,0))</f>
        <v>58</v>
      </c>
      <c r="G316">
        <f>COUNTIFS(Risk_Register!B:B,C316,Risk_Register!G:G,"High")</f>
        <v>0</v>
      </c>
      <c r="H316" t="e">
        <f ca="1">IF(_xludf.MAXIFS(Risk_Register!$L:$L,Risk_Register!$B:$B,C316)=3,"High",IF(_xludf.MAXIFS(Risk_Register!$L:$L,Risk_Register!$B:$B,C316)=2,"Medium","Low"))</f>
        <v>#NAME?</v>
      </c>
      <c r="I316" t="str">
        <f>IF(B316&lt;=3,"Preferred site - strong composite profile",IF(B316&lt;=10,"Backup candidate - viable with monitoring","Reserve - evaluate only if primary sites unavailable"))</f>
        <v>Reserve - evaluate only if primary sites unavailable</v>
      </c>
    </row>
    <row r="317" spans="1:9">
      <c r="A317" t="s">
        <v>83</v>
      </c>
      <c r="B317">
        <v>16</v>
      </c>
      <c r="C317" t="s">
        <v>1164</v>
      </c>
      <c r="D317" t="s">
        <v>1165</v>
      </c>
      <c r="E317" t="s">
        <v>537</v>
      </c>
      <c r="F317">
        <f>INDEX(Site_Evaluation!$K:$K,MATCH(C317,Site_Evaluation!$A:$A,0))</f>
        <v>58</v>
      </c>
      <c r="G317">
        <f>COUNTIFS(Risk_Register!B:B,C317,Risk_Register!G:G,"High")</f>
        <v>1</v>
      </c>
      <c r="H317" t="e">
        <f ca="1">IF(_xludf.MAXIFS(Risk_Register!$L:$L,Risk_Register!$B:$B,C317)=3,"High",IF(_xludf.MAXIFS(Risk_Register!$L:$L,Risk_Register!$B:$B,C317)=2,"Medium","Low"))</f>
        <v>#NAME?</v>
      </c>
      <c r="I317" t="str">
        <f>IF(B317&lt;=3,"Preferred site - strong composite profile",IF(B317&lt;=10,"Backup candidate - viable with monitoring","Reserve - evaluate only if primary sites unavailable"))</f>
        <v>Reserve - evaluate only if primary sites unavailable</v>
      </c>
    </row>
    <row r="318" spans="1:9">
      <c r="A318" t="s">
        <v>83</v>
      </c>
      <c r="B318">
        <v>17</v>
      </c>
      <c r="C318" t="s">
        <v>1287</v>
      </c>
      <c r="D318" t="s">
        <v>1288</v>
      </c>
      <c r="E318" t="s">
        <v>545</v>
      </c>
      <c r="F318">
        <f>INDEX(Site_Evaluation!$K:$K,MATCH(C318,Site_Evaluation!$A:$A,0))</f>
        <v>58</v>
      </c>
      <c r="G318">
        <f>COUNTIFS(Risk_Register!B:B,C318,Risk_Register!G:G,"High")</f>
        <v>1</v>
      </c>
      <c r="H318" t="e">
        <f ca="1">IF(_xludf.MAXIFS(Risk_Register!$L:$L,Risk_Register!$B:$B,C318)=3,"High",IF(_xludf.MAXIFS(Risk_Register!$L:$L,Risk_Register!$B:$B,C318)=2,"Medium","Low"))</f>
        <v>#NAME?</v>
      </c>
      <c r="I318" t="str">
        <f>IF(B318&lt;=3,"Preferred site - strong composite profile",IF(B318&lt;=10,"Backup candidate - viable with monitoring","Reserve - evaluate only if primary sites unavailable"))</f>
        <v>Reserve - evaluate only if primary sites unavailable</v>
      </c>
    </row>
    <row r="319" spans="1:9">
      <c r="A319" t="s">
        <v>83</v>
      </c>
      <c r="B319">
        <v>18</v>
      </c>
      <c r="C319" t="s">
        <v>1888</v>
      </c>
      <c r="D319" t="s">
        <v>1889</v>
      </c>
      <c r="E319" t="s">
        <v>598</v>
      </c>
      <c r="F319">
        <f>INDEX(Site_Evaluation!$K:$K,MATCH(C319,Site_Evaluation!$A:$A,0))</f>
        <v>58</v>
      </c>
      <c r="G319">
        <f>COUNTIFS(Risk_Register!B:B,C319,Risk_Register!G:G,"High")</f>
        <v>1</v>
      </c>
      <c r="H319" t="e">
        <f ca="1">IF(_xludf.MAXIFS(Risk_Register!$L:$L,Risk_Register!$B:$B,C319)=3,"High",IF(_xludf.MAXIFS(Risk_Register!$L:$L,Risk_Register!$B:$B,C319)=2,"Medium","Low"))</f>
        <v>#NAME?</v>
      </c>
      <c r="I319" t="str">
        <f>IF(B319&lt;=3,"Preferred site - strong composite profile",IF(B319&lt;=10,"Backup candidate - viable with monitoring","Reserve - evaluate only if primary sites unavailable"))</f>
        <v>Reserve - evaluate only if primary sites unavailable</v>
      </c>
    </row>
    <row r="320" spans="1:9">
      <c r="A320" t="s">
        <v>83</v>
      </c>
      <c r="B320">
        <v>19</v>
      </c>
      <c r="C320" t="s">
        <v>1905</v>
      </c>
      <c r="D320" t="s">
        <v>1899</v>
      </c>
      <c r="E320" t="s">
        <v>600</v>
      </c>
      <c r="F320">
        <f>INDEX(Site_Evaluation!$K:$K,MATCH(C320,Site_Evaluation!$A:$A,0))</f>
        <v>58</v>
      </c>
      <c r="G320">
        <f>COUNTIFS(Risk_Register!B:B,C320,Risk_Register!G:G,"High")</f>
        <v>3</v>
      </c>
      <c r="H320" t="e">
        <f ca="1">IF(_xludf.MAXIFS(Risk_Register!$L:$L,Risk_Register!$B:$B,C320)=3,"High",IF(_xludf.MAXIFS(Risk_Register!$L:$L,Risk_Register!$B:$B,C320)=2,"Medium","Low"))</f>
        <v>#NAME?</v>
      </c>
      <c r="I320" t="str">
        <f>IF(B320&lt;=3,"Preferred site - strong composite profile",IF(B320&lt;=10,"Backup candidate - viable with monitoring","Reserve - evaluate only if primary sites unavailable"))</f>
        <v>Reserve - evaluate only if primary sites unavailable</v>
      </c>
    </row>
    <row r="321" spans="1:9">
      <c r="A321" t="s">
        <v>83</v>
      </c>
      <c r="B321">
        <v>20</v>
      </c>
      <c r="C321" t="s">
        <v>621</v>
      </c>
      <c r="D321" t="s">
        <v>622</v>
      </c>
      <c r="E321" t="s">
        <v>507</v>
      </c>
      <c r="F321">
        <f>INDEX(Site_Evaluation!$K:$K,MATCH(C321,Site_Evaluation!$A:$A,0))</f>
        <v>56</v>
      </c>
      <c r="G321">
        <f>COUNTIFS(Risk_Register!B:B,C321,Risk_Register!G:G,"High")</f>
        <v>2</v>
      </c>
      <c r="H321" t="e">
        <f ca="1">IF(_xludf.MAXIFS(Risk_Register!$L:$L,Risk_Register!$B:$B,C321)=3,"High",IF(_xludf.MAXIFS(Risk_Register!$L:$L,Risk_Register!$B:$B,C321)=2,"Medium","Low"))</f>
        <v>#NAME?</v>
      </c>
      <c r="I321" t="str">
        <f>IF(B321&lt;=3,"Preferred site - strong composite profile",IF(B321&lt;=10,"Backup candidate - viable with monitoring","Reserve - evaluate only if primary sites unavailable"))</f>
        <v>Reserve - evaluate only if primary sites unavailable</v>
      </c>
    </row>
    <row r="322" spans="1:9">
      <c r="A322" t="s">
        <v>84</v>
      </c>
      <c r="B322">
        <v>1</v>
      </c>
      <c r="C322" t="s">
        <v>1538</v>
      </c>
      <c r="D322" t="s">
        <v>1539</v>
      </c>
      <c r="E322" t="s">
        <v>568</v>
      </c>
      <c r="F322">
        <f>INDEX(Site_Evaluation!$K:$K,MATCH(C322,Site_Evaluation!$A:$A,0))</f>
        <v>70</v>
      </c>
      <c r="G322">
        <f>COUNTIFS(Risk_Register!B:B,C322,Risk_Register!G:G,"High")</f>
        <v>0</v>
      </c>
      <c r="H322" t="e">
        <f ca="1">IF(_xludf.MAXIFS(Risk_Register!$L:$L,Risk_Register!$B:$B,C322)=3,"High",IF(_xludf.MAXIFS(Risk_Register!$L:$L,Risk_Register!$B:$B,C322)=2,"Medium","Low"))</f>
        <v>#NAME?</v>
      </c>
      <c r="I322" t="str">
        <f>IF(B322&lt;=3,"Preferred site - strong composite profile",IF(B322&lt;=10,"Backup candidate - viable with monitoring","Reserve - evaluate only if primary sites unavailable"))</f>
        <v>Preferred site - strong composite profile</v>
      </c>
    </row>
    <row r="323" spans="1:9">
      <c r="A323" t="s">
        <v>84</v>
      </c>
      <c r="B323">
        <v>2</v>
      </c>
      <c r="C323" t="s">
        <v>1768</v>
      </c>
      <c r="D323" t="s">
        <v>1769</v>
      </c>
      <c r="E323" t="s">
        <v>586</v>
      </c>
      <c r="F323">
        <f>INDEX(Site_Evaluation!$K:$K,MATCH(C323,Site_Evaluation!$A:$A,0))</f>
        <v>64</v>
      </c>
      <c r="G323">
        <f>COUNTIFS(Risk_Register!B:B,C323,Risk_Register!G:G,"High")</f>
        <v>3</v>
      </c>
      <c r="H323" t="e">
        <f ca="1">IF(_xludf.MAXIFS(Risk_Register!$L:$L,Risk_Register!$B:$B,C323)=3,"High",IF(_xludf.MAXIFS(Risk_Register!$L:$L,Risk_Register!$B:$B,C323)=2,"Medium","Low"))</f>
        <v>#NAME?</v>
      </c>
      <c r="I323" t="str">
        <f>IF(B323&lt;=3,"Preferred site - strong composite profile",IF(B323&lt;=10,"Backup candidate - viable with monitoring","Reserve - evaluate only if primary sites unavailable"))</f>
        <v>Preferred site - strong composite profile</v>
      </c>
    </row>
    <row r="324" spans="1:9">
      <c r="A324" t="s">
        <v>84</v>
      </c>
      <c r="B324">
        <v>3</v>
      </c>
      <c r="C324" t="s">
        <v>807</v>
      </c>
      <c r="D324" t="s">
        <v>808</v>
      </c>
      <c r="E324" t="s">
        <v>516</v>
      </c>
      <c r="F324">
        <f>INDEX(Site_Evaluation!$K:$K,MATCH(C324,Site_Evaluation!$A:$A,0))</f>
        <v>63</v>
      </c>
      <c r="G324">
        <f>COUNTIFS(Risk_Register!B:B,C324,Risk_Register!G:G,"High")</f>
        <v>2</v>
      </c>
      <c r="H324" t="e">
        <f ca="1">IF(_xludf.MAXIFS(Risk_Register!$L:$L,Risk_Register!$B:$B,C324)=3,"High",IF(_xludf.MAXIFS(Risk_Register!$L:$L,Risk_Register!$B:$B,C324)=2,"Medium","Low"))</f>
        <v>#NAME?</v>
      </c>
      <c r="I324" t="str">
        <f>IF(B324&lt;=3,"Preferred site - strong composite profile",IF(B324&lt;=10,"Backup candidate - viable with monitoring","Reserve - evaluate only if primary sites unavailable"))</f>
        <v>Preferred site - strong composite profile</v>
      </c>
    </row>
    <row r="325" spans="1:9">
      <c r="A325" t="s">
        <v>84</v>
      </c>
      <c r="B325">
        <v>4</v>
      </c>
      <c r="C325" t="s">
        <v>837</v>
      </c>
      <c r="D325" t="s">
        <v>798</v>
      </c>
      <c r="E325" t="s">
        <v>516</v>
      </c>
      <c r="F325">
        <f>INDEX(Site_Evaluation!$K:$K,MATCH(C325,Site_Evaluation!$A:$A,0))</f>
        <v>63</v>
      </c>
      <c r="G325">
        <f>COUNTIFS(Risk_Register!B:B,C325,Risk_Register!G:G,"High")</f>
        <v>2</v>
      </c>
      <c r="H325" t="e">
        <f ca="1">IF(_xludf.MAXIFS(Risk_Register!$L:$L,Risk_Register!$B:$B,C325)=3,"High",IF(_xludf.MAXIFS(Risk_Register!$L:$L,Risk_Register!$B:$B,C325)=2,"Medium","Low"))</f>
        <v>#NAME?</v>
      </c>
      <c r="I325" t="str">
        <f>IF(B325&lt;=3,"Preferred site - strong composite profile",IF(B325&lt;=10,"Backup candidate - viable with monitoring","Reserve - evaluate only if primary sites unavailable"))</f>
        <v>Backup candidate - viable with monitoring</v>
      </c>
    </row>
    <row r="326" spans="1:9">
      <c r="A326" t="s">
        <v>84</v>
      </c>
      <c r="B326">
        <v>5</v>
      </c>
      <c r="C326" t="s">
        <v>751</v>
      </c>
      <c r="D326" t="s">
        <v>752</v>
      </c>
      <c r="E326" t="s">
        <v>512</v>
      </c>
      <c r="F326">
        <f>INDEX(Site_Evaluation!$K:$K,MATCH(C326,Site_Evaluation!$A:$A,0))</f>
        <v>62</v>
      </c>
      <c r="G326">
        <f>COUNTIFS(Risk_Register!B:B,C326,Risk_Register!G:G,"High")</f>
        <v>2</v>
      </c>
      <c r="H326" t="e">
        <f ca="1">IF(_xludf.MAXIFS(Risk_Register!$L:$L,Risk_Register!$B:$B,C326)=3,"High",IF(_xludf.MAXIFS(Risk_Register!$L:$L,Risk_Register!$B:$B,C326)=2,"Medium","Low"))</f>
        <v>#NAME?</v>
      </c>
      <c r="I326" t="str">
        <f>IF(B326&lt;=3,"Preferred site - strong composite profile",IF(B326&lt;=10,"Backup candidate - viable with monitoring","Reserve - evaluate only if primary sites unavailable"))</f>
        <v>Backup candidate - viable with monitoring</v>
      </c>
    </row>
    <row r="327" spans="1:9">
      <c r="A327" t="s">
        <v>84</v>
      </c>
      <c r="B327">
        <v>6</v>
      </c>
      <c r="C327" t="s">
        <v>1424</v>
      </c>
      <c r="D327" t="s">
        <v>1425</v>
      </c>
      <c r="E327" t="s">
        <v>552</v>
      </c>
      <c r="F327">
        <f>INDEX(Site_Evaluation!$K:$K,MATCH(C327,Site_Evaluation!$A:$A,0))</f>
        <v>61</v>
      </c>
      <c r="G327">
        <f>COUNTIFS(Risk_Register!B:B,C327,Risk_Register!G:G,"High")</f>
        <v>0</v>
      </c>
      <c r="H327" t="e">
        <f ca="1">IF(_xludf.MAXIFS(Risk_Register!$L:$L,Risk_Register!$B:$B,C327)=3,"High",IF(_xludf.MAXIFS(Risk_Register!$L:$L,Risk_Register!$B:$B,C327)=2,"Medium","Low"))</f>
        <v>#NAME?</v>
      </c>
      <c r="I327" t="str">
        <f>IF(B327&lt;=3,"Preferred site - strong composite profile",IF(B327&lt;=10,"Backup candidate - viable with monitoring","Reserve - evaluate only if primary sites unavailable"))</f>
        <v>Backup candidate - viable with monitoring</v>
      </c>
    </row>
    <row r="328" spans="1:9">
      <c r="A328" t="s">
        <v>84</v>
      </c>
      <c r="B328">
        <v>7</v>
      </c>
      <c r="C328" t="s">
        <v>1672</v>
      </c>
      <c r="D328" t="s">
        <v>1673</v>
      </c>
      <c r="E328" t="s">
        <v>578</v>
      </c>
      <c r="F328">
        <f>INDEX(Site_Evaluation!$K:$K,MATCH(C328,Site_Evaluation!$A:$A,0))</f>
        <v>61</v>
      </c>
      <c r="G328">
        <f>COUNTIFS(Risk_Register!B:B,C328,Risk_Register!G:G,"High")</f>
        <v>1</v>
      </c>
      <c r="H328" t="e">
        <f ca="1">IF(_xludf.MAXIFS(Risk_Register!$L:$L,Risk_Register!$B:$B,C328)=3,"High",IF(_xludf.MAXIFS(Risk_Register!$L:$L,Risk_Register!$B:$B,C328)=2,"Medium","Low"))</f>
        <v>#NAME?</v>
      </c>
      <c r="I328" t="str">
        <f>IF(B328&lt;=3,"Preferred site - strong composite profile",IF(B328&lt;=10,"Backup candidate - viable with monitoring","Reserve - evaluate only if primary sites unavailable"))</f>
        <v>Backup candidate - viable with monitoring</v>
      </c>
    </row>
    <row r="329" spans="1:9">
      <c r="A329" t="s">
        <v>84</v>
      </c>
      <c r="B329">
        <v>8</v>
      </c>
      <c r="C329" t="s">
        <v>1558</v>
      </c>
      <c r="D329" t="s">
        <v>1559</v>
      </c>
      <c r="E329" t="s">
        <v>570</v>
      </c>
      <c r="F329">
        <f>INDEX(Site_Evaluation!$K:$K,MATCH(C329,Site_Evaluation!$A:$A,0))</f>
        <v>58</v>
      </c>
      <c r="G329">
        <f>COUNTIFS(Risk_Register!B:B,C329,Risk_Register!G:G,"High")</f>
        <v>0</v>
      </c>
      <c r="H329" t="e">
        <f ca="1">IF(_xludf.MAXIFS(Risk_Register!$L:$L,Risk_Register!$B:$B,C329)=3,"High",IF(_xludf.MAXIFS(Risk_Register!$L:$L,Risk_Register!$B:$B,C329)=2,"Medium","Low"))</f>
        <v>#NAME?</v>
      </c>
      <c r="I329" t="str">
        <f>IF(B329&lt;=3,"Preferred site - strong composite profile",IF(B329&lt;=10,"Backup candidate - viable with monitoring","Reserve - evaluate only if primary sites unavailable"))</f>
        <v>Backup candidate - viable with monitoring</v>
      </c>
    </row>
    <row r="330" spans="1:9">
      <c r="A330" t="s">
        <v>84</v>
      </c>
      <c r="B330">
        <v>9</v>
      </c>
      <c r="C330" t="s">
        <v>952</v>
      </c>
      <c r="D330" t="s">
        <v>953</v>
      </c>
      <c r="E330" t="s">
        <v>522</v>
      </c>
      <c r="F330">
        <f>INDEX(Site_Evaluation!$K:$K,MATCH(C330,Site_Evaluation!$A:$A,0))</f>
        <v>56</v>
      </c>
      <c r="G330">
        <f>COUNTIFS(Risk_Register!B:B,C330,Risk_Register!G:G,"High")</f>
        <v>0</v>
      </c>
      <c r="H330" t="e">
        <f ca="1">IF(_xludf.MAXIFS(Risk_Register!$L:$L,Risk_Register!$B:$B,C330)=3,"High",IF(_xludf.MAXIFS(Risk_Register!$L:$L,Risk_Register!$B:$B,C330)=2,"Medium","Low"))</f>
        <v>#NAME?</v>
      </c>
      <c r="I330" t="str">
        <f>IF(B330&lt;=3,"Preferred site - strong composite profile",IF(B330&lt;=10,"Backup candidate - viable with monitoring","Reserve - evaluate only if primary sites unavailable"))</f>
        <v>Backup candidate - viable with monitoring</v>
      </c>
    </row>
    <row r="331" spans="1:9">
      <c r="A331" t="s">
        <v>84</v>
      </c>
      <c r="B331">
        <v>10</v>
      </c>
      <c r="C331" t="s">
        <v>1489</v>
      </c>
      <c r="D331" t="s">
        <v>1490</v>
      </c>
      <c r="E331" t="s">
        <v>558</v>
      </c>
      <c r="F331">
        <f>INDEX(Site_Evaluation!$K:$K,MATCH(C331,Site_Evaluation!$A:$A,0))</f>
        <v>56</v>
      </c>
      <c r="G331">
        <f>COUNTIFS(Risk_Register!B:B,C331,Risk_Register!G:G,"High")</f>
        <v>3</v>
      </c>
      <c r="H331" t="e">
        <f ca="1">IF(_xludf.MAXIFS(Risk_Register!$L:$L,Risk_Register!$B:$B,C331)=3,"High",IF(_xludf.MAXIFS(Risk_Register!$L:$L,Risk_Register!$B:$B,C331)=2,"Medium","Low"))</f>
        <v>#NAME?</v>
      </c>
      <c r="I331" t="str">
        <f>IF(B331&lt;=3,"Preferred site - strong composite profile",IF(B331&lt;=10,"Backup candidate - viable with monitoring","Reserve - evaluate only if primary sites unavailable"))</f>
        <v>Backup candidate - viable with monitoring</v>
      </c>
    </row>
    <row r="332" spans="1:9">
      <c r="A332" t="s">
        <v>84</v>
      </c>
      <c r="B332">
        <v>11</v>
      </c>
      <c r="C332" t="s">
        <v>836</v>
      </c>
      <c r="D332" t="s">
        <v>808</v>
      </c>
      <c r="E332" t="s">
        <v>516</v>
      </c>
      <c r="F332">
        <f>INDEX(Site_Evaluation!$K:$K,MATCH(C332,Site_Evaluation!$A:$A,0))</f>
        <v>55</v>
      </c>
      <c r="G332">
        <f>COUNTIFS(Risk_Register!B:B,C332,Risk_Register!G:G,"High")</f>
        <v>2</v>
      </c>
      <c r="H332" t="e">
        <f ca="1">IF(_xludf.MAXIFS(Risk_Register!$L:$L,Risk_Register!$B:$B,C332)=3,"High",IF(_xludf.MAXIFS(Risk_Register!$L:$L,Risk_Register!$B:$B,C332)=2,"Medium","Low"))</f>
        <v>#NAME?</v>
      </c>
      <c r="I332" t="str">
        <f>IF(B332&lt;=3,"Preferred site - strong composite profile",IF(B332&lt;=10,"Backup candidate - viable with monitoring","Reserve - evaluate only if primary sites unavailable"))</f>
        <v>Reserve - evaluate only if primary sites unavailable</v>
      </c>
    </row>
    <row r="333" spans="1:9">
      <c r="A333" t="s">
        <v>84</v>
      </c>
      <c r="B333">
        <v>12</v>
      </c>
      <c r="C333" t="s">
        <v>1378</v>
      </c>
      <c r="D333" t="s">
        <v>1379</v>
      </c>
      <c r="E333" t="s">
        <v>549</v>
      </c>
      <c r="F333">
        <f>INDEX(Site_Evaluation!$K:$K,MATCH(C333,Site_Evaluation!$A:$A,0))</f>
        <v>55</v>
      </c>
      <c r="G333">
        <f>COUNTIFS(Risk_Register!B:B,C333,Risk_Register!G:G,"High")</f>
        <v>1</v>
      </c>
      <c r="H333" t="e">
        <f ca="1">IF(_xludf.MAXIFS(Risk_Register!$L:$L,Risk_Register!$B:$B,C333)=3,"High",IF(_xludf.MAXIFS(Risk_Register!$L:$L,Risk_Register!$B:$B,C333)=2,"Medium","Low"))</f>
        <v>#NAME?</v>
      </c>
      <c r="I333" t="str">
        <f>IF(B333&lt;=3,"Preferred site - strong composite profile",IF(B333&lt;=10,"Backup candidate - viable with monitoring","Reserve - evaluate only if primary sites unavailable"))</f>
        <v>Reserve - evaluate only if primary sites unavailable</v>
      </c>
    </row>
    <row r="334" spans="1:9">
      <c r="A334" t="s">
        <v>84</v>
      </c>
      <c r="B334">
        <v>13</v>
      </c>
      <c r="C334" t="s">
        <v>1615</v>
      </c>
      <c r="D334" t="s">
        <v>1616</v>
      </c>
      <c r="E334" t="s">
        <v>576</v>
      </c>
      <c r="F334">
        <f>INDEX(Site_Evaluation!$K:$K,MATCH(C334,Site_Evaluation!$A:$A,0))</f>
        <v>55</v>
      </c>
      <c r="G334">
        <f>COUNTIFS(Risk_Register!B:B,C334,Risk_Register!G:G,"High")</f>
        <v>1</v>
      </c>
      <c r="H334" t="e">
        <f ca="1">IF(_xludf.MAXIFS(Risk_Register!$L:$L,Risk_Register!$B:$B,C334)=3,"High",IF(_xludf.MAXIFS(Risk_Register!$L:$L,Risk_Register!$B:$B,C334)=2,"Medium","Low"))</f>
        <v>#NAME?</v>
      </c>
      <c r="I334" t="str">
        <f>IF(B334&lt;=3,"Preferred site - strong composite profile",IF(B334&lt;=10,"Backup candidate - viable with monitoring","Reserve - evaluate only if primary sites unavailable"))</f>
        <v>Reserve - evaluate only if primary sites unavailable</v>
      </c>
    </row>
    <row r="335" spans="1:9">
      <c r="A335" t="s">
        <v>84</v>
      </c>
      <c r="B335">
        <v>14</v>
      </c>
      <c r="C335" t="s">
        <v>902</v>
      </c>
      <c r="D335" t="s">
        <v>903</v>
      </c>
      <c r="E335" t="s">
        <v>518</v>
      </c>
      <c r="F335">
        <f>INDEX(Site_Evaluation!$K:$K,MATCH(C335,Site_Evaluation!$A:$A,0))</f>
        <v>54</v>
      </c>
      <c r="G335">
        <f>COUNTIFS(Risk_Register!B:B,C335,Risk_Register!G:G,"High")</f>
        <v>0</v>
      </c>
      <c r="H335" t="e">
        <f ca="1">IF(_xludf.MAXIFS(Risk_Register!$L:$L,Risk_Register!$B:$B,C335)=3,"High",IF(_xludf.MAXIFS(Risk_Register!$L:$L,Risk_Register!$B:$B,C335)=2,"Medium","Low"))</f>
        <v>#NAME?</v>
      </c>
      <c r="I335" t="str">
        <f>IF(B335&lt;=3,"Preferred site - strong composite profile",IF(B335&lt;=10,"Backup candidate - viable with monitoring","Reserve - evaluate only if primary sites unavailable"))</f>
        <v>Reserve - evaluate only if primary sites unavailable</v>
      </c>
    </row>
    <row r="336" spans="1:9">
      <c r="A336" t="s">
        <v>84</v>
      </c>
      <c r="B336">
        <v>15</v>
      </c>
      <c r="C336" t="s">
        <v>1453</v>
      </c>
      <c r="D336" t="s">
        <v>1454</v>
      </c>
      <c r="E336" t="s">
        <v>556</v>
      </c>
      <c r="F336">
        <f>INDEX(Site_Evaluation!$K:$K,MATCH(C336,Site_Evaluation!$A:$A,0))</f>
        <v>53</v>
      </c>
      <c r="G336">
        <f>COUNTIFS(Risk_Register!B:B,C336,Risk_Register!G:G,"High")</f>
        <v>1</v>
      </c>
      <c r="H336" t="e">
        <f ca="1">IF(_xludf.MAXIFS(Risk_Register!$L:$L,Risk_Register!$B:$B,C336)=3,"High",IF(_xludf.MAXIFS(Risk_Register!$L:$L,Risk_Register!$B:$B,C336)=2,"Medium","Low"))</f>
        <v>#NAME?</v>
      </c>
      <c r="I336" t="str">
        <f>IF(B336&lt;=3,"Preferred site - strong composite profile",IF(B336&lt;=10,"Backup candidate - viable with monitoring","Reserve - evaluate only if primary sites unavailable"))</f>
        <v>Reserve - evaluate only if primary sites unavailable</v>
      </c>
    </row>
    <row r="337" spans="1:9">
      <c r="A337" t="s">
        <v>84</v>
      </c>
      <c r="B337">
        <v>16</v>
      </c>
      <c r="C337" t="s">
        <v>1810</v>
      </c>
      <c r="D337" t="s">
        <v>1811</v>
      </c>
      <c r="E337" t="s">
        <v>590</v>
      </c>
      <c r="F337">
        <f>INDEX(Site_Evaluation!$K:$K,MATCH(C337,Site_Evaluation!$A:$A,0))</f>
        <v>53</v>
      </c>
      <c r="G337">
        <f>COUNTIFS(Risk_Register!B:B,C337,Risk_Register!G:G,"High")</f>
        <v>2</v>
      </c>
      <c r="H337" t="e">
        <f ca="1">IF(_xludf.MAXIFS(Risk_Register!$L:$L,Risk_Register!$B:$B,C337)=3,"High",IF(_xludf.MAXIFS(Risk_Register!$L:$L,Risk_Register!$B:$B,C337)=2,"Medium","Low"))</f>
        <v>#NAME?</v>
      </c>
      <c r="I337" t="str">
        <f>IF(B337&lt;=3,"Preferred site - strong composite profile",IF(B337&lt;=10,"Backup candidate - viable with monitoring","Reserve - evaluate only if primary sites unavailable"))</f>
        <v>Reserve - evaluate only if primary sites unavailable</v>
      </c>
    </row>
    <row r="338" spans="1:9">
      <c r="A338" t="s">
        <v>84</v>
      </c>
      <c r="B338">
        <v>17</v>
      </c>
      <c r="C338" t="s">
        <v>1239</v>
      </c>
      <c r="D338" t="s">
        <v>1240</v>
      </c>
      <c r="E338" t="s">
        <v>539</v>
      </c>
      <c r="F338">
        <f>INDEX(Site_Evaluation!$K:$K,MATCH(C338,Site_Evaluation!$A:$A,0))</f>
        <v>51</v>
      </c>
      <c r="G338">
        <f>COUNTIFS(Risk_Register!B:B,C338,Risk_Register!G:G,"High")</f>
        <v>2</v>
      </c>
      <c r="H338" t="e">
        <f ca="1">IF(_xludf.MAXIFS(Risk_Register!$L:$L,Risk_Register!$B:$B,C338)=3,"High",IF(_xludf.MAXIFS(Risk_Register!$L:$L,Risk_Register!$B:$B,C338)=2,"Medium","Low"))</f>
        <v>#NAME?</v>
      </c>
      <c r="I338" t="str">
        <f>IF(B338&lt;=3,"Preferred site - strong composite profile",IF(B338&lt;=10,"Backup candidate - viable with monitoring","Reserve - evaluate only if primary sites unavailable"))</f>
        <v>Reserve - evaluate only if primary sites unavailable</v>
      </c>
    </row>
    <row r="339" spans="1:9">
      <c r="A339" t="s">
        <v>84</v>
      </c>
      <c r="B339">
        <v>18</v>
      </c>
      <c r="C339" t="s">
        <v>1450</v>
      </c>
      <c r="D339" t="s">
        <v>1451</v>
      </c>
      <c r="E339" t="s">
        <v>556</v>
      </c>
      <c r="F339">
        <f>INDEX(Site_Evaluation!$K:$K,MATCH(C339,Site_Evaluation!$A:$A,0))</f>
        <v>51</v>
      </c>
      <c r="G339">
        <f>COUNTIFS(Risk_Register!B:B,C339,Risk_Register!G:G,"High")</f>
        <v>1</v>
      </c>
      <c r="H339" t="e">
        <f ca="1">IF(_xludf.MAXIFS(Risk_Register!$L:$L,Risk_Register!$B:$B,C339)=3,"High",IF(_xludf.MAXIFS(Risk_Register!$L:$L,Risk_Register!$B:$B,C339)=2,"Medium","Low"))</f>
        <v>#NAME?</v>
      </c>
      <c r="I339" t="str">
        <f>IF(B339&lt;=3,"Preferred site - strong composite profile",IF(B339&lt;=10,"Backup candidate - viable with monitoring","Reserve - evaluate only if primary sites unavailable"))</f>
        <v>Reserve - evaluate only if primary sites unavailable</v>
      </c>
    </row>
    <row r="340" spans="1:9">
      <c r="A340" t="s">
        <v>84</v>
      </c>
      <c r="B340">
        <v>19</v>
      </c>
      <c r="C340" t="s">
        <v>1930</v>
      </c>
      <c r="D340" t="s">
        <v>1931</v>
      </c>
      <c r="E340" t="s">
        <v>606</v>
      </c>
      <c r="F340">
        <f>INDEX(Site_Evaluation!$K:$K,MATCH(C340,Site_Evaluation!$A:$A,0))</f>
        <v>51</v>
      </c>
      <c r="G340">
        <f>COUNTIFS(Risk_Register!B:B,C340,Risk_Register!G:G,"High")</f>
        <v>1</v>
      </c>
      <c r="H340" t="e">
        <f ca="1">IF(_xludf.MAXIFS(Risk_Register!$L:$L,Risk_Register!$B:$B,C340)=3,"High",IF(_xludf.MAXIFS(Risk_Register!$L:$L,Risk_Register!$B:$B,C340)=2,"Medium","Low"))</f>
        <v>#NAME?</v>
      </c>
      <c r="I340" t="str">
        <f>IF(B340&lt;=3,"Preferred site - strong composite profile",IF(B340&lt;=10,"Backup candidate - viable with monitoring","Reserve - evaluate only if primary sites unavailable"))</f>
        <v>Reserve - evaluate only if primary sites unavailable</v>
      </c>
    </row>
    <row r="341" spans="1:9">
      <c r="A341" t="s">
        <v>84</v>
      </c>
      <c r="B341">
        <v>20</v>
      </c>
      <c r="C341" t="s">
        <v>1001</v>
      </c>
      <c r="D341" t="s">
        <v>1002</v>
      </c>
      <c r="E341" t="s">
        <v>525</v>
      </c>
      <c r="F341">
        <f>INDEX(Site_Evaluation!$K:$K,MATCH(C341,Site_Evaluation!$A:$A,0))</f>
        <v>50</v>
      </c>
      <c r="G341">
        <f>COUNTIFS(Risk_Register!B:B,C341,Risk_Register!G:G,"High")</f>
        <v>3</v>
      </c>
      <c r="H341" t="e">
        <f ca="1">IF(_xludf.MAXIFS(Risk_Register!$L:$L,Risk_Register!$B:$B,C341)=3,"High",IF(_xludf.MAXIFS(Risk_Register!$L:$L,Risk_Register!$B:$B,C341)=2,"Medium","Low"))</f>
        <v>#NAME?</v>
      </c>
      <c r="I341" t="str">
        <f>IF(B341&lt;=3,"Preferred site - strong composite profile",IF(B341&lt;=10,"Backup candidate - viable with monitoring","Reserve - evaluate only if primary sites unavailable"))</f>
        <v>Reserve - evaluate only if primary sites unavailable</v>
      </c>
    </row>
    <row r="342" spans="1:9">
      <c r="A342" t="s">
        <v>86</v>
      </c>
      <c r="B342">
        <v>1</v>
      </c>
      <c r="C342" t="s">
        <v>1538</v>
      </c>
      <c r="D342" t="s">
        <v>1539</v>
      </c>
      <c r="E342" t="s">
        <v>568</v>
      </c>
      <c r="F342">
        <f>INDEX(Site_Evaluation!$K:$K,MATCH(C342,Site_Evaluation!$A:$A,0))</f>
        <v>70</v>
      </c>
      <c r="G342">
        <f>COUNTIFS(Risk_Register!B:B,C342,Risk_Register!G:G,"High")</f>
        <v>0</v>
      </c>
      <c r="H342" t="e">
        <f ca="1">IF(_xludf.MAXIFS(Risk_Register!$L:$L,Risk_Register!$B:$B,C342)=3,"High",IF(_xludf.MAXIFS(Risk_Register!$L:$L,Risk_Register!$B:$B,C342)=2,"Medium","Low"))</f>
        <v>#NAME?</v>
      </c>
      <c r="I342" t="str">
        <f>IF(B342&lt;=3,"Preferred site - strong composite profile",IF(B342&lt;=10,"Backup candidate - viable with monitoring","Reserve - evaluate only if primary sites unavailable"))</f>
        <v>Preferred site - strong composite profile</v>
      </c>
    </row>
    <row r="343" spans="1:9">
      <c r="A343" t="s">
        <v>86</v>
      </c>
      <c r="B343">
        <v>2</v>
      </c>
      <c r="C343" t="s">
        <v>1768</v>
      </c>
      <c r="D343" t="s">
        <v>1769</v>
      </c>
      <c r="E343" t="s">
        <v>586</v>
      </c>
      <c r="F343">
        <f>INDEX(Site_Evaluation!$K:$K,MATCH(C343,Site_Evaluation!$A:$A,0))</f>
        <v>64</v>
      </c>
      <c r="G343">
        <f>COUNTIFS(Risk_Register!B:B,C343,Risk_Register!G:G,"High")</f>
        <v>3</v>
      </c>
      <c r="H343" t="e">
        <f ca="1">IF(_xludf.MAXIFS(Risk_Register!$L:$L,Risk_Register!$B:$B,C343)=3,"High",IF(_xludf.MAXIFS(Risk_Register!$L:$L,Risk_Register!$B:$B,C343)=2,"Medium","Low"))</f>
        <v>#NAME?</v>
      </c>
      <c r="I343" t="str">
        <f>IF(B343&lt;=3,"Preferred site - strong composite profile",IF(B343&lt;=10,"Backup candidate - viable with monitoring","Reserve - evaluate only if primary sites unavailable"))</f>
        <v>Preferred site - strong composite profile</v>
      </c>
    </row>
    <row r="344" spans="1:9">
      <c r="A344" t="s">
        <v>86</v>
      </c>
      <c r="B344">
        <v>3</v>
      </c>
      <c r="C344" t="s">
        <v>807</v>
      </c>
      <c r="D344" t="s">
        <v>808</v>
      </c>
      <c r="E344" t="s">
        <v>516</v>
      </c>
      <c r="F344">
        <f>INDEX(Site_Evaluation!$K:$K,MATCH(C344,Site_Evaluation!$A:$A,0))</f>
        <v>63</v>
      </c>
      <c r="G344">
        <f>COUNTIFS(Risk_Register!B:B,C344,Risk_Register!G:G,"High")</f>
        <v>2</v>
      </c>
      <c r="H344" t="e">
        <f ca="1">IF(_xludf.MAXIFS(Risk_Register!$L:$L,Risk_Register!$B:$B,C344)=3,"High",IF(_xludf.MAXIFS(Risk_Register!$L:$L,Risk_Register!$B:$B,C344)=2,"Medium","Low"))</f>
        <v>#NAME?</v>
      </c>
      <c r="I344" t="str">
        <f>IF(B344&lt;=3,"Preferred site - strong composite profile",IF(B344&lt;=10,"Backup candidate - viable with monitoring","Reserve - evaluate only if primary sites unavailable"))</f>
        <v>Preferred site - strong composite profile</v>
      </c>
    </row>
    <row r="345" spans="1:9">
      <c r="A345" t="s">
        <v>86</v>
      </c>
      <c r="B345">
        <v>4</v>
      </c>
      <c r="C345" t="s">
        <v>837</v>
      </c>
      <c r="D345" t="s">
        <v>798</v>
      </c>
      <c r="E345" t="s">
        <v>516</v>
      </c>
      <c r="F345">
        <f>INDEX(Site_Evaluation!$K:$K,MATCH(C345,Site_Evaluation!$A:$A,0))</f>
        <v>63</v>
      </c>
      <c r="G345">
        <f>COUNTIFS(Risk_Register!B:B,C345,Risk_Register!G:G,"High")</f>
        <v>2</v>
      </c>
      <c r="H345" t="e">
        <f ca="1">IF(_xludf.MAXIFS(Risk_Register!$L:$L,Risk_Register!$B:$B,C345)=3,"High",IF(_xludf.MAXIFS(Risk_Register!$L:$L,Risk_Register!$B:$B,C345)=2,"Medium","Low"))</f>
        <v>#NAME?</v>
      </c>
      <c r="I345" t="str">
        <f>IF(B345&lt;=3,"Preferred site - strong composite profile",IF(B345&lt;=10,"Backup candidate - viable with monitoring","Reserve - evaluate only if primary sites unavailable"))</f>
        <v>Backup candidate - viable with monitoring</v>
      </c>
    </row>
    <row r="346" spans="1:9">
      <c r="A346" t="s">
        <v>86</v>
      </c>
      <c r="B346">
        <v>5</v>
      </c>
      <c r="C346" t="s">
        <v>751</v>
      </c>
      <c r="D346" t="s">
        <v>752</v>
      </c>
      <c r="E346" t="s">
        <v>512</v>
      </c>
      <c r="F346">
        <f>INDEX(Site_Evaluation!$K:$K,MATCH(C346,Site_Evaluation!$A:$A,0))</f>
        <v>62</v>
      </c>
      <c r="G346">
        <f>COUNTIFS(Risk_Register!B:B,C346,Risk_Register!G:G,"High")</f>
        <v>2</v>
      </c>
      <c r="H346" t="e">
        <f ca="1">IF(_xludf.MAXIFS(Risk_Register!$L:$L,Risk_Register!$B:$B,C346)=3,"High",IF(_xludf.MAXIFS(Risk_Register!$L:$L,Risk_Register!$B:$B,C346)=2,"Medium","Low"))</f>
        <v>#NAME?</v>
      </c>
      <c r="I346" t="str">
        <f>IF(B346&lt;=3,"Preferred site - strong composite profile",IF(B346&lt;=10,"Backup candidate - viable with monitoring","Reserve - evaluate only if primary sites unavailable"))</f>
        <v>Backup candidate - viable with monitoring</v>
      </c>
    </row>
    <row r="347" spans="1:9">
      <c r="A347" t="s">
        <v>86</v>
      </c>
      <c r="B347">
        <v>6</v>
      </c>
      <c r="C347" t="s">
        <v>1424</v>
      </c>
      <c r="D347" t="s">
        <v>1425</v>
      </c>
      <c r="E347" t="s">
        <v>552</v>
      </c>
      <c r="F347">
        <f>INDEX(Site_Evaluation!$K:$K,MATCH(C347,Site_Evaluation!$A:$A,0))</f>
        <v>61</v>
      </c>
      <c r="G347">
        <f>COUNTIFS(Risk_Register!B:B,C347,Risk_Register!G:G,"High")</f>
        <v>0</v>
      </c>
      <c r="H347" t="e">
        <f ca="1">IF(_xludf.MAXIFS(Risk_Register!$L:$L,Risk_Register!$B:$B,C347)=3,"High",IF(_xludf.MAXIFS(Risk_Register!$L:$L,Risk_Register!$B:$B,C347)=2,"Medium","Low"))</f>
        <v>#NAME?</v>
      </c>
      <c r="I347" t="str">
        <f>IF(B347&lt;=3,"Preferred site - strong composite profile",IF(B347&lt;=10,"Backup candidate - viable with monitoring","Reserve - evaluate only if primary sites unavailable"))</f>
        <v>Backup candidate - viable with monitoring</v>
      </c>
    </row>
    <row r="348" spans="1:9">
      <c r="A348" t="s">
        <v>86</v>
      </c>
      <c r="B348">
        <v>7</v>
      </c>
      <c r="C348" t="s">
        <v>1672</v>
      </c>
      <c r="D348" t="s">
        <v>1673</v>
      </c>
      <c r="E348" t="s">
        <v>578</v>
      </c>
      <c r="F348">
        <f>INDEX(Site_Evaluation!$K:$K,MATCH(C348,Site_Evaluation!$A:$A,0))</f>
        <v>61</v>
      </c>
      <c r="G348">
        <f>COUNTIFS(Risk_Register!B:B,C348,Risk_Register!G:G,"High")</f>
        <v>1</v>
      </c>
      <c r="H348" t="e">
        <f ca="1">IF(_xludf.MAXIFS(Risk_Register!$L:$L,Risk_Register!$B:$B,C348)=3,"High",IF(_xludf.MAXIFS(Risk_Register!$L:$L,Risk_Register!$B:$B,C348)=2,"Medium","Low"))</f>
        <v>#NAME?</v>
      </c>
      <c r="I348" t="str">
        <f>IF(B348&lt;=3,"Preferred site - strong composite profile",IF(B348&lt;=10,"Backup candidate - viable with monitoring","Reserve - evaluate only if primary sites unavailable"))</f>
        <v>Backup candidate - viable with monitoring</v>
      </c>
    </row>
    <row r="349" spans="1:9">
      <c r="A349" t="s">
        <v>86</v>
      </c>
      <c r="B349">
        <v>8</v>
      </c>
      <c r="C349" t="s">
        <v>1558</v>
      </c>
      <c r="D349" t="s">
        <v>1559</v>
      </c>
      <c r="E349" t="s">
        <v>570</v>
      </c>
      <c r="F349">
        <f>INDEX(Site_Evaluation!$K:$K,MATCH(C349,Site_Evaluation!$A:$A,0))</f>
        <v>58</v>
      </c>
      <c r="G349">
        <f>COUNTIFS(Risk_Register!B:B,C349,Risk_Register!G:G,"High")</f>
        <v>0</v>
      </c>
      <c r="H349" t="e">
        <f ca="1">IF(_xludf.MAXIFS(Risk_Register!$L:$L,Risk_Register!$B:$B,C349)=3,"High",IF(_xludf.MAXIFS(Risk_Register!$L:$L,Risk_Register!$B:$B,C349)=2,"Medium","Low"))</f>
        <v>#NAME?</v>
      </c>
      <c r="I349" t="str">
        <f>IF(B349&lt;=3,"Preferred site - strong composite profile",IF(B349&lt;=10,"Backup candidate - viable with monitoring","Reserve - evaluate only if primary sites unavailable"))</f>
        <v>Backup candidate - viable with monitoring</v>
      </c>
    </row>
    <row r="350" spans="1:9">
      <c r="A350" t="s">
        <v>86</v>
      </c>
      <c r="B350">
        <v>9</v>
      </c>
      <c r="C350" t="s">
        <v>952</v>
      </c>
      <c r="D350" t="s">
        <v>953</v>
      </c>
      <c r="E350" t="s">
        <v>522</v>
      </c>
      <c r="F350">
        <f>INDEX(Site_Evaluation!$K:$K,MATCH(C350,Site_Evaluation!$A:$A,0))</f>
        <v>56</v>
      </c>
      <c r="G350">
        <f>COUNTIFS(Risk_Register!B:B,C350,Risk_Register!G:G,"High")</f>
        <v>0</v>
      </c>
      <c r="H350" t="e">
        <f ca="1">IF(_xludf.MAXIFS(Risk_Register!$L:$L,Risk_Register!$B:$B,C350)=3,"High",IF(_xludf.MAXIFS(Risk_Register!$L:$L,Risk_Register!$B:$B,C350)=2,"Medium","Low"))</f>
        <v>#NAME?</v>
      </c>
      <c r="I350" t="str">
        <f>IF(B350&lt;=3,"Preferred site - strong composite profile",IF(B350&lt;=10,"Backup candidate - viable with monitoring","Reserve - evaluate only if primary sites unavailable"))</f>
        <v>Backup candidate - viable with monitoring</v>
      </c>
    </row>
    <row r="351" spans="1:9">
      <c r="A351" t="s">
        <v>86</v>
      </c>
      <c r="B351">
        <v>10</v>
      </c>
      <c r="C351" t="s">
        <v>1489</v>
      </c>
      <c r="D351" t="s">
        <v>1490</v>
      </c>
      <c r="E351" t="s">
        <v>558</v>
      </c>
      <c r="F351">
        <f>INDEX(Site_Evaluation!$K:$K,MATCH(C351,Site_Evaluation!$A:$A,0))</f>
        <v>56</v>
      </c>
      <c r="G351">
        <f>COUNTIFS(Risk_Register!B:B,C351,Risk_Register!G:G,"High")</f>
        <v>3</v>
      </c>
      <c r="H351" t="e">
        <f ca="1">IF(_xludf.MAXIFS(Risk_Register!$L:$L,Risk_Register!$B:$B,C351)=3,"High",IF(_xludf.MAXIFS(Risk_Register!$L:$L,Risk_Register!$B:$B,C351)=2,"Medium","Low"))</f>
        <v>#NAME?</v>
      </c>
      <c r="I351" t="str">
        <f>IF(B351&lt;=3,"Preferred site - strong composite profile",IF(B351&lt;=10,"Backup candidate - viable with monitoring","Reserve - evaluate only if primary sites unavailable"))</f>
        <v>Backup candidate - viable with monitoring</v>
      </c>
    </row>
    <row r="352" spans="1:9">
      <c r="A352" t="s">
        <v>86</v>
      </c>
      <c r="B352">
        <v>11</v>
      </c>
      <c r="C352" t="s">
        <v>836</v>
      </c>
      <c r="D352" t="s">
        <v>808</v>
      </c>
      <c r="E352" t="s">
        <v>516</v>
      </c>
      <c r="F352">
        <f>INDEX(Site_Evaluation!$K:$K,MATCH(C352,Site_Evaluation!$A:$A,0))</f>
        <v>55</v>
      </c>
      <c r="G352">
        <f>COUNTIFS(Risk_Register!B:B,C352,Risk_Register!G:G,"High")</f>
        <v>2</v>
      </c>
      <c r="H352" t="e">
        <f ca="1">IF(_xludf.MAXIFS(Risk_Register!$L:$L,Risk_Register!$B:$B,C352)=3,"High",IF(_xludf.MAXIFS(Risk_Register!$L:$L,Risk_Register!$B:$B,C352)=2,"Medium","Low"))</f>
        <v>#NAME?</v>
      </c>
      <c r="I352" t="str">
        <f>IF(B352&lt;=3,"Preferred site - strong composite profile",IF(B352&lt;=10,"Backup candidate - viable with monitoring","Reserve - evaluate only if primary sites unavailable"))</f>
        <v>Reserve - evaluate only if primary sites unavailable</v>
      </c>
    </row>
    <row r="353" spans="1:9">
      <c r="A353" t="s">
        <v>86</v>
      </c>
      <c r="B353">
        <v>12</v>
      </c>
      <c r="C353" t="s">
        <v>1378</v>
      </c>
      <c r="D353" t="s">
        <v>1379</v>
      </c>
      <c r="E353" t="s">
        <v>549</v>
      </c>
      <c r="F353">
        <f>INDEX(Site_Evaluation!$K:$K,MATCH(C353,Site_Evaluation!$A:$A,0))</f>
        <v>55</v>
      </c>
      <c r="G353">
        <f>COUNTIFS(Risk_Register!B:B,C353,Risk_Register!G:G,"High")</f>
        <v>1</v>
      </c>
      <c r="H353" t="e">
        <f ca="1">IF(_xludf.MAXIFS(Risk_Register!$L:$L,Risk_Register!$B:$B,C353)=3,"High",IF(_xludf.MAXIFS(Risk_Register!$L:$L,Risk_Register!$B:$B,C353)=2,"Medium","Low"))</f>
        <v>#NAME?</v>
      </c>
      <c r="I353" t="str">
        <f>IF(B353&lt;=3,"Preferred site - strong composite profile",IF(B353&lt;=10,"Backup candidate - viable with monitoring","Reserve - evaluate only if primary sites unavailable"))</f>
        <v>Reserve - evaluate only if primary sites unavailable</v>
      </c>
    </row>
    <row r="354" spans="1:9">
      <c r="A354" t="s">
        <v>86</v>
      </c>
      <c r="B354">
        <v>13</v>
      </c>
      <c r="C354" t="s">
        <v>1615</v>
      </c>
      <c r="D354" t="s">
        <v>1616</v>
      </c>
      <c r="E354" t="s">
        <v>576</v>
      </c>
      <c r="F354">
        <f>INDEX(Site_Evaluation!$K:$K,MATCH(C354,Site_Evaluation!$A:$A,0))</f>
        <v>55</v>
      </c>
      <c r="G354">
        <f>COUNTIFS(Risk_Register!B:B,C354,Risk_Register!G:G,"High")</f>
        <v>1</v>
      </c>
      <c r="H354" t="e">
        <f ca="1">IF(_xludf.MAXIFS(Risk_Register!$L:$L,Risk_Register!$B:$B,C354)=3,"High",IF(_xludf.MAXIFS(Risk_Register!$L:$L,Risk_Register!$B:$B,C354)=2,"Medium","Low"))</f>
        <v>#NAME?</v>
      </c>
      <c r="I354" t="str">
        <f>IF(B354&lt;=3,"Preferred site - strong composite profile",IF(B354&lt;=10,"Backup candidate - viable with monitoring","Reserve - evaluate only if primary sites unavailable"))</f>
        <v>Reserve - evaluate only if primary sites unavailable</v>
      </c>
    </row>
    <row r="355" spans="1:9">
      <c r="A355" t="s">
        <v>86</v>
      </c>
      <c r="B355">
        <v>14</v>
      </c>
      <c r="C355" t="s">
        <v>902</v>
      </c>
      <c r="D355" t="s">
        <v>903</v>
      </c>
      <c r="E355" t="s">
        <v>518</v>
      </c>
      <c r="F355">
        <f>INDEX(Site_Evaluation!$K:$K,MATCH(C355,Site_Evaluation!$A:$A,0))</f>
        <v>54</v>
      </c>
      <c r="G355">
        <f>COUNTIFS(Risk_Register!B:B,C355,Risk_Register!G:G,"High")</f>
        <v>0</v>
      </c>
      <c r="H355" t="e">
        <f ca="1">IF(_xludf.MAXIFS(Risk_Register!$L:$L,Risk_Register!$B:$B,C355)=3,"High",IF(_xludf.MAXIFS(Risk_Register!$L:$L,Risk_Register!$B:$B,C355)=2,"Medium","Low"))</f>
        <v>#NAME?</v>
      </c>
      <c r="I355" t="str">
        <f>IF(B355&lt;=3,"Preferred site - strong composite profile",IF(B355&lt;=10,"Backup candidate - viable with monitoring","Reserve - evaluate only if primary sites unavailable"))</f>
        <v>Reserve - evaluate only if primary sites unavailable</v>
      </c>
    </row>
    <row r="356" spans="1:9">
      <c r="A356" t="s">
        <v>86</v>
      </c>
      <c r="B356">
        <v>15</v>
      </c>
      <c r="C356" t="s">
        <v>1453</v>
      </c>
      <c r="D356" t="s">
        <v>1454</v>
      </c>
      <c r="E356" t="s">
        <v>556</v>
      </c>
      <c r="F356">
        <f>INDEX(Site_Evaluation!$K:$K,MATCH(C356,Site_Evaluation!$A:$A,0))</f>
        <v>53</v>
      </c>
      <c r="G356">
        <f>COUNTIFS(Risk_Register!B:B,C356,Risk_Register!G:G,"High")</f>
        <v>1</v>
      </c>
      <c r="H356" t="e">
        <f ca="1">IF(_xludf.MAXIFS(Risk_Register!$L:$L,Risk_Register!$B:$B,C356)=3,"High",IF(_xludf.MAXIFS(Risk_Register!$L:$L,Risk_Register!$B:$B,C356)=2,"Medium","Low"))</f>
        <v>#NAME?</v>
      </c>
      <c r="I356" t="str">
        <f>IF(B356&lt;=3,"Preferred site - strong composite profile",IF(B356&lt;=10,"Backup candidate - viable with monitoring","Reserve - evaluate only if primary sites unavailable"))</f>
        <v>Reserve - evaluate only if primary sites unavailable</v>
      </c>
    </row>
    <row r="357" spans="1:9">
      <c r="A357" t="s">
        <v>86</v>
      </c>
      <c r="B357">
        <v>16</v>
      </c>
      <c r="C357" t="s">
        <v>1810</v>
      </c>
      <c r="D357" t="s">
        <v>1811</v>
      </c>
      <c r="E357" t="s">
        <v>590</v>
      </c>
      <c r="F357">
        <f>INDEX(Site_Evaluation!$K:$K,MATCH(C357,Site_Evaluation!$A:$A,0))</f>
        <v>53</v>
      </c>
      <c r="G357">
        <f>COUNTIFS(Risk_Register!B:B,C357,Risk_Register!G:G,"High")</f>
        <v>2</v>
      </c>
      <c r="H357" t="e">
        <f ca="1">IF(_xludf.MAXIFS(Risk_Register!$L:$L,Risk_Register!$B:$B,C357)=3,"High",IF(_xludf.MAXIFS(Risk_Register!$L:$L,Risk_Register!$B:$B,C357)=2,"Medium","Low"))</f>
        <v>#NAME?</v>
      </c>
      <c r="I357" t="str">
        <f>IF(B357&lt;=3,"Preferred site - strong composite profile",IF(B357&lt;=10,"Backup candidate - viable with monitoring","Reserve - evaluate only if primary sites unavailable"))</f>
        <v>Reserve - evaluate only if primary sites unavailable</v>
      </c>
    </row>
    <row r="358" spans="1:9">
      <c r="A358" t="s">
        <v>86</v>
      </c>
      <c r="B358">
        <v>17</v>
      </c>
      <c r="C358" t="s">
        <v>1239</v>
      </c>
      <c r="D358" t="s">
        <v>1240</v>
      </c>
      <c r="E358" t="s">
        <v>539</v>
      </c>
      <c r="F358">
        <f>INDEX(Site_Evaluation!$K:$K,MATCH(C358,Site_Evaluation!$A:$A,0))</f>
        <v>51</v>
      </c>
      <c r="G358">
        <f>COUNTIFS(Risk_Register!B:B,C358,Risk_Register!G:G,"High")</f>
        <v>2</v>
      </c>
      <c r="H358" t="e">
        <f ca="1">IF(_xludf.MAXIFS(Risk_Register!$L:$L,Risk_Register!$B:$B,C358)=3,"High",IF(_xludf.MAXIFS(Risk_Register!$L:$L,Risk_Register!$B:$B,C358)=2,"Medium","Low"))</f>
        <v>#NAME?</v>
      </c>
      <c r="I358" t="str">
        <f>IF(B358&lt;=3,"Preferred site - strong composite profile",IF(B358&lt;=10,"Backup candidate - viable with monitoring","Reserve - evaluate only if primary sites unavailable"))</f>
        <v>Reserve - evaluate only if primary sites unavailable</v>
      </c>
    </row>
    <row r="359" spans="1:9">
      <c r="A359" t="s">
        <v>86</v>
      </c>
      <c r="B359">
        <v>18</v>
      </c>
      <c r="C359" t="s">
        <v>1450</v>
      </c>
      <c r="D359" t="s">
        <v>1451</v>
      </c>
      <c r="E359" t="s">
        <v>556</v>
      </c>
      <c r="F359">
        <f>INDEX(Site_Evaluation!$K:$K,MATCH(C359,Site_Evaluation!$A:$A,0))</f>
        <v>51</v>
      </c>
      <c r="G359">
        <f>COUNTIFS(Risk_Register!B:B,C359,Risk_Register!G:G,"High")</f>
        <v>1</v>
      </c>
      <c r="H359" t="e">
        <f ca="1">IF(_xludf.MAXIFS(Risk_Register!$L:$L,Risk_Register!$B:$B,C359)=3,"High",IF(_xludf.MAXIFS(Risk_Register!$L:$L,Risk_Register!$B:$B,C359)=2,"Medium","Low"))</f>
        <v>#NAME?</v>
      </c>
      <c r="I359" t="str">
        <f>IF(B359&lt;=3,"Preferred site - strong composite profile",IF(B359&lt;=10,"Backup candidate - viable with monitoring","Reserve - evaluate only if primary sites unavailable"))</f>
        <v>Reserve - evaluate only if primary sites unavailable</v>
      </c>
    </row>
    <row r="360" spans="1:9">
      <c r="A360" t="s">
        <v>86</v>
      </c>
      <c r="B360">
        <v>19</v>
      </c>
      <c r="C360" t="s">
        <v>1930</v>
      </c>
      <c r="D360" t="s">
        <v>1931</v>
      </c>
      <c r="E360" t="s">
        <v>606</v>
      </c>
      <c r="F360">
        <f>INDEX(Site_Evaluation!$K:$K,MATCH(C360,Site_Evaluation!$A:$A,0))</f>
        <v>51</v>
      </c>
      <c r="G360">
        <f>COUNTIFS(Risk_Register!B:B,C360,Risk_Register!G:G,"High")</f>
        <v>1</v>
      </c>
      <c r="H360" t="e">
        <f ca="1">IF(_xludf.MAXIFS(Risk_Register!$L:$L,Risk_Register!$B:$B,C360)=3,"High",IF(_xludf.MAXIFS(Risk_Register!$L:$L,Risk_Register!$B:$B,C360)=2,"Medium","Low"))</f>
        <v>#NAME?</v>
      </c>
      <c r="I360" t="str">
        <f>IF(B360&lt;=3,"Preferred site - strong composite profile",IF(B360&lt;=10,"Backup candidate - viable with monitoring","Reserve - evaluate only if primary sites unavailable"))</f>
        <v>Reserve - evaluate only if primary sites unavailable</v>
      </c>
    </row>
    <row r="361" spans="1:9">
      <c r="A361" t="s">
        <v>86</v>
      </c>
      <c r="B361">
        <v>20</v>
      </c>
      <c r="C361" t="s">
        <v>1001</v>
      </c>
      <c r="D361" t="s">
        <v>1002</v>
      </c>
      <c r="E361" t="s">
        <v>525</v>
      </c>
      <c r="F361">
        <f>INDEX(Site_Evaluation!$K:$K,MATCH(C361,Site_Evaluation!$A:$A,0))</f>
        <v>50</v>
      </c>
      <c r="G361">
        <f>COUNTIFS(Risk_Register!B:B,C361,Risk_Register!G:G,"High")</f>
        <v>3</v>
      </c>
      <c r="H361" t="e">
        <f ca="1">IF(_xludf.MAXIFS(Risk_Register!$L:$L,Risk_Register!$B:$B,C361)=3,"High",IF(_xludf.MAXIFS(Risk_Register!$L:$L,Risk_Register!$B:$B,C361)=2,"Medium","Low"))</f>
        <v>#NAME?</v>
      </c>
      <c r="I361" t="str">
        <f>IF(B361&lt;=3,"Preferred site - strong composite profile",IF(B361&lt;=10,"Backup candidate - viable with monitoring","Reserve - evaluate only if primary sites unavailable"))</f>
        <v>Reserve - evaluate only if primary sites unavailable</v>
      </c>
    </row>
    <row r="362" spans="1:9">
      <c r="A362" t="s">
        <v>87</v>
      </c>
      <c r="B362">
        <v>1</v>
      </c>
      <c r="C362" t="s">
        <v>1546</v>
      </c>
      <c r="D362" t="s">
        <v>1547</v>
      </c>
      <c r="E362" t="s">
        <v>570</v>
      </c>
      <c r="F362">
        <f>INDEX(Site_Evaluation!$K:$K,MATCH(C362,Site_Evaluation!$A:$A,0))</f>
        <v>73</v>
      </c>
      <c r="G362">
        <f>COUNTIFS(Risk_Register!B:B,C362,Risk_Register!G:G,"High")</f>
        <v>0</v>
      </c>
      <c r="H362" t="e">
        <f ca="1">IF(_xludf.MAXIFS(Risk_Register!$L:$L,Risk_Register!$B:$B,C362)=3,"High",IF(_xludf.MAXIFS(Risk_Register!$L:$L,Risk_Register!$B:$B,C362)=2,"Medium","Low"))</f>
        <v>#NAME?</v>
      </c>
      <c r="I362" t="str">
        <f>IF(B362&lt;=3,"Preferred site - strong composite profile",IF(B362&lt;=10,"Backup candidate - viable with monitoring","Reserve - evaluate only if primary sites unavailable"))</f>
        <v>Preferred site - strong composite profile</v>
      </c>
    </row>
    <row r="363" spans="1:9">
      <c r="A363" t="s">
        <v>87</v>
      </c>
      <c r="B363">
        <v>2</v>
      </c>
      <c r="C363" t="s">
        <v>1513</v>
      </c>
      <c r="D363" t="s">
        <v>1514</v>
      </c>
      <c r="E363" t="s">
        <v>564</v>
      </c>
      <c r="F363">
        <f>INDEX(Site_Evaluation!$K:$K,MATCH(C363,Site_Evaluation!$A:$A,0))</f>
        <v>71</v>
      </c>
      <c r="G363">
        <f>COUNTIFS(Risk_Register!B:B,C363,Risk_Register!G:G,"High")</f>
        <v>0</v>
      </c>
      <c r="H363" t="e">
        <f ca="1">IF(_xludf.MAXIFS(Risk_Register!$L:$L,Risk_Register!$B:$B,C363)=3,"High",IF(_xludf.MAXIFS(Risk_Register!$L:$L,Risk_Register!$B:$B,C363)=2,"Medium","Low"))</f>
        <v>#NAME?</v>
      </c>
      <c r="I363" t="str">
        <f>IF(B363&lt;=3,"Preferred site - strong composite profile",IF(B363&lt;=10,"Backup candidate - viable with monitoring","Reserve - evaluate only if primary sites unavailable"))</f>
        <v>Preferred site - strong composite profile</v>
      </c>
    </row>
    <row r="364" spans="1:9">
      <c r="A364" t="s">
        <v>87</v>
      </c>
      <c r="B364">
        <v>3</v>
      </c>
      <c r="C364" t="s">
        <v>618</v>
      </c>
      <c r="D364" t="s">
        <v>619</v>
      </c>
      <c r="E364" t="s">
        <v>507</v>
      </c>
      <c r="F364">
        <f>INDEX(Site_Evaluation!$K:$K,MATCH(C364,Site_Evaluation!$A:$A,0))</f>
        <v>70</v>
      </c>
      <c r="G364">
        <f>COUNTIFS(Risk_Register!B:B,C364,Risk_Register!G:G,"High")</f>
        <v>2</v>
      </c>
      <c r="H364" t="e">
        <f ca="1">IF(_xludf.MAXIFS(Risk_Register!$L:$L,Risk_Register!$B:$B,C364)=3,"High",IF(_xludf.MAXIFS(Risk_Register!$L:$L,Risk_Register!$B:$B,C364)=2,"Medium","Low"))</f>
        <v>#NAME?</v>
      </c>
      <c r="I364" t="str">
        <f>IF(B364&lt;=3,"Preferred site - strong composite profile",IF(B364&lt;=10,"Backup candidate - viable with monitoring","Reserve - evaluate only if primary sites unavailable"))</f>
        <v>Preferred site - strong composite profile</v>
      </c>
    </row>
    <row r="365" spans="1:9">
      <c r="A365" t="s">
        <v>87</v>
      </c>
      <c r="B365">
        <v>4</v>
      </c>
      <c r="C365" t="s">
        <v>1462</v>
      </c>
      <c r="D365" t="s">
        <v>1463</v>
      </c>
      <c r="E365" t="s">
        <v>556</v>
      </c>
      <c r="F365">
        <f>INDEX(Site_Evaluation!$K:$K,MATCH(C365,Site_Evaluation!$A:$A,0))</f>
        <v>69</v>
      </c>
      <c r="G365">
        <f>COUNTIFS(Risk_Register!B:B,C365,Risk_Register!G:G,"High")</f>
        <v>0</v>
      </c>
      <c r="H365" t="e">
        <f ca="1">IF(_xludf.MAXIFS(Risk_Register!$L:$L,Risk_Register!$B:$B,C365)=3,"High",IF(_xludf.MAXIFS(Risk_Register!$L:$L,Risk_Register!$B:$B,C365)=2,"Medium","Low"))</f>
        <v>#NAME?</v>
      </c>
      <c r="I365" t="str">
        <f>IF(B365&lt;=3,"Preferred site - strong composite profile",IF(B365&lt;=10,"Backup candidate - viable with monitoring","Reserve - evaluate only if primary sites unavailable"))</f>
        <v>Backup candidate - viable with monitoring</v>
      </c>
    </row>
    <row r="366" spans="1:9">
      <c r="A366" t="s">
        <v>87</v>
      </c>
      <c r="B366">
        <v>5</v>
      </c>
      <c r="C366" t="s">
        <v>1263</v>
      </c>
      <c r="D366" t="s">
        <v>1264</v>
      </c>
      <c r="E366" t="s">
        <v>541</v>
      </c>
      <c r="F366">
        <f>INDEX(Site_Evaluation!$K:$K,MATCH(C366,Site_Evaluation!$A:$A,0))</f>
        <v>68</v>
      </c>
      <c r="G366">
        <f>COUNTIFS(Risk_Register!B:B,C366,Risk_Register!G:G,"High")</f>
        <v>0</v>
      </c>
      <c r="H366" t="e">
        <f ca="1">IF(_xludf.MAXIFS(Risk_Register!$L:$L,Risk_Register!$B:$B,C366)=3,"High",IF(_xludf.MAXIFS(Risk_Register!$L:$L,Risk_Register!$B:$B,C366)=2,"Medium","Low"))</f>
        <v>#NAME?</v>
      </c>
      <c r="I366" t="str">
        <f>IF(B366&lt;=3,"Preferred site - strong composite profile",IF(B366&lt;=10,"Backup candidate - viable with monitoring","Reserve - evaluate only if primary sites unavailable"))</f>
        <v>Backup candidate - viable with monitoring</v>
      </c>
    </row>
    <row r="367" spans="1:9">
      <c r="A367" t="s">
        <v>87</v>
      </c>
      <c r="B367">
        <v>6</v>
      </c>
      <c r="C367" t="s">
        <v>1248</v>
      </c>
      <c r="D367" t="s">
        <v>1249</v>
      </c>
      <c r="E367" t="s">
        <v>541</v>
      </c>
      <c r="F367">
        <f>INDEX(Site_Evaluation!$K:$K,MATCH(C367,Site_Evaluation!$A:$A,0))</f>
        <v>64</v>
      </c>
      <c r="G367">
        <f>COUNTIFS(Risk_Register!B:B,C367,Risk_Register!G:G,"High")</f>
        <v>0</v>
      </c>
      <c r="H367" t="e">
        <f ca="1">IF(_xludf.MAXIFS(Risk_Register!$L:$L,Risk_Register!$B:$B,C367)=3,"High",IF(_xludf.MAXIFS(Risk_Register!$L:$L,Risk_Register!$B:$B,C367)=2,"Medium","Low"))</f>
        <v>#NAME?</v>
      </c>
      <c r="I367" t="str">
        <f>IF(B367&lt;=3,"Preferred site - strong composite profile",IF(B367&lt;=10,"Backup candidate - viable with monitoring","Reserve - evaluate only if primary sites unavailable"))</f>
        <v>Backup candidate - viable with monitoring</v>
      </c>
    </row>
    <row r="368" spans="1:9">
      <c r="A368" t="s">
        <v>87</v>
      </c>
      <c r="B368">
        <v>7</v>
      </c>
      <c r="C368" t="s">
        <v>857</v>
      </c>
      <c r="D368" t="s">
        <v>806</v>
      </c>
      <c r="E368" t="s">
        <v>516</v>
      </c>
      <c r="F368">
        <f>INDEX(Site_Evaluation!$K:$K,MATCH(C368,Site_Evaluation!$A:$A,0))</f>
        <v>62</v>
      </c>
      <c r="G368">
        <f>COUNTIFS(Risk_Register!B:B,C368,Risk_Register!G:G,"High")</f>
        <v>1</v>
      </c>
      <c r="H368" t="e">
        <f ca="1">IF(_xludf.MAXIFS(Risk_Register!$L:$L,Risk_Register!$B:$B,C368)=3,"High",IF(_xludf.MAXIFS(Risk_Register!$L:$L,Risk_Register!$B:$B,C368)=2,"Medium","Low"))</f>
        <v>#NAME?</v>
      </c>
      <c r="I368" t="str">
        <f>IF(B368&lt;=3,"Preferred site - strong composite profile",IF(B368&lt;=10,"Backup candidate - viable with monitoring","Reserve - evaluate only if primary sites unavailable"))</f>
        <v>Backup candidate - viable with monitoring</v>
      </c>
    </row>
    <row r="369" spans="1:9">
      <c r="A369" t="s">
        <v>87</v>
      </c>
      <c r="B369">
        <v>8</v>
      </c>
      <c r="C369" t="s">
        <v>1251</v>
      </c>
      <c r="D369" t="s">
        <v>1252</v>
      </c>
      <c r="E369" t="s">
        <v>541</v>
      </c>
      <c r="F369">
        <f>INDEX(Site_Evaluation!$K:$K,MATCH(C369,Site_Evaluation!$A:$A,0))</f>
        <v>62</v>
      </c>
      <c r="G369">
        <f>COUNTIFS(Risk_Register!B:B,C369,Risk_Register!G:G,"High")</f>
        <v>0</v>
      </c>
      <c r="H369" t="e">
        <f ca="1">IF(_xludf.MAXIFS(Risk_Register!$L:$L,Risk_Register!$B:$B,C369)=3,"High",IF(_xludf.MAXIFS(Risk_Register!$L:$L,Risk_Register!$B:$B,C369)=2,"Medium","Low"))</f>
        <v>#NAME?</v>
      </c>
      <c r="I369" t="str">
        <f>IF(B369&lt;=3,"Preferred site - strong composite profile",IF(B369&lt;=10,"Backup candidate - viable with monitoring","Reserve - evaluate only if primary sites unavailable"))</f>
        <v>Backup candidate - viable with monitoring</v>
      </c>
    </row>
    <row r="370" spans="1:9">
      <c r="A370" t="s">
        <v>87</v>
      </c>
      <c r="B370">
        <v>9</v>
      </c>
      <c r="C370" t="s">
        <v>805</v>
      </c>
      <c r="D370" t="s">
        <v>806</v>
      </c>
      <c r="E370" t="s">
        <v>516</v>
      </c>
      <c r="F370">
        <f>INDEX(Site_Evaluation!$K:$K,MATCH(C370,Site_Evaluation!$A:$A,0))</f>
        <v>61</v>
      </c>
      <c r="G370">
        <f>COUNTIFS(Risk_Register!B:B,C370,Risk_Register!G:G,"High")</f>
        <v>0</v>
      </c>
      <c r="H370" t="e">
        <f ca="1">IF(_xludf.MAXIFS(Risk_Register!$L:$L,Risk_Register!$B:$B,C370)=3,"High",IF(_xludf.MAXIFS(Risk_Register!$L:$L,Risk_Register!$B:$B,C370)=2,"Medium","Low"))</f>
        <v>#NAME?</v>
      </c>
      <c r="I370" t="str">
        <f>IF(B370&lt;=3,"Preferred site - strong composite profile",IF(B370&lt;=10,"Backup candidate - viable with monitoring","Reserve - evaluate only if primary sites unavailable"))</f>
        <v>Backup candidate - viable with monitoring</v>
      </c>
    </row>
    <row r="371" spans="1:9">
      <c r="A371" t="s">
        <v>87</v>
      </c>
      <c r="B371">
        <v>10</v>
      </c>
      <c r="C371" t="s">
        <v>788</v>
      </c>
      <c r="D371" t="s">
        <v>789</v>
      </c>
      <c r="E371" t="s">
        <v>514</v>
      </c>
      <c r="F371">
        <f>INDEX(Site_Evaluation!$K:$K,MATCH(C371,Site_Evaluation!$A:$A,0))</f>
        <v>59</v>
      </c>
      <c r="G371">
        <f>COUNTIFS(Risk_Register!B:B,C371,Risk_Register!G:G,"High")</f>
        <v>1</v>
      </c>
      <c r="H371" t="e">
        <f ca="1">IF(_xludf.MAXIFS(Risk_Register!$L:$L,Risk_Register!$B:$B,C371)=3,"High",IF(_xludf.MAXIFS(Risk_Register!$L:$L,Risk_Register!$B:$B,C371)=2,"Medium","Low"))</f>
        <v>#NAME?</v>
      </c>
      <c r="I371" t="str">
        <f>IF(B371&lt;=3,"Preferred site - strong composite profile",IF(B371&lt;=10,"Backup candidate - viable with monitoring","Reserve - evaluate only if primary sites unavailable"))</f>
        <v>Backup candidate - viable with monitoring</v>
      </c>
    </row>
    <row r="372" spans="1:9">
      <c r="A372" t="s">
        <v>87</v>
      </c>
      <c r="B372">
        <v>11</v>
      </c>
      <c r="C372" t="s">
        <v>1700</v>
      </c>
      <c r="D372" t="s">
        <v>1701</v>
      </c>
      <c r="E372" t="s">
        <v>578</v>
      </c>
      <c r="F372">
        <f>INDEX(Site_Evaluation!$K:$K,MATCH(C372,Site_Evaluation!$A:$A,0))</f>
        <v>59</v>
      </c>
      <c r="G372">
        <f>COUNTIFS(Risk_Register!B:B,C372,Risk_Register!G:G,"High")</f>
        <v>1</v>
      </c>
      <c r="H372" t="e">
        <f ca="1">IF(_xludf.MAXIFS(Risk_Register!$L:$L,Risk_Register!$B:$B,C372)=3,"High",IF(_xludf.MAXIFS(Risk_Register!$L:$L,Risk_Register!$B:$B,C372)=2,"Medium","Low"))</f>
        <v>#NAME?</v>
      </c>
      <c r="I372" t="str">
        <f>IF(B372&lt;=3,"Preferred site - strong composite profile",IF(B372&lt;=10,"Backup candidate - viable with monitoring","Reserve - evaluate only if primary sites unavailable"))</f>
        <v>Reserve - evaluate only if primary sites unavailable</v>
      </c>
    </row>
    <row r="373" spans="1:9">
      <c r="A373" t="s">
        <v>87</v>
      </c>
      <c r="B373">
        <v>12</v>
      </c>
      <c r="C373" t="s">
        <v>860</v>
      </c>
      <c r="D373" t="s">
        <v>815</v>
      </c>
      <c r="E373" t="s">
        <v>516</v>
      </c>
      <c r="F373">
        <f>INDEX(Site_Evaluation!$K:$K,MATCH(C373,Site_Evaluation!$A:$A,0))</f>
        <v>58</v>
      </c>
      <c r="G373">
        <f>COUNTIFS(Risk_Register!B:B,C373,Risk_Register!G:G,"High")</f>
        <v>0</v>
      </c>
      <c r="H373" t="e">
        <f ca="1">IF(_xludf.MAXIFS(Risk_Register!$L:$L,Risk_Register!$B:$B,C373)=3,"High",IF(_xludf.MAXIFS(Risk_Register!$L:$L,Risk_Register!$B:$B,C373)=2,"Medium","Low"))</f>
        <v>#NAME?</v>
      </c>
      <c r="I373" t="str">
        <f>IF(B373&lt;=3,"Preferred site - strong composite profile",IF(B373&lt;=10,"Backup candidate - viable with monitoring","Reserve - evaluate only if primary sites unavailable"))</f>
        <v>Reserve - evaluate only if primary sites unavailable</v>
      </c>
    </row>
    <row r="374" spans="1:9">
      <c r="A374" t="s">
        <v>87</v>
      </c>
      <c r="B374">
        <v>13</v>
      </c>
      <c r="C374" t="s">
        <v>871</v>
      </c>
      <c r="D374" t="s">
        <v>872</v>
      </c>
      <c r="E374" t="s">
        <v>516</v>
      </c>
      <c r="F374">
        <f>INDEX(Site_Evaluation!$K:$K,MATCH(C374,Site_Evaluation!$A:$A,0))</f>
        <v>58</v>
      </c>
      <c r="G374">
        <f>COUNTIFS(Risk_Register!B:B,C374,Risk_Register!G:G,"High")</f>
        <v>0</v>
      </c>
      <c r="H374" t="e">
        <f ca="1">IF(_xludf.MAXIFS(Risk_Register!$L:$L,Risk_Register!$B:$B,C374)=3,"High",IF(_xludf.MAXIFS(Risk_Register!$L:$L,Risk_Register!$B:$B,C374)=2,"Medium","Low"))</f>
        <v>#NAME?</v>
      </c>
      <c r="I374" t="str">
        <f>IF(B374&lt;=3,"Preferred site - strong composite profile",IF(B374&lt;=10,"Backup candidate - viable with monitoring","Reserve - evaluate only if primary sites unavailable"))</f>
        <v>Reserve - evaluate only if primary sites unavailable</v>
      </c>
    </row>
    <row r="375" spans="1:9">
      <c r="A375" t="s">
        <v>87</v>
      </c>
      <c r="B375">
        <v>14</v>
      </c>
      <c r="C375" t="s">
        <v>1261</v>
      </c>
      <c r="D375" t="s">
        <v>1262</v>
      </c>
      <c r="E375" t="s">
        <v>541</v>
      </c>
      <c r="F375">
        <f>INDEX(Site_Evaluation!$K:$K,MATCH(C375,Site_Evaluation!$A:$A,0))</f>
        <v>58</v>
      </c>
      <c r="G375">
        <f>COUNTIFS(Risk_Register!B:B,C375,Risk_Register!G:G,"High")</f>
        <v>0</v>
      </c>
      <c r="H375" t="e">
        <f ca="1">IF(_xludf.MAXIFS(Risk_Register!$L:$L,Risk_Register!$B:$B,C375)=3,"High",IF(_xludf.MAXIFS(Risk_Register!$L:$L,Risk_Register!$B:$B,C375)=2,"Medium","Low"))</f>
        <v>#NAME?</v>
      </c>
      <c r="I375" t="str">
        <f>IF(B375&lt;=3,"Preferred site - strong composite profile",IF(B375&lt;=10,"Backup candidate - viable with monitoring","Reserve - evaluate only if primary sites unavailable"))</f>
        <v>Reserve - evaluate only if primary sites unavailable</v>
      </c>
    </row>
    <row r="376" spans="1:9">
      <c r="A376" t="s">
        <v>87</v>
      </c>
      <c r="B376">
        <v>15</v>
      </c>
      <c r="C376" t="s">
        <v>1404</v>
      </c>
      <c r="D376" t="s">
        <v>1405</v>
      </c>
      <c r="E376" t="s">
        <v>552</v>
      </c>
      <c r="F376">
        <f>INDEX(Site_Evaluation!$K:$K,MATCH(C376,Site_Evaluation!$A:$A,0))</f>
        <v>58</v>
      </c>
      <c r="G376">
        <f>COUNTIFS(Risk_Register!B:B,C376,Risk_Register!G:G,"High")</f>
        <v>0</v>
      </c>
      <c r="H376" t="e">
        <f ca="1">IF(_xludf.MAXIFS(Risk_Register!$L:$L,Risk_Register!$B:$B,C376)=3,"High",IF(_xludf.MAXIFS(Risk_Register!$L:$L,Risk_Register!$B:$B,C376)=2,"Medium","Low"))</f>
        <v>#NAME?</v>
      </c>
      <c r="I376" t="str">
        <f>IF(B376&lt;=3,"Preferred site - strong composite profile",IF(B376&lt;=10,"Backup candidate - viable with monitoring","Reserve - evaluate only if primary sites unavailable"))</f>
        <v>Reserve - evaluate only if primary sites unavailable</v>
      </c>
    </row>
    <row r="377" spans="1:9">
      <c r="A377" t="s">
        <v>87</v>
      </c>
      <c r="B377">
        <v>16</v>
      </c>
      <c r="C377" t="s">
        <v>847</v>
      </c>
      <c r="D377" t="s">
        <v>848</v>
      </c>
      <c r="E377" t="s">
        <v>516</v>
      </c>
      <c r="F377">
        <f>INDEX(Site_Evaluation!$K:$K,MATCH(C377,Site_Evaluation!$A:$A,0))</f>
        <v>57</v>
      </c>
      <c r="G377">
        <f>COUNTIFS(Risk_Register!B:B,C377,Risk_Register!G:G,"High")</f>
        <v>0</v>
      </c>
      <c r="H377" t="e">
        <f ca="1">IF(_xludf.MAXIFS(Risk_Register!$L:$L,Risk_Register!$B:$B,C377)=3,"High",IF(_xludf.MAXIFS(Risk_Register!$L:$L,Risk_Register!$B:$B,C377)=2,"Medium","Low"))</f>
        <v>#NAME?</v>
      </c>
      <c r="I377" t="str">
        <f>IF(B377&lt;=3,"Preferred site - strong composite profile",IF(B377&lt;=10,"Backup candidate - viable with monitoring","Reserve - evaluate only if primary sites unavailable"))</f>
        <v>Reserve - evaluate only if primary sites unavailable</v>
      </c>
    </row>
    <row r="378" spans="1:9">
      <c r="A378" t="s">
        <v>87</v>
      </c>
      <c r="B378">
        <v>17</v>
      </c>
      <c r="C378" t="s">
        <v>1152</v>
      </c>
      <c r="D378" t="s">
        <v>1153</v>
      </c>
      <c r="E378" t="s">
        <v>535</v>
      </c>
      <c r="F378">
        <f>INDEX(Site_Evaluation!$K:$K,MATCH(C378,Site_Evaluation!$A:$A,0))</f>
        <v>56</v>
      </c>
      <c r="G378">
        <f>COUNTIFS(Risk_Register!B:B,C378,Risk_Register!G:G,"High")</f>
        <v>0</v>
      </c>
      <c r="H378" t="e">
        <f ca="1">IF(_xludf.MAXIFS(Risk_Register!$L:$L,Risk_Register!$B:$B,C378)=3,"High",IF(_xludf.MAXIFS(Risk_Register!$L:$L,Risk_Register!$B:$B,C378)=2,"Medium","Low"))</f>
        <v>#NAME?</v>
      </c>
      <c r="I378" t="str">
        <f>IF(B378&lt;=3,"Preferred site - strong composite profile",IF(B378&lt;=10,"Backup candidate - viable with monitoring","Reserve - evaluate only if primary sites unavailable"))</f>
        <v>Reserve - evaluate only if primary sites unavailable</v>
      </c>
    </row>
    <row r="379" spans="1:9">
      <c r="A379" t="s">
        <v>87</v>
      </c>
      <c r="B379">
        <v>18</v>
      </c>
      <c r="C379" t="s">
        <v>1906</v>
      </c>
      <c r="D379" t="s">
        <v>1907</v>
      </c>
      <c r="E379" t="s">
        <v>600</v>
      </c>
      <c r="F379">
        <f>INDEX(Site_Evaluation!$K:$K,MATCH(C379,Site_Evaluation!$A:$A,0))</f>
        <v>55</v>
      </c>
      <c r="G379">
        <f>COUNTIFS(Risk_Register!B:B,C379,Risk_Register!G:G,"High")</f>
        <v>0</v>
      </c>
      <c r="H379" t="e">
        <f ca="1">IF(_xludf.MAXIFS(Risk_Register!$L:$L,Risk_Register!$B:$B,C379)=3,"High",IF(_xludf.MAXIFS(Risk_Register!$L:$L,Risk_Register!$B:$B,C379)=2,"Medium","Low"))</f>
        <v>#NAME?</v>
      </c>
      <c r="I379" t="str">
        <f>IF(B379&lt;=3,"Preferred site - strong composite profile",IF(B379&lt;=10,"Backup candidate - viable with monitoring","Reserve - evaluate only if primary sites unavailable"))</f>
        <v>Reserve - evaluate only if primary sites unavailable</v>
      </c>
    </row>
    <row r="380" spans="1:9">
      <c r="A380" t="s">
        <v>87</v>
      </c>
      <c r="B380">
        <v>19</v>
      </c>
      <c r="C380" t="s">
        <v>1530</v>
      </c>
      <c r="D380" t="s">
        <v>1531</v>
      </c>
      <c r="E380" t="s">
        <v>568</v>
      </c>
      <c r="F380">
        <f>INDEX(Site_Evaluation!$K:$K,MATCH(C380,Site_Evaluation!$A:$A,0))</f>
        <v>54</v>
      </c>
      <c r="G380">
        <f>COUNTIFS(Risk_Register!B:B,C380,Risk_Register!G:G,"High")</f>
        <v>0</v>
      </c>
      <c r="H380" t="e">
        <f ca="1">IF(_xludf.MAXIFS(Risk_Register!$L:$L,Risk_Register!$B:$B,C380)=3,"High",IF(_xludf.MAXIFS(Risk_Register!$L:$L,Risk_Register!$B:$B,C380)=2,"Medium","Low"))</f>
        <v>#NAME?</v>
      </c>
      <c r="I380" t="str">
        <f>IF(B380&lt;=3,"Preferred site - strong composite profile",IF(B380&lt;=10,"Backup candidate - viable with monitoring","Reserve - evaluate only if primary sites unavailable"))</f>
        <v>Reserve - evaluate only if primary sites unavailable</v>
      </c>
    </row>
    <row r="381" spans="1:9">
      <c r="A381" t="s">
        <v>87</v>
      </c>
      <c r="B381">
        <v>20</v>
      </c>
      <c r="C381" t="s">
        <v>1579</v>
      </c>
      <c r="D381" t="s">
        <v>1580</v>
      </c>
      <c r="E381" t="s">
        <v>574</v>
      </c>
      <c r="F381">
        <f>INDEX(Site_Evaluation!$K:$K,MATCH(C381,Site_Evaluation!$A:$A,0))</f>
        <v>54</v>
      </c>
      <c r="G381">
        <f>COUNTIFS(Risk_Register!B:B,C381,Risk_Register!G:G,"High")</f>
        <v>0</v>
      </c>
      <c r="H381" t="e">
        <f ca="1">IF(_xludf.MAXIFS(Risk_Register!$L:$L,Risk_Register!$B:$B,C381)=3,"High",IF(_xludf.MAXIFS(Risk_Register!$L:$L,Risk_Register!$B:$B,C381)=2,"Medium","Low"))</f>
        <v>#NAME?</v>
      </c>
      <c r="I381" t="str">
        <f>IF(B381&lt;=3,"Preferred site - strong composite profile",IF(B381&lt;=10,"Backup candidate - viable with monitoring","Reserve - evaluate only if primary sites unavailable"))</f>
        <v>Reserve - evaluate only if primary sites unavailable</v>
      </c>
    </row>
    <row r="382" spans="1:9">
      <c r="A382" t="s">
        <v>89</v>
      </c>
      <c r="B382">
        <v>1</v>
      </c>
      <c r="C382" t="s">
        <v>898</v>
      </c>
      <c r="D382" t="s">
        <v>899</v>
      </c>
      <c r="E382" t="s">
        <v>518</v>
      </c>
      <c r="F382">
        <f>INDEX(Site_Evaluation!$K:$K,MATCH(C382,Site_Evaluation!$A:$A,0))</f>
        <v>66</v>
      </c>
      <c r="G382">
        <f>COUNTIFS(Risk_Register!B:B,C382,Risk_Register!G:G,"High")</f>
        <v>2</v>
      </c>
      <c r="H382" t="e">
        <f ca="1">IF(_xludf.MAXIFS(Risk_Register!$L:$L,Risk_Register!$B:$B,C382)=3,"High",IF(_xludf.MAXIFS(Risk_Register!$L:$L,Risk_Register!$B:$B,C382)=2,"Medium","Low"))</f>
        <v>#NAME?</v>
      </c>
      <c r="I382" t="str">
        <f>IF(B382&lt;=3,"Preferred site - strong composite profile",IF(B382&lt;=10,"Backup candidate - viable with monitoring","Reserve - evaluate only if primary sites unavailable"))</f>
        <v>Preferred site - strong composite profile</v>
      </c>
    </row>
    <row r="383" spans="1:9">
      <c r="A383" t="s">
        <v>89</v>
      </c>
      <c r="B383">
        <v>2</v>
      </c>
      <c r="C383" t="s">
        <v>1556</v>
      </c>
      <c r="D383" t="s">
        <v>1557</v>
      </c>
      <c r="E383" t="s">
        <v>570</v>
      </c>
      <c r="F383">
        <f>INDEX(Site_Evaluation!$K:$K,MATCH(C383,Site_Evaluation!$A:$A,0))</f>
        <v>63</v>
      </c>
      <c r="G383">
        <f>COUNTIFS(Risk_Register!B:B,C383,Risk_Register!G:G,"High")</f>
        <v>0</v>
      </c>
      <c r="H383" t="e">
        <f ca="1">IF(_xludf.MAXIFS(Risk_Register!$L:$L,Risk_Register!$B:$B,C383)=3,"High",IF(_xludf.MAXIFS(Risk_Register!$L:$L,Risk_Register!$B:$B,C383)=2,"Medium","Low"))</f>
        <v>#NAME?</v>
      </c>
      <c r="I383" t="str">
        <f>IF(B383&lt;=3,"Preferred site - strong composite profile",IF(B383&lt;=10,"Backup candidate - viable with monitoring","Reserve - evaluate only if primary sites unavailable"))</f>
        <v>Preferred site - strong composite profile</v>
      </c>
    </row>
    <row r="384" spans="1:9">
      <c r="A384" t="s">
        <v>89</v>
      </c>
      <c r="B384">
        <v>3</v>
      </c>
      <c r="C384" t="s">
        <v>1596</v>
      </c>
      <c r="D384" t="s">
        <v>1597</v>
      </c>
      <c r="E384" t="s">
        <v>576</v>
      </c>
      <c r="F384">
        <f>INDEX(Site_Evaluation!$K:$K,MATCH(C384,Site_Evaluation!$A:$A,0))</f>
        <v>62</v>
      </c>
      <c r="G384">
        <f>COUNTIFS(Risk_Register!B:B,C384,Risk_Register!G:G,"High")</f>
        <v>0</v>
      </c>
      <c r="H384" t="e">
        <f ca="1">IF(_xludf.MAXIFS(Risk_Register!$L:$L,Risk_Register!$B:$B,C384)=3,"High",IF(_xludf.MAXIFS(Risk_Register!$L:$L,Risk_Register!$B:$B,C384)=2,"Medium","Low"))</f>
        <v>#NAME?</v>
      </c>
      <c r="I384" t="str">
        <f>IF(B384&lt;=3,"Preferred site - strong composite profile",IF(B384&lt;=10,"Backup candidate - viable with monitoring","Reserve - evaluate only if primary sites unavailable"))</f>
        <v>Preferred site - strong composite profile</v>
      </c>
    </row>
    <row r="385" spans="1:9">
      <c r="A385" t="s">
        <v>89</v>
      </c>
      <c r="B385">
        <v>4</v>
      </c>
      <c r="C385" t="s">
        <v>649</v>
      </c>
      <c r="D385" t="s">
        <v>650</v>
      </c>
      <c r="E385" t="s">
        <v>507</v>
      </c>
      <c r="F385">
        <f>INDEX(Site_Evaluation!$K:$K,MATCH(C385,Site_Evaluation!$A:$A,0))</f>
        <v>59</v>
      </c>
      <c r="G385">
        <f>COUNTIFS(Risk_Register!B:B,C385,Risk_Register!G:G,"High")</f>
        <v>2</v>
      </c>
      <c r="H385" t="e">
        <f ca="1">IF(_xludf.MAXIFS(Risk_Register!$L:$L,Risk_Register!$B:$B,C385)=3,"High",IF(_xludf.MAXIFS(Risk_Register!$L:$L,Risk_Register!$B:$B,C385)=2,"Medium","Low"))</f>
        <v>#NAME?</v>
      </c>
      <c r="I385" t="str">
        <f>IF(B385&lt;=3,"Preferred site - strong composite profile",IF(B385&lt;=10,"Backup candidate - viable with monitoring","Reserve - evaluate only if primary sites unavailable"))</f>
        <v>Backup candidate - viable with monitoring</v>
      </c>
    </row>
    <row r="386" spans="1:9">
      <c r="A386" t="s">
        <v>89</v>
      </c>
      <c r="B386">
        <v>5</v>
      </c>
      <c r="C386" t="s">
        <v>826</v>
      </c>
      <c r="D386" t="s">
        <v>827</v>
      </c>
      <c r="E386" t="s">
        <v>516</v>
      </c>
      <c r="F386">
        <f>INDEX(Site_Evaluation!$K:$K,MATCH(C386,Site_Evaluation!$A:$A,0))</f>
        <v>58</v>
      </c>
      <c r="G386">
        <f>COUNTIFS(Risk_Register!B:B,C386,Risk_Register!G:G,"High")</f>
        <v>0</v>
      </c>
      <c r="H386" t="e">
        <f ca="1">IF(_xludf.MAXIFS(Risk_Register!$L:$L,Risk_Register!$B:$B,C386)=3,"High",IF(_xludf.MAXIFS(Risk_Register!$L:$L,Risk_Register!$B:$B,C386)=2,"Medium","Low"))</f>
        <v>#NAME?</v>
      </c>
      <c r="I386" t="str">
        <f>IF(B386&lt;=3,"Preferred site - strong composite profile",IF(B386&lt;=10,"Backup candidate - viable with monitoring","Reserve - evaluate only if primary sites unavailable"))</f>
        <v>Backup candidate - viable with monitoring</v>
      </c>
    </row>
    <row r="387" spans="1:9">
      <c r="A387" t="s">
        <v>89</v>
      </c>
      <c r="B387">
        <v>6</v>
      </c>
      <c r="C387" t="s">
        <v>1623</v>
      </c>
      <c r="D387" t="s">
        <v>1624</v>
      </c>
      <c r="E387" t="s">
        <v>578</v>
      </c>
      <c r="F387">
        <f>INDEX(Site_Evaluation!$K:$K,MATCH(C387,Site_Evaluation!$A:$A,0))</f>
        <v>56</v>
      </c>
      <c r="G387">
        <f>COUNTIFS(Risk_Register!B:B,C387,Risk_Register!G:G,"High")</f>
        <v>1</v>
      </c>
      <c r="H387" t="e">
        <f ca="1">IF(_xludf.MAXIFS(Risk_Register!$L:$L,Risk_Register!$B:$B,C387)=3,"High",IF(_xludf.MAXIFS(Risk_Register!$L:$L,Risk_Register!$B:$B,C387)=2,"Medium","Low"))</f>
        <v>#NAME?</v>
      </c>
      <c r="I387" t="str">
        <f>IF(B387&lt;=3,"Preferred site - strong composite profile",IF(B387&lt;=10,"Backup candidate - viable with monitoring","Reserve - evaluate only if primary sites unavailable"))</f>
        <v>Backup candidate - viable with monitoring</v>
      </c>
    </row>
    <row r="388" spans="1:9">
      <c r="A388" t="s">
        <v>89</v>
      </c>
      <c r="B388">
        <v>7</v>
      </c>
      <c r="C388" t="s">
        <v>1047</v>
      </c>
      <c r="D388" t="s">
        <v>1048</v>
      </c>
      <c r="E388" t="s">
        <v>529</v>
      </c>
      <c r="F388">
        <f>INDEX(Site_Evaluation!$K:$K,MATCH(C388,Site_Evaluation!$A:$A,0))</f>
        <v>54</v>
      </c>
      <c r="G388">
        <f>COUNTIFS(Risk_Register!B:B,C388,Risk_Register!G:G,"High")</f>
        <v>1</v>
      </c>
      <c r="H388" t="e">
        <f ca="1">IF(_xludf.MAXIFS(Risk_Register!$L:$L,Risk_Register!$B:$B,C388)=3,"High",IF(_xludf.MAXIFS(Risk_Register!$L:$L,Risk_Register!$B:$B,C388)=2,"Medium","Low"))</f>
        <v>#NAME?</v>
      </c>
      <c r="I388" t="str">
        <f>IF(B388&lt;=3,"Preferred site - strong composite profile",IF(B388&lt;=10,"Backup candidate - viable with monitoring","Reserve - evaluate only if primary sites unavailable"))</f>
        <v>Backup candidate - viable with monitoring</v>
      </c>
    </row>
    <row r="389" spans="1:9">
      <c r="A389" t="s">
        <v>89</v>
      </c>
      <c r="B389">
        <v>8</v>
      </c>
      <c r="C389" t="s">
        <v>1078</v>
      </c>
      <c r="D389" t="s">
        <v>1048</v>
      </c>
      <c r="E389" t="s">
        <v>529</v>
      </c>
      <c r="F389">
        <f>INDEX(Site_Evaluation!$K:$K,MATCH(C389,Site_Evaluation!$A:$A,0))</f>
        <v>54</v>
      </c>
      <c r="G389">
        <f>COUNTIFS(Risk_Register!B:B,C389,Risk_Register!G:G,"High")</f>
        <v>2</v>
      </c>
      <c r="H389" t="e">
        <f ca="1">IF(_xludf.MAXIFS(Risk_Register!$L:$L,Risk_Register!$B:$B,C389)=3,"High",IF(_xludf.MAXIFS(Risk_Register!$L:$L,Risk_Register!$B:$B,C389)=2,"Medium","Low"))</f>
        <v>#NAME?</v>
      </c>
      <c r="I389" t="str">
        <f>IF(B389&lt;=3,"Preferred site - strong composite profile",IF(B389&lt;=10,"Backup candidate - viable with monitoring","Reserve - evaluate only if primary sites unavailable"))</f>
        <v>Backup candidate - viable with monitoring</v>
      </c>
    </row>
    <row r="390" spans="1:9">
      <c r="A390" t="s">
        <v>89</v>
      </c>
      <c r="B390">
        <v>9</v>
      </c>
      <c r="C390" t="s">
        <v>1125</v>
      </c>
      <c r="D390" t="s">
        <v>1126</v>
      </c>
      <c r="E390" t="s">
        <v>535</v>
      </c>
      <c r="F390">
        <f>INDEX(Site_Evaluation!$K:$K,MATCH(C390,Site_Evaluation!$A:$A,0))</f>
        <v>54</v>
      </c>
      <c r="G390">
        <f>COUNTIFS(Risk_Register!B:B,C390,Risk_Register!G:G,"High")</f>
        <v>2</v>
      </c>
      <c r="H390" t="e">
        <f ca="1">IF(_xludf.MAXIFS(Risk_Register!$L:$L,Risk_Register!$B:$B,C390)=3,"High",IF(_xludf.MAXIFS(Risk_Register!$L:$L,Risk_Register!$B:$B,C390)=2,"Medium","Low"))</f>
        <v>#NAME?</v>
      </c>
      <c r="I390" t="str">
        <f>IF(B390&lt;=3,"Preferred site - strong composite profile",IF(B390&lt;=10,"Backup candidate - viable with monitoring","Reserve - evaluate only if primary sites unavailable"))</f>
        <v>Backup candidate - viable with monitoring</v>
      </c>
    </row>
    <row r="391" spans="1:9">
      <c r="A391" t="s">
        <v>89</v>
      </c>
      <c r="B391">
        <v>10</v>
      </c>
      <c r="C391" t="s">
        <v>1201</v>
      </c>
      <c r="D391" t="s">
        <v>1202</v>
      </c>
      <c r="E391" t="s">
        <v>537</v>
      </c>
      <c r="F391">
        <f>INDEX(Site_Evaluation!$K:$K,MATCH(C391,Site_Evaluation!$A:$A,0))</f>
        <v>54</v>
      </c>
      <c r="G391">
        <f>COUNTIFS(Risk_Register!B:B,C391,Risk_Register!G:G,"High")</f>
        <v>0</v>
      </c>
      <c r="H391" t="e">
        <f ca="1">IF(_xludf.MAXIFS(Risk_Register!$L:$L,Risk_Register!$B:$B,C391)=3,"High",IF(_xludf.MAXIFS(Risk_Register!$L:$L,Risk_Register!$B:$B,C391)=2,"Medium","Low"))</f>
        <v>#NAME?</v>
      </c>
      <c r="I391" t="str">
        <f>IF(B391&lt;=3,"Preferred site - strong composite profile",IF(B391&lt;=10,"Backup candidate - viable with monitoring","Reserve - evaluate only if primary sites unavailable"))</f>
        <v>Backup candidate - viable with monitoring</v>
      </c>
    </row>
    <row r="392" spans="1:9">
      <c r="A392" t="s">
        <v>89</v>
      </c>
      <c r="B392">
        <v>11</v>
      </c>
      <c r="C392" t="s">
        <v>1366</v>
      </c>
      <c r="D392" t="s">
        <v>1367</v>
      </c>
      <c r="E392" t="s">
        <v>547</v>
      </c>
      <c r="F392">
        <f>INDEX(Site_Evaluation!$K:$K,MATCH(C392,Site_Evaluation!$A:$A,0))</f>
        <v>54</v>
      </c>
      <c r="G392">
        <f>COUNTIFS(Risk_Register!B:B,C392,Risk_Register!G:G,"High")</f>
        <v>2</v>
      </c>
      <c r="H392" t="e">
        <f ca="1">IF(_xludf.MAXIFS(Risk_Register!$L:$L,Risk_Register!$B:$B,C392)=3,"High",IF(_xludf.MAXIFS(Risk_Register!$L:$L,Risk_Register!$B:$B,C392)=2,"Medium","Low"))</f>
        <v>#NAME?</v>
      </c>
      <c r="I392" t="str">
        <f>IF(B392&lt;=3,"Preferred site - strong composite profile",IF(B392&lt;=10,"Backup candidate - viable with monitoring","Reserve - evaluate only if primary sites unavailable"))</f>
        <v>Reserve - evaluate only if primary sites unavailable</v>
      </c>
    </row>
    <row r="393" spans="1:9">
      <c r="A393" t="s">
        <v>89</v>
      </c>
      <c r="B393">
        <v>12</v>
      </c>
      <c r="C393" t="s">
        <v>784</v>
      </c>
      <c r="D393" t="s">
        <v>785</v>
      </c>
      <c r="E393" t="s">
        <v>514</v>
      </c>
      <c r="F393">
        <f>INDEX(Site_Evaluation!$K:$K,MATCH(C393,Site_Evaluation!$A:$A,0))</f>
        <v>53</v>
      </c>
      <c r="G393">
        <f>COUNTIFS(Risk_Register!B:B,C393,Risk_Register!G:G,"High")</f>
        <v>0</v>
      </c>
      <c r="H393" t="e">
        <f ca="1">IF(_xludf.MAXIFS(Risk_Register!$L:$L,Risk_Register!$B:$B,C393)=3,"High",IF(_xludf.MAXIFS(Risk_Register!$L:$L,Risk_Register!$B:$B,C393)=2,"Medium","Low"))</f>
        <v>#NAME?</v>
      </c>
      <c r="I393" t="str">
        <f>IF(B393&lt;=3,"Preferred site - strong composite profile",IF(B393&lt;=10,"Backup candidate - viable with monitoring","Reserve - evaluate only if primary sites unavailable"))</f>
        <v>Reserve - evaluate only if primary sites unavailable</v>
      </c>
    </row>
    <row r="394" spans="1:9">
      <c r="A394" t="s">
        <v>89</v>
      </c>
      <c r="B394">
        <v>13</v>
      </c>
      <c r="C394" t="s">
        <v>1123</v>
      </c>
      <c r="D394" t="s">
        <v>1124</v>
      </c>
      <c r="E394" t="s">
        <v>533</v>
      </c>
      <c r="F394">
        <f>INDEX(Site_Evaluation!$K:$K,MATCH(C394,Site_Evaluation!$A:$A,0))</f>
        <v>53</v>
      </c>
      <c r="G394">
        <f>COUNTIFS(Risk_Register!B:B,C394,Risk_Register!G:G,"High")</f>
        <v>0</v>
      </c>
      <c r="H394" t="e">
        <f ca="1">IF(_xludf.MAXIFS(Risk_Register!$L:$L,Risk_Register!$B:$B,C394)=3,"High",IF(_xludf.MAXIFS(Risk_Register!$L:$L,Risk_Register!$B:$B,C394)=2,"Medium","Low"))</f>
        <v>#NAME?</v>
      </c>
      <c r="I394" t="str">
        <f>IF(B394&lt;=3,"Preferred site - strong composite profile",IF(B394&lt;=10,"Backup candidate - viable with monitoring","Reserve - evaluate only if primary sites unavailable"))</f>
        <v>Reserve - evaluate only if primary sites unavailable</v>
      </c>
    </row>
    <row r="395" spans="1:9">
      <c r="A395" t="s">
        <v>89</v>
      </c>
      <c r="B395">
        <v>14</v>
      </c>
      <c r="C395" t="s">
        <v>1497</v>
      </c>
      <c r="D395" t="s">
        <v>1498</v>
      </c>
      <c r="E395" t="s">
        <v>560</v>
      </c>
      <c r="F395">
        <f>INDEX(Site_Evaluation!$K:$K,MATCH(C395,Site_Evaluation!$A:$A,0))</f>
        <v>53</v>
      </c>
      <c r="G395">
        <f>COUNTIFS(Risk_Register!B:B,C395,Risk_Register!G:G,"High")</f>
        <v>0</v>
      </c>
      <c r="H395" t="e">
        <f ca="1">IF(_xludf.MAXIFS(Risk_Register!$L:$L,Risk_Register!$B:$B,C395)=3,"High",IF(_xludf.MAXIFS(Risk_Register!$L:$L,Risk_Register!$B:$B,C395)=2,"Medium","Low"))</f>
        <v>#NAME?</v>
      </c>
      <c r="I395" t="str">
        <f>IF(B395&lt;=3,"Preferred site - strong composite profile",IF(B395&lt;=10,"Backup candidate - viable with monitoring","Reserve - evaluate only if primary sites unavailable"))</f>
        <v>Reserve - evaluate only if primary sites unavailable</v>
      </c>
    </row>
    <row r="396" spans="1:9">
      <c r="A396" t="s">
        <v>89</v>
      </c>
      <c r="B396">
        <v>15</v>
      </c>
      <c r="C396" t="s">
        <v>828</v>
      </c>
      <c r="D396" t="s">
        <v>829</v>
      </c>
      <c r="E396" t="s">
        <v>516</v>
      </c>
      <c r="F396">
        <f>INDEX(Site_Evaluation!$K:$K,MATCH(C396,Site_Evaluation!$A:$A,0))</f>
        <v>52</v>
      </c>
      <c r="G396">
        <f>COUNTIFS(Risk_Register!B:B,C396,Risk_Register!G:G,"High")</f>
        <v>0</v>
      </c>
      <c r="H396" t="e">
        <f ca="1">IF(_xludf.MAXIFS(Risk_Register!$L:$L,Risk_Register!$B:$B,C396)=3,"High",IF(_xludf.MAXIFS(Risk_Register!$L:$L,Risk_Register!$B:$B,C396)=2,"Medium","Low"))</f>
        <v>#NAME?</v>
      </c>
      <c r="I396" t="str">
        <f>IF(B396&lt;=3,"Preferred site - strong composite profile",IF(B396&lt;=10,"Backup candidate - viable with monitoring","Reserve - evaluate only if primary sites unavailable"))</f>
        <v>Reserve - evaluate only if primary sites unavailable</v>
      </c>
    </row>
    <row r="397" spans="1:9">
      <c r="A397" t="s">
        <v>89</v>
      </c>
      <c r="B397">
        <v>16</v>
      </c>
      <c r="C397" t="s">
        <v>1080</v>
      </c>
      <c r="D397" t="s">
        <v>1081</v>
      </c>
      <c r="E397" t="s">
        <v>529</v>
      </c>
      <c r="F397">
        <f>INDEX(Site_Evaluation!$K:$K,MATCH(C397,Site_Evaluation!$A:$A,0))</f>
        <v>52</v>
      </c>
      <c r="G397">
        <f>COUNTIFS(Risk_Register!B:B,C397,Risk_Register!G:G,"High")</f>
        <v>0</v>
      </c>
      <c r="H397" t="e">
        <f ca="1">IF(_xludf.MAXIFS(Risk_Register!$L:$L,Risk_Register!$B:$B,C397)=3,"High",IF(_xludf.MAXIFS(Risk_Register!$L:$L,Risk_Register!$B:$B,C397)=2,"Medium","Low"))</f>
        <v>#NAME?</v>
      </c>
      <c r="I397" t="str">
        <f>IF(B397&lt;=3,"Preferred site - strong composite profile",IF(B397&lt;=10,"Backup candidate - viable with monitoring","Reserve - evaluate only if primary sites unavailable"))</f>
        <v>Reserve - evaluate only if primary sites unavailable</v>
      </c>
    </row>
    <row r="398" spans="1:9">
      <c r="A398" t="s">
        <v>89</v>
      </c>
      <c r="B398">
        <v>17</v>
      </c>
      <c r="C398" t="s">
        <v>1270</v>
      </c>
      <c r="D398" t="s">
        <v>1271</v>
      </c>
      <c r="E398" t="s">
        <v>543</v>
      </c>
      <c r="F398">
        <f>INDEX(Site_Evaluation!$K:$K,MATCH(C398,Site_Evaluation!$A:$A,0))</f>
        <v>52</v>
      </c>
      <c r="G398">
        <f>COUNTIFS(Risk_Register!B:B,C398,Risk_Register!G:G,"High")</f>
        <v>0</v>
      </c>
      <c r="H398" t="e">
        <f ca="1">IF(_xludf.MAXIFS(Risk_Register!$L:$L,Risk_Register!$B:$B,C398)=3,"High",IF(_xludf.MAXIFS(Risk_Register!$L:$L,Risk_Register!$B:$B,C398)=2,"Medium","Low"))</f>
        <v>#NAME?</v>
      </c>
      <c r="I398" t="str">
        <f>IF(B398&lt;=3,"Preferred site - strong composite profile",IF(B398&lt;=10,"Backup candidate - viable with monitoring","Reserve - evaluate only if primary sites unavailable"))</f>
        <v>Reserve - evaluate only if primary sites unavailable</v>
      </c>
    </row>
    <row r="399" spans="1:9">
      <c r="A399" t="s">
        <v>89</v>
      </c>
      <c r="B399">
        <v>18</v>
      </c>
      <c r="C399" t="s">
        <v>1421</v>
      </c>
      <c r="D399" t="s">
        <v>1422</v>
      </c>
      <c r="E399" t="s">
        <v>552</v>
      </c>
      <c r="F399">
        <f>INDEX(Site_Evaluation!$K:$K,MATCH(C399,Site_Evaluation!$A:$A,0))</f>
        <v>52</v>
      </c>
      <c r="G399">
        <f>COUNTIFS(Risk_Register!B:B,C399,Risk_Register!G:G,"High")</f>
        <v>0</v>
      </c>
      <c r="H399" t="e">
        <f ca="1">IF(_xludf.MAXIFS(Risk_Register!$L:$L,Risk_Register!$B:$B,C399)=3,"High",IF(_xludf.MAXIFS(Risk_Register!$L:$L,Risk_Register!$B:$B,C399)=2,"Medium","Low"))</f>
        <v>#NAME?</v>
      </c>
      <c r="I399" t="str">
        <f>IF(B399&lt;=3,"Preferred site - strong composite profile",IF(B399&lt;=10,"Backup candidate - viable with monitoring","Reserve - evaluate only if primary sites unavailable"))</f>
        <v>Reserve - evaluate only if primary sites unavailable</v>
      </c>
    </row>
    <row r="400" spans="1:9">
      <c r="A400" t="s">
        <v>89</v>
      </c>
      <c r="B400">
        <v>19</v>
      </c>
      <c r="C400" t="s">
        <v>1441</v>
      </c>
      <c r="D400" t="s">
        <v>1442</v>
      </c>
      <c r="E400" t="s">
        <v>554</v>
      </c>
      <c r="F400">
        <f>INDEX(Site_Evaluation!$K:$K,MATCH(C400,Site_Evaluation!$A:$A,0))</f>
        <v>52</v>
      </c>
      <c r="G400">
        <f>COUNTIFS(Risk_Register!B:B,C400,Risk_Register!G:G,"High")</f>
        <v>0</v>
      </c>
      <c r="H400" t="e">
        <f ca="1">IF(_xludf.MAXIFS(Risk_Register!$L:$L,Risk_Register!$B:$B,C400)=3,"High",IF(_xludf.MAXIFS(Risk_Register!$L:$L,Risk_Register!$B:$B,C400)=2,"Medium","Low"))</f>
        <v>#NAME?</v>
      </c>
      <c r="I400" t="str">
        <f>IF(B400&lt;=3,"Preferred site - strong composite profile",IF(B400&lt;=10,"Backup candidate - viable with monitoring","Reserve - evaluate only if primary sites unavailable"))</f>
        <v>Reserve - evaluate only if primary sites unavailable</v>
      </c>
    </row>
    <row r="401" spans="1:9">
      <c r="A401" t="s">
        <v>89</v>
      </c>
      <c r="B401">
        <v>20</v>
      </c>
      <c r="C401" t="s">
        <v>1573</v>
      </c>
      <c r="D401" t="s">
        <v>1571</v>
      </c>
      <c r="E401" t="s">
        <v>572</v>
      </c>
      <c r="F401">
        <f>INDEX(Site_Evaluation!$K:$K,MATCH(C401,Site_Evaluation!$A:$A,0))</f>
        <v>52</v>
      </c>
      <c r="G401">
        <f>COUNTIFS(Risk_Register!B:B,C401,Risk_Register!G:G,"High")</f>
        <v>3</v>
      </c>
      <c r="H401" t="e">
        <f ca="1">IF(_xludf.MAXIFS(Risk_Register!$L:$L,Risk_Register!$B:$B,C401)=3,"High",IF(_xludf.MAXIFS(Risk_Register!$L:$L,Risk_Register!$B:$B,C401)=2,"Medium","Low"))</f>
        <v>#NAME?</v>
      </c>
      <c r="I401" t="str">
        <f>IF(B401&lt;=3,"Preferred site - strong composite profile",IF(B401&lt;=10,"Backup candidate - viable with monitoring","Reserve - evaluate only if primary sites unavailable"))</f>
        <v>Reserve - evaluate only if primary sites unavailable</v>
      </c>
    </row>
    <row r="402" spans="1:9">
      <c r="A402" t="s">
        <v>90</v>
      </c>
      <c r="B402">
        <v>1</v>
      </c>
      <c r="C402" t="s">
        <v>1468</v>
      </c>
      <c r="D402" t="s">
        <v>1469</v>
      </c>
      <c r="E402" t="s">
        <v>556</v>
      </c>
      <c r="F402">
        <f>INDEX(Site_Evaluation!$K:$K,MATCH(C402,Site_Evaluation!$A:$A,0))</f>
        <v>65</v>
      </c>
      <c r="G402">
        <f>COUNTIFS(Risk_Register!B:B,C402,Risk_Register!G:G,"High")</f>
        <v>1</v>
      </c>
      <c r="H402" t="e">
        <f ca="1">IF(_xludf.MAXIFS(Risk_Register!$L:$L,Risk_Register!$B:$B,C402)=3,"High",IF(_xludf.MAXIFS(Risk_Register!$L:$L,Risk_Register!$B:$B,C402)=2,"Medium","Low"))</f>
        <v>#NAME?</v>
      </c>
      <c r="I402" t="str">
        <f>IF(B402&lt;=3,"Preferred site - strong composite profile",IF(B402&lt;=10,"Backup candidate - viable with monitoring","Reserve - evaluate only if primary sites unavailable"))</f>
        <v>Preferred site - strong composite profile</v>
      </c>
    </row>
    <row r="403" spans="1:9">
      <c r="A403" t="s">
        <v>90</v>
      </c>
      <c r="B403">
        <v>2</v>
      </c>
      <c r="C403" t="s">
        <v>1692</v>
      </c>
      <c r="D403" t="s">
        <v>1650</v>
      </c>
      <c r="E403" t="s">
        <v>578</v>
      </c>
      <c r="F403">
        <f>INDEX(Site_Evaluation!$K:$K,MATCH(C403,Site_Evaluation!$A:$A,0))</f>
        <v>63</v>
      </c>
      <c r="G403">
        <f>COUNTIFS(Risk_Register!B:B,C403,Risk_Register!G:G,"High")</f>
        <v>1</v>
      </c>
      <c r="H403" t="e">
        <f ca="1">IF(_xludf.MAXIFS(Risk_Register!$L:$L,Risk_Register!$B:$B,C403)=3,"High",IF(_xludf.MAXIFS(Risk_Register!$L:$L,Risk_Register!$B:$B,C403)=2,"Medium","Low"))</f>
        <v>#NAME?</v>
      </c>
      <c r="I403" t="str">
        <f>IF(B403&lt;=3,"Preferred site - strong composite profile",IF(B403&lt;=10,"Backup candidate - viable with monitoring","Reserve - evaluate only if primary sites unavailable"))</f>
        <v>Preferred site - strong composite profile</v>
      </c>
    </row>
    <row r="404" spans="1:9">
      <c r="A404" t="s">
        <v>90</v>
      </c>
      <c r="B404">
        <v>3</v>
      </c>
      <c r="C404" t="s">
        <v>977</v>
      </c>
      <c r="D404" t="s">
        <v>978</v>
      </c>
      <c r="E404" t="s">
        <v>524</v>
      </c>
      <c r="F404">
        <f>INDEX(Site_Evaluation!$K:$K,MATCH(C404,Site_Evaluation!$A:$A,0))</f>
        <v>61</v>
      </c>
      <c r="G404">
        <f>COUNTIFS(Risk_Register!B:B,C404,Risk_Register!G:G,"High")</f>
        <v>0</v>
      </c>
      <c r="H404" t="e">
        <f ca="1">IF(_xludf.MAXIFS(Risk_Register!$L:$L,Risk_Register!$B:$B,C404)=3,"High",IF(_xludf.MAXIFS(Risk_Register!$L:$L,Risk_Register!$B:$B,C404)=2,"Medium","Low"))</f>
        <v>#NAME?</v>
      </c>
      <c r="I404" t="str">
        <f>IF(B404&lt;=3,"Preferred site - strong composite profile",IF(B404&lt;=10,"Backup candidate - viable with monitoring","Reserve - evaluate only if primary sites unavailable"))</f>
        <v>Preferred site - strong composite profile</v>
      </c>
    </row>
    <row r="405" spans="1:9">
      <c r="A405" t="s">
        <v>90</v>
      </c>
      <c r="B405">
        <v>4</v>
      </c>
      <c r="C405" t="s">
        <v>879</v>
      </c>
      <c r="D405" t="s">
        <v>880</v>
      </c>
      <c r="E405" t="s">
        <v>516</v>
      </c>
      <c r="F405">
        <f>INDEX(Site_Evaluation!$K:$K,MATCH(C405,Site_Evaluation!$A:$A,0))</f>
        <v>59</v>
      </c>
      <c r="G405">
        <f>COUNTIFS(Risk_Register!B:B,C405,Risk_Register!G:G,"High")</f>
        <v>0</v>
      </c>
      <c r="H405" t="e">
        <f ca="1">IF(_xludf.MAXIFS(Risk_Register!$L:$L,Risk_Register!$B:$B,C405)=3,"High",IF(_xludf.MAXIFS(Risk_Register!$L:$L,Risk_Register!$B:$B,C405)=2,"Medium","Low"))</f>
        <v>#NAME?</v>
      </c>
      <c r="I405" t="str">
        <f>IF(B405&lt;=3,"Preferred site - strong composite profile",IF(B405&lt;=10,"Backup candidate - viable with monitoring","Reserve - evaluate only if primary sites unavailable"))</f>
        <v>Backup candidate - viable with monitoring</v>
      </c>
    </row>
    <row r="406" spans="1:9">
      <c r="A406" t="s">
        <v>90</v>
      </c>
      <c r="B406">
        <v>5</v>
      </c>
      <c r="C406" t="s">
        <v>1593</v>
      </c>
      <c r="D406" t="s">
        <v>1594</v>
      </c>
      <c r="E406" t="s">
        <v>576</v>
      </c>
      <c r="F406">
        <f>INDEX(Site_Evaluation!$K:$K,MATCH(C406,Site_Evaluation!$A:$A,0))</f>
        <v>59</v>
      </c>
      <c r="G406">
        <f>COUNTIFS(Risk_Register!B:B,C406,Risk_Register!G:G,"High")</f>
        <v>0</v>
      </c>
      <c r="H406" t="e">
        <f ca="1">IF(_xludf.MAXIFS(Risk_Register!$L:$L,Risk_Register!$B:$B,C406)=3,"High",IF(_xludf.MAXIFS(Risk_Register!$L:$L,Risk_Register!$B:$B,C406)=2,"Medium","Low"))</f>
        <v>#NAME?</v>
      </c>
      <c r="I406" t="str">
        <f>IF(B406&lt;=3,"Preferred site - strong composite profile",IF(B406&lt;=10,"Backup candidate - viable with monitoring","Reserve - evaluate only if primary sites unavailable"))</f>
        <v>Backup candidate - viable with monitoring</v>
      </c>
    </row>
    <row r="407" spans="1:9">
      <c r="A407" t="s">
        <v>90</v>
      </c>
      <c r="B407">
        <v>6</v>
      </c>
      <c r="C407" t="s">
        <v>1060</v>
      </c>
      <c r="D407" t="s">
        <v>1061</v>
      </c>
      <c r="E407" t="s">
        <v>529</v>
      </c>
      <c r="F407">
        <f>INDEX(Site_Evaluation!$K:$K,MATCH(C407,Site_Evaluation!$A:$A,0))</f>
        <v>58</v>
      </c>
      <c r="G407">
        <f>COUNTIFS(Risk_Register!B:B,C407,Risk_Register!G:G,"High")</f>
        <v>1</v>
      </c>
      <c r="H407" t="e">
        <f ca="1">IF(_xludf.MAXIFS(Risk_Register!$L:$L,Risk_Register!$B:$B,C407)=3,"High",IF(_xludf.MAXIFS(Risk_Register!$L:$L,Risk_Register!$B:$B,C407)=2,"Medium","Low"))</f>
        <v>#NAME?</v>
      </c>
      <c r="I407" t="str">
        <f>IF(B407&lt;=3,"Preferred site - strong composite profile",IF(B407&lt;=10,"Backup candidate - viable with monitoring","Reserve - evaluate only if primary sites unavailable"))</f>
        <v>Backup candidate - viable with monitoring</v>
      </c>
    </row>
    <row r="408" spans="1:9">
      <c r="A408" t="s">
        <v>90</v>
      </c>
      <c r="B408">
        <v>7</v>
      </c>
      <c r="C408" t="s">
        <v>1439</v>
      </c>
      <c r="D408" t="s">
        <v>1440</v>
      </c>
      <c r="E408" t="s">
        <v>554</v>
      </c>
      <c r="F408">
        <f>INDEX(Site_Evaluation!$K:$K,MATCH(C408,Site_Evaluation!$A:$A,0))</f>
        <v>56</v>
      </c>
      <c r="G408">
        <f>COUNTIFS(Risk_Register!B:B,C408,Risk_Register!G:G,"High")</f>
        <v>1</v>
      </c>
      <c r="H408" t="e">
        <f ca="1">IF(_xludf.MAXIFS(Risk_Register!$L:$L,Risk_Register!$B:$B,C408)=3,"High",IF(_xludf.MAXIFS(Risk_Register!$L:$L,Risk_Register!$B:$B,C408)=2,"Medium","Low"))</f>
        <v>#NAME?</v>
      </c>
      <c r="I408" t="str">
        <f>IF(B408&lt;=3,"Preferred site - strong composite profile",IF(B408&lt;=10,"Backup candidate - viable with monitoring","Reserve - evaluate only if primary sites unavailable"))</f>
        <v>Backup candidate - viable with monitoring</v>
      </c>
    </row>
    <row r="409" spans="1:9">
      <c r="A409" t="s">
        <v>90</v>
      </c>
      <c r="B409">
        <v>8</v>
      </c>
      <c r="C409" t="s">
        <v>1649</v>
      </c>
      <c r="D409" t="s">
        <v>1650</v>
      </c>
      <c r="E409" t="s">
        <v>578</v>
      </c>
      <c r="F409">
        <f>INDEX(Site_Evaluation!$K:$K,MATCH(C409,Site_Evaluation!$A:$A,0))</f>
        <v>54</v>
      </c>
      <c r="G409">
        <f>COUNTIFS(Risk_Register!B:B,C409,Risk_Register!G:G,"High")</f>
        <v>0</v>
      </c>
      <c r="H409" t="e">
        <f ca="1">IF(_xludf.MAXIFS(Risk_Register!$L:$L,Risk_Register!$B:$B,C409)=3,"High",IF(_xludf.MAXIFS(Risk_Register!$L:$L,Risk_Register!$B:$B,C409)=2,"Medium","Low"))</f>
        <v>#NAME?</v>
      </c>
      <c r="I409" t="str">
        <f>IF(B409&lt;=3,"Preferred site - strong composite profile",IF(B409&lt;=10,"Backup candidate - viable with monitoring","Reserve - evaluate only if primary sites unavailable"))</f>
        <v>Backup candidate - viable with monitoring</v>
      </c>
    </row>
    <row r="410" spans="1:9">
      <c r="A410" t="s">
        <v>90</v>
      </c>
      <c r="B410">
        <v>9</v>
      </c>
      <c r="C410" t="s">
        <v>964</v>
      </c>
      <c r="D410" t="s">
        <v>965</v>
      </c>
      <c r="E410" t="s">
        <v>524</v>
      </c>
      <c r="F410">
        <f>INDEX(Site_Evaluation!$K:$K,MATCH(C410,Site_Evaluation!$A:$A,0))</f>
        <v>52</v>
      </c>
      <c r="G410">
        <f>COUNTIFS(Risk_Register!B:B,C410,Risk_Register!G:G,"High")</f>
        <v>1</v>
      </c>
      <c r="H410" t="e">
        <f ca="1">IF(_xludf.MAXIFS(Risk_Register!$L:$L,Risk_Register!$B:$B,C410)=3,"High",IF(_xludf.MAXIFS(Risk_Register!$L:$L,Risk_Register!$B:$B,C410)=2,"Medium","Low"))</f>
        <v>#NAME?</v>
      </c>
      <c r="I410" t="str">
        <f>IF(B410&lt;=3,"Preferred site - strong composite profile",IF(B410&lt;=10,"Backup candidate - viable with monitoring","Reserve - evaluate only if primary sites unavailable"))</f>
        <v>Backup candidate - viable with monitoring</v>
      </c>
    </row>
    <row r="411" spans="1:9">
      <c r="A411" t="s">
        <v>90</v>
      </c>
      <c r="B411">
        <v>10</v>
      </c>
      <c r="C411" t="s">
        <v>1884</v>
      </c>
      <c r="D411" t="s">
        <v>1885</v>
      </c>
      <c r="E411" t="s">
        <v>598</v>
      </c>
      <c r="F411">
        <f>INDEX(Site_Evaluation!$K:$K,MATCH(C411,Site_Evaluation!$A:$A,0))</f>
        <v>52</v>
      </c>
      <c r="G411">
        <f>COUNTIFS(Risk_Register!B:B,C411,Risk_Register!G:G,"High")</f>
        <v>1</v>
      </c>
      <c r="H411" t="e">
        <f ca="1">IF(_xludf.MAXIFS(Risk_Register!$L:$L,Risk_Register!$B:$B,C411)=3,"High",IF(_xludf.MAXIFS(Risk_Register!$L:$L,Risk_Register!$B:$B,C411)=2,"Medium","Low"))</f>
        <v>#NAME?</v>
      </c>
      <c r="I411" t="str">
        <f>IF(B411&lt;=3,"Preferred site - strong composite profile",IF(B411&lt;=10,"Backup candidate - viable with monitoring","Reserve - evaluate only if primary sites unavailable"))</f>
        <v>Backup candidate - viable with monitoring</v>
      </c>
    </row>
    <row r="412" spans="1:9">
      <c r="A412" t="s">
        <v>90</v>
      </c>
      <c r="B412">
        <v>11</v>
      </c>
      <c r="C412" t="s">
        <v>1523</v>
      </c>
      <c r="D412" t="s">
        <v>1524</v>
      </c>
      <c r="E412" t="s">
        <v>566</v>
      </c>
      <c r="F412">
        <f>INDEX(Site_Evaluation!$K:$K,MATCH(C412,Site_Evaluation!$A:$A,0))</f>
        <v>51</v>
      </c>
      <c r="G412">
        <f>COUNTIFS(Risk_Register!B:B,C412,Risk_Register!G:G,"High")</f>
        <v>1</v>
      </c>
      <c r="H412" t="e">
        <f ca="1">IF(_xludf.MAXIFS(Risk_Register!$L:$L,Risk_Register!$B:$B,C412)=3,"High",IF(_xludf.MAXIFS(Risk_Register!$L:$L,Risk_Register!$B:$B,C412)=2,"Medium","Low"))</f>
        <v>#NAME?</v>
      </c>
      <c r="I412" t="str">
        <f>IF(B412&lt;=3,"Preferred site - strong composite profile",IF(B412&lt;=10,"Backup candidate - viable with monitoring","Reserve - evaluate only if primary sites unavailable"))</f>
        <v>Reserve - evaluate only if primary sites unavailable</v>
      </c>
    </row>
    <row r="413" spans="1:9">
      <c r="A413" t="s">
        <v>90</v>
      </c>
      <c r="B413">
        <v>12</v>
      </c>
      <c r="C413" t="s">
        <v>1130</v>
      </c>
      <c r="D413" t="s">
        <v>1131</v>
      </c>
      <c r="E413" t="s">
        <v>535</v>
      </c>
      <c r="F413">
        <f>INDEX(Site_Evaluation!$K:$K,MATCH(C413,Site_Evaluation!$A:$A,0))</f>
        <v>50</v>
      </c>
      <c r="G413">
        <f>COUNTIFS(Risk_Register!B:B,C413,Risk_Register!G:G,"High")</f>
        <v>1</v>
      </c>
      <c r="H413" t="e">
        <f ca="1">IF(_xludf.MAXIFS(Risk_Register!$L:$L,Risk_Register!$B:$B,C413)=3,"High",IF(_xludf.MAXIFS(Risk_Register!$L:$L,Risk_Register!$B:$B,C413)=2,"Medium","Low"))</f>
        <v>#NAME?</v>
      </c>
      <c r="I413" t="str">
        <f>IF(B413&lt;=3,"Preferred site - strong composite profile",IF(B413&lt;=10,"Backup candidate - viable with monitoring","Reserve - evaluate only if primary sites unavailable"))</f>
        <v>Reserve - evaluate only if primary sites unavailable</v>
      </c>
    </row>
    <row r="414" spans="1:9">
      <c r="A414" t="s">
        <v>90</v>
      </c>
      <c r="B414">
        <v>13</v>
      </c>
      <c r="C414" t="s">
        <v>1208</v>
      </c>
      <c r="D414" t="s">
        <v>1209</v>
      </c>
      <c r="E414" t="s">
        <v>539</v>
      </c>
      <c r="F414">
        <f>INDEX(Site_Evaluation!$K:$K,MATCH(C414,Site_Evaluation!$A:$A,0))</f>
        <v>50</v>
      </c>
      <c r="G414">
        <f>COUNTIFS(Risk_Register!B:B,C414,Risk_Register!G:G,"High")</f>
        <v>0</v>
      </c>
      <c r="H414" t="e">
        <f ca="1">IF(_xludf.MAXIFS(Risk_Register!$L:$L,Risk_Register!$B:$B,C414)=3,"High",IF(_xludf.MAXIFS(Risk_Register!$L:$L,Risk_Register!$B:$B,C414)=2,"Medium","Low"))</f>
        <v>#NAME?</v>
      </c>
      <c r="I414" t="str">
        <f>IF(B414&lt;=3,"Preferred site - strong composite profile",IF(B414&lt;=10,"Backup candidate - viable with monitoring","Reserve - evaluate only if primary sites unavailable"))</f>
        <v>Reserve - evaluate only if primary sites unavailable</v>
      </c>
    </row>
    <row r="415" spans="1:9">
      <c r="A415" t="s">
        <v>90</v>
      </c>
      <c r="B415">
        <v>14</v>
      </c>
      <c r="C415" t="s">
        <v>1334</v>
      </c>
      <c r="D415" t="s">
        <v>1335</v>
      </c>
      <c r="E415" t="s">
        <v>547</v>
      </c>
      <c r="F415">
        <f>INDEX(Site_Evaluation!$K:$K,MATCH(C415,Site_Evaluation!$A:$A,0))</f>
        <v>50</v>
      </c>
      <c r="G415">
        <f>COUNTIFS(Risk_Register!B:B,C415,Risk_Register!G:G,"High")</f>
        <v>3</v>
      </c>
      <c r="H415" t="e">
        <f ca="1">IF(_xludf.MAXIFS(Risk_Register!$L:$L,Risk_Register!$B:$B,C415)=3,"High",IF(_xludf.MAXIFS(Risk_Register!$L:$L,Risk_Register!$B:$B,C415)=2,"Medium","Low"))</f>
        <v>#NAME?</v>
      </c>
      <c r="I415" t="str">
        <f>IF(B415&lt;=3,"Preferred site - strong composite profile",IF(B415&lt;=10,"Backup candidate - viable with monitoring","Reserve - evaluate only if primary sites unavailable"))</f>
        <v>Reserve - evaluate only if primary sites unavailable</v>
      </c>
    </row>
    <row r="416" spans="1:9">
      <c r="A416" t="s">
        <v>90</v>
      </c>
      <c r="B416">
        <v>15</v>
      </c>
      <c r="C416" t="s">
        <v>721</v>
      </c>
      <c r="D416" t="s">
        <v>722</v>
      </c>
      <c r="E416" t="s">
        <v>509</v>
      </c>
      <c r="F416">
        <f>INDEX(Site_Evaluation!$K:$K,MATCH(C416,Site_Evaluation!$A:$A,0))</f>
        <v>49</v>
      </c>
      <c r="G416">
        <f>COUNTIFS(Risk_Register!B:B,C416,Risk_Register!G:G,"High")</f>
        <v>2</v>
      </c>
      <c r="H416" t="e">
        <f ca="1">IF(_xludf.MAXIFS(Risk_Register!$L:$L,Risk_Register!$B:$B,C416)=3,"High",IF(_xludf.MAXIFS(Risk_Register!$L:$L,Risk_Register!$B:$B,C416)=2,"Medium","Low"))</f>
        <v>#NAME?</v>
      </c>
      <c r="I416" t="str">
        <f>IF(B416&lt;=3,"Preferred site - strong composite profile",IF(B416&lt;=10,"Backup candidate - viable with monitoring","Reserve - evaluate only if primary sites unavailable"))</f>
        <v>Reserve - evaluate only if primary sites unavailable</v>
      </c>
    </row>
    <row r="417" spans="1:9">
      <c r="A417" t="s">
        <v>90</v>
      </c>
      <c r="B417">
        <v>16</v>
      </c>
      <c r="C417" t="s">
        <v>1108</v>
      </c>
      <c r="D417" t="s">
        <v>1109</v>
      </c>
      <c r="E417" t="s">
        <v>531</v>
      </c>
      <c r="F417">
        <f>INDEX(Site_Evaluation!$K:$K,MATCH(C417,Site_Evaluation!$A:$A,0))</f>
        <v>49</v>
      </c>
      <c r="G417">
        <f>COUNTIFS(Risk_Register!B:B,C417,Risk_Register!G:G,"High")</f>
        <v>0</v>
      </c>
      <c r="H417" t="e">
        <f ca="1">IF(_xludf.MAXIFS(Risk_Register!$L:$L,Risk_Register!$B:$B,C417)=3,"High",IF(_xludf.MAXIFS(Risk_Register!$L:$L,Risk_Register!$B:$B,C417)=2,"Medium","Low"))</f>
        <v>#NAME?</v>
      </c>
      <c r="I417" t="str">
        <f>IF(B417&lt;=3,"Preferred site - strong composite profile",IF(B417&lt;=10,"Backup candidate - viable with monitoring","Reserve - evaluate only if primary sites unavailable"))</f>
        <v>Reserve - evaluate only if primary sites unavailable</v>
      </c>
    </row>
    <row r="418" spans="1:9">
      <c r="A418" t="s">
        <v>90</v>
      </c>
      <c r="B418">
        <v>17</v>
      </c>
      <c r="C418" t="s">
        <v>1393</v>
      </c>
      <c r="D418" t="s">
        <v>1394</v>
      </c>
      <c r="E418" t="s">
        <v>551</v>
      </c>
      <c r="F418">
        <f>INDEX(Site_Evaluation!$K:$K,MATCH(C418,Site_Evaluation!$A:$A,0))</f>
        <v>49</v>
      </c>
      <c r="G418">
        <f>COUNTIFS(Risk_Register!B:B,C418,Risk_Register!G:G,"High")</f>
        <v>0</v>
      </c>
      <c r="H418" t="e">
        <f ca="1">IF(_xludf.MAXIFS(Risk_Register!$L:$L,Risk_Register!$B:$B,C418)=3,"High",IF(_xludf.MAXIFS(Risk_Register!$L:$L,Risk_Register!$B:$B,C418)=2,"Medium","Low"))</f>
        <v>#NAME?</v>
      </c>
      <c r="I418" t="str">
        <f>IF(B418&lt;=3,"Preferred site - strong composite profile",IF(B418&lt;=10,"Backup candidate - viable with monitoring","Reserve - evaluate only if primary sites unavailable"))</f>
        <v>Reserve - evaluate only if primary sites unavailable</v>
      </c>
    </row>
    <row r="419" spans="1:9">
      <c r="A419" t="s">
        <v>90</v>
      </c>
      <c r="B419">
        <v>18</v>
      </c>
      <c r="C419" t="s">
        <v>1474</v>
      </c>
      <c r="D419" t="s">
        <v>1475</v>
      </c>
      <c r="E419" t="s">
        <v>556</v>
      </c>
      <c r="F419">
        <f>INDEX(Site_Evaluation!$K:$K,MATCH(C419,Site_Evaluation!$A:$A,0))</f>
        <v>49</v>
      </c>
      <c r="G419">
        <f>COUNTIFS(Risk_Register!B:B,C419,Risk_Register!G:G,"High")</f>
        <v>1</v>
      </c>
      <c r="H419" t="e">
        <f ca="1">IF(_xludf.MAXIFS(Risk_Register!$L:$L,Risk_Register!$B:$B,C419)=3,"High",IF(_xludf.MAXIFS(Risk_Register!$L:$L,Risk_Register!$B:$B,C419)=2,"Medium","Low"))</f>
        <v>#NAME?</v>
      </c>
      <c r="I419" t="str">
        <f>IF(B419&lt;=3,"Preferred site - strong composite profile",IF(B419&lt;=10,"Backup candidate - viable with monitoring","Reserve - evaluate only if primary sites unavailable"))</f>
        <v>Reserve - evaluate only if primary sites unavailable</v>
      </c>
    </row>
    <row r="420" spans="1:9">
      <c r="A420" t="s">
        <v>90</v>
      </c>
      <c r="B420">
        <v>19</v>
      </c>
      <c r="C420" t="s">
        <v>1094</v>
      </c>
      <c r="D420" t="s">
        <v>1095</v>
      </c>
      <c r="E420" t="s">
        <v>529</v>
      </c>
      <c r="F420">
        <f>INDEX(Site_Evaluation!$K:$K,MATCH(C420,Site_Evaluation!$A:$A,0))</f>
        <v>48</v>
      </c>
      <c r="G420">
        <f>COUNTIFS(Risk_Register!B:B,C420,Risk_Register!G:G,"High")</f>
        <v>2</v>
      </c>
      <c r="H420" t="e">
        <f ca="1">IF(_xludf.MAXIFS(Risk_Register!$L:$L,Risk_Register!$B:$B,C420)=3,"High",IF(_xludf.MAXIFS(Risk_Register!$L:$L,Risk_Register!$B:$B,C420)=2,"Medium","Low"))</f>
        <v>#NAME?</v>
      </c>
      <c r="I420" t="str">
        <f>IF(B420&lt;=3,"Preferred site - strong composite profile",IF(B420&lt;=10,"Backup candidate - viable with monitoring","Reserve - evaluate only if primary sites unavailable"))</f>
        <v>Reserve - evaluate only if primary sites unavailable</v>
      </c>
    </row>
    <row r="421" spans="1:9">
      <c r="A421" t="s">
        <v>90</v>
      </c>
      <c r="B421">
        <v>20</v>
      </c>
      <c r="C421" t="s">
        <v>1141</v>
      </c>
      <c r="D421" t="s">
        <v>1142</v>
      </c>
      <c r="E421" t="s">
        <v>535</v>
      </c>
      <c r="F421">
        <f>INDEX(Site_Evaluation!$K:$K,MATCH(C421,Site_Evaluation!$A:$A,0))</f>
        <v>48</v>
      </c>
      <c r="G421">
        <f>COUNTIFS(Risk_Register!B:B,C421,Risk_Register!G:G,"High")</f>
        <v>1</v>
      </c>
      <c r="H421" t="e">
        <f ca="1">IF(_xludf.MAXIFS(Risk_Register!$L:$L,Risk_Register!$B:$B,C421)=3,"High",IF(_xludf.MAXIFS(Risk_Register!$L:$L,Risk_Register!$B:$B,C421)=2,"Medium","Low"))</f>
        <v>#NAME?</v>
      </c>
      <c r="I421" t="str">
        <f>IF(B421&lt;=3,"Preferred site - strong composite profile",IF(B421&lt;=10,"Backup candidate - viable with monitoring","Reserve - evaluate only if primary sites unavailable"))</f>
        <v>Reserve - evaluate only if primary sites unavailable</v>
      </c>
    </row>
    <row r="422" spans="1:9">
      <c r="A422" t="s">
        <v>91</v>
      </c>
      <c r="B422">
        <v>1</v>
      </c>
      <c r="C422" t="s">
        <v>1730</v>
      </c>
      <c r="D422" t="s">
        <v>1731</v>
      </c>
      <c r="E422" t="s">
        <v>582</v>
      </c>
      <c r="F422">
        <f>INDEX(Site_Evaluation!$K:$K,MATCH(C422,Site_Evaluation!$A:$A,0))</f>
        <v>81</v>
      </c>
      <c r="G422">
        <f>COUNTIFS(Risk_Register!B:B,C422,Risk_Register!G:G,"High")</f>
        <v>0</v>
      </c>
      <c r="H422" t="e">
        <f ca="1">IF(_xludf.MAXIFS(Risk_Register!$L:$L,Risk_Register!$B:$B,C422)=3,"High",IF(_xludf.MAXIFS(Risk_Register!$L:$L,Risk_Register!$B:$B,C422)=2,"Medium","Low"))</f>
        <v>#NAME?</v>
      </c>
      <c r="I422" t="str">
        <f>IF(B422&lt;=3,"Preferred site - strong composite profile",IF(B422&lt;=10,"Backup candidate - viable with monitoring","Reserve - evaluate only if primary sites unavailable"))</f>
        <v>Preferred site - strong composite profile</v>
      </c>
    </row>
    <row r="423" spans="1:9">
      <c r="A423" t="s">
        <v>91</v>
      </c>
      <c r="B423">
        <v>2</v>
      </c>
      <c r="C423" t="s">
        <v>1177</v>
      </c>
      <c r="D423" t="s">
        <v>1178</v>
      </c>
      <c r="E423" t="s">
        <v>537</v>
      </c>
      <c r="F423">
        <f>INDEX(Site_Evaluation!$K:$K,MATCH(C423,Site_Evaluation!$A:$A,0))</f>
        <v>70</v>
      </c>
      <c r="G423">
        <f>COUNTIFS(Risk_Register!B:B,C423,Risk_Register!G:G,"High")</f>
        <v>1</v>
      </c>
      <c r="H423" t="e">
        <f ca="1">IF(_xludf.MAXIFS(Risk_Register!$L:$L,Risk_Register!$B:$B,C423)=3,"High",IF(_xludf.MAXIFS(Risk_Register!$L:$L,Risk_Register!$B:$B,C423)=2,"Medium","Low"))</f>
        <v>#NAME?</v>
      </c>
      <c r="I423" t="str">
        <f>IF(B423&lt;=3,"Preferred site - strong composite profile",IF(B423&lt;=10,"Backup candidate - viable with monitoring","Reserve - evaluate only if primary sites unavailable"))</f>
        <v>Preferred site - strong composite profile</v>
      </c>
    </row>
    <row r="424" spans="1:9">
      <c r="A424" t="s">
        <v>91</v>
      </c>
      <c r="B424">
        <v>3</v>
      </c>
      <c r="C424" t="s">
        <v>975</v>
      </c>
      <c r="D424" t="s">
        <v>976</v>
      </c>
      <c r="E424" t="s">
        <v>524</v>
      </c>
      <c r="F424">
        <f>INDEX(Site_Evaluation!$K:$K,MATCH(C424,Site_Evaluation!$A:$A,0))</f>
        <v>66</v>
      </c>
      <c r="G424">
        <f>COUNTIFS(Risk_Register!B:B,C424,Risk_Register!G:G,"High")</f>
        <v>1</v>
      </c>
      <c r="H424" t="e">
        <f ca="1">IF(_xludf.MAXIFS(Risk_Register!$L:$L,Risk_Register!$B:$B,C424)=3,"High",IF(_xludf.MAXIFS(Risk_Register!$L:$L,Risk_Register!$B:$B,C424)=2,"Medium","Low"))</f>
        <v>#NAME?</v>
      </c>
      <c r="I424" t="str">
        <f>IF(B424&lt;=3,"Preferred site - strong composite profile",IF(B424&lt;=10,"Backup candidate - viable with monitoring","Reserve - evaluate only if primary sites unavailable"))</f>
        <v>Preferred site - strong composite profile</v>
      </c>
    </row>
    <row r="425" spans="1:9">
      <c r="A425" t="s">
        <v>91</v>
      </c>
      <c r="B425">
        <v>4</v>
      </c>
      <c r="C425" t="s">
        <v>1068</v>
      </c>
      <c r="D425" t="s">
        <v>1069</v>
      </c>
      <c r="E425" t="s">
        <v>529</v>
      </c>
      <c r="F425">
        <f>INDEX(Site_Evaluation!$K:$K,MATCH(C425,Site_Evaluation!$A:$A,0))</f>
        <v>66</v>
      </c>
      <c r="G425">
        <f>COUNTIFS(Risk_Register!B:B,C425,Risk_Register!G:G,"High")</f>
        <v>1</v>
      </c>
      <c r="H425" t="e">
        <f ca="1">IF(_xludf.MAXIFS(Risk_Register!$L:$L,Risk_Register!$B:$B,C425)=3,"High",IF(_xludf.MAXIFS(Risk_Register!$L:$L,Risk_Register!$B:$B,C425)=2,"Medium","Low"))</f>
        <v>#NAME?</v>
      </c>
      <c r="I425" t="str">
        <f>IF(B425&lt;=3,"Preferred site - strong composite profile",IF(B425&lt;=10,"Backup candidate - viable with monitoring","Reserve - evaluate only if primary sites unavailable"))</f>
        <v>Backup candidate - viable with monitoring</v>
      </c>
    </row>
    <row r="426" spans="1:9">
      <c r="A426" t="s">
        <v>91</v>
      </c>
      <c r="B426">
        <v>5</v>
      </c>
      <c r="C426" t="s">
        <v>849</v>
      </c>
      <c r="D426" t="s">
        <v>850</v>
      </c>
      <c r="E426" t="s">
        <v>516</v>
      </c>
      <c r="F426">
        <f>INDEX(Site_Evaluation!$K:$K,MATCH(C426,Site_Evaluation!$A:$A,0))</f>
        <v>65</v>
      </c>
      <c r="G426">
        <f>COUNTIFS(Risk_Register!B:B,C426,Risk_Register!G:G,"High")</f>
        <v>0</v>
      </c>
      <c r="H426" t="e">
        <f ca="1">IF(_xludf.MAXIFS(Risk_Register!$L:$L,Risk_Register!$B:$B,C426)=3,"High",IF(_xludf.MAXIFS(Risk_Register!$L:$L,Risk_Register!$B:$B,C426)=2,"Medium","Low"))</f>
        <v>#NAME?</v>
      </c>
      <c r="I426" t="str">
        <f>IF(B426&lt;=3,"Preferred site - strong composite profile",IF(B426&lt;=10,"Backup candidate - viable with monitoring","Reserve - evaluate only if primary sites unavailable"))</f>
        <v>Backup candidate - viable with monitoring</v>
      </c>
    </row>
    <row r="427" spans="1:9">
      <c r="A427" t="s">
        <v>91</v>
      </c>
      <c r="B427">
        <v>6</v>
      </c>
      <c r="C427" t="s">
        <v>1470</v>
      </c>
      <c r="D427" t="s">
        <v>1471</v>
      </c>
      <c r="E427" t="s">
        <v>556</v>
      </c>
      <c r="F427">
        <f>INDEX(Site_Evaluation!$K:$K,MATCH(C427,Site_Evaluation!$A:$A,0))</f>
        <v>63</v>
      </c>
      <c r="G427">
        <f>COUNTIFS(Risk_Register!B:B,C427,Risk_Register!G:G,"High")</f>
        <v>2</v>
      </c>
      <c r="H427" t="e">
        <f ca="1">IF(_xludf.MAXIFS(Risk_Register!$L:$L,Risk_Register!$B:$B,C427)=3,"High",IF(_xludf.MAXIFS(Risk_Register!$L:$L,Risk_Register!$B:$B,C427)=2,"Medium","Low"))</f>
        <v>#NAME?</v>
      </c>
      <c r="I427" t="str">
        <f>IF(B427&lt;=3,"Preferred site - strong composite profile",IF(B427&lt;=10,"Backup candidate - viable with monitoring","Reserve - evaluate only if primary sites unavailable"))</f>
        <v>Backup candidate - viable with monitoring</v>
      </c>
    </row>
    <row r="428" spans="1:9">
      <c r="A428" t="s">
        <v>91</v>
      </c>
      <c r="B428">
        <v>7</v>
      </c>
      <c r="C428" t="s">
        <v>1761</v>
      </c>
      <c r="D428" t="s">
        <v>1762</v>
      </c>
      <c r="E428" t="s">
        <v>586</v>
      </c>
      <c r="F428">
        <f>INDEX(Site_Evaluation!$K:$K,MATCH(C428,Site_Evaluation!$A:$A,0))</f>
        <v>63</v>
      </c>
      <c r="G428">
        <f>COUNTIFS(Risk_Register!B:B,C428,Risk_Register!G:G,"High")</f>
        <v>1</v>
      </c>
      <c r="H428" t="e">
        <f ca="1">IF(_xludf.MAXIFS(Risk_Register!$L:$L,Risk_Register!$B:$B,C428)=3,"High",IF(_xludf.MAXIFS(Risk_Register!$L:$L,Risk_Register!$B:$B,C428)=2,"Medium","Low"))</f>
        <v>#NAME?</v>
      </c>
      <c r="I428" t="str">
        <f>IF(B428&lt;=3,"Preferred site - strong composite profile",IF(B428&lt;=10,"Backup candidate - viable with monitoring","Reserve - evaluate only if primary sites unavailable"))</f>
        <v>Backup candidate - viable with monitoring</v>
      </c>
    </row>
    <row r="429" spans="1:9">
      <c r="A429" t="s">
        <v>91</v>
      </c>
      <c r="B429">
        <v>8</v>
      </c>
      <c r="C429" t="s">
        <v>800</v>
      </c>
      <c r="D429" t="s">
        <v>801</v>
      </c>
      <c r="E429" t="s">
        <v>516</v>
      </c>
      <c r="F429">
        <f>INDEX(Site_Evaluation!$K:$K,MATCH(C429,Site_Evaluation!$A:$A,0))</f>
        <v>59</v>
      </c>
      <c r="G429">
        <f>COUNTIFS(Risk_Register!B:B,C429,Risk_Register!G:G,"High")</f>
        <v>1</v>
      </c>
      <c r="H429" t="e">
        <f ca="1">IF(_xludf.MAXIFS(Risk_Register!$L:$L,Risk_Register!$B:$B,C429)=3,"High",IF(_xludf.MAXIFS(Risk_Register!$L:$L,Risk_Register!$B:$B,C429)=2,"Medium","Low"))</f>
        <v>#NAME?</v>
      </c>
      <c r="I429" t="str">
        <f>IF(B429&lt;=3,"Preferred site - strong composite profile",IF(B429&lt;=10,"Backup candidate - viable with monitoring","Reserve - evaluate only if primary sites unavailable"))</f>
        <v>Backup candidate - viable with monitoring</v>
      </c>
    </row>
    <row r="430" spans="1:9">
      <c r="A430" t="s">
        <v>91</v>
      </c>
      <c r="B430">
        <v>9</v>
      </c>
      <c r="C430" t="s">
        <v>643</v>
      </c>
      <c r="D430" t="s">
        <v>644</v>
      </c>
      <c r="E430" t="s">
        <v>507</v>
      </c>
      <c r="F430">
        <f>INDEX(Site_Evaluation!$K:$K,MATCH(C430,Site_Evaluation!$A:$A,0))</f>
        <v>57</v>
      </c>
      <c r="G430">
        <f>COUNTIFS(Risk_Register!B:B,C430,Risk_Register!G:G,"High")</f>
        <v>2</v>
      </c>
      <c r="H430" t="e">
        <f ca="1">IF(_xludf.MAXIFS(Risk_Register!$L:$L,Risk_Register!$B:$B,C430)=3,"High",IF(_xludf.MAXIFS(Risk_Register!$L:$L,Risk_Register!$B:$B,C430)=2,"Medium","Low"))</f>
        <v>#NAME?</v>
      </c>
      <c r="I430" t="str">
        <f>IF(B430&lt;=3,"Preferred site - strong composite profile",IF(B430&lt;=10,"Backup candidate - viable with monitoring","Reserve - evaluate only if primary sites unavailable"))</f>
        <v>Backup candidate - viable with monitoring</v>
      </c>
    </row>
    <row r="431" spans="1:9">
      <c r="A431" t="s">
        <v>91</v>
      </c>
      <c r="B431">
        <v>10</v>
      </c>
      <c r="C431" t="s">
        <v>1341</v>
      </c>
      <c r="D431" t="s">
        <v>1321</v>
      </c>
      <c r="E431" t="s">
        <v>547</v>
      </c>
      <c r="F431">
        <f>INDEX(Site_Evaluation!$K:$K,MATCH(C431,Site_Evaluation!$A:$A,0))</f>
        <v>55</v>
      </c>
      <c r="G431">
        <f>COUNTIFS(Risk_Register!B:B,C431,Risk_Register!G:G,"High")</f>
        <v>0</v>
      </c>
      <c r="H431" t="e">
        <f ca="1">IF(_xludf.MAXIFS(Risk_Register!$L:$L,Risk_Register!$B:$B,C431)=3,"High",IF(_xludf.MAXIFS(Risk_Register!$L:$L,Risk_Register!$B:$B,C431)=2,"Medium","Low"))</f>
        <v>#NAME?</v>
      </c>
      <c r="I431" t="str">
        <f>IF(B431&lt;=3,"Preferred site - strong composite profile",IF(B431&lt;=10,"Backup candidate - viable with monitoring","Reserve - evaluate only if primary sites unavailable"))</f>
        <v>Backup candidate - viable with monitoring</v>
      </c>
    </row>
    <row r="432" spans="1:9">
      <c r="A432" t="s">
        <v>91</v>
      </c>
      <c r="B432">
        <v>11</v>
      </c>
      <c r="C432" t="s">
        <v>1391</v>
      </c>
      <c r="D432" t="s">
        <v>1392</v>
      </c>
      <c r="E432" t="s">
        <v>551</v>
      </c>
      <c r="F432">
        <f>INDEX(Site_Evaluation!$K:$K,MATCH(C432,Site_Evaluation!$A:$A,0))</f>
        <v>55</v>
      </c>
      <c r="G432">
        <f>COUNTIFS(Risk_Register!B:B,C432,Risk_Register!G:G,"High")</f>
        <v>2</v>
      </c>
      <c r="H432" t="e">
        <f ca="1">IF(_xludf.MAXIFS(Risk_Register!$L:$L,Risk_Register!$B:$B,C432)=3,"High",IF(_xludf.MAXIFS(Risk_Register!$L:$L,Risk_Register!$B:$B,C432)=2,"Medium","Low"))</f>
        <v>#NAME?</v>
      </c>
      <c r="I432" t="str">
        <f>IF(B432&lt;=3,"Preferred site - strong composite profile",IF(B432&lt;=10,"Backup candidate - viable with monitoring","Reserve - evaluate only if primary sites unavailable"))</f>
        <v>Reserve - evaluate only if primary sites unavailable</v>
      </c>
    </row>
    <row r="433" spans="1:9">
      <c r="A433" t="s">
        <v>91</v>
      </c>
      <c r="B433">
        <v>12</v>
      </c>
      <c r="C433" t="s">
        <v>913</v>
      </c>
      <c r="D433" t="s">
        <v>914</v>
      </c>
      <c r="E433" t="s">
        <v>518</v>
      </c>
      <c r="F433">
        <f>INDEX(Site_Evaluation!$K:$K,MATCH(C433,Site_Evaluation!$A:$A,0))</f>
        <v>54</v>
      </c>
      <c r="G433">
        <f>COUNTIFS(Risk_Register!B:B,C433,Risk_Register!G:G,"High")</f>
        <v>0</v>
      </c>
      <c r="H433" t="e">
        <f ca="1">IF(_xludf.MAXIFS(Risk_Register!$L:$L,Risk_Register!$B:$B,C433)=3,"High",IF(_xludf.MAXIFS(Risk_Register!$L:$L,Risk_Register!$B:$B,C433)=2,"Medium","Low"))</f>
        <v>#NAME?</v>
      </c>
      <c r="I433" t="str">
        <f>IF(B433&lt;=3,"Preferred site - strong composite profile",IF(B433&lt;=10,"Backup candidate - viable with monitoring","Reserve - evaluate only if primary sites unavailable"))</f>
        <v>Reserve - evaluate only if primary sites unavailable</v>
      </c>
    </row>
    <row r="434" spans="1:9">
      <c r="A434" t="s">
        <v>91</v>
      </c>
      <c r="B434">
        <v>13</v>
      </c>
      <c r="C434" t="s">
        <v>1445</v>
      </c>
      <c r="D434" t="s">
        <v>1446</v>
      </c>
      <c r="E434" t="s">
        <v>554</v>
      </c>
      <c r="F434">
        <f>INDEX(Site_Evaluation!$K:$K,MATCH(C434,Site_Evaluation!$A:$A,0))</f>
        <v>54</v>
      </c>
      <c r="G434">
        <f>COUNTIFS(Risk_Register!B:B,C434,Risk_Register!G:G,"High")</f>
        <v>1</v>
      </c>
      <c r="H434" t="e">
        <f ca="1">IF(_xludf.MAXIFS(Risk_Register!$L:$L,Risk_Register!$B:$B,C434)=3,"High",IF(_xludf.MAXIFS(Risk_Register!$L:$L,Risk_Register!$B:$B,C434)=2,"Medium","Low"))</f>
        <v>#NAME?</v>
      </c>
      <c r="I434" t="str">
        <f>IF(B434&lt;=3,"Preferred site - strong composite profile",IF(B434&lt;=10,"Backup candidate - viable with monitoring","Reserve - evaluate only if primary sites unavailable"))</f>
        <v>Reserve - evaluate only if primary sites unavailable</v>
      </c>
    </row>
    <row r="435" spans="1:9">
      <c r="A435" t="s">
        <v>91</v>
      </c>
      <c r="B435">
        <v>14</v>
      </c>
      <c r="C435" t="s">
        <v>917</v>
      </c>
      <c r="D435" t="s">
        <v>918</v>
      </c>
      <c r="E435" t="s">
        <v>520</v>
      </c>
      <c r="F435">
        <f>INDEX(Site_Evaluation!$K:$K,MATCH(C435,Site_Evaluation!$A:$A,0))</f>
        <v>53</v>
      </c>
      <c r="G435">
        <f>COUNTIFS(Risk_Register!B:B,C435,Risk_Register!G:G,"High")</f>
        <v>2</v>
      </c>
      <c r="H435" t="e">
        <f ca="1">IF(_xludf.MAXIFS(Risk_Register!$L:$L,Risk_Register!$B:$B,C435)=3,"High",IF(_xludf.MAXIFS(Risk_Register!$L:$L,Risk_Register!$B:$B,C435)=2,"Medium","Low"))</f>
        <v>#NAME?</v>
      </c>
      <c r="I435" t="str">
        <f>IF(B435&lt;=3,"Preferred site - strong composite profile",IF(B435&lt;=10,"Backup candidate - viable with monitoring","Reserve - evaluate only if primary sites unavailable"))</f>
        <v>Reserve - evaluate only if primary sites unavailable</v>
      </c>
    </row>
    <row r="436" spans="1:9">
      <c r="A436" t="s">
        <v>91</v>
      </c>
      <c r="B436">
        <v>15</v>
      </c>
      <c r="C436" t="s">
        <v>950</v>
      </c>
      <c r="D436" t="s">
        <v>951</v>
      </c>
      <c r="E436" t="s">
        <v>522</v>
      </c>
      <c r="F436">
        <f>INDEX(Site_Evaluation!$K:$K,MATCH(C436,Site_Evaluation!$A:$A,0))</f>
        <v>52</v>
      </c>
      <c r="G436">
        <f>COUNTIFS(Risk_Register!B:B,C436,Risk_Register!G:G,"High")</f>
        <v>1</v>
      </c>
      <c r="H436" t="e">
        <f ca="1">IF(_xludf.MAXIFS(Risk_Register!$L:$L,Risk_Register!$B:$B,C436)=3,"High",IF(_xludf.MAXIFS(Risk_Register!$L:$L,Risk_Register!$B:$B,C436)=2,"Medium","Low"))</f>
        <v>#NAME?</v>
      </c>
      <c r="I436" t="str">
        <f>IF(B436&lt;=3,"Preferred site - strong composite profile",IF(B436&lt;=10,"Backup candidate - viable with monitoring","Reserve - evaluate only if primary sites unavailable"))</f>
        <v>Reserve - evaluate only if primary sites unavailable</v>
      </c>
    </row>
    <row r="437" spans="1:9">
      <c r="A437" t="s">
        <v>91</v>
      </c>
      <c r="B437">
        <v>16</v>
      </c>
      <c r="C437" t="s">
        <v>1684</v>
      </c>
      <c r="D437" t="s">
        <v>1685</v>
      </c>
      <c r="E437" t="s">
        <v>578</v>
      </c>
      <c r="F437">
        <f>INDEX(Site_Evaluation!$K:$K,MATCH(C437,Site_Evaluation!$A:$A,0))</f>
        <v>52</v>
      </c>
      <c r="G437">
        <f>COUNTIFS(Risk_Register!B:B,C437,Risk_Register!G:G,"High")</f>
        <v>0</v>
      </c>
      <c r="H437" t="e">
        <f ca="1">IF(_xludf.MAXIFS(Risk_Register!$L:$L,Risk_Register!$B:$B,C437)=3,"High",IF(_xludf.MAXIFS(Risk_Register!$L:$L,Risk_Register!$B:$B,C437)=2,"Medium","Low"))</f>
        <v>#NAME?</v>
      </c>
      <c r="I437" t="str">
        <f>IF(B437&lt;=3,"Preferred site - strong composite profile",IF(B437&lt;=10,"Backup candidate - viable with monitoring","Reserve - evaluate only if primary sites unavailable"))</f>
        <v>Reserve - evaluate only if primary sites unavailable</v>
      </c>
    </row>
    <row r="438" spans="1:9">
      <c r="A438" t="s">
        <v>91</v>
      </c>
      <c r="B438">
        <v>17</v>
      </c>
      <c r="C438" t="s">
        <v>1747</v>
      </c>
      <c r="D438" t="s">
        <v>1748</v>
      </c>
      <c r="E438" t="s">
        <v>584</v>
      </c>
      <c r="F438">
        <f>INDEX(Site_Evaluation!$K:$K,MATCH(C438,Site_Evaluation!$A:$A,0))</f>
        <v>52</v>
      </c>
      <c r="G438">
        <f>COUNTIFS(Risk_Register!B:B,C438,Risk_Register!G:G,"High")</f>
        <v>1</v>
      </c>
      <c r="H438" t="e">
        <f ca="1">IF(_xludf.MAXIFS(Risk_Register!$L:$L,Risk_Register!$B:$B,C438)=3,"High",IF(_xludf.MAXIFS(Risk_Register!$L:$L,Risk_Register!$B:$B,C438)=2,"Medium","Low"))</f>
        <v>#NAME?</v>
      </c>
      <c r="I438" t="str">
        <f>IF(B438&lt;=3,"Preferred site - strong composite profile",IF(B438&lt;=10,"Backup candidate - viable with monitoring","Reserve - evaluate only if primary sites unavailable"))</f>
        <v>Reserve - evaluate only if primary sites unavailable</v>
      </c>
    </row>
    <row r="439" spans="1:9">
      <c r="A439" t="s">
        <v>91</v>
      </c>
      <c r="B439">
        <v>18</v>
      </c>
      <c r="C439" t="s">
        <v>1481</v>
      </c>
      <c r="D439" t="s">
        <v>1482</v>
      </c>
      <c r="E439" t="s">
        <v>558</v>
      </c>
      <c r="F439">
        <f>INDEX(Site_Evaluation!$K:$K,MATCH(C439,Site_Evaluation!$A:$A,0))</f>
        <v>51</v>
      </c>
      <c r="G439">
        <f>COUNTIFS(Risk_Register!B:B,C439,Risk_Register!G:G,"High")</f>
        <v>0</v>
      </c>
      <c r="H439" t="e">
        <f ca="1">IF(_xludf.MAXIFS(Risk_Register!$L:$L,Risk_Register!$B:$B,C439)=3,"High",IF(_xludf.MAXIFS(Risk_Register!$L:$L,Risk_Register!$B:$B,C439)=2,"Medium","Low"))</f>
        <v>#NAME?</v>
      </c>
      <c r="I439" t="str">
        <f>IF(B439&lt;=3,"Preferred site - strong composite profile",IF(B439&lt;=10,"Backup candidate - viable with monitoring","Reserve - evaluate only if primary sites unavailable"))</f>
        <v>Reserve - evaluate only if primary sites unavailable</v>
      </c>
    </row>
    <row r="440" spans="1:9">
      <c r="A440" t="s">
        <v>91</v>
      </c>
      <c r="B440">
        <v>19</v>
      </c>
      <c r="C440" t="s">
        <v>715</v>
      </c>
      <c r="D440" t="s">
        <v>716</v>
      </c>
      <c r="E440" t="s">
        <v>509</v>
      </c>
      <c r="F440">
        <f>INDEX(Site_Evaluation!$K:$K,MATCH(C440,Site_Evaluation!$A:$A,0))</f>
        <v>50</v>
      </c>
      <c r="G440">
        <f>COUNTIFS(Risk_Register!B:B,C440,Risk_Register!G:G,"High")</f>
        <v>2</v>
      </c>
      <c r="H440" t="e">
        <f ca="1">IF(_xludf.MAXIFS(Risk_Register!$L:$L,Risk_Register!$B:$B,C440)=3,"High",IF(_xludf.MAXIFS(Risk_Register!$L:$L,Risk_Register!$B:$B,C440)=2,"Medium","Low"))</f>
        <v>#NAME?</v>
      </c>
      <c r="I440" t="str">
        <f>IF(B440&lt;=3,"Preferred site - strong composite profile",IF(B440&lt;=10,"Backup candidate - viable with monitoring","Reserve - evaluate only if primary sites unavailable"))</f>
        <v>Reserve - evaluate only if primary sites unavailable</v>
      </c>
    </row>
    <row r="441" spans="1:9">
      <c r="A441" t="s">
        <v>91</v>
      </c>
      <c r="B441">
        <v>20</v>
      </c>
      <c r="C441" t="s">
        <v>1003</v>
      </c>
      <c r="D441" t="s">
        <v>1004</v>
      </c>
      <c r="E441" t="s">
        <v>525</v>
      </c>
      <c r="F441">
        <f>INDEX(Site_Evaluation!$K:$K,MATCH(C441,Site_Evaluation!$A:$A,0))</f>
        <v>49</v>
      </c>
      <c r="G441">
        <f>COUNTIFS(Risk_Register!B:B,C441,Risk_Register!G:G,"High")</f>
        <v>1</v>
      </c>
      <c r="H441" t="e">
        <f ca="1">IF(_xludf.MAXIFS(Risk_Register!$L:$L,Risk_Register!$B:$B,C441)=3,"High",IF(_xludf.MAXIFS(Risk_Register!$L:$L,Risk_Register!$B:$B,C441)=2,"Medium","Low"))</f>
        <v>#NAME?</v>
      </c>
      <c r="I441" t="str">
        <f>IF(B441&lt;=3,"Preferred site - strong composite profile",IF(B441&lt;=10,"Backup candidate - viable with monitoring","Reserve - evaluate only if primary sites unavailable"))</f>
        <v>Reserve - evaluate only if primary sites unavailable</v>
      </c>
    </row>
    <row r="442" spans="1:9">
      <c r="A442" t="s">
        <v>92</v>
      </c>
      <c r="B442">
        <v>1</v>
      </c>
      <c r="C442" t="s">
        <v>614</v>
      </c>
      <c r="D442" t="s">
        <v>615</v>
      </c>
      <c r="E442" t="s">
        <v>507</v>
      </c>
      <c r="F442">
        <f>INDEX(Site_Evaluation!$K:$K,MATCH(C442,Site_Evaluation!$A:$A,0))</f>
        <v>75</v>
      </c>
      <c r="G442">
        <f>COUNTIFS(Risk_Register!B:B,C442,Risk_Register!G:G,"High")</f>
        <v>1</v>
      </c>
      <c r="H442" t="e">
        <f ca="1">IF(_xludf.MAXIFS(Risk_Register!$L:$L,Risk_Register!$B:$B,C442)=3,"High",IF(_xludf.MAXIFS(Risk_Register!$L:$L,Risk_Register!$B:$B,C442)=2,"Medium","Low"))</f>
        <v>#NAME?</v>
      </c>
      <c r="I442" t="str">
        <f>IF(B442&lt;=3,"Preferred site - strong composite profile",IF(B442&lt;=10,"Backup candidate - viable with monitoring","Reserve - evaluate only if primary sites unavailable"))</f>
        <v>Preferred site - strong composite profile</v>
      </c>
    </row>
    <row r="443" spans="1:9">
      <c r="A443" t="s">
        <v>92</v>
      </c>
      <c r="B443">
        <v>2</v>
      </c>
      <c r="C443" t="s">
        <v>858</v>
      </c>
      <c r="D443" t="s">
        <v>859</v>
      </c>
      <c r="E443" t="s">
        <v>516</v>
      </c>
      <c r="F443">
        <f>INDEX(Site_Evaluation!$K:$K,MATCH(C443,Site_Evaluation!$A:$A,0))</f>
        <v>66</v>
      </c>
      <c r="G443">
        <f>COUNTIFS(Risk_Register!B:B,C443,Risk_Register!G:G,"High")</f>
        <v>1</v>
      </c>
      <c r="H443" t="e">
        <f ca="1">IF(_xludf.MAXIFS(Risk_Register!$L:$L,Risk_Register!$B:$B,C443)=3,"High",IF(_xludf.MAXIFS(Risk_Register!$L:$L,Risk_Register!$B:$B,C443)=2,"Medium","Low"))</f>
        <v>#NAME?</v>
      </c>
      <c r="I443" t="str">
        <f>IF(B443&lt;=3,"Preferred site - strong composite profile",IF(B443&lt;=10,"Backup candidate - viable with monitoring","Reserve - evaluate only if primary sites unavailable"))</f>
        <v>Preferred site - strong composite profile</v>
      </c>
    </row>
    <row r="444" spans="1:9">
      <c r="A444" t="s">
        <v>92</v>
      </c>
      <c r="B444">
        <v>3</v>
      </c>
      <c r="C444" t="s">
        <v>1629</v>
      </c>
      <c r="D444" t="s">
        <v>1630</v>
      </c>
      <c r="E444" t="s">
        <v>578</v>
      </c>
      <c r="F444">
        <f>INDEX(Site_Evaluation!$K:$K,MATCH(C444,Site_Evaluation!$A:$A,0))</f>
        <v>64</v>
      </c>
      <c r="G444">
        <f>COUNTIFS(Risk_Register!B:B,C444,Risk_Register!G:G,"High")</f>
        <v>2</v>
      </c>
      <c r="H444" t="e">
        <f ca="1">IF(_xludf.MAXIFS(Risk_Register!$L:$L,Risk_Register!$B:$B,C444)=3,"High",IF(_xludf.MAXIFS(Risk_Register!$L:$L,Risk_Register!$B:$B,C444)=2,"Medium","Low"))</f>
        <v>#NAME?</v>
      </c>
      <c r="I444" t="str">
        <f>IF(B444&lt;=3,"Preferred site - strong composite profile",IF(B444&lt;=10,"Backup candidate - viable with monitoring","Reserve - evaluate only if primary sites unavailable"))</f>
        <v>Preferred site - strong composite profile</v>
      </c>
    </row>
    <row r="445" spans="1:9">
      <c r="A445" t="s">
        <v>92</v>
      </c>
      <c r="B445">
        <v>4</v>
      </c>
      <c r="C445" t="s">
        <v>776</v>
      </c>
      <c r="D445" t="s">
        <v>777</v>
      </c>
      <c r="E445" t="s">
        <v>514</v>
      </c>
      <c r="F445">
        <f>INDEX(Site_Evaluation!$K:$K,MATCH(C445,Site_Evaluation!$A:$A,0))</f>
        <v>58</v>
      </c>
      <c r="G445">
        <f>COUNTIFS(Risk_Register!B:B,C445,Risk_Register!G:G,"High")</f>
        <v>0</v>
      </c>
      <c r="H445" t="e">
        <f ca="1">IF(_xludf.MAXIFS(Risk_Register!$L:$L,Risk_Register!$B:$B,C445)=3,"High",IF(_xludf.MAXIFS(Risk_Register!$L:$L,Risk_Register!$B:$B,C445)=2,"Medium","Low"))</f>
        <v>#NAME?</v>
      </c>
      <c r="I445" t="str">
        <f>IF(B445&lt;=3,"Preferred site - strong composite profile",IF(B445&lt;=10,"Backup candidate - viable with monitoring","Reserve - evaluate only if primary sites unavailable"))</f>
        <v>Backup candidate - viable with monitoring</v>
      </c>
    </row>
    <row r="446" spans="1:9">
      <c r="A446" t="s">
        <v>92</v>
      </c>
      <c r="B446">
        <v>5</v>
      </c>
      <c r="C446" t="s">
        <v>990</v>
      </c>
      <c r="D446" t="s">
        <v>991</v>
      </c>
      <c r="E446" t="s">
        <v>524</v>
      </c>
      <c r="F446">
        <f>INDEX(Site_Evaluation!$K:$K,MATCH(C446,Site_Evaluation!$A:$A,0))</f>
        <v>58</v>
      </c>
      <c r="G446">
        <f>COUNTIFS(Risk_Register!B:B,C446,Risk_Register!G:G,"High")</f>
        <v>1</v>
      </c>
      <c r="H446" t="e">
        <f ca="1">IF(_xludf.MAXIFS(Risk_Register!$L:$L,Risk_Register!$B:$B,C446)=3,"High",IF(_xludf.MAXIFS(Risk_Register!$L:$L,Risk_Register!$B:$B,C446)=2,"Medium","Low"))</f>
        <v>#NAME?</v>
      </c>
      <c r="I446" t="str">
        <f>IF(B446&lt;=3,"Preferred site - strong composite profile",IF(B446&lt;=10,"Backup candidate - viable with monitoring","Reserve - evaluate only if primary sites unavailable"))</f>
        <v>Backup candidate - viable with monitoring</v>
      </c>
    </row>
    <row r="447" spans="1:9">
      <c r="A447" t="s">
        <v>92</v>
      </c>
      <c r="B447">
        <v>6</v>
      </c>
      <c r="C447" t="s">
        <v>1657</v>
      </c>
      <c r="D447" t="s">
        <v>1658</v>
      </c>
      <c r="E447" t="s">
        <v>578</v>
      </c>
      <c r="F447">
        <f>INDEX(Site_Evaluation!$K:$K,MATCH(C447,Site_Evaluation!$A:$A,0))</f>
        <v>57</v>
      </c>
      <c r="G447">
        <f>COUNTIFS(Risk_Register!B:B,C447,Risk_Register!G:G,"High")</f>
        <v>2</v>
      </c>
      <c r="H447" t="e">
        <f ca="1">IF(_xludf.MAXIFS(Risk_Register!$L:$L,Risk_Register!$B:$B,C447)=3,"High",IF(_xludf.MAXIFS(Risk_Register!$L:$L,Risk_Register!$B:$B,C447)=2,"Medium","Low"))</f>
        <v>#NAME?</v>
      </c>
      <c r="I447" t="str">
        <f>IF(B447&lt;=3,"Preferred site - strong composite profile",IF(B447&lt;=10,"Backup candidate - viable with monitoring","Reserve - evaluate only if primary sites unavailable"))</f>
        <v>Backup candidate - viable with monitoring</v>
      </c>
    </row>
    <row r="448" spans="1:9">
      <c r="A448" t="s">
        <v>92</v>
      </c>
      <c r="B448">
        <v>7</v>
      </c>
      <c r="C448" t="s">
        <v>817</v>
      </c>
      <c r="D448" t="s">
        <v>818</v>
      </c>
      <c r="E448" t="s">
        <v>516</v>
      </c>
      <c r="F448">
        <f>INDEX(Site_Evaluation!$K:$K,MATCH(C448,Site_Evaluation!$A:$A,0))</f>
        <v>56</v>
      </c>
      <c r="G448">
        <f>COUNTIFS(Risk_Register!B:B,C448,Risk_Register!G:G,"High")</f>
        <v>3</v>
      </c>
      <c r="H448" t="e">
        <f ca="1">IF(_xludf.MAXIFS(Risk_Register!$L:$L,Risk_Register!$B:$B,C448)=3,"High",IF(_xludf.MAXIFS(Risk_Register!$L:$L,Risk_Register!$B:$B,C448)=2,"Medium","Low"))</f>
        <v>#NAME?</v>
      </c>
      <c r="I448" t="str">
        <f>IF(B448&lt;=3,"Preferred site - strong composite profile",IF(B448&lt;=10,"Backup candidate - viable with monitoring","Reserve - evaluate only if primary sites unavailable"))</f>
        <v>Backup candidate - viable with monitoring</v>
      </c>
    </row>
    <row r="449" spans="1:9">
      <c r="A449" t="s">
        <v>92</v>
      </c>
      <c r="B449">
        <v>8</v>
      </c>
      <c r="C449" t="s">
        <v>886</v>
      </c>
      <c r="D449" t="s">
        <v>887</v>
      </c>
      <c r="E449" t="s">
        <v>518</v>
      </c>
      <c r="F449">
        <f>INDEX(Site_Evaluation!$K:$K,MATCH(C449,Site_Evaluation!$A:$A,0))</f>
        <v>56</v>
      </c>
      <c r="G449">
        <f>COUNTIFS(Risk_Register!B:B,C449,Risk_Register!G:G,"High")</f>
        <v>0</v>
      </c>
      <c r="H449" t="e">
        <f ca="1">IF(_xludf.MAXIFS(Risk_Register!$L:$L,Risk_Register!$B:$B,C449)=3,"High",IF(_xludf.MAXIFS(Risk_Register!$L:$L,Risk_Register!$B:$B,C449)=2,"Medium","Low"))</f>
        <v>#NAME?</v>
      </c>
      <c r="I449" t="str">
        <f>IF(B449&lt;=3,"Preferred site - strong composite profile",IF(B449&lt;=10,"Backup candidate - viable with monitoring","Reserve - evaluate only if primary sites unavailable"))</f>
        <v>Backup candidate - viable with monitoring</v>
      </c>
    </row>
    <row r="450" spans="1:9">
      <c r="A450" t="s">
        <v>92</v>
      </c>
      <c r="B450">
        <v>9</v>
      </c>
      <c r="C450" t="s">
        <v>1419</v>
      </c>
      <c r="D450" t="s">
        <v>1420</v>
      </c>
      <c r="E450" t="s">
        <v>552</v>
      </c>
      <c r="F450">
        <f>INDEX(Site_Evaluation!$K:$K,MATCH(C450,Site_Evaluation!$A:$A,0))</f>
        <v>54</v>
      </c>
      <c r="G450">
        <f>COUNTIFS(Risk_Register!B:B,C450,Risk_Register!G:G,"High")</f>
        <v>0</v>
      </c>
      <c r="H450" t="e">
        <f ca="1">IF(_xludf.MAXIFS(Risk_Register!$L:$L,Risk_Register!$B:$B,C450)=3,"High",IF(_xludf.MAXIFS(Risk_Register!$L:$L,Risk_Register!$B:$B,C450)=2,"Medium","Low"))</f>
        <v>#NAME?</v>
      </c>
      <c r="I450" t="str">
        <f>IF(B450&lt;=3,"Preferred site - strong composite profile",IF(B450&lt;=10,"Backup candidate - viable with monitoring","Reserve - evaluate only if primary sites unavailable"))</f>
        <v>Backup candidate - viable with monitoring</v>
      </c>
    </row>
    <row r="451" spans="1:9">
      <c r="A451" t="s">
        <v>92</v>
      </c>
      <c r="B451">
        <v>10</v>
      </c>
      <c r="C451" t="s">
        <v>1459</v>
      </c>
      <c r="D451" t="s">
        <v>1460</v>
      </c>
      <c r="E451" t="s">
        <v>556</v>
      </c>
      <c r="F451">
        <f>INDEX(Site_Evaluation!$K:$K,MATCH(C451,Site_Evaluation!$A:$A,0))</f>
        <v>54</v>
      </c>
      <c r="G451">
        <f>COUNTIFS(Risk_Register!B:B,C451,Risk_Register!G:G,"High")</f>
        <v>0</v>
      </c>
      <c r="H451" t="e">
        <f ca="1">IF(_xludf.MAXIFS(Risk_Register!$L:$L,Risk_Register!$B:$B,C451)=3,"High",IF(_xludf.MAXIFS(Risk_Register!$L:$L,Risk_Register!$B:$B,C451)=2,"Medium","Low"))</f>
        <v>#NAME?</v>
      </c>
      <c r="I451" t="str">
        <f>IF(B451&lt;=3,"Preferred site - strong composite profile",IF(B451&lt;=10,"Backup candidate - viable with monitoring","Reserve - evaluate only if primary sites unavailable"))</f>
        <v>Backup candidate - viable with monitoring</v>
      </c>
    </row>
    <row r="452" spans="1:9">
      <c r="A452" t="s">
        <v>92</v>
      </c>
      <c r="B452">
        <v>11</v>
      </c>
      <c r="C452" t="s">
        <v>1855</v>
      </c>
      <c r="D452" t="s">
        <v>1856</v>
      </c>
      <c r="E452" t="s">
        <v>596</v>
      </c>
      <c r="F452">
        <f>INDEX(Site_Evaluation!$K:$K,MATCH(C452,Site_Evaluation!$A:$A,0))</f>
        <v>54</v>
      </c>
      <c r="G452">
        <f>COUNTIFS(Risk_Register!B:B,C452,Risk_Register!G:G,"High")</f>
        <v>0</v>
      </c>
      <c r="H452" t="e">
        <f ca="1">IF(_xludf.MAXIFS(Risk_Register!$L:$L,Risk_Register!$B:$B,C452)=3,"High",IF(_xludf.MAXIFS(Risk_Register!$L:$L,Risk_Register!$B:$B,C452)=2,"Medium","Low"))</f>
        <v>#NAME?</v>
      </c>
      <c r="I452" t="str">
        <f>IF(B452&lt;=3,"Preferred site - strong composite profile",IF(B452&lt;=10,"Backup candidate - viable with monitoring","Reserve - evaluate only if primary sites unavailable"))</f>
        <v>Reserve - evaluate only if primary sites unavailable</v>
      </c>
    </row>
    <row r="453" spans="1:9">
      <c r="A453" t="s">
        <v>92</v>
      </c>
      <c r="B453">
        <v>12</v>
      </c>
      <c r="C453" t="s">
        <v>1280</v>
      </c>
      <c r="D453" t="s">
        <v>1281</v>
      </c>
      <c r="E453" t="s">
        <v>543</v>
      </c>
      <c r="F453">
        <f>INDEX(Site_Evaluation!$K:$K,MATCH(C453,Site_Evaluation!$A:$A,0))</f>
        <v>53</v>
      </c>
      <c r="G453">
        <f>COUNTIFS(Risk_Register!B:B,C453,Risk_Register!G:G,"High")</f>
        <v>1</v>
      </c>
      <c r="H453" t="e">
        <f ca="1">IF(_xludf.MAXIFS(Risk_Register!$L:$L,Risk_Register!$B:$B,C453)=3,"High",IF(_xludf.MAXIFS(Risk_Register!$L:$L,Risk_Register!$B:$B,C453)=2,"Medium","Low"))</f>
        <v>#NAME?</v>
      </c>
      <c r="I453" t="str">
        <f>IF(B453&lt;=3,"Preferred site - strong composite profile",IF(B453&lt;=10,"Backup candidate - viable with monitoring","Reserve - evaluate only if primary sites unavailable"))</f>
        <v>Reserve - evaluate only if primary sites unavailable</v>
      </c>
    </row>
    <row r="454" spans="1:9">
      <c r="A454" t="s">
        <v>92</v>
      </c>
      <c r="B454">
        <v>13</v>
      </c>
      <c r="C454" t="s">
        <v>1682</v>
      </c>
      <c r="D454" t="s">
        <v>1683</v>
      </c>
      <c r="E454" t="s">
        <v>578</v>
      </c>
      <c r="F454">
        <f>INDEX(Site_Evaluation!$K:$K,MATCH(C454,Site_Evaluation!$A:$A,0))</f>
        <v>53</v>
      </c>
      <c r="G454">
        <f>COUNTIFS(Risk_Register!B:B,C454,Risk_Register!G:G,"High")</f>
        <v>2</v>
      </c>
      <c r="H454" t="e">
        <f ca="1">IF(_xludf.MAXIFS(Risk_Register!$L:$L,Risk_Register!$B:$B,C454)=3,"High",IF(_xludf.MAXIFS(Risk_Register!$L:$L,Risk_Register!$B:$B,C454)=2,"Medium","Low"))</f>
        <v>#NAME?</v>
      </c>
      <c r="I454" t="str">
        <f>IF(B454&lt;=3,"Preferred site - strong composite profile",IF(B454&lt;=10,"Backup candidate - viable with monitoring","Reserve - evaluate only if primary sites unavailable"))</f>
        <v>Reserve - evaluate only if primary sites unavailable</v>
      </c>
    </row>
    <row r="455" spans="1:9">
      <c r="A455" t="s">
        <v>92</v>
      </c>
      <c r="B455">
        <v>14</v>
      </c>
      <c r="C455" t="s">
        <v>883</v>
      </c>
      <c r="D455" t="s">
        <v>884</v>
      </c>
      <c r="E455" t="s">
        <v>518</v>
      </c>
      <c r="F455">
        <f>INDEX(Site_Evaluation!$K:$K,MATCH(C455,Site_Evaluation!$A:$A,0))</f>
        <v>52</v>
      </c>
      <c r="G455">
        <f>COUNTIFS(Risk_Register!B:B,C455,Risk_Register!G:G,"High")</f>
        <v>0</v>
      </c>
      <c r="H455" t="e">
        <f ca="1">IF(_xludf.MAXIFS(Risk_Register!$L:$L,Risk_Register!$B:$B,C455)=3,"High",IF(_xludf.MAXIFS(Risk_Register!$L:$L,Risk_Register!$B:$B,C455)=2,"Medium","Low"))</f>
        <v>#NAME?</v>
      </c>
      <c r="I455" t="str">
        <f>IF(B455&lt;=3,"Preferred site - strong composite profile",IF(B455&lt;=10,"Backup candidate - viable with monitoring","Reserve - evaluate only if primary sites unavailable"))</f>
        <v>Reserve - evaluate only if primary sites unavailable</v>
      </c>
    </row>
    <row r="456" spans="1:9">
      <c r="A456" t="s">
        <v>92</v>
      </c>
      <c r="B456">
        <v>15</v>
      </c>
      <c r="C456" t="s">
        <v>1006</v>
      </c>
      <c r="D456" t="s">
        <v>1007</v>
      </c>
      <c r="E456" t="s">
        <v>525</v>
      </c>
      <c r="F456">
        <f>INDEX(Site_Evaluation!$K:$K,MATCH(C456,Site_Evaluation!$A:$A,0))</f>
        <v>52</v>
      </c>
      <c r="G456">
        <f>COUNTIFS(Risk_Register!B:B,C456,Risk_Register!G:G,"High")</f>
        <v>0</v>
      </c>
      <c r="H456" t="e">
        <f ca="1">IF(_xludf.MAXIFS(Risk_Register!$L:$L,Risk_Register!$B:$B,C456)=3,"High",IF(_xludf.MAXIFS(Risk_Register!$L:$L,Risk_Register!$B:$B,C456)=2,"Medium","Low"))</f>
        <v>#NAME?</v>
      </c>
      <c r="I456" t="str">
        <f>IF(B456&lt;=3,"Preferred site - strong composite profile",IF(B456&lt;=10,"Backup candidate - viable with monitoring","Reserve - evaluate only if primary sites unavailable"))</f>
        <v>Reserve - evaluate only if primary sites unavailable</v>
      </c>
    </row>
    <row r="457" spans="1:9">
      <c r="A457" t="s">
        <v>92</v>
      </c>
      <c r="B457">
        <v>16</v>
      </c>
      <c r="C457" t="s">
        <v>1589</v>
      </c>
      <c r="D457" t="s">
        <v>1590</v>
      </c>
      <c r="E457" t="s">
        <v>576</v>
      </c>
      <c r="F457">
        <f>INDEX(Site_Evaluation!$K:$K,MATCH(C457,Site_Evaluation!$A:$A,0))</f>
        <v>52</v>
      </c>
      <c r="G457">
        <f>COUNTIFS(Risk_Register!B:B,C457,Risk_Register!G:G,"High")</f>
        <v>0</v>
      </c>
      <c r="H457" t="e">
        <f ca="1">IF(_xludf.MAXIFS(Risk_Register!$L:$L,Risk_Register!$B:$B,C457)=3,"High",IF(_xludf.MAXIFS(Risk_Register!$L:$L,Risk_Register!$B:$B,C457)=2,"Medium","Low"))</f>
        <v>#NAME?</v>
      </c>
      <c r="I457" t="str">
        <f>IF(B457&lt;=3,"Preferred site - strong composite profile",IF(B457&lt;=10,"Backup candidate - viable with monitoring","Reserve - evaluate only if primary sites unavailable"))</f>
        <v>Reserve - evaluate only if primary sites unavailable</v>
      </c>
    </row>
    <row r="458" spans="1:9">
      <c r="A458" t="s">
        <v>92</v>
      </c>
      <c r="B458">
        <v>17</v>
      </c>
      <c r="C458" t="s">
        <v>1794</v>
      </c>
      <c r="D458" t="s">
        <v>1795</v>
      </c>
      <c r="E458" t="s">
        <v>590</v>
      </c>
      <c r="F458">
        <f>INDEX(Site_Evaluation!$K:$K,MATCH(C458,Site_Evaluation!$A:$A,0))</f>
        <v>51</v>
      </c>
      <c r="G458">
        <f>COUNTIFS(Risk_Register!B:B,C458,Risk_Register!G:G,"High")</f>
        <v>3</v>
      </c>
      <c r="H458" t="e">
        <f ca="1">IF(_xludf.MAXIFS(Risk_Register!$L:$L,Risk_Register!$B:$B,C458)=3,"High",IF(_xludf.MAXIFS(Risk_Register!$L:$L,Risk_Register!$B:$B,C458)=2,"Medium","Low"))</f>
        <v>#NAME?</v>
      </c>
      <c r="I458" t="str">
        <f>IF(B458&lt;=3,"Preferred site - strong composite profile",IF(B458&lt;=10,"Backup candidate - viable with monitoring","Reserve - evaluate only if primary sites unavailable"))</f>
        <v>Reserve - evaluate only if primary sites unavailable</v>
      </c>
    </row>
    <row r="459" spans="1:9">
      <c r="A459" t="s">
        <v>92</v>
      </c>
      <c r="B459">
        <v>18</v>
      </c>
      <c r="C459" t="s">
        <v>1243</v>
      </c>
      <c r="D459" t="s">
        <v>1244</v>
      </c>
      <c r="E459" t="s">
        <v>539</v>
      </c>
      <c r="F459">
        <f>INDEX(Site_Evaluation!$K:$K,MATCH(C459,Site_Evaluation!$A:$A,0))</f>
        <v>50</v>
      </c>
      <c r="G459">
        <f>COUNTIFS(Risk_Register!B:B,C459,Risk_Register!G:G,"High")</f>
        <v>0</v>
      </c>
      <c r="H459" t="e">
        <f ca="1">IF(_xludf.MAXIFS(Risk_Register!$L:$L,Risk_Register!$B:$B,C459)=3,"High",IF(_xludf.MAXIFS(Risk_Register!$L:$L,Risk_Register!$B:$B,C459)=2,"Medium","Low"))</f>
        <v>#NAME?</v>
      </c>
      <c r="I459" t="str">
        <f>IF(B459&lt;=3,"Preferred site - strong composite profile",IF(B459&lt;=10,"Backup candidate - viable with monitoring","Reserve - evaluate only if primary sites unavailable"))</f>
        <v>Reserve - evaluate only if primary sites unavailable</v>
      </c>
    </row>
    <row r="460" spans="1:9">
      <c r="A460" t="s">
        <v>92</v>
      </c>
      <c r="B460">
        <v>19</v>
      </c>
      <c r="C460" t="s">
        <v>1928</v>
      </c>
      <c r="D460" t="s">
        <v>1929</v>
      </c>
      <c r="E460" t="s">
        <v>604</v>
      </c>
      <c r="F460">
        <f>INDEX(Site_Evaluation!$K:$K,MATCH(C460,Site_Evaluation!$A:$A,0))</f>
        <v>49</v>
      </c>
      <c r="G460">
        <f>COUNTIFS(Risk_Register!B:B,C460,Risk_Register!G:G,"High")</f>
        <v>1</v>
      </c>
      <c r="H460" t="e">
        <f ca="1">IF(_xludf.MAXIFS(Risk_Register!$L:$L,Risk_Register!$B:$B,C460)=3,"High",IF(_xludf.MAXIFS(Risk_Register!$L:$L,Risk_Register!$B:$B,C460)=2,"Medium","Low"))</f>
        <v>#NAME?</v>
      </c>
      <c r="I460" t="str">
        <f>IF(B460&lt;=3,"Preferred site - strong composite profile",IF(B460&lt;=10,"Backup candidate - viable with monitoring","Reserve - evaluate only if primary sites unavailable"))</f>
        <v>Reserve - evaluate only if primary sites unavailable</v>
      </c>
    </row>
    <row r="461" spans="1:9">
      <c r="A461" t="s">
        <v>92</v>
      </c>
      <c r="B461">
        <v>20</v>
      </c>
      <c r="C461" t="s">
        <v>988</v>
      </c>
      <c r="D461" t="s">
        <v>989</v>
      </c>
      <c r="E461" t="s">
        <v>524</v>
      </c>
      <c r="F461">
        <f>INDEX(Site_Evaluation!$K:$K,MATCH(C461,Site_Evaluation!$A:$A,0))</f>
        <v>48</v>
      </c>
      <c r="G461">
        <f>COUNTIFS(Risk_Register!B:B,C461,Risk_Register!G:G,"High")</f>
        <v>0</v>
      </c>
      <c r="H461" t="e">
        <f ca="1">IF(_xludf.MAXIFS(Risk_Register!$L:$L,Risk_Register!$B:$B,C461)=3,"High",IF(_xludf.MAXIFS(Risk_Register!$L:$L,Risk_Register!$B:$B,C461)=2,"Medium","Low"))</f>
        <v>#NAME?</v>
      </c>
      <c r="I461" t="str">
        <f>IF(B461&lt;=3,"Preferred site - strong composite profile",IF(B461&lt;=10,"Backup candidate - viable with monitoring","Reserve - evaluate only if primary sites unavailable"))</f>
        <v>Reserve - evaluate only if primary sites unavailable</v>
      </c>
    </row>
    <row r="462" spans="1:9">
      <c r="A462" t="s">
        <v>93</v>
      </c>
      <c r="B462">
        <v>1</v>
      </c>
      <c r="C462" t="s">
        <v>1678</v>
      </c>
      <c r="D462" t="s">
        <v>1679</v>
      </c>
      <c r="E462" t="s">
        <v>578</v>
      </c>
      <c r="F462">
        <f>INDEX(Site_Evaluation!$K:$K,MATCH(C462,Site_Evaluation!$A:$A,0))</f>
        <v>70</v>
      </c>
      <c r="G462">
        <f>COUNTIFS(Risk_Register!B:B,C462,Risk_Register!G:G,"High")</f>
        <v>1</v>
      </c>
      <c r="H462" t="e">
        <f ca="1">IF(_xludf.MAXIFS(Risk_Register!$L:$L,Risk_Register!$B:$B,C462)=3,"High",IF(_xludf.MAXIFS(Risk_Register!$L:$L,Risk_Register!$B:$B,C462)=2,"Medium","Low"))</f>
        <v>#NAME?</v>
      </c>
      <c r="I462" t="str">
        <f>IF(B462&lt;=3,"Preferred site - strong composite profile",IF(B462&lt;=10,"Backup candidate - viable with monitoring","Reserve - evaluate only if primary sites unavailable"))</f>
        <v>Preferred site - strong composite profile</v>
      </c>
    </row>
    <row r="463" spans="1:9">
      <c r="A463" t="s">
        <v>93</v>
      </c>
      <c r="B463">
        <v>2</v>
      </c>
      <c r="C463" t="s">
        <v>1505</v>
      </c>
      <c r="D463" t="s">
        <v>1506</v>
      </c>
      <c r="E463" t="s">
        <v>562</v>
      </c>
      <c r="F463">
        <f>INDEX(Site_Evaluation!$K:$K,MATCH(C463,Site_Evaluation!$A:$A,0))</f>
        <v>66</v>
      </c>
      <c r="G463">
        <f>COUNTIFS(Risk_Register!B:B,C463,Risk_Register!G:G,"High")</f>
        <v>1</v>
      </c>
      <c r="H463" t="e">
        <f ca="1">IF(_xludf.MAXIFS(Risk_Register!$L:$L,Risk_Register!$B:$B,C463)=3,"High",IF(_xludf.MAXIFS(Risk_Register!$L:$L,Risk_Register!$B:$B,C463)=2,"Medium","Low"))</f>
        <v>#NAME?</v>
      </c>
      <c r="I463" t="str">
        <f>IF(B463&lt;=3,"Preferred site - strong composite profile",IF(B463&lt;=10,"Backup candidate - viable with monitoring","Reserve - evaluate only if primary sites unavailable"))</f>
        <v>Preferred site - strong composite profile</v>
      </c>
    </row>
    <row r="464" spans="1:9">
      <c r="A464" t="s">
        <v>93</v>
      </c>
      <c r="B464">
        <v>3</v>
      </c>
      <c r="C464" t="s">
        <v>1342</v>
      </c>
      <c r="D464" t="s">
        <v>1343</v>
      </c>
      <c r="E464" t="s">
        <v>547</v>
      </c>
      <c r="F464">
        <f>INDEX(Site_Evaluation!$K:$K,MATCH(C464,Site_Evaluation!$A:$A,0))</f>
        <v>63</v>
      </c>
      <c r="G464">
        <f>COUNTIFS(Risk_Register!B:B,C464,Risk_Register!G:G,"High")</f>
        <v>0</v>
      </c>
      <c r="H464" t="e">
        <f ca="1">IF(_xludf.MAXIFS(Risk_Register!$L:$L,Risk_Register!$B:$B,C464)=3,"High",IF(_xludf.MAXIFS(Risk_Register!$L:$L,Risk_Register!$B:$B,C464)=2,"Medium","Low"))</f>
        <v>#NAME?</v>
      </c>
      <c r="I464" t="str">
        <f>IF(B464&lt;=3,"Preferred site - strong composite profile",IF(B464&lt;=10,"Backup candidate - viable with monitoring","Reserve - evaluate only if primary sites unavailable"))</f>
        <v>Preferred site - strong composite profile</v>
      </c>
    </row>
    <row r="465" spans="1:9">
      <c r="A465" t="s">
        <v>93</v>
      </c>
      <c r="B465">
        <v>4</v>
      </c>
      <c r="C465" t="s">
        <v>1699</v>
      </c>
      <c r="D465" t="s">
        <v>1698</v>
      </c>
      <c r="E465" t="s">
        <v>578</v>
      </c>
      <c r="F465">
        <f>INDEX(Site_Evaluation!$K:$K,MATCH(C465,Site_Evaluation!$A:$A,0))</f>
        <v>63</v>
      </c>
      <c r="G465">
        <f>COUNTIFS(Risk_Register!B:B,C465,Risk_Register!G:G,"High")</f>
        <v>1</v>
      </c>
      <c r="H465" t="e">
        <f ca="1">IF(_xludf.MAXIFS(Risk_Register!$L:$L,Risk_Register!$B:$B,C465)=3,"High",IF(_xludf.MAXIFS(Risk_Register!$L:$L,Risk_Register!$B:$B,C465)=2,"Medium","Low"))</f>
        <v>#NAME?</v>
      </c>
      <c r="I465" t="str">
        <f>IF(B465&lt;=3,"Preferred site - strong composite profile",IF(B465&lt;=10,"Backup candidate - viable with monitoring","Reserve - evaluate only if primary sites unavailable"))</f>
        <v>Backup candidate - viable with monitoring</v>
      </c>
    </row>
    <row r="466" spans="1:9">
      <c r="A466" t="s">
        <v>93</v>
      </c>
      <c r="B466">
        <v>5</v>
      </c>
      <c r="C466" t="s">
        <v>1056</v>
      </c>
      <c r="D466" t="s">
        <v>1057</v>
      </c>
      <c r="E466" t="s">
        <v>529</v>
      </c>
      <c r="F466">
        <f>INDEX(Site_Evaluation!$K:$K,MATCH(C466,Site_Evaluation!$A:$A,0))</f>
        <v>61</v>
      </c>
      <c r="G466">
        <f>COUNTIFS(Risk_Register!B:B,C466,Risk_Register!G:G,"High")</f>
        <v>1</v>
      </c>
      <c r="H466" t="e">
        <f ca="1">IF(_xludf.MAXIFS(Risk_Register!$L:$L,Risk_Register!$B:$B,C466)=3,"High",IF(_xludf.MAXIFS(Risk_Register!$L:$L,Risk_Register!$B:$B,C466)=2,"Medium","Low"))</f>
        <v>#NAME?</v>
      </c>
      <c r="I466" t="str">
        <f>IF(B466&lt;=3,"Preferred site - strong composite profile",IF(B466&lt;=10,"Backup candidate - viable with monitoring","Reserve - evaluate only if primary sites unavailable"))</f>
        <v>Backup candidate - viable with monitoring</v>
      </c>
    </row>
    <row r="467" spans="1:9">
      <c r="A467" t="s">
        <v>93</v>
      </c>
      <c r="B467">
        <v>6</v>
      </c>
      <c r="C467" t="s">
        <v>1401</v>
      </c>
      <c r="D467" t="s">
        <v>1402</v>
      </c>
      <c r="E467" t="s">
        <v>551</v>
      </c>
      <c r="F467">
        <f>INDEX(Site_Evaluation!$K:$K,MATCH(C467,Site_Evaluation!$A:$A,0))</f>
        <v>60</v>
      </c>
      <c r="G467">
        <f>COUNTIFS(Risk_Register!B:B,C467,Risk_Register!G:G,"High")</f>
        <v>1</v>
      </c>
      <c r="H467" t="e">
        <f ca="1">IF(_xludf.MAXIFS(Risk_Register!$L:$L,Risk_Register!$B:$B,C467)=3,"High",IF(_xludf.MAXIFS(Risk_Register!$L:$L,Risk_Register!$B:$B,C467)=2,"Medium","Low"))</f>
        <v>#NAME?</v>
      </c>
      <c r="I467" t="str">
        <f>IF(B467&lt;=3,"Preferred site - strong composite profile",IF(B467&lt;=10,"Backup candidate - viable with monitoring","Reserve - evaluate only if primary sites unavailable"))</f>
        <v>Backup candidate - viable with monitoring</v>
      </c>
    </row>
    <row r="468" spans="1:9">
      <c r="A468" t="s">
        <v>93</v>
      </c>
      <c r="B468">
        <v>7</v>
      </c>
      <c r="C468" t="s">
        <v>1632</v>
      </c>
      <c r="D468" t="s">
        <v>1633</v>
      </c>
      <c r="E468" t="s">
        <v>578</v>
      </c>
      <c r="F468">
        <f>INDEX(Site_Evaluation!$K:$K,MATCH(C468,Site_Evaluation!$A:$A,0))</f>
        <v>60</v>
      </c>
      <c r="G468">
        <f>COUNTIFS(Risk_Register!B:B,C468,Risk_Register!G:G,"High")</f>
        <v>0</v>
      </c>
      <c r="H468" t="e">
        <f ca="1">IF(_xludf.MAXIFS(Risk_Register!$L:$L,Risk_Register!$B:$B,C468)=3,"High",IF(_xludf.MAXIFS(Risk_Register!$L:$L,Risk_Register!$B:$B,C468)=2,"Medium","Low"))</f>
        <v>#NAME?</v>
      </c>
      <c r="I468" t="str">
        <f>IF(B468&lt;=3,"Preferred site - strong composite profile",IF(B468&lt;=10,"Backup candidate - viable with monitoring","Reserve - evaluate only if primary sites unavailable"))</f>
        <v>Backup candidate - viable with monitoring</v>
      </c>
    </row>
    <row r="469" spans="1:9">
      <c r="A469" t="s">
        <v>93</v>
      </c>
      <c r="B469">
        <v>8</v>
      </c>
      <c r="C469" t="s">
        <v>830</v>
      </c>
      <c r="D469" t="s">
        <v>831</v>
      </c>
      <c r="E469" t="s">
        <v>516</v>
      </c>
      <c r="F469">
        <f>INDEX(Site_Evaluation!$K:$K,MATCH(C469,Site_Evaluation!$A:$A,0))</f>
        <v>59</v>
      </c>
      <c r="G469">
        <f>COUNTIFS(Risk_Register!B:B,C469,Risk_Register!G:G,"High")</f>
        <v>0</v>
      </c>
      <c r="H469" t="e">
        <f ca="1">IF(_xludf.MAXIFS(Risk_Register!$L:$L,Risk_Register!$B:$B,C469)=3,"High",IF(_xludf.MAXIFS(Risk_Register!$L:$L,Risk_Register!$B:$B,C469)=2,"Medium","Low"))</f>
        <v>#NAME?</v>
      </c>
      <c r="I469" t="str">
        <f>IF(B469&lt;=3,"Preferred site - strong composite profile",IF(B469&lt;=10,"Backup candidate - viable with monitoring","Reserve - evaluate only if primary sites unavailable"))</f>
        <v>Backup candidate - viable with monitoring</v>
      </c>
    </row>
    <row r="470" spans="1:9">
      <c r="A470" t="s">
        <v>93</v>
      </c>
      <c r="B470">
        <v>9</v>
      </c>
      <c r="C470" t="s">
        <v>875</v>
      </c>
      <c r="D470" t="s">
        <v>876</v>
      </c>
      <c r="E470" t="s">
        <v>516</v>
      </c>
      <c r="F470">
        <f>INDEX(Site_Evaluation!$K:$K,MATCH(C470,Site_Evaluation!$A:$A,0))</f>
        <v>58</v>
      </c>
      <c r="G470">
        <f>COUNTIFS(Risk_Register!B:B,C470,Risk_Register!G:G,"High")</f>
        <v>0</v>
      </c>
      <c r="H470" t="e">
        <f ca="1">IF(_xludf.MAXIFS(Risk_Register!$L:$L,Risk_Register!$B:$B,C470)=3,"High",IF(_xludf.MAXIFS(Risk_Register!$L:$L,Risk_Register!$B:$B,C470)=2,"Medium","Low"))</f>
        <v>#NAME?</v>
      </c>
      <c r="I470" t="str">
        <f>IF(B470&lt;=3,"Preferred site - strong composite profile",IF(B470&lt;=10,"Backup candidate - viable with monitoring","Reserve - evaluate only if primary sites unavailable"))</f>
        <v>Backup candidate - viable with monitoring</v>
      </c>
    </row>
    <row r="471" spans="1:9">
      <c r="A471" t="s">
        <v>93</v>
      </c>
      <c r="B471">
        <v>10</v>
      </c>
      <c r="C471" t="s">
        <v>1090</v>
      </c>
      <c r="D471" t="s">
        <v>1091</v>
      </c>
      <c r="E471" t="s">
        <v>529</v>
      </c>
      <c r="F471">
        <f>INDEX(Site_Evaluation!$K:$K,MATCH(C471,Site_Evaluation!$A:$A,0))</f>
        <v>58</v>
      </c>
      <c r="G471">
        <f>COUNTIFS(Risk_Register!B:B,C471,Risk_Register!G:G,"High")</f>
        <v>1</v>
      </c>
      <c r="H471" t="e">
        <f ca="1">IF(_xludf.MAXIFS(Risk_Register!$L:$L,Risk_Register!$B:$B,C471)=3,"High",IF(_xludf.MAXIFS(Risk_Register!$L:$L,Risk_Register!$B:$B,C471)=2,"Medium","Low"))</f>
        <v>#NAME?</v>
      </c>
      <c r="I471" t="str">
        <f>IF(B471&lt;=3,"Preferred site - strong composite profile",IF(B471&lt;=10,"Backup candidate - viable with monitoring","Reserve - evaluate only if primary sites unavailable"))</f>
        <v>Backup candidate - viable with monitoring</v>
      </c>
    </row>
    <row r="472" spans="1:9">
      <c r="A472" t="s">
        <v>93</v>
      </c>
      <c r="B472">
        <v>11</v>
      </c>
      <c r="C472" t="s">
        <v>665</v>
      </c>
      <c r="D472" t="s">
        <v>666</v>
      </c>
      <c r="E472" t="s">
        <v>507</v>
      </c>
      <c r="F472">
        <f>INDEX(Site_Evaluation!$K:$K,MATCH(C472,Site_Evaluation!$A:$A,0))</f>
        <v>56</v>
      </c>
      <c r="G472">
        <f>COUNTIFS(Risk_Register!B:B,C472,Risk_Register!G:G,"High")</f>
        <v>2</v>
      </c>
      <c r="H472" t="e">
        <f ca="1">IF(_xludf.MAXIFS(Risk_Register!$L:$L,Risk_Register!$B:$B,C472)=3,"High",IF(_xludf.MAXIFS(Risk_Register!$L:$L,Risk_Register!$B:$B,C472)=2,"Medium","Low"))</f>
        <v>#NAME?</v>
      </c>
      <c r="I472" t="str">
        <f>IF(B472&lt;=3,"Preferred site - strong composite profile",IF(B472&lt;=10,"Backup candidate - viable with monitoring","Reserve - evaluate only if primary sites unavailable"))</f>
        <v>Reserve - evaluate only if primary sites unavailable</v>
      </c>
    </row>
    <row r="473" spans="1:9">
      <c r="A473" t="s">
        <v>93</v>
      </c>
      <c r="B473">
        <v>12</v>
      </c>
      <c r="C473" t="s">
        <v>1222</v>
      </c>
      <c r="D473" t="s">
        <v>1223</v>
      </c>
      <c r="E473" t="s">
        <v>539</v>
      </c>
      <c r="F473">
        <f>INDEX(Site_Evaluation!$K:$K,MATCH(C473,Site_Evaluation!$A:$A,0))</f>
        <v>56</v>
      </c>
      <c r="G473">
        <f>COUNTIFS(Risk_Register!B:B,C473,Risk_Register!G:G,"High")</f>
        <v>0</v>
      </c>
      <c r="H473" t="e">
        <f ca="1">IF(_xludf.MAXIFS(Risk_Register!$L:$L,Risk_Register!$B:$B,C473)=3,"High",IF(_xludf.MAXIFS(Risk_Register!$L:$L,Risk_Register!$B:$B,C473)=2,"Medium","Low"))</f>
        <v>#NAME?</v>
      </c>
      <c r="I473" t="str">
        <f>IF(B473&lt;=3,"Preferred site - strong composite profile",IF(B473&lt;=10,"Backup candidate - viable with monitoring","Reserve - evaluate only if primary sites unavailable"))</f>
        <v>Reserve - evaluate only if primary sites unavailable</v>
      </c>
    </row>
    <row r="474" spans="1:9">
      <c r="A474" t="s">
        <v>93</v>
      </c>
      <c r="B474">
        <v>13</v>
      </c>
      <c r="C474" t="s">
        <v>1265</v>
      </c>
      <c r="D474" t="s">
        <v>1266</v>
      </c>
      <c r="E474" t="s">
        <v>541</v>
      </c>
      <c r="F474">
        <f>INDEX(Site_Evaluation!$K:$K,MATCH(C474,Site_Evaluation!$A:$A,0))</f>
        <v>56</v>
      </c>
      <c r="G474">
        <f>COUNTIFS(Risk_Register!B:B,C474,Risk_Register!G:G,"High")</f>
        <v>1</v>
      </c>
      <c r="H474" t="e">
        <f ca="1">IF(_xludf.MAXIFS(Risk_Register!$L:$L,Risk_Register!$B:$B,C474)=3,"High",IF(_xludf.MAXIFS(Risk_Register!$L:$L,Risk_Register!$B:$B,C474)=2,"Medium","Low"))</f>
        <v>#NAME?</v>
      </c>
      <c r="I474" t="str">
        <f>IF(B474&lt;=3,"Preferred site - strong composite profile",IF(B474&lt;=10,"Backup candidate - viable with monitoring","Reserve - evaluate only if primary sites unavailable"))</f>
        <v>Reserve - evaluate only if primary sites unavailable</v>
      </c>
    </row>
    <row r="475" spans="1:9">
      <c r="A475" t="s">
        <v>93</v>
      </c>
      <c r="B475">
        <v>14</v>
      </c>
      <c r="C475" t="s">
        <v>1494</v>
      </c>
      <c r="D475" t="s">
        <v>1495</v>
      </c>
      <c r="E475" t="s">
        <v>560</v>
      </c>
      <c r="F475">
        <f>INDEX(Site_Evaluation!$K:$K,MATCH(C475,Site_Evaluation!$A:$A,0))</f>
        <v>56</v>
      </c>
      <c r="G475">
        <f>COUNTIFS(Risk_Register!B:B,C475,Risk_Register!G:G,"High")</f>
        <v>1</v>
      </c>
      <c r="H475" t="e">
        <f ca="1">IF(_xludf.MAXIFS(Risk_Register!$L:$L,Risk_Register!$B:$B,C475)=3,"High",IF(_xludf.MAXIFS(Risk_Register!$L:$L,Risk_Register!$B:$B,C475)=2,"Medium","Low"))</f>
        <v>#NAME?</v>
      </c>
      <c r="I475" t="str">
        <f>IF(B475&lt;=3,"Preferred site - strong composite profile",IF(B475&lt;=10,"Backup candidate - viable with monitoring","Reserve - evaluate only if primary sites unavailable"))</f>
        <v>Reserve - evaluate only if primary sites unavailable</v>
      </c>
    </row>
    <row r="476" spans="1:9">
      <c r="A476" t="s">
        <v>93</v>
      </c>
      <c r="B476">
        <v>15</v>
      </c>
      <c r="C476" t="s">
        <v>984</v>
      </c>
      <c r="D476" t="s">
        <v>985</v>
      </c>
      <c r="E476" t="s">
        <v>524</v>
      </c>
      <c r="F476">
        <f>INDEX(Site_Evaluation!$K:$K,MATCH(C476,Site_Evaluation!$A:$A,0))</f>
        <v>55</v>
      </c>
      <c r="G476">
        <f>COUNTIFS(Risk_Register!B:B,C476,Risk_Register!G:G,"High")</f>
        <v>2</v>
      </c>
      <c r="H476" t="e">
        <f ca="1">IF(_xludf.MAXIFS(Risk_Register!$L:$L,Risk_Register!$B:$B,C476)=3,"High",IF(_xludf.MAXIFS(Risk_Register!$L:$L,Risk_Register!$B:$B,C476)=2,"Medium","Low"))</f>
        <v>#NAME?</v>
      </c>
      <c r="I476" t="str">
        <f>IF(B476&lt;=3,"Preferred site - strong composite profile",IF(B476&lt;=10,"Backup candidate - viable with monitoring","Reserve - evaluate only if primary sites unavailable"))</f>
        <v>Reserve - evaluate only if primary sites unavailable</v>
      </c>
    </row>
    <row r="477" spans="1:9">
      <c r="A477" t="s">
        <v>93</v>
      </c>
      <c r="B477">
        <v>16</v>
      </c>
      <c r="C477" t="s">
        <v>1238</v>
      </c>
      <c r="D477" t="s">
        <v>1223</v>
      </c>
      <c r="E477" t="s">
        <v>539</v>
      </c>
      <c r="F477">
        <f>INDEX(Site_Evaluation!$K:$K,MATCH(C477,Site_Evaluation!$A:$A,0))</f>
        <v>55</v>
      </c>
      <c r="G477">
        <f>COUNTIFS(Risk_Register!B:B,C477,Risk_Register!G:G,"High")</f>
        <v>0</v>
      </c>
      <c r="H477" t="e">
        <f ca="1">IF(_xludf.MAXIFS(Risk_Register!$L:$L,Risk_Register!$B:$B,C477)=3,"High",IF(_xludf.MAXIFS(Risk_Register!$L:$L,Risk_Register!$B:$B,C477)=2,"Medium","Low"))</f>
        <v>#NAME?</v>
      </c>
      <c r="I477" t="str">
        <f>IF(B477&lt;=3,"Preferred site - strong composite profile",IF(B477&lt;=10,"Backup candidate - viable with monitoring","Reserve - evaluate only if primary sites unavailable"))</f>
        <v>Reserve - evaluate only if primary sites unavailable</v>
      </c>
    </row>
    <row r="478" spans="1:9">
      <c r="A478" t="s">
        <v>93</v>
      </c>
      <c r="B478">
        <v>17</v>
      </c>
      <c r="C478" t="s">
        <v>1346</v>
      </c>
      <c r="D478" t="s">
        <v>1347</v>
      </c>
      <c r="E478" t="s">
        <v>547</v>
      </c>
      <c r="F478">
        <f>INDEX(Site_Evaluation!$K:$K,MATCH(C478,Site_Evaluation!$A:$A,0))</f>
        <v>55</v>
      </c>
      <c r="G478">
        <f>COUNTIFS(Risk_Register!B:B,C478,Risk_Register!G:G,"High")</f>
        <v>2</v>
      </c>
      <c r="H478" t="e">
        <f ca="1">IF(_xludf.MAXIFS(Risk_Register!$L:$L,Risk_Register!$B:$B,C478)=3,"High",IF(_xludf.MAXIFS(Risk_Register!$L:$L,Risk_Register!$B:$B,C478)=2,"Medium","Low"))</f>
        <v>#NAME?</v>
      </c>
      <c r="I478" t="str">
        <f>IF(B478&lt;=3,"Preferred site - strong composite profile",IF(B478&lt;=10,"Backup candidate - viable with monitoring","Reserve - evaluate only if primary sites unavailable"))</f>
        <v>Reserve - evaluate only if primary sites unavailable</v>
      </c>
    </row>
    <row r="479" spans="1:9">
      <c r="A479" t="s">
        <v>93</v>
      </c>
      <c r="B479">
        <v>18</v>
      </c>
      <c r="C479" t="s">
        <v>1574</v>
      </c>
      <c r="D479" t="s">
        <v>1575</v>
      </c>
      <c r="E479" t="s">
        <v>572</v>
      </c>
      <c r="F479">
        <f>INDEX(Site_Evaluation!$K:$K,MATCH(C479,Site_Evaluation!$A:$A,0))</f>
        <v>54</v>
      </c>
      <c r="G479">
        <f>COUNTIFS(Risk_Register!B:B,C479,Risk_Register!G:G,"High")</f>
        <v>1</v>
      </c>
      <c r="H479" t="e">
        <f ca="1">IF(_xludf.MAXIFS(Risk_Register!$L:$L,Risk_Register!$B:$B,C479)=3,"High",IF(_xludf.MAXIFS(Risk_Register!$L:$L,Risk_Register!$B:$B,C479)=2,"Medium","Low"))</f>
        <v>#NAME?</v>
      </c>
      <c r="I479" t="str">
        <f>IF(B479&lt;=3,"Preferred site - strong composite profile",IF(B479&lt;=10,"Backup candidate - viable with monitoring","Reserve - evaluate only if primary sites unavailable"))</f>
        <v>Reserve - evaluate only if primary sites unavailable</v>
      </c>
    </row>
    <row r="480" spans="1:9">
      <c r="A480" t="s">
        <v>93</v>
      </c>
      <c r="B480">
        <v>19</v>
      </c>
      <c r="C480" t="s">
        <v>1613</v>
      </c>
      <c r="D480" t="s">
        <v>1614</v>
      </c>
      <c r="E480" t="s">
        <v>576</v>
      </c>
      <c r="F480">
        <f>INDEX(Site_Evaluation!$K:$K,MATCH(C480,Site_Evaluation!$A:$A,0))</f>
        <v>54</v>
      </c>
      <c r="G480">
        <f>COUNTIFS(Risk_Register!B:B,C480,Risk_Register!G:G,"High")</f>
        <v>0</v>
      </c>
      <c r="H480" t="e">
        <f ca="1">IF(_xludf.MAXIFS(Risk_Register!$L:$L,Risk_Register!$B:$B,C480)=3,"High",IF(_xludf.MAXIFS(Risk_Register!$L:$L,Risk_Register!$B:$B,C480)=2,"Medium","Low"))</f>
        <v>#NAME?</v>
      </c>
      <c r="I480" t="str">
        <f>IF(B480&lt;=3,"Preferred site - strong composite profile",IF(B480&lt;=10,"Backup candidate - viable with monitoring","Reserve - evaluate only if primary sites unavailable"))</f>
        <v>Reserve - evaluate only if primary sites unavailable</v>
      </c>
    </row>
    <row r="481" spans="1:9">
      <c r="A481" t="s">
        <v>93</v>
      </c>
      <c r="B481">
        <v>20</v>
      </c>
      <c r="C481" t="s">
        <v>1792</v>
      </c>
      <c r="D481" t="s">
        <v>1793</v>
      </c>
      <c r="E481" t="s">
        <v>590</v>
      </c>
      <c r="F481">
        <f>INDEX(Site_Evaluation!$K:$K,MATCH(C481,Site_Evaluation!$A:$A,0))</f>
        <v>53</v>
      </c>
      <c r="G481">
        <f>COUNTIFS(Risk_Register!B:B,C481,Risk_Register!G:G,"High")</f>
        <v>1</v>
      </c>
      <c r="H481" t="e">
        <f ca="1">IF(_xludf.MAXIFS(Risk_Register!$L:$L,Risk_Register!$B:$B,C481)=3,"High",IF(_xludf.MAXIFS(Risk_Register!$L:$L,Risk_Register!$B:$B,C481)=2,"Medium","Low"))</f>
        <v>#NAME?</v>
      </c>
      <c r="I481" t="str">
        <f>IF(B481&lt;=3,"Preferred site - strong composite profile",IF(B481&lt;=10,"Backup candidate - viable with monitoring","Reserve - evaluate only if primary sites unavailable"))</f>
        <v>Reserve - evaluate only if primary sites unavailable</v>
      </c>
    </row>
  </sheetData>
  <pageMargins left="0.75" right="0.75" top="1" bottom="1" header="0.511811023622047" footer="0.511811023622047"/>
  <ignoredErrors>
    <ignoredError sqref="A1:I481"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8"/>
  <sheetViews>
    <sheetView workbookViewId="0"/>
  </sheetViews>
  <sheetFormatPr defaultRowHeight="15"/>
  <sheetData>
    <row r="1" spans="1:3">
      <c r="A1" t="s">
        <v>5633</v>
      </c>
      <c r="B1" t="s">
        <v>5634</v>
      </c>
      <c r="C1" t="s">
        <v>5635</v>
      </c>
    </row>
    <row r="2" spans="1:3">
      <c r="A2" t="s">
        <v>5636</v>
      </c>
      <c r="B2">
        <v>0.35</v>
      </c>
      <c r="C2" t="s">
        <v>5637</v>
      </c>
    </row>
    <row r="3" spans="1:3">
      <c r="A3" t="s">
        <v>5638</v>
      </c>
      <c r="B3">
        <v>0.25</v>
      </c>
      <c r="C3" t="s">
        <v>5639</v>
      </c>
    </row>
    <row r="4" spans="1:3">
      <c r="A4" t="s">
        <v>5640</v>
      </c>
      <c r="B4">
        <v>0.2</v>
      </c>
      <c r="C4" t="s">
        <v>5641</v>
      </c>
    </row>
    <row r="5" spans="1:3">
      <c r="A5" t="s">
        <v>5642</v>
      </c>
      <c r="B5">
        <v>0.1</v>
      </c>
      <c r="C5" t="s">
        <v>5643</v>
      </c>
    </row>
    <row r="6" spans="1:3">
      <c r="A6" t="s">
        <v>5644</v>
      </c>
      <c r="B6">
        <v>0.1</v>
      </c>
      <c r="C6" t="s">
        <v>5645</v>
      </c>
    </row>
    <row r="7" spans="1:3">
      <c r="A7" t="s">
        <v>5646</v>
      </c>
      <c r="C7" t="s">
        <v>5646</v>
      </c>
    </row>
    <row r="8" spans="1:3">
      <c r="A8" t="s">
        <v>5647</v>
      </c>
      <c r="C8" t="s">
        <v>5648</v>
      </c>
    </row>
  </sheetData>
  <pageMargins left="0" right="0" top="0" bottom="0" header="0" footer="0"/>
  <ignoredErrors>
    <ignoredError sqref="A1:C8" numberStoredAsText="1"/>
  </ignoredError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Danish Meraj</cp:lastModifiedBy>
  <cp:revision>0</cp:revision>
  <dcterms:created xsi:type="dcterms:W3CDTF">2026-08-06T07:21:05Z</dcterms:created>
  <dcterms:modified xsi:type="dcterms:W3CDTF">2026-08-07T10:57:25Z</dcterms:modified>
  <cp:category/>
  <cp:contentStatus/>
</cp:coreProperties>
</file>